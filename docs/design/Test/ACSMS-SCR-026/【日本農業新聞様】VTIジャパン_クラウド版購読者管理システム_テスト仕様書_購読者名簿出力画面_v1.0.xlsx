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qSY3WSeFJR9ArfOZdHhSXBT2dkRBhrLAdJlMQ6V1QrI="/>
    </ext>
  </extLst>
</workbook>
</file>

<file path=xl/sharedStrings.xml><?xml version="1.0" encoding="utf-8"?>
<sst xmlns="http://schemas.openxmlformats.org/spreadsheetml/2006/main" count="854" uniqueCount="463">
  <si>
    <t>システム・アプリケーション名</t>
  </si>
  <si>
    <t>項番</t>
  </si>
  <si>
    <t>発行日</t>
  </si>
  <si>
    <t>&lt;単体/結合/システム&gt; テスト報告書</t>
  </si>
  <si>
    <t>バージョン</t>
  </si>
  <si>
    <t>担当者</t>
  </si>
  <si>
    <t>ドキュメント</t>
  </si>
  <si>
    <t>変更内容</t>
  </si>
  <si>
    <t>プロジェクト名</t>
  </si>
  <si>
    <t>確認者</t>
  </si>
  <si>
    <t>クラウド版購読者管理システム</t>
  </si>
  <si>
    <t>シート名</t>
  </si>
  <si>
    <t>プロジェクトマネージャ</t>
  </si>
  <si>
    <t>承認者</t>
  </si>
  <si>
    <t>作成日</t>
  </si>
  <si>
    <t>Nguyen Huy Dat</t>
  </si>
  <si>
    <t>作成者</t>
  </si>
  <si>
    <t>2026/06/17</t>
  </si>
  <si>
    <t>Kieu Thi Diem</t>
  </si>
  <si>
    <t>更新日</t>
  </si>
  <si>
    <t>1.0</t>
  </si>
  <si>
    <t>更新者</t>
  </si>
  <si>
    <t>購読者名簿出力画面</t>
  </si>
  <si>
    <t>Tạo bản đầu tiên</t>
  </si>
  <si>
    <t>#</t>
  </si>
  <si>
    <t>機能名</t>
  </si>
  <si>
    <t>テスト仕様書</t>
  </si>
  <si>
    <t>概要</t>
  </si>
  <si>
    <t>版1.0</t>
  </si>
  <si>
    <t>テストケース分類</t>
  </si>
  <si>
    <t>合計</t>
  </si>
  <si>
    <t>テスト結果</t>
  </si>
  <si>
    <t>2026/08/06</t>
  </si>
  <si>
    <t>フォーマットコード</t>
  </si>
  <si>
    <t>1.1</t>
  </si>
  <si>
    <t>Tran Duc Tuyen</t>
  </si>
  <si>
    <t>16-BM/PM/VTI</t>
  </si>
  <si>
    <t>正常</t>
  </si>
  <si>
    <t>異常</t>
  </si>
  <si>
    <t>Đồng bộ với bản tiếng Nhật: tạo カテゴリ6 và bổ sung 3 ca (042〜044). 042＝lọc theo chi nhánh (điều kiện tùy chọn, người đọc có shiten_id NULL — vốn luôn NULL với người nhập từ liên kết bản điện tử — bị loại khi chọn chi nhánh). 043＝tách đối tượng tổng hợp theo loại báo biểu (#56597): theo cửa hàng bán ＝ chỉ bản giấy; theo chi nhánh quản lý ＝ bản giấy (vô điều kiện) ＋ kết hợp (trả phí) ＋ bản điện tử (trả phí và đã duyệt). 044＝loại cửa hàng bán dummy khỏi lựa chọn (`dummy=exclude`)</t>
  </si>
  <si>
    <t>境界</t>
  </si>
  <si>
    <t>フォーマットバージョン</t>
  </si>
  <si>
    <t>合格</t>
  </si>
  <si>
    <t>不合格</t>
  </si>
  <si>
    <t>1.システム概要</t>
  </si>
  <si>
    <t>未テスト</t>
  </si>
  <si>
    <t>N/A</t>
  </si>
  <si>
    <t>Hệ thống này là hệ thống quản lý độc giả dạng cloud dành cho JA, cung cấp các chức năng như quản lý thông tin độc giả, quản lý lịch sử đăng ký, quản lý dữ liệu chuyển khoản tự động.</t>
  </si>
  <si>
    <t>進捗（%）</t>
  </si>
  <si>
    <t>Với tư cách là các chức năng chính, hệ thống cung cấp đăng ký・cập nhật・tìm kiếm thông tin độc giả, quản lý lịch sử thay đổi nội dung đăng ký, tạo và quản lý dữ liệu chuyển khoản tự động, chức năng upload・download file, quản lý thông báo của hệ thống.</t>
  </si>
  <si>
    <t>Ngoài ra, hệ thống hỗ trợ các chức năng bảo mật・kiểm toán như quản lý đăng nhập của người dùng, ghi lại lịch sử đăng nhập, ghi lại log thao tác của người dùng.</t>
  </si>
  <si>
    <t>2.資料目的</t>
  </si>
  <si>
    <t>テスト1回目</t>
  </si>
  <si>
    <t>Đây là tài liệu mô tả chi tiết bản đặc tả kiểm thử được tạo mới trên hệ thống đối với「Màn hình xuất danh bạ độc giả（ACSMS-SCR-026）」.</t>
  </si>
  <si>
    <t>機能</t>
  </si>
  <si>
    <t>3.関連資料</t>
  </si>
  <si>
    <t>No</t>
  </si>
  <si>
    <t>資料コード</t>
  </si>
  <si>
    <t>資料名</t>
  </si>
  <si>
    <t>ACSMS-SCR-026</t>
  </si>
  <si>
    <t>購読者名簿出力画面 設計書</t>
  </si>
  <si>
    <t>購読者名簿出力画面 API設計書</t>
  </si>
  <si>
    <t>テスト2回目</t>
  </si>
  <si>
    <t>テスト観点</t>
  </si>
  <si>
    <t>1. テスト観点一覧</t>
  </si>
  <si>
    <t>テストレベル</t>
  </si>
  <si>
    <t>観点ID</t>
  </si>
  <si>
    <t>結合テスト</t>
  </si>
  <si>
    <t>大分類</t>
  </si>
  <si>
    <t>機能／モジュール</t>
  </si>
  <si>
    <t>観点名</t>
  </si>
  <si>
    <t>ACSMS-SCR-026_購読者名簿出力画面</t>
  </si>
  <si>
    <t>リスク</t>
  </si>
  <si>
    <t>対象画面範囲</t>
  </si>
  <si>
    <t>TC見積</t>
  </si>
  <si>
    <t>VP-A-01</t>
  </si>
  <si>
    <t>A. セキュリティ・権限</t>
  </si>
  <si>
    <t>ロール別権限制御（RBAC gate）</t>
  </si>
  <si>
    <t>確認日</t>
  </si>
  <si>
    <t>高</t>
  </si>
  <si>
    <t>約25保護画面</t>
  </si>
  <si>
    <t>テスト環境</t>
  </si>
  <si>
    <t>Windows 10/11, Chrome, Edge</t>
  </si>
  <si>
    <t>VP-A-02</t>
  </si>
  <si>
    <t>分類</t>
  </si>
  <si>
    <t>データ範囲（DataScope）</t>
  </si>
  <si>
    <t>約20一覧／詳細画面</t>
  </si>
  <si>
    <t>回目</t>
  </si>
  <si>
    <t>VP-A-03</t>
  </si>
  <si>
    <t>境界値</t>
  </si>
  <si>
    <t>項目レベル制限（Field-level restriction）</t>
  </si>
  <si>
    <t>5マスタ</t>
  </si>
  <si>
    <t>1回目</t>
  </si>
  <si>
    <t>VP-A-04</t>
  </si>
  <si>
    <t>URL直接アクセス攻撃</t>
  </si>
  <si>
    <t>VP-A-05</t>
  </si>
  <si>
    <t>セッション失効／401 ハンドリング</t>
  </si>
  <si>
    <t>全システム</t>
  </si>
  <si>
    <t>VP-A-06</t>
  </si>
  <si>
    <t>2回目</t>
  </si>
  <si>
    <t>XSS／HTML 描画安全性</t>
  </si>
  <si>
    <t>約20フォーム</t>
  </si>
  <si>
    <t>VP-A-07</t>
  </si>
  <si>
    <t>CSRF／Cookie セキュリティフラグ</t>
  </si>
  <si>
    <t>要件ID</t>
  </si>
  <si>
    <t>説明</t>
  </si>
  <si>
    <t>VP-A-08</t>
  </si>
  <si>
    <t>前提条件</t>
  </si>
  <si>
    <t>ステップ／手順</t>
  </si>
  <si>
    <t>レート制限・Throttling</t>
  </si>
  <si>
    <t>期待結果／アウトプット</t>
  </si>
  <si>
    <t>種類</t>
  </si>
  <si>
    <t>テスト1回目の結果</t>
  </si>
  <si>
    <t>テスト2回目の結果</t>
  </si>
  <si>
    <t>中</t>
  </si>
  <si>
    <t>全公開API＋認証エンドポイント</t>
  </si>
  <si>
    <t>備考</t>
  </si>
  <si>
    <t>VP-A-09</t>
  </si>
  <si>
    <t>結果</t>
  </si>
  <si>
    <t>実績／
アウトプット</t>
  </si>
  <si>
    <t>アカウントロック・解除運用</t>
  </si>
  <si>
    <t>確認日付
（MM/DD）</t>
  </si>
  <si>
    <t>SCR-001／002＋管理機能</t>
  </si>
  <si>
    <t>バグID</t>
  </si>
  <si>
    <t>VP-A-10</t>
  </si>
  <si>
    <t>カテゴリ1: Kiểm soát quyền truy cập (Access Control)</t>
  </si>
  <si>
    <t>SQL インジェクション</t>
  </si>
  <si>
    <t>約20フォーム＋検索</t>
  </si>
  <si>
    <t>VP-B-01</t>
  </si>
  <si>
    <t>B. データバリデーション</t>
  </si>
  <si>
    <t>ACSMS-TC-026-001</t>
  </si>
  <si>
    <t>Cấm truy cập màn hình（NICHINO_ADMIN）</t>
  </si>
  <si>
    <t>必須項目チェック</t>
  </si>
  <si>
    <t>・Đã đăng nhập bằng NICHINO_ADMIN（đã xác thực 2 lớp）
・Không có quyền「report.export_meibo」</t>
  </si>
  <si>
    <r>
      <rPr>
        <rFont val="メイリオ"/>
        <b/>
        <color rgb="FF000000"/>
        <sz val="10.0"/>
      </rPr>
      <t xml:space="preserve">ステップ1：
</t>
    </r>
    <r>
      <rPr>
        <rFont val="メイリオ"/>
        <color rgb="FF000000"/>
        <sz val="10.0"/>
      </rPr>
      <t xml:space="preserve">Mở dashboard, xác nhận mục「購読者名簿出力」không hiển thị trên sidebar
</t>
    </r>
    <r>
      <rPr>
        <rFont val="メイリオ"/>
        <b/>
        <color rgb="FF000000"/>
        <sz val="10.0"/>
      </rPr>
      <t xml:space="preserve">ステップ2：
</t>
    </r>
    <r>
      <rPr>
        <rFont val="メイリオ"/>
        <color rgb="FF000000"/>
        <sz val="10.0"/>
      </rPr>
      <t xml:space="preserve">Nhập「/report/meibo」vào thanh địa chỉ trình duyệt và truy cập trực tiếp
</t>
    </r>
    <r>
      <rPr>
        <rFont val="メイリオ"/>
        <b/>
        <color rgb="FF000000"/>
        <sz val="10.0"/>
      </rPr>
      <t xml:space="preserve">ステップ3：
</t>
    </r>
    <r>
      <rPr>
        <rFont val="メイリオ"/>
        <color rgb="FF000000"/>
        <sz val="10.0"/>
      </rPr>
      <t>Gửi GET「/api/v1/report/meibo/preview」bằng request parameter hợp lệ trên tab Network của DevTools</t>
    </r>
  </si>
  <si>
    <t>約25フォーム</t>
  </si>
  <si>
    <r>
      <rPr>
        <rFont val="メイリオ"/>
        <b/>
        <color rgb="FF000000"/>
        <sz val="10.0"/>
      </rPr>
      <t xml:space="preserve">ステップ1：
</t>
    </r>
    <r>
      <rPr>
        <rFont val="メイリオ"/>
        <color rgb="FF000000"/>
        <sz val="10.0"/>
      </rPr>
      <t xml:space="preserve">Mục「購読者名簿出力」không hiển thị trên sidebar
</t>
    </r>
    <r>
      <rPr>
        <rFont val="メイリオ"/>
        <b/>
        <color rgb="FF000000"/>
        <sz val="10.0"/>
      </rPr>
      <t xml:space="preserve">ステップ2：
</t>
    </r>
    <r>
      <rPr>
        <rFont val="メイリオ"/>
        <color rgb="FF000000"/>
        <sz val="10.0"/>
      </rPr>
      <t xml:space="preserve">Hiển thị toast「アクセス権がありません。」và chuyển sang「/dashboard」
</t>
    </r>
    <r>
      <rPr>
        <rFont val="メイリオ"/>
        <b/>
        <color rgb="FF000000"/>
        <sz val="10.0"/>
      </rPr>
      <t xml:space="preserve">ステップ3：
</t>
    </r>
    <r>
      <rPr>
        <rFont val="メイリオ"/>
        <color rgb="FF000000"/>
        <sz val="10.0"/>
      </rPr>
      <t xml:space="preserve">Trả về HTTP 403（`error_code: FORBIDDEN`、メッセージ `この画面へのアクセス権限がありません。`）
</t>
    </r>
    <r>
      <rPr>
        <rFont val="メイリオ"/>
        <b/>
        <color rgb="FF000000"/>
        <sz val="10.0"/>
      </rPr>
      <t xml:space="preserve">補足：
</t>
    </r>
    <r>
      <rPr>
        <rFont val="メイリオ"/>
        <color rgb="FF000000"/>
        <sz val="10.0"/>
      </rPr>
      <t xml:space="preserve">・Khi nhận được 403 từ API xuất báo cáo của màn hình này, frontend hiển thị message「この機能はJAアカウントのみ使用できます。」(ACSMS-MSG-026-001)
</t>
    </r>
    <r>
      <rPr>
        <rFont val="メイリオ"/>
        <color rgb="FF000000"/>
        <sz val="10.0"/>
      </rPr>
      <t>・Truy cập được kiểm soát ở cả 3 lớp: FE menu, FE router guard, BE API guard</t>
    </r>
  </si>
  <si>
    <t>A</t>
  </si>
  <si>
    <t>VP-B-02</t>
  </si>
  <si>
    <t>anh.vuquang</t>
  </si>
  <si>
    <t>最小／最大長境界</t>
  </si>
  <si>
    <t>VP-B-03</t>
  </si>
  <si>
    <t>ACSMS-TC-026-002</t>
  </si>
  <si>
    <t>Cấm truy cập màn hình（NICHINO_STAFF）</t>
  </si>
  <si>
    <t>形式正規表現（郵便／電話／コード）</t>
  </si>
  <si>
    <t>・Đã đăng nhập bằng NICHINO_STAFF（đã xác thực 2 lớp）
・Không có quyền「report.export_meibo」</t>
  </si>
  <si>
    <r>
      <rPr>
        <rFont val="メイリオ"/>
        <b/>
        <color rgb="FF000000"/>
        <sz val="10.0"/>
      </rPr>
      <t xml:space="preserve">ステップ1：
</t>
    </r>
    <r>
      <rPr>
        <rFont val="メイリオ"/>
        <color rgb="FF000000"/>
        <sz val="10.0"/>
      </rPr>
      <t xml:space="preserve">Mở dashboard, xác nhận mục「購読者名簿出力」không hiển thị trên sidebar
</t>
    </r>
    <r>
      <rPr>
        <rFont val="メイリオ"/>
        <b/>
        <color rgb="FF000000"/>
        <sz val="10.0"/>
      </rPr>
      <t xml:space="preserve">ステップ2：
</t>
    </r>
    <r>
      <rPr>
        <rFont val="メイリオ"/>
        <color rgb="FF000000"/>
        <sz val="10.0"/>
      </rPr>
      <t xml:space="preserve">Nhập「/report/meibo」vào thanh địa chỉ trình duyệt và truy cập trực tiếp
</t>
    </r>
    <r>
      <rPr>
        <rFont val="メイリオ"/>
        <b/>
        <color rgb="FF000000"/>
        <sz val="10.0"/>
      </rPr>
      <t xml:space="preserve">ステップ3：
</t>
    </r>
    <r>
      <rPr>
        <rFont val="メイリオ"/>
        <color rgb="FF000000"/>
        <sz val="10.0"/>
      </rPr>
      <t>Gửi GET「/api/v1/report/meibo/export」bằng request parameter hợp lệ trên tab Network của DevTools</t>
    </r>
  </si>
  <si>
    <r>
      <rPr>
        <rFont val="メイリオ"/>
        <b/>
        <color rgb="FF000000"/>
        <sz val="10.0"/>
      </rPr>
      <t xml:space="preserve">ステップ1：
</t>
    </r>
    <r>
      <rPr>
        <rFont val="メイリオ"/>
        <color rgb="FF000000"/>
        <sz val="10.0"/>
      </rPr>
      <t xml:space="preserve">Mục「購読者名簿出力」không hiển thị trên sidebar
</t>
    </r>
    <r>
      <rPr>
        <rFont val="メイリオ"/>
        <b/>
        <color rgb="FF000000"/>
        <sz val="10.0"/>
      </rPr>
      <t xml:space="preserve">ステップ2：
</t>
    </r>
    <r>
      <rPr>
        <rFont val="メイリオ"/>
        <color rgb="FF000000"/>
        <sz val="10.0"/>
      </rPr>
      <t xml:space="preserve">Hiển thị toast「アクセス権がありません。」và chuyển sang「/dashboard」
</t>
    </r>
    <r>
      <rPr>
        <rFont val="メイリオ"/>
        <b/>
        <color rgb="FF000000"/>
        <sz val="10.0"/>
      </rPr>
      <t xml:space="preserve">ステップ3：
</t>
    </r>
    <r>
      <rPr>
        <rFont val="メイリオ"/>
        <color rgb="FF000000"/>
        <sz val="10.0"/>
      </rPr>
      <t xml:space="preserve">Trả về HTTP 403（`error_code: FORBIDDEN`、メッセージ `この画面へのアクセス権限がありません。`）
</t>
    </r>
    <r>
      <rPr>
        <rFont val="メイリオ"/>
        <b/>
        <color rgb="FF000000"/>
        <sz val="10.0"/>
      </rPr>
      <t xml:space="preserve">補足：
</t>
    </r>
    <r>
      <rPr>
        <rFont val="メイリオ"/>
        <color rgb="FF000000"/>
        <sz val="10.0"/>
      </rPr>
      <t>・Khi nhận được 403 từ API xuất báo cáo của màn hình này, frontend hiển thị message「この機能はJAアカウントのみ使用できます。」(ACSMS-MSG-026-001)</t>
    </r>
  </si>
  <si>
    <t>VP-B-04</t>
  </si>
  <si>
    <t>半角／全角ハンドリング</t>
  </si>
  <si>
    <t>ACSMS-TC-026-003</t>
  </si>
  <si>
    <t>Cho phép truy cập màn hình（CHUOKAI）</t>
  </si>
  <si>
    <t>・Đã đăng nhập bằng CHUOKAI（đã xác thực 2 lớp）
・Giữ quyền「report.export_meibo」</t>
  </si>
  <si>
    <r>
      <rPr>
        <rFont val="メイリオ"/>
        <b/>
        <color rgb="FF000000"/>
        <sz val="10.0"/>
      </rPr>
      <t xml:space="preserve">ステップ1：
</t>
    </r>
    <r>
      <rPr>
        <rFont val="メイリオ"/>
        <color rgb="FF000000"/>
        <sz val="10.0"/>
      </rPr>
      <t xml:space="preserve">Mở dashboard, xác nhận mục「購読者名簿出力」hiển thị trên sidebar
</t>
    </r>
    <r>
      <rPr>
        <rFont val="メイリオ"/>
        <b/>
        <color rgb="FF000000"/>
        <sz val="10.0"/>
      </rPr>
      <t xml:space="preserve">ステップ2：
</t>
    </r>
    <r>
      <rPr>
        <rFont val="メイリオ"/>
        <color rgb="FF000000"/>
        <sz val="10.0"/>
      </rPr>
      <t>Click mục「購読者名簿出力」</t>
    </r>
  </si>
  <si>
    <t>VP-B-05</t>
  </si>
  <si>
    <r>
      <rPr>
        <rFont val="メイリオ"/>
        <b/>
        <color rgb="FF000000"/>
        <sz val="10.0"/>
      </rPr>
      <t xml:space="preserve">ステップ1：
</t>
    </r>
    <r>
      <rPr>
        <rFont val="メイリオ"/>
        <color rgb="FF000000"/>
        <sz val="10.0"/>
      </rPr>
      <t xml:space="preserve">Mục「購読者名簿出力」được hiển thị trên sidebar
</t>
    </r>
    <r>
      <rPr>
        <rFont val="メイリオ"/>
        <b/>
        <color rgb="FF000000"/>
        <sz val="10.0"/>
      </rPr>
      <t xml:space="preserve">ステップ2：
</t>
    </r>
    <r>
      <rPr>
        <rFont val="メイリオ"/>
        <color rgb="FF000000"/>
        <sz val="10.0"/>
      </rPr>
      <t>Chuyển sang「/report/meibo」và màn hình điều kiện xuất được hiển thị</t>
    </r>
  </si>
  <si>
    <t>N</t>
  </si>
  <si>
    <t>日付ロジック</t>
  </si>
  <si>
    <t>約10日付付きフォーム</t>
  </si>
  <si>
    <t>VP-B-06</t>
  </si>
  <si>
    <t>通貨／パーセント形式</t>
  </si>
  <si>
    <t>ACSMS-TC-026-004</t>
  </si>
  <si>
    <t>Cho phép truy cập màn hình（JA_HONTEN）</t>
  </si>
  <si>
    <t>・Đã đăng nhập bằng JA_HONTEN（đã xác thực 2 lớp）
・Giữ quyền「report.export_meibo」</t>
  </si>
  <si>
    <t>2-3フォーム（単価）</t>
  </si>
  <si>
    <r>
      <rPr>
        <rFont val="メイリオ"/>
        <b/>
        <color rgb="FF000000"/>
        <sz val="10.0"/>
      </rPr>
      <t xml:space="preserve">ステップ1：
</t>
    </r>
    <r>
      <rPr>
        <rFont val="メイリオ"/>
        <color rgb="FF000000"/>
        <sz val="10.0"/>
      </rPr>
      <t xml:space="preserve">Mở dashboard, xác nhận mục「購読者名簿出力」hiển thị trên sidebar
</t>
    </r>
    <r>
      <rPr>
        <rFont val="メイリオ"/>
        <b/>
        <color rgb="FF000000"/>
        <sz val="10.0"/>
      </rPr>
      <t xml:space="preserve">ステップ2：
</t>
    </r>
    <r>
      <rPr>
        <rFont val="メイリオ"/>
        <color rgb="FF000000"/>
        <sz val="10.0"/>
      </rPr>
      <t>Click mục「購読者名簿出力」</t>
    </r>
  </si>
  <si>
    <r>
      <rPr>
        <rFont val="メイリオ"/>
        <b/>
        <color rgb="FF000000"/>
        <sz val="10.0"/>
      </rPr>
      <t xml:space="preserve">ステップ1：
</t>
    </r>
    <r>
      <rPr>
        <rFont val="メイリオ"/>
        <color rgb="FF000000"/>
        <sz val="10.0"/>
      </rPr>
      <t xml:space="preserve">Mục「購読者名簿出力」được hiển thị trên sidebar
</t>
    </r>
    <r>
      <rPr>
        <rFont val="メイリオ"/>
        <b/>
        <color rgb="FF000000"/>
        <sz val="10.0"/>
      </rPr>
      <t xml:space="preserve">ステップ2：
</t>
    </r>
    <r>
      <rPr>
        <rFont val="メイリオ"/>
        <color rgb="FF000000"/>
        <sz val="10.0"/>
      </rPr>
      <t>Chuyển sang「/report/meibo」và màn hình điều kiện xuất được hiển thị</t>
    </r>
  </si>
  <si>
    <t>VP-B-07</t>
  </si>
  <si>
    <t>マスタコード（m_code）参照</t>
  </si>
  <si>
    <t>約15ドロップダウン付きフォーム</t>
  </si>
  <si>
    <t>ACSMS-TC-026-005</t>
  </si>
  <si>
    <t>Cho phép truy cập màn hình（JA_KANRI_SHITEN）</t>
  </si>
  <si>
    <t>・Đã đăng nhập bằng JA_KANRI_SHITEN（đã xác thực 2 lớp）
・Giữ quyền「report.export_meibo」</t>
  </si>
  <si>
    <t>VP-B-08</t>
  </si>
  <si>
    <r>
      <rPr>
        <rFont val="メイリオ"/>
        <b/>
        <color rgb="FF000000"/>
        <sz val="10.0"/>
      </rPr>
      <t xml:space="preserve">ステップ1：
</t>
    </r>
    <r>
      <rPr>
        <rFont val="メイリオ"/>
        <color rgb="FF000000"/>
        <sz val="10.0"/>
      </rPr>
      <t xml:space="preserve">Mở dashboard, xác nhận mục「購読者名簿出力」hiển thị trên sidebar
</t>
    </r>
    <r>
      <rPr>
        <rFont val="メイリオ"/>
        <b/>
        <color rgb="FF000000"/>
        <sz val="10.0"/>
      </rPr>
      <t xml:space="preserve">ステップ2：
</t>
    </r>
    <r>
      <rPr>
        <rFont val="メイリオ"/>
        <color rgb="FF000000"/>
        <sz val="10.0"/>
      </rPr>
      <t>Click mục「購読者名簿出力」</t>
    </r>
  </si>
  <si>
    <t>キー重複（duplicate code）</t>
  </si>
  <si>
    <r>
      <rPr>
        <rFont val="メイリオ"/>
        <b/>
        <color rgb="FF000000"/>
        <sz val="10.0"/>
      </rPr>
      <t xml:space="preserve">ステップ1：
</t>
    </r>
    <r>
      <rPr>
        <rFont val="メイリオ"/>
        <color rgb="FF000000"/>
        <sz val="10.0"/>
      </rPr>
      <t xml:space="preserve">Mục「購読者名簿出力」được hiển thị trên sidebar
</t>
    </r>
    <r>
      <rPr>
        <rFont val="メイリオ"/>
        <b/>
        <color rgb="FF000000"/>
        <sz val="10.0"/>
      </rPr>
      <t xml:space="preserve">ステップ2：
</t>
    </r>
    <r>
      <rPr>
        <rFont val="メイリオ"/>
        <color rgb="FF000000"/>
        <sz val="10.0"/>
      </rPr>
      <t xml:space="preserve">Chuyển sang「/report/meibo」và màn hình điều kiện xuất được hiển thị
</t>
    </r>
    <r>
      <rPr>
        <rFont val="メイリオ"/>
        <b/>
        <color rgb="FF000000"/>
        <sz val="10.0"/>
      </rPr>
      <t xml:space="preserve">補足：
</t>
    </r>
    <r>
      <rPr>
        <rFont val="メイリオ"/>
        <color rgb="FF000000"/>
        <sz val="10.0"/>
      </rPr>
      <t>・Đối tượng xuất chỉ giới hạn ở độc giả thuộc quản lý chi nhánh của chính mình（DataScope `kanri_shiten_id = user.kanri_shiten_id`）</t>
    </r>
  </si>
  <si>
    <t>約10マスタ</t>
  </si>
  <si>
    <t>VP-B-09</t>
  </si>
  <si>
    <t>IME・全角入力・貼付ハンドリング</t>
  </si>
  <si>
    <t>全テキスト入力フォーム＋検索画面</t>
  </si>
  <si>
    <t>ACSMS-TC-026-006</t>
  </si>
  <si>
    <t>Chỉ định販売店 ngoài scope（CHUOKAI）</t>
  </si>
  <si>
    <t>・Đã đăng nhập bằng CHUOKAI（ja_id=1）
・Tồn tại ID販売店（ví dụ：99）thuộc JA khác（ja_id=2）</t>
  </si>
  <si>
    <r>
      <rPr>
        <rFont val="メイリオ"/>
        <b/>
        <color rgb="FF000000"/>
        <sz val="10.0"/>
      </rPr>
      <t xml:space="preserve">ステップ1：
</t>
    </r>
    <r>
      <rPr>
        <rFont val="メイリオ"/>
        <color rgb="FF000000"/>
        <sz val="10.0"/>
      </rPr>
      <t xml:space="preserve">Nhập 帳票種別=販売店別, 適用日
</t>
    </r>
    <r>
      <rPr>
        <rFont val="メイリオ"/>
        <b/>
        <color rgb="FF000000"/>
        <sz val="10.0"/>
      </rPr>
      <t xml:space="preserve">ステップ2：
</t>
    </r>
    <r>
      <rPr>
        <rFont val="メイリオ"/>
        <color rgb="FF000000"/>
        <sz val="10.0"/>
      </rPr>
      <t>Gửi GET「/api/v1/report/meibo/preview」kèm `hanbaiten_ids=99` thuộc JA khác trên tab Network của DevTools</t>
    </r>
  </si>
  <si>
    <t>VP-C-01</t>
  </si>
  <si>
    <r>
      <rPr>
        <rFont val="メイリオ"/>
        <b/>
        <color rgb="FF000000"/>
        <sz val="10.0"/>
      </rPr>
      <t xml:space="preserve">ステップ1：
</t>
    </r>
    <r>
      <rPr>
        <rFont val="メイリオ"/>
        <color rgb="FF000000"/>
        <sz val="10.0"/>
      </rPr>
      <t xml:space="preserve">Có thể nhập điều kiện xuất
</t>
    </r>
    <r>
      <rPr>
        <rFont val="メイリオ"/>
        <b/>
        <color rgb="FF000000"/>
        <sz val="10.0"/>
      </rPr>
      <t xml:space="preserve">ステップ2：
</t>
    </r>
    <r>
      <rPr>
        <rFont val="メイリオ"/>
        <color rgb="FF000000"/>
        <sz val="10.0"/>
      </rPr>
      <t>Trả về HTTP 403（`error_code: DATA_SCOPE_VIOLATION`、メッセージ `このデータへのアクセス権限がありません。`）</t>
    </r>
  </si>
  <si>
    <t>C. 業務ロジック</t>
  </si>
  <si>
    <t>CRUD 正常系 + DB 永続化</t>
  </si>
  <si>
    <t>VP-C-02</t>
  </si>
  <si>
    <t>ACSMS-TC-026-007</t>
  </si>
  <si>
    <t>Chỉ định管理支店 ngoài scope（JA_KANRI_SHITEN）</t>
  </si>
  <si>
    <t>同時編集競合</t>
  </si>
  <si>
    <t>・Đã đăng nhập bằng JA_KANRI_SHITEN（kanri_shiten_id=10）
・Tồn tại ID管理支店 khác（ví dụ：20）thuộc JA của chính mình</t>
  </si>
  <si>
    <r>
      <rPr>
        <rFont val="メイリオ"/>
        <b/>
        <color rgb="FF000000"/>
        <sz val="10.0"/>
      </rPr>
      <t xml:space="preserve">ステップ1：
</t>
    </r>
    <r>
      <rPr>
        <rFont val="メイリオ"/>
        <color rgb="FF000000"/>
        <sz val="10.0"/>
      </rPr>
      <t xml:space="preserve">Nhập 帳票種別=管理支店別, 適用日
</t>
    </r>
    <r>
      <rPr>
        <rFont val="メイリオ"/>
        <b/>
        <color rgb="FF000000"/>
        <sz val="10.0"/>
      </rPr>
      <t xml:space="preserve">ステップ2：
</t>
    </r>
    <r>
      <rPr>
        <rFont val="メイリオ"/>
        <color rgb="FF000000"/>
        <sz val="10.0"/>
      </rPr>
      <t>Gửi GET「/api/v1/report/meibo/preview」kèm `kanri_shiten_ids=20` không phải quản lý chi nhánh của chính mình trên tab Network của DevTools</t>
    </r>
  </si>
  <si>
    <r>
      <rPr>
        <rFont val="メイリオ"/>
        <b/>
        <color rgb="FF000000"/>
        <sz val="10.0"/>
      </rPr>
      <t xml:space="preserve">ステップ1：
</t>
    </r>
    <r>
      <rPr>
        <rFont val="メイリオ"/>
        <color rgb="FF000000"/>
        <sz val="10.0"/>
      </rPr>
      <t xml:space="preserve">Có thể nhập điều kiện xuất
</t>
    </r>
    <r>
      <rPr>
        <rFont val="メイリオ"/>
        <b/>
        <color rgb="FF000000"/>
        <sz val="10.0"/>
      </rPr>
      <t xml:space="preserve">ステップ2：
</t>
    </r>
    <r>
      <rPr>
        <rFont val="メイリオ"/>
        <color rgb="FF000000"/>
        <sz val="10.0"/>
      </rPr>
      <t>Trả về HTTP 403（`error_code: DATA_SCOPE_VIOLATION`、メッセージ `このデータへのアクセス権限がありません。`）</t>
    </r>
  </si>
  <si>
    <t>約8編集画面</t>
  </si>
  <si>
    <t>VP-C-03</t>
  </si>
  <si>
    <t>論理削除 + FK 関連</t>
  </si>
  <si>
    <t>ACSMS-TC-026-008</t>
  </si>
  <si>
    <t>Truy cập trực tiếp URL（role không có quyền）</t>
  </si>
  <si>
    <t>約6関連付きマスタ</t>
  </si>
  <si>
    <t>・Đã đăng nhập bằng NICHINO_ADMIN（không có quyền「report.export_meibo」）</t>
  </si>
  <si>
    <r>
      <rPr>
        <rFont val="メイリオ"/>
        <b/>
        <color rgb="FF000000"/>
        <sz val="10.0"/>
      </rPr>
      <t xml:space="preserve">ステップ1：
</t>
    </r>
    <r>
      <rPr>
        <rFont val="メイリオ"/>
        <color rgb="FF000000"/>
        <sz val="10.0"/>
      </rPr>
      <t xml:space="preserve">Nhập trực tiếp「/report/meibo」vào thanh địa chỉ và truy cập
</t>
    </r>
    <r>
      <rPr>
        <rFont val="メイリオ"/>
        <b/>
        <color rgb="FF000000"/>
        <sz val="10.0"/>
      </rPr>
      <t xml:space="preserve">ステップ2：
</t>
    </r>
    <r>
      <rPr>
        <rFont val="メイリオ"/>
        <color rgb="FF000000"/>
        <sz val="10.0"/>
      </rPr>
      <t>Tải lại bằng phím F5 của trình duyệt</t>
    </r>
  </si>
  <si>
    <r>
      <rPr>
        <rFont val="メイリオ"/>
        <b/>
        <color rgb="FF000000"/>
        <sz val="10.0"/>
      </rPr>
      <t xml:space="preserve">ステップ1：
</t>
    </r>
    <r>
      <rPr>
        <rFont val="メイリオ"/>
        <color rgb="FF000000"/>
        <sz val="10.0"/>
      </rPr>
      <t xml:space="preserve">Hiển thị toast「アクセス権がありません。」và chuyển sang「/dashboard」
</t>
    </r>
    <r>
      <rPr>
        <rFont val="メイリオ"/>
        <b/>
        <color rgb="FF000000"/>
        <sz val="10.0"/>
      </rPr>
      <t xml:space="preserve">ステップ2：
</t>
    </r>
    <r>
      <rPr>
        <rFont val="メイリオ"/>
        <color rgb="FF000000"/>
        <sz val="10.0"/>
      </rPr>
      <t>Sau khi tải lại, màn hình vẫn không hiển thị và chuyển sang「/dashboard」</t>
    </r>
  </si>
  <si>
    <t>VP-C-04</t>
  </si>
  <si>
    <t>税込／税抜計算</t>
  </si>
  <si>
    <t>単価マスタ</t>
  </si>
  <si>
    <t>VP-C-05</t>
  </si>
  <si>
    <t>(なし)
---</t>
  </si>
  <si>
    <t>購読者種別ルール（読み取り専用）</t>
  </si>
  <si>
    <t>カテゴリ2: Hiển thị màn hình (Layout / Rendering)</t>
  </si>
  <si>
    <t>購読者マスタ</t>
  </si>
  <si>
    <t>VP-C-06</t>
  </si>
  <si>
    <t>Excel取込 部分成功</t>
  </si>
  <si>
    <t>ACSMS-TC-026-009</t>
  </si>
  <si>
    <t>Hiển thị tiêu đề màn hình・breadcrumb</t>
  </si>
  <si>
    <t>・Đã đăng nhập bằng CHUOKAI</t>
  </si>
  <si>
    <t>2取込画面</t>
  </si>
  <si>
    <r>
      <rPr>
        <rFont val="メイリオ"/>
        <b/>
        <color rgb="FF000000"/>
        <sz val="10.0"/>
      </rPr>
      <t xml:space="preserve">ステップ1：
</t>
    </r>
    <r>
      <rPr>
        <rFont val="メイリオ"/>
        <color rgb="FF000000"/>
        <sz val="10.0"/>
      </rPr>
      <t xml:space="preserve">Mở「/report/meibo」
</t>
    </r>
    <r>
      <rPr>
        <rFont val="メイリオ"/>
        <b/>
        <color rgb="FF000000"/>
        <sz val="10.0"/>
      </rPr>
      <t xml:space="preserve">ステップ2：
</t>
    </r>
    <r>
      <rPr>
        <rFont val="メイリオ"/>
        <color rgb="FF000000"/>
        <sz val="10.0"/>
      </rPr>
      <t>Xác nhận tiêu đề và breadcrumb ở phần trên màn hình</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</si>
  <si>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Tiêu đề màn hình「購読者名簿出力」được hiển thị, breadcrumb hiển thị「ホーム &gt; 購読者名簿出力」</t>
    </r>
  </si>
  <si>
    <t>VP-C-07</t>
  </si>
  <si>
    <t>販売店一括置換</t>
  </si>
  <si>
    <t>一括置換</t>
  </si>
  <si>
    <t>VP-C-08</t>
  </si>
  <si>
    <t>ACSMS-TC-026-010</t>
  </si>
  <si>
    <t>レポート集計の正確性</t>
  </si>
  <si>
    <t>Giá trị mặc định khi hiển thị ban đầu</t>
  </si>
  <si>
    <t>3レポート</t>
  </si>
  <si>
    <r>
      <rPr>
        <rFont val="メイリオ"/>
        <b/>
        <color rgb="FF000000"/>
        <sz val="10.0"/>
      </rPr>
      <t xml:space="preserve">ステップ1：
</t>
    </r>
    <r>
      <rPr>
        <rFont val="メイリオ"/>
        <color rgb="FF000000"/>
        <sz val="10.0"/>
      </rPr>
      <t xml:space="preserve">Mở「/report/meibo」
</t>
    </r>
    <r>
      <rPr>
        <rFont val="メイリオ"/>
        <b/>
        <color rgb="FF000000"/>
        <sz val="10.0"/>
      </rPr>
      <t xml:space="preserve">ステップ2：
</t>
    </r>
    <r>
      <rPr>
        <rFont val="メイリオ"/>
        <color rgb="FF000000"/>
        <sz val="10.0"/>
      </rPr>
      <t>Xác nhận trạng thái ban đầu của form điều kiện xuất và vùng preview</t>
    </r>
  </si>
  <si>
    <t>VP-D-01</t>
  </si>
  <si>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・適用日 được hiển thị ở trạng thái chưa chọn
</t>
    </r>
    <r>
      <rPr>
        <rFont val="メイリオ"/>
        <color rgb="FF000000"/>
        <sz val="10.0"/>
      </rPr>
      <t xml:space="preserve">・帳票種別 được thiết lập ban đầu là「販売店別購読者名簿（照会用）」
</t>
    </r>
    <r>
      <rPr>
        <rFont val="メイリオ"/>
        <color rgb="FF000000"/>
        <sz val="10.0"/>
      </rPr>
      <t xml:space="preserve">・購読種別・販売店 được hiển thị ở trạng thái chưa chọn
</t>
    </r>
    <r>
      <rPr>
        <rFont val="メイリオ"/>
        <color rgb="FF000000"/>
        <sz val="10.0"/>
      </rPr>
      <t xml:space="preserve">・Pulldown 管理支店 ở trạng thái không hiển thị
</t>
    </r>
    <r>
      <rPr>
        <rFont val="メイリオ"/>
        <color rgb="FF000000"/>
        <sz val="10.0"/>
      </rPr>
      <t>・Dữ liệu không tồn tại ở vùng preview</t>
    </r>
  </si>
  <si>
    <t>D. 統合・システム</t>
  </si>
  <si>
    <t>ログイン + MFA フロー</t>
  </si>
  <si>
    <t>SCR-001／002</t>
  </si>
  <si>
    <t>VP-D-02</t>
  </si>
  <si>
    <t>セッションスライディング 24h</t>
  </si>
  <si>
    <t>ACSMS-TC-026-011</t>
  </si>
  <si>
    <t>Chuyển đổi帳票種別</t>
  </si>
  <si>
    <t>・Đã đăng nhập bằng CHUOKAI
・Dữ liệu đang được hiển thị ở preview</t>
  </si>
  <si>
    <t>VP-D-03</t>
  </si>
  <si>
    <r>
      <rPr>
        <rFont val="メイリオ"/>
        <b/>
        <color rgb="FF000000"/>
        <sz val="10.0"/>
      </rPr>
      <t xml:space="preserve">ステップ1：
</t>
    </r>
    <r>
      <rPr>
        <rFont val="メイリオ"/>
        <color rgb="FF000000"/>
        <sz val="10.0"/>
      </rPr>
      <t xml:space="preserve">Chọn「管理支店別購読者名簿」ở 帳票種別
</t>
    </r>
    <r>
      <rPr>
        <rFont val="メイリオ"/>
        <b/>
        <color rgb="FF000000"/>
        <sz val="10.0"/>
      </rPr>
      <t xml:space="preserve">ステップ2：
</t>
    </r>
    <r>
      <rPr>
        <rFont val="メイリオ"/>
        <color rgb="FF000000"/>
        <sz val="10.0"/>
      </rPr>
      <t>Chọn「販売店別購読者名簿（照会用）」ở 帳票種別</t>
    </r>
  </si>
  <si>
    <t>パスワード再発行フロー</t>
  </si>
  <si>
    <r>
      <rPr>
        <rFont val="メイリオ"/>
        <b/>
        <color rgb="FF000000"/>
        <sz val="10.0"/>
      </rPr>
      <t xml:space="preserve">ステップ1：
</t>
    </r>
    <r>
      <rPr>
        <rFont val="メイリオ"/>
        <color rgb="FF000000"/>
        <sz val="10.0"/>
      </rPr>
      <t xml:space="preserve">・Pulldown 管理支店 được hiển thị・được kích hoạt, pulldown 販売店 không hiển thị・bị vô hiệu hóa
</t>
    </r>
    <r>
      <rPr>
        <rFont val="メイリオ"/>
        <color rgb="FF000000"/>
        <sz val="10.0"/>
      </rPr>
      <t xml:space="preserve">・Dữ liệu preview được clear
</t>
    </r>
    <r>
      <rPr>
        <rFont val="メイリオ"/>
        <b/>
        <color rgb="FF000000"/>
        <sz val="10.0"/>
      </rPr>
      <t xml:space="preserve">ステップ2：
</t>
    </r>
    <r>
      <rPr>
        <rFont val="メイリオ"/>
        <color rgb="FF000000"/>
        <sz val="10.0"/>
      </rPr>
      <t xml:space="preserve">・Pulldown 販売店 được hiển thị・được kích hoạt, pulldown 管理支店 không hiển thị・bị vô hiệu hóa
</t>
    </r>
    <r>
      <rPr>
        <rFont val="メイリオ"/>
        <color rgb="FF000000"/>
        <sz val="10.0"/>
      </rPr>
      <t>・Dữ liệu preview được clear</t>
    </r>
  </si>
  <si>
    <t>SCR-007</t>
  </si>
  <si>
    <t>VP-D-04</t>
  </si>
  <si>
    <t>監査ログの完全性</t>
  </si>
  <si>
    <t>ACSMS-TC-026-012</t>
  </si>
  <si>
    <t>Hiển thị pulldown販売店</t>
  </si>
  <si>
    <t>VP-D-05</t>
  </si>
  <si>
    <t>・Đã đăng nhập bằng CHUOKAI
・Đang chọn 帳票種別=販売店別</t>
  </si>
  <si>
    <r>
      <rPr>
        <rFont val="メイリオ"/>
        <b/>
        <color rgb="FF000000"/>
        <sz val="10.0"/>
      </rPr>
      <t xml:space="preserve">ステップ1：
</t>
    </r>
    <r>
      <rPr>
        <rFont val="メイリオ"/>
        <color rgb="FF000000"/>
        <sz val="10.0"/>
      </rPr>
      <t>Mở pulldown 販売店</t>
    </r>
  </si>
  <si>
    <t>ファイルアップロード S3</t>
  </si>
  <si>
    <r>
      <rPr>
        <rFont val="メイリオ"/>
        <b/>
        <color rgb="FF000000"/>
        <sz val="10.0"/>
      </rPr>
      <t xml:space="preserve">ステップ1：
</t>
    </r>
    <r>
      <rPr>
        <rFont val="メイリオ"/>
        <color rgb="FF000000"/>
        <sz val="10.0"/>
      </rPr>
      <t xml:space="preserve">・Danh sách販売店 thuộc JA của chính mình được hiển thị（bao gồm cả販売店 dummy bản điện tử）
</t>
    </r>
    <r>
      <rPr>
        <rFont val="メイリオ"/>
        <color rgb="FF000000"/>
        <sz val="10.0"/>
      </rPr>
      <t>・Có thể chọn nhiều</t>
    </r>
  </si>
  <si>
    <t>SCR-022</t>
  </si>
  <si>
    <t>VP-D-06</t>
  </si>
  <si>
    <t>メール通知</t>
  </si>
  <si>
    <t>SCR-001／007／お知らせ</t>
  </si>
  <si>
    <t>ACSMS-TC-026-013</t>
  </si>
  <si>
    <t>Hiển thị pulldown管理支店（DataScope）</t>
  </si>
  <si>
    <t>VP-D-07</t>
  </si>
  <si>
    <t>・Đã đăng nhập bằng JA_KANRI_SHITEN
・Đang chọn 帳票種別=管理支店別</t>
  </si>
  <si>
    <r>
      <rPr>
        <rFont val="メイリオ"/>
        <b/>
        <color rgb="FF000000"/>
        <sz val="10.0"/>
      </rPr>
      <t xml:space="preserve">ステップ1：
</t>
    </r>
    <r>
      <rPr>
        <rFont val="メイリオ"/>
        <color rgb="FF000000"/>
        <sz val="10.0"/>
      </rPr>
      <t>Mở pulldown 管理支店</t>
    </r>
  </si>
  <si>
    <t>外部 CSV 形式準拠</t>
  </si>
  <si>
    <r>
      <rPr>
        <rFont val="メイリオ"/>
        <b/>
        <color rgb="FF000000"/>
        <sz val="10.0"/>
      </rPr>
      <t xml:space="preserve">ステップ1：
</t>
    </r>
    <r>
      <rPr>
        <rFont val="メイリオ"/>
        <color rgb="FF000000"/>
        <sz val="10.0"/>
      </rPr>
      <t xml:space="preserve">・Chỉ quản lý chi nhánh của chính mình được hiển thị（DataScope tự động áp dụng）
</t>
    </r>
    <r>
      <rPr>
        <rFont val="メイリオ"/>
        <color rgb="FF000000"/>
        <sz val="10.0"/>
      </rPr>
      <t>・Có thể chọn nhiều</t>
    </r>
  </si>
  <si>
    <t>SCR-008／009</t>
  </si>
  <si>
    <t>VP-D-08</t>
  </si>
  <si>
    <t>ネットワーク／500／タイムアウト</t>
  </si>
  <si>
    <t>ACSMS-TC-026-014</t>
  </si>
  <si>
    <t>Pulldown購読種別・支払区分</t>
  </si>
  <si>
    <t>VP-D-09</t>
  </si>
  <si>
    <r>
      <rPr>
        <rFont val="メイリオ"/>
        <b/>
        <color rgb="FF000000"/>
        <sz val="10.0"/>
      </rPr>
      <t xml:space="preserve">ステップ1：
</t>
    </r>
    <r>
      <rPr>
        <rFont val="メイリオ"/>
        <color rgb="FF000000"/>
        <sz val="10.0"/>
      </rPr>
      <t xml:space="preserve">Mở pulldown 購読種別, xác nhận các lựa chọn
</t>
    </r>
    <r>
      <rPr>
        <rFont val="メイリオ"/>
        <b/>
        <color rgb="FF000000"/>
        <sz val="10.0"/>
      </rPr>
      <t xml:space="preserve">ステップ2：
</t>
    </r>
    <r>
      <rPr>
        <rFont val="メイリオ"/>
        <color rgb="FF000000"/>
        <sz val="10.0"/>
      </rPr>
      <t>Mở pulldown 支払区分, xác nhận các lựa chọn</t>
    </r>
  </si>
  <si>
    <t>パスワード再発行 旧token無効化＋クールダウン</t>
  </si>
  <si>
    <r>
      <rPr>
        <rFont val="メイリオ"/>
        <b/>
        <color rgb="FF000000"/>
        <sz val="10.0"/>
      </rPr>
      <t xml:space="preserve">ステップ1：
</t>
    </r>
    <r>
      <rPr>
        <rFont val="メイリオ"/>
        <color rgb="FF000000"/>
        <sz val="10.0"/>
      </rPr>
      <t xml:space="preserve">購読種別 hiển thị「紙版＋電子版」「紙版」「電子版」, và 併読 không bị bao gồm
</t>
    </r>
    <r>
      <rPr>
        <rFont val="メイリオ"/>
        <b/>
        <color rgb="FF000000"/>
        <sz val="10.0"/>
      </rPr>
      <t xml:space="preserve">ステップ2：
</t>
    </r>
    <r>
      <rPr>
        <rFont val="メイリオ"/>
        <color rgb="FF000000"/>
        <sz val="10.0"/>
      </rPr>
      <t>支払区分 hiển thị「毎月」「隔月」「3ヶ月」「半年」「年払い」</t>
    </r>
  </si>
  <si>
    <t>VP-E-01</t>
  </si>
  <si>
    <t>E. 非機能・ユーザビリティ</t>
  </si>
  <si>
    <t>レイアウト／デザイントークン</t>
  </si>
  <si>
    <t>低</t>
  </si>
  <si>
    <t>ACSMS-TC-026-015</t>
  </si>
  <si>
    <t>全画面</t>
  </si>
  <si>
    <t>Hiển thị nút preview・xuất Excel</t>
  </si>
  <si>
    <r>
      <rPr>
        <rFont val="メイリオ"/>
        <b/>
        <color rgb="FF000000"/>
        <sz val="10.0"/>
      </rPr>
      <t xml:space="preserve">ステップ1：
</t>
    </r>
    <r>
      <rPr>
        <rFont val="メイリオ"/>
        <color rgb="FF000000"/>
        <sz val="10.0"/>
      </rPr>
      <t xml:space="preserve">Mở「/report/meibo」
</t>
    </r>
    <r>
      <rPr>
        <rFont val="メイリオ"/>
        <b/>
        <color rgb="FF000000"/>
        <sz val="10.0"/>
      </rPr>
      <t xml:space="preserve">ステップ2：
</t>
    </r>
    <r>
      <rPr>
        <rFont val="メイリオ"/>
        <color rgb="FF000000"/>
        <sz val="10.0"/>
      </rPr>
      <t>Xác nhận trạng thái hiển thị・kích hoạt của nút「レポートプレビュー」「レポートデータExcel出力」</t>
    </r>
  </si>
  <si>
    <t>VP-E-02</t>
  </si>
  <si>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Nút「レポートプレビュー」「レポートデータExcel出力」được hiển thị ở trạng thái kích hoạt</t>
    </r>
  </si>
  <si>
    <t>レスポンシブ（モバイル／タブレット）</t>
  </si>
  <si>
    <t>VP-E-03</t>
  </si>
  <si>
    <t>キーボード操作</t>
  </si>
  <si>
    <t>ACSMS-TC-026-016</t>
  </si>
  <si>
    <t>Thao tác bàn phím</t>
  </si>
  <si>
    <t>VP-E-04</t>
  </si>
  <si>
    <r>
      <rPr>
        <rFont val="メイリオ"/>
        <b/>
        <color rgb="FF000000"/>
        <sz val="10.0"/>
      </rPr>
      <t xml:space="preserve">ステップ1：
</t>
    </r>
    <r>
      <rPr>
        <rFont val="メイリオ"/>
        <color rgb="FF000000"/>
        <sz val="10.0"/>
      </rPr>
      <t xml:space="preserve">Mở「/report/meibo」
</t>
    </r>
    <r>
      <rPr>
        <rFont val="メイリオ"/>
        <b/>
        <color rgb="FF000000"/>
        <sz val="10.0"/>
      </rPr>
      <t xml:space="preserve">ステップ2：
</t>
    </r>
    <r>
      <rPr>
        <rFont val="メイリオ"/>
        <color rgb="FF000000"/>
        <sz val="10.0"/>
      </rPr>
      <t>Di chuyển lần lượt qua từng mục điều kiện xuất bằng phím Tab, xác nhận cuối cùng đến được nút</t>
    </r>
  </si>
  <si>
    <t>ブラウザ互換性</t>
  </si>
  <si>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・Có thể di chuyển bằng phím Tab theo thứ tự 適用日 → 帳票種別 → 販売店／管理支店 → 購読種別 → 支払区分 → nút
</t>
    </r>
    <r>
      <rPr>
        <rFont val="メイリオ"/>
        <color rgb="FF000000"/>
        <sz val="10.0"/>
      </rPr>
      <t>・Không vỡ layout</t>
    </r>
  </si>
  <si>
    <t>VP-E-05</t>
  </si>
  <si>
    <t>マルチタブセッション同期</t>
  </si>
  <si>
    <t>カテゴリ3: Kiểm tra đầu vào (Input Validation)</t>
  </si>
  <si>
    <t>VP-E-07</t>
  </si>
  <si>
    <t>未保存変更ガード・ブラウザ離脱</t>
  </si>
  <si>
    <t>全 CRUD 編集フォーム</t>
  </si>
  <si>
    <t>ACSMS-TC-026-017</t>
  </si>
  <si>
    <t>Kiểm tra bắt buộc適用日</t>
  </si>
  <si>
    <r>
      <rPr>
        <rFont val="メイリオ"/>
        <b/>
        <color rgb="FF000000"/>
        <sz val="10.0"/>
      </rPr>
      <t xml:space="preserve">ステップ1：
</t>
    </r>
    <r>
      <rPr>
        <rFont val="メイリオ"/>
        <color rgb="FF000000"/>
        <sz val="10.0"/>
      </rPr>
      <t>Click nút「レポートプレビュー」khi để 適用日 chưa nhập</t>
    </r>
  </si>
  <si>
    <t>VP-F-01</t>
  </si>
  <si>
    <r>
      <rPr>
        <rFont val="メイリオ"/>
        <b/>
        <color rgb="FF000000"/>
        <sz val="10.0"/>
      </rPr>
      <t xml:space="preserve">ステップ1：
</t>
    </r>
    <r>
      <rPr>
        <rFont val="メイリオ"/>
        <color rgb="FF000000"/>
        <sz val="10.0"/>
      </rPr>
      <t>Hiển thị message「必須項目です。」dưới mục 適用日（ACSMS-MSG-026-006）, và xử lý preview không được thực hiện</t>
    </r>
  </si>
  <si>
    <t>F. 性能</t>
  </si>
  <si>
    <t>性能ベンチマーク</t>
  </si>
  <si>
    <t>全画面パフォーマンス計測対象</t>
  </si>
  <si>
    <t>VP-F-02</t>
  </si>
  <si>
    <t>大量データ表示性能</t>
  </si>
  <si>
    <t>ACSMS-TC-026-018</t>
  </si>
  <si>
    <t>Kiểm tra bắt buộc có điều kiện販売店</t>
  </si>
  <si>
    <t>一覧／レポート画面</t>
  </si>
  <si>
    <r>
      <rPr>
        <rFont val="メイリオ"/>
        <b/>
        <color rgb="FF000000"/>
        <sz val="10.0"/>
      </rPr>
      <t xml:space="preserve">ステップ1：
</t>
    </r>
    <r>
      <rPr>
        <rFont val="メイリオ"/>
        <color rgb="FF000000"/>
        <sz val="10.0"/>
      </rPr>
      <t>Nhập 適用日, click nút「レポートプレビュー」khi để 販売店 chưa chọn</t>
    </r>
  </si>
  <si>
    <r>
      <rPr>
        <rFont val="メイリオ"/>
        <b/>
        <color rgb="FF000000"/>
        <sz val="10.0"/>
      </rPr>
      <t xml:space="preserve">ステップ1：
</t>
    </r>
    <r>
      <rPr>
        <rFont val="メイリオ"/>
        <color rgb="FF000000"/>
        <sz val="10.0"/>
      </rPr>
      <t>Hiển thị message「販売店を1件以上選択してください。」dưới mục 販売店（ACSMS-MSG-026-002）, và xử lý preview không được thực hiện</t>
    </r>
  </si>
  <si>
    <t>ACSMS-TC-026-019</t>
  </si>
  <si>
    <t>Kiểm tra bắt buộc có điều kiện管理支店</t>
  </si>
  <si>
    <t>2. 観点ID 命名規約・グループ凡例</t>
  </si>
  <si>
    <t>グループ</t>
  </si>
  <si>
    <t>・Đã đăng nhập bằng CHUOKAI
・Đang chọn 帳票種別=管理支店別</t>
  </si>
  <si>
    <t>接頭辞</t>
  </si>
  <si>
    <r>
      <rPr>
        <rFont val="メイリオ"/>
        <b/>
        <color rgb="FF000000"/>
        <sz val="10.0"/>
      </rPr>
      <t xml:space="preserve">ステップ1：
</t>
    </r>
    <r>
      <rPr>
        <rFont val="メイリオ"/>
        <color rgb="FF000000"/>
        <sz val="10.0"/>
      </rPr>
      <t>Nhập 適用日, click nút「レポートプレビュー」khi để 管理支店 chưa chọn</t>
    </r>
  </si>
  <si>
    <t>名称</t>
  </si>
  <si>
    <r>
      <rPr>
        <rFont val="メイリオ"/>
        <b/>
        <color rgb="FF000000"/>
        <sz val="10.0"/>
      </rPr>
      <t xml:space="preserve">ステップ1：
</t>
    </r>
    <r>
      <rPr>
        <rFont val="メイリオ"/>
        <color rgb="FF000000"/>
        <sz val="10.0"/>
      </rPr>
      <t>Hiển thị message「管理支店を1件以上選択してください。」dưới mục 管理支店（ACSMS-MSG-026-003）, và xử lý preview không được thực hiện</t>
    </r>
  </si>
  <si>
    <t>観点数</t>
  </si>
  <si>
    <t>リスク傾向</t>
  </si>
  <si>
    <t>代表的なテスト観点</t>
  </si>
  <si>
    <t>ACSMS-TC-026-020</t>
  </si>
  <si>
    <t>VP-A-NN</t>
  </si>
  <si>
    <t>Kiểm tra giá trị購読種別（không cho phép併読）</t>
  </si>
  <si>
    <t>セキュリティ・権限</t>
  </si>
  <si>
    <r>
      <rPr>
        <rFont val="メイリオ"/>
        <b/>
        <color rgb="FF000000"/>
        <sz val="10.0"/>
      </rPr>
      <t xml:space="preserve">ステップ1：
</t>
    </r>
    <r>
      <rPr>
        <rFont val="メイリオ"/>
        <color rgb="FF000000"/>
        <sz val="10.0"/>
      </rPr>
      <t xml:space="preserve">Xác nhận các lựa chọn của pulldown 購読種別
</t>
    </r>
    <r>
      <rPr>
        <rFont val="メイリオ"/>
        <b/>
        <color rgb="FF000000"/>
        <sz val="10.0"/>
      </rPr>
      <t xml:space="preserve">ステップ2：
</t>
    </r>
    <r>
      <rPr>
        <rFont val="メイリオ"/>
        <color rgb="FF000000"/>
        <sz val="10.0"/>
      </rPr>
      <t>Gửi GET「/api/v1/report/meibo/preview」kèm `dokusya_shubetsu=3`（併読）trên tab Network của DevTools</t>
    </r>
  </si>
  <si>
    <r>
      <rPr>
        <rFont val="メイリオ"/>
        <b/>
        <color rgb="FF000000"/>
        <sz val="10.0"/>
      </rPr>
      <t xml:space="preserve">ステップ1：
</t>
    </r>
    <r>
      <rPr>
        <rFont val="メイリオ"/>
        <color rgb="FF000000"/>
        <sz val="10.0"/>
      </rPr>
      <t xml:space="preserve">「併読」không hiển thị như lựa chọn ở 購読種別
</t>
    </r>
    <r>
      <rPr>
        <rFont val="メイリオ"/>
        <b/>
        <color rgb="FF000000"/>
        <sz val="10.0"/>
      </rPr>
      <t xml:space="preserve">ステップ2：
</t>
    </r>
    <r>
      <rPr>
        <rFont val="メイリオ"/>
        <color rgb="FF000000"/>
        <sz val="10.0"/>
      </rPr>
      <t>Trả về HTTP 400（`error_code: VALIDATION_ERROR`、メッセージ `入力値が不正です。詳細はerrorsフィールドを確認してください。`）</t>
    </r>
  </si>
  <si>
    <t>RBAC、DataScope、項目レベル制限、URL直接攻撃、セッション失効、XSS、CSRF、レート制限、アカウントロック、SQL注入</t>
  </si>
  <si>
    <t>B</t>
  </si>
  <si>
    <t>VP-B-NN</t>
  </si>
  <si>
    <t>データバリデーション</t>
  </si>
  <si>
    <t>ACSMS-TC-026-021</t>
  </si>
  <si>
    <t>Chọn ngày適用日</t>
  </si>
  <si>
    <t>必須／長さ／形式／半角全角／日付／通貨／m_code／重複キー／IME・貼付ハンドリング</t>
  </si>
  <si>
    <r>
      <rPr>
        <rFont val="メイリオ"/>
        <b/>
        <color rgb="FF000000"/>
        <sz val="10.0"/>
      </rPr>
      <t xml:space="preserve">ステップ1：
</t>
    </r>
    <r>
      <rPr>
        <rFont val="メイリオ"/>
        <color rgb="FF000000"/>
        <sz val="10.0"/>
      </rPr>
      <t xml:space="preserve">Nhập ngày hợp lệ（định dạng YYYY/MM/DD）vào 適用日
</t>
    </r>
    <r>
      <rPr>
        <rFont val="メイリオ"/>
        <b/>
        <color rgb="FF000000"/>
        <sz val="10.0"/>
      </rPr>
      <t xml:space="preserve">ステップ2：
</t>
    </r>
    <r>
      <rPr>
        <rFont val="メイリオ"/>
        <color rgb="FF000000"/>
        <sz val="10.0"/>
      </rPr>
      <t>Nhập chuỗi ký tự có định dạng không hợp lệ và click「レポートプレビュー」</t>
    </r>
  </si>
  <si>
    <t>C</t>
  </si>
  <si>
    <r>
      <rPr>
        <rFont val="メイリオ"/>
        <b/>
        <color rgb="FF000000"/>
        <sz val="10.0"/>
      </rPr>
      <t xml:space="preserve">ステップ1：
</t>
    </r>
    <r>
      <rPr>
        <rFont val="メイリオ"/>
        <color rgb="FF000000"/>
        <sz val="10.0"/>
      </rPr>
      <t xml:space="preserve">適用日 được tiếp nhận bình thường
</t>
    </r>
    <r>
      <rPr>
        <rFont val="メイリオ"/>
        <b/>
        <color rgb="FF000000"/>
        <sz val="10.0"/>
      </rPr>
      <t xml:space="preserve">ステップ2：
</t>
    </r>
    <r>
      <rPr>
        <rFont val="メイリオ"/>
        <color rgb="FF000000"/>
        <sz val="10.0"/>
      </rPr>
      <t>Hiển thị lỗi format, và xử lý preview không được thực hiện</t>
    </r>
  </si>
  <si>
    <t>VP-C-NN</t>
  </si>
  <si>
    <t>業務ロジック</t>
  </si>
  <si>
    <t>CRUD 永続化、同時編集競合、論理削除＋FK、税計算、購読者ルール、Excel 取込、レポート集計</t>
  </si>
  <si>
    <t>D</t>
  </si>
  <si>
    <t>VP-D-NN</t>
  </si>
  <si>
    <t>ACSMS-TC-026-022</t>
  </si>
  <si>
    <t>統合・システム</t>
  </si>
  <si>
    <t>Gửi tổng hợp khi nhiều mục bắt buộc chưa nhập</t>
  </si>
  <si>
    <r>
      <rPr>
        <rFont val="メイリオ"/>
        <b/>
        <color rgb="FF000000"/>
        <sz val="10.0"/>
      </rPr>
      <t xml:space="preserve">ステップ1：
</t>
    </r>
    <r>
      <rPr>
        <rFont val="メイリオ"/>
        <color rgb="FF000000"/>
        <sz val="10.0"/>
      </rPr>
      <t>Gửi GET「/api/v1/report/meibo/preview」với không có tekiyo_date・report_type=hanbaiten・không có hanbaiten_ids trên tab Network của DevTools</t>
    </r>
  </si>
  <si>
    <r>
      <rPr>
        <rFont val="メイリオ"/>
        <b/>
        <color rgb="FF000000"/>
        <sz val="10.0"/>
      </rPr>
      <t xml:space="preserve">ステップ1：
</t>
    </r>
    <r>
      <rPr>
        <rFont val="メイリオ"/>
        <color rgb="FF000000"/>
        <sz val="10.0"/>
      </rPr>
      <t>Trả về HTTP 400（`error_code: VALIDATION_ERROR`、メッセージ `入力値が不正です。詳細はerrorsフィールドを確認してください。`）, và mảng `errors` bao gồm `{ field: 'tekiyo_date', message: '必須項目です。' }` và `{ field: 'hanbaiten_ids', message: '販売店を1件以上選択してください。' }`</t>
    </r>
  </si>
  <si>
    <t>ログイン＋MFA、セッション管理、パスワード再発行、監査ログ、S3、メール、CSV 準拠、ネットワーク／500</t>
  </si>
  <si>
    <t>E</t>
  </si>
  <si>
    <t>VP-E-NN</t>
  </si>
  <si>
    <t>非機能・ユーザビリティ</t>
  </si>
  <si>
    <t>低〜中</t>
  </si>
  <si>
    <t>カテゴリ4: Logic nghiệp vụ (Business Logic)</t>
  </si>
  <si>
    <t>レイアウト、レスポンシブ、キーボード操作、ブラウザ互換、マルチタブ同期、未保存変更ガード</t>
  </si>
  <si>
    <t>F</t>
  </si>
  <si>
    <t>VP-F-NN</t>
  </si>
  <si>
    <t>性能</t>
  </si>
  <si>
    <t>ACSMS-TC-026-023</t>
  </si>
  <si>
    <t>Preview販売店別 trường hợp bình thường</t>
  </si>
  <si>
    <t>性能ベンチマーク、大量データ表示性能</t>
  </si>
  <si>
    <t>・Đã đăng nhập bằng CHUOKAI
・Tồn tại độc giả thuộc đối tượng tổng hợp dưới販売店 đối tượng</t>
  </si>
  <si>
    <r>
      <rPr>
        <rFont val="メイリオ"/>
        <b/>
        <color rgb="FF000000"/>
        <sz val="10.0"/>
      </rPr>
      <t xml:space="preserve">ステップ1：
</t>
    </r>
    <r>
      <rPr>
        <rFont val="メイリオ"/>
        <color rgb="FF000000"/>
        <sz val="10.0"/>
      </rPr>
      <t>Chọn 適用日・帳票種別=販売店別・販売店 và thực hiện「レポートプレビュー」</t>
    </r>
  </si>
  <si>
    <r>
      <rPr>
        <rFont val="メイリオ"/>
        <b/>
        <color rgb="FF000000"/>
        <sz val="10.0"/>
      </rPr>
      <t xml:space="preserve">ステップ1：
</t>
    </r>
    <r>
      <rPr>
        <rFont val="メイリオ"/>
        <color rgb="FF000000"/>
        <sz val="10.0"/>
      </rPr>
      <t xml:space="preserve">・Trả về HTTP 200
</t>
    </r>
    <r>
      <rPr>
        <rFont val="メイリオ"/>
        <color rgb="FF000000"/>
        <sz val="10.0"/>
      </rPr>
      <t>・Danh sách được hiển thị（được group hóa theo thứ tự 販売店 → 管理支店 → 購読者）</t>
    </r>
  </si>
  <si>
    <t>命名規約：VP-{グループ記号}-{NN} 形式（NN はグループ内の2桁連番）。新規観点は同グループの末尾に追加する（例：VP-A-11）。グループ記号はリスク軸による分類で、JSTQB FL の品質特性区分に準拠する。</t>
  </si>
  <si>
    <t>ACSMS-TC-026-024</t>
  </si>
  <si>
    <t>Preview管理支店別 trường hợp bình thường</t>
  </si>
  <si>
    <t>・Đã đăng nhập bằng CHUOKAI
・Tồn tại độc giả thuộc đối tượng tổng hợp dưới管理支店 đối tượng</t>
  </si>
  <si>
    <r>
      <rPr>
        <rFont val="メイリオ"/>
        <b/>
        <color rgb="FF000000"/>
        <sz val="10.0"/>
      </rPr>
      <t xml:space="preserve">ステップ1：
</t>
    </r>
    <r>
      <rPr>
        <rFont val="メイリオ"/>
        <color rgb="FF000000"/>
        <sz val="10.0"/>
      </rPr>
      <t>Chọn 適用日・帳票種別=管理支店別・管理支店 và thực hiện「レポートプレビュー」</t>
    </r>
  </si>
  <si>
    <r>
      <rPr>
        <rFont val="メイリオ"/>
        <b/>
        <color rgb="FF000000"/>
        <sz val="10.0"/>
      </rPr>
      <t xml:space="preserve">ステップ1：
</t>
    </r>
    <r>
      <rPr>
        <rFont val="メイリオ"/>
        <color rgb="FF000000"/>
        <sz val="10.0"/>
      </rPr>
      <t xml:space="preserve">・Trả về HTTP 200
</t>
    </r>
    <r>
      <rPr>
        <rFont val="メイリオ"/>
        <color rgb="FF000000"/>
        <sz val="10.0"/>
      </rPr>
      <t>・Danh sách được hiển thị（được group hóa theo thứ tự 管理支店 → 購読者）</t>
    </r>
  </si>
  <si>
    <t>ACSMS-TC-026-025</t>
  </si>
  <si>
    <t>Tính chính xác của tiểu tổng・tổng・tổng toàn bộ</t>
  </si>
  <si>
    <t>・Đã đăng nhập bằng CHUOKAI
・Nhiều 管理支店・購読者 trở thành đối tượng tổng hợp</t>
  </si>
  <si>
    <r>
      <rPr>
        <rFont val="メイリオ"/>
        <b/>
        <color rgb="FF000000"/>
        <sz val="10.0"/>
      </rPr>
      <t xml:space="preserve">ステップ1：
</t>
    </r>
    <r>
      <rPr>
        <rFont val="メイリオ"/>
        <color rgb="FF000000"/>
        <sz val="10.0"/>
      </rPr>
      <t xml:space="preserve">Thực hiện preview販売店別
</t>
    </r>
    <r>
      <rPr>
        <rFont val="メイリオ"/>
        <b/>
        <color rgb="FF000000"/>
        <sz val="10.0"/>
      </rPr>
      <t xml:space="preserve">ステップ2：
</t>
    </r>
    <r>
      <rPr>
        <rFont val="メイリオ"/>
        <color rgb="FF000000"/>
        <sz val="10.0"/>
      </rPr>
      <t>Đối chiếu tiểu tổng管理支店・tổng販売店・tổng toàn bộ với số phần đăng ký của dòng chi tiết</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</si>
  <si>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・Tiểu tổng theo từng管理支店（subtotal_busu）khớp với tổng của số phần đăng ký dưới管理支店 đó
</t>
    </r>
    <r>
      <rPr>
        <rFont val="メイリオ"/>
        <color rgb="FF000000"/>
        <sz val="10.0"/>
      </rPr>
      <t xml:space="preserve">・Tổng theo từng販売店（total_busu）khớp với tổng của tiểu tổng từng管理支店
</t>
    </r>
    <r>
      <rPr>
        <rFont val="メイリオ"/>
        <color rgb="FF000000"/>
        <sz val="10.0"/>
      </rPr>
      <t>・Tổng toàn bộ（grand_total_busu）khớp với tổng của tổng từng販売店</t>
    </r>
  </si>
  <si>
    <t>ACSMS-TC-026-026</t>
  </si>
  <si>
    <t>Snapshot mới nhất tại thời điểm適用日</t>
  </si>
  <si>
    <t>・Đã đăng nhập bằng CHUOKAI
・Tồn tại nhiều lịch sử có ngày áp dụng thay đổi khác nhau đối với cùng một độc giả</t>
  </si>
  <si>
    <r>
      <rPr>
        <rFont val="メイリオ"/>
        <b/>
        <color rgb="FF000000"/>
        <sz val="10.0"/>
      </rPr>
      <t xml:space="preserve">ステップ1：
</t>
    </r>
    <r>
      <rPr>
        <rFont val="メイリオ"/>
        <color rgb="FF000000"/>
        <sz val="10.0"/>
      </rPr>
      <t xml:space="preserve">Chỉ định 適用日 và thực hiện「レポートプレビュー」
</t>
    </r>
    <r>
      <rPr>
        <rFont val="メイリオ"/>
        <b/>
        <color rgb="FF000000"/>
        <sz val="10.0"/>
      </rPr>
      <t xml:space="preserve">ステップ2：
</t>
    </r>
    <r>
      <rPr>
        <rFont val="メイリオ"/>
        <color rgb="FF000000"/>
        <sz val="10.0"/>
      </rPr>
      <t>Đối chiếu nội dung dòng chi tiết với lịch sử có rireki_no lớn nhất thỏa mãn `joho_henko_tekiyo_date &lt;= 適用日`</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</si>
  <si>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Đối với mỗi độc giả, nội dung của rireki_no lớn nhất（snapshot mới nhất）thỏa mãn `joho_henko_tekiyo_date &lt;= 適用日` tại thời điểm 適用日 được hiển thị</t>
    </r>
  </si>
  <si>
    <t>ACSMS-TC-026-027</t>
  </si>
  <si>
    <t>Loại trừ record hủy đăng ký</t>
  </si>
  <si>
    <t>・Đã đăng nhập bằng CHUOKAI
・Tồn tại độc giả hủy đăng ký（tetsuzuki_shurui=0）</t>
  </si>
  <si>
    <r>
      <rPr>
        <rFont val="メイリオ"/>
        <b/>
        <color rgb="FF000000"/>
        <sz val="10.0"/>
      </rPr>
      <t xml:space="preserve">ステップ1：
</t>
    </r>
    <r>
      <rPr>
        <rFont val="メイリオ"/>
        <color rgb="FF000000"/>
        <sz val="10.0"/>
      </rPr>
      <t>Chỉ định 適用日 và thực hiện「レポートプレビュー」</t>
    </r>
  </si>
  <si>
    <r>
      <rPr>
        <rFont val="メイリオ"/>
        <b/>
        <color rgb="FF000000"/>
        <sz val="10.0"/>
      </rPr>
      <t xml:space="preserve">ステップ1：
</t>
    </r>
    <r>
      <rPr>
        <rFont val="メイリオ"/>
        <color rgb="FF000000"/>
        <sz val="10.0"/>
      </rPr>
      <t xml:space="preserve">・Chỉ độc giả mới（tetsuzuki_shurui=1）được hiển thị
</t>
    </r>
    <r>
      <rPr>
        <rFont val="メイリオ"/>
        <color rgb="FF000000"/>
        <sz val="10.0"/>
      </rPr>
      <t>・Độc giả hủy đăng ký（tetsuzuki_shurui=0）không hiển thị</t>
    </r>
  </si>
  <si>
    <t>ACSMS-TC-026-028</t>
  </si>
  <si>
    <t>Loại trừ併読</t>
  </si>
  <si>
    <t>・Đã đăng nhập bằng CHUOKAI
・Tồn tại độc giả併読（dokusya_shubetsu=3）</t>
  </si>
  <si>
    <r>
      <rPr>
        <rFont val="メイリオ"/>
        <b/>
        <color rgb="FF000000"/>
        <sz val="10.0"/>
      </rPr>
      <t xml:space="preserve">ステップ1：
</t>
    </r>
    <r>
      <rPr>
        <rFont val="メイリオ"/>
        <color rgb="FF000000"/>
        <sz val="10.0"/>
      </rPr>
      <t>Để 購読種別 chưa chọn（紙版＋電子版）và thực hiện「レポートプレビュー」</t>
    </r>
  </si>
  <si>
    <r>
      <rPr>
        <rFont val="メイリオ"/>
        <b/>
        <color rgb="FF000000"/>
        <sz val="10.0"/>
      </rPr>
      <t xml:space="preserve">ステップ1：
</t>
    </r>
    <r>
      <rPr>
        <rFont val="メイリオ"/>
        <color rgb="FF000000"/>
        <sz val="10.0"/>
      </rPr>
      <t xml:space="preserve">・Chỉ độc giả紙版（1）・電子版（2）được hiển thị
</t>
    </r>
    <r>
      <rPr>
        <rFont val="メイリオ"/>
        <color rgb="FF000000"/>
        <sz val="10.0"/>
      </rPr>
      <t>・Độc giả併読（3）không hiển thị</t>
    </r>
  </si>
  <si>
    <t>ACSMS-TC-026-029</t>
  </si>
  <si>
    <t>Filter購読種別</t>
  </si>
  <si>
    <t>・Đã đăng nhập bằng CHUOKAI
・Độc giả紙版・電子版 lẫn lộn</t>
  </si>
  <si>
    <r>
      <rPr>
        <rFont val="メイリオ"/>
        <b/>
        <color rgb="FF000000"/>
        <sz val="10.0"/>
      </rPr>
      <t xml:space="preserve">ステップ1：
</t>
    </r>
    <r>
      <rPr>
        <rFont val="メイリオ"/>
        <color rgb="FF000000"/>
        <sz val="10.0"/>
      </rPr>
      <t>Chọn 購読種別=電子版 và thực hiện「レポートプレビュー」</t>
    </r>
  </si>
  <si>
    <r>
      <rPr>
        <rFont val="メイリオ"/>
        <b/>
        <color rgb="FF000000"/>
        <sz val="10.0"/>
      </rPr>
      <t xml:space="preserve">ステップ1：
</t>
    </r>
    <r>
      <rPr>
        <rFont val="メイリオ"/>
        <color rgb="FF000000"/>
        <sz val="10.0"/>
      </rPr>
      <t>Chỉ độc giả電子版（dokusya_shubetsu=2）được hiển thị</t>
    </r>
  </si>
  <si>
    <t>ACSMS-TC-026-030</t>
  </si>
  <si>
    <t>Filter支払区分</t>
  </si>
  <si>
    <t>・Đã đăng nhập bằng CHUOKAI
・Độc giả có chu kỳ thanh toán khác nhau lẫn lộn</t>
  </si>
  <si>
    <r>
      <rPr>
        <rFont val="メイリオ"/>
        <b/>
        <color rgb="FF000000"/>
        <sz val="10.0"/>
      </rPr>
      <t xml:space="preserve">ステップ1：
</t>
    </r>
    <r>
      <rPr>
        <rFont val="メイリオ"/>
        <color rgb="FF000000"/>
        <sz val="10.0"/>
      </rPr>
      <t>Chọn 支払区分=毎月（1）và thực hiện「レポートプレビュー」</t>
    </r>
  </si>
  <si>
    <r>
      <rPr>
        <rFont val="メイリオ"/>
        <b/>
        <color rgb="FF000000"/>
        <sz val="10.0"/>
      </rPr>
      <t xml:space="preserve">ステップ1：
</t>
    </r>
    <r>
      <rPr>
        <rFont val="メイリオ"/>
        <color rgb="FF000000"/>
        <sz val="10.0"/>
      </rPr>
      <t>Chỉ độc giả có chu kỳ thanh toán phí đăng ký là 毎月（dokusyaryo_shiharai_cycle=1）được hiển thị</t>
    </r>
  </si>
  <si>
    <t>ACSMS-TC-026-031</t>
  </si>
  <si>
    <t>Đối tượng 0 record（preview）</t>
  </si>
  <si>
    <t>・Đã đăng nhập bằng CHUOKAI
・Không tồn tại độc giả thuộc đối tượng tổng hợp với điều kiện đã chỉ định</t>
  </si>
  <si>
    <r>
      <rPr>
        <rFont val="メイリオ"/>
        <b/>
        <color rgb="FF000000"/>
        <sz val="10.0"/>
      </rPr>
      <t xml:space="preserve">ステップ1：
</t>
    </r>
    <r>
      <rPr>
        <rFont val="メイリオ"/>
        <color rgb="FF000000"/>
        <sz val="10.0"/>
      </rPr>
      <t>Thực hiện「レポートプレビュー」với điều kiện không tồn tại đối tượng tổng hợp</t>
    </r>
  </si>
  <si>
    <r>
      <rPr>
        <rFont val="メイリオ"/>
        <b/>
        <color rgb="FF000000"/>
        <sz val="10.0"/>
      </rPr>
      <t xml:space="preserve">ステップ1：
</t>
    </r>
    <r>
      <rPr>
        <rFont val="メイリオ"/>
        <color rgb="FF000000"/>
        <sz val="10.0"/>
      </rPr>
      <t xml:space="preserve">・Trả về HTTP 200（mảng group rỗng, `grand_total_busu: 0`）
</t>
    </r>
    <r>
      <rPr>
        <rFont val="メイリオ"/>
        <color rgb="FF000000"/>
        <sz val="10.0"/>
      </rPr>
      <t>・Hiển thị message「対象のデータが存在しません。」(ACSMS-MSG-026-004)</t>
    </r>
  </si>
  <si>
    <t>ACSMS-TC-026-032</t>
  </si>
  <si>
    <t>Xuất Excel trường hợp bình thường・nội dung file</t>
  </si>
  <si>
    <t>・Đã đăng nhập bằng CHUOKAI
・Tồn tại độc giả thuộc đối tượng tổng hợp với điều kiện đối tượng</t>
  </si>
  <si>
    <r>
      <rPr>
        <rFont val="メイリオ"/>
        <b/>
        <color rgb="FF000000"/>
        <sz val="10.0"/>
      </rPr>
      <t xml:space="preserve">ステップ1：
</t>
    </r>
    <r>
      <rPr>
        <rFont val="メイリオ"/>
        <color rgb="FF000000"/>
        <sz val="10.0"/>
      </rPr>
      <t xml:space="preserve">Chọn 適用日・帳票種別・đối tượng và thực hiện「レポートデータExcel出力」
</t>
    </r>
    <r>
      <rPr>
        <rFont val="メイリオ"/>
        <b/>
        <color rgb="FF000000"/>
        <sz val="10.0"/>
      </rPr>
      <t xml:space="preserve">ステップ2：
</t>
    </r>
    <r>
      <rPr>
        <rFont val="メイリオ"/>
        <color rgb="FF000000"/>
        <sz val="10.0"/>
      </rPr>
      <t>Mở file Excel đã download, xác nhận tên sheet・cấu trúc dữ liệu</t>
    </r>
  </si>
  <si>
    <r>
      <rPr>
        <rFont val="メイリオ"/>
        <b/>
        <color rgb="FF000000"/>
        <sz val="10.0"/>
      </rPr>
      <t xml:space="preserve">ステップ1：
</t>
    </r>
    <r>
      <rPr>
        <rFont val="メイリオ"/>
        <color rgb="FF000000"/>
        <sz val="10.0"/>
      </rPr>
      <t xml:space="preserve">・Trả về HTTP 200
</t>
    </r>
    <r>
      <rPr>
        <rFont val="メイリオ"/>
        <color rgb="FF000000"/>
        <sz val="10.0"/>
      </rPr>
      <t xml:space="preserve">・File Excel（`.xlsx`）được download（tên file `購読者名簿_{YYYY年MM月}.xlsx`）
</t>
    </r>
    <r>
      <rPr>
        <rFont val="メイリオ"/>
        <b/>
        <color rgb="FF000000"/>
        <sz val="10.0"/>
      </rPr>
      <t xml:space="preserve">ステップ2：
</t>
    </r>
    <r>
      <rPr>
        <rFont val="メイリオ"/>
        <color rgb="FF000000"/>
        <sz val="10.0"/>
      </rPr>
      <t xml:space="preserve">・Tên sheet là「購読者名簿」
</t>
    </r>
    <r>
      <rPr>
        <rFont val="メイリオ"/>
        <color rgb="FF000000"/>
        <sz val="10.0"/>
      </rPr>
      <t>・Cấu trúc dữ liệu giống với bảng preview, bao gồm dòng tiểu tổng・dòng tổng</t>
    </r>
  </si>
  <si>
    <t>ACSMS-TC-026-033</t>
  </si>
  <si>
    <t>Đăng ký t_file_download</t>
  </si>
  <si>
    <r>
      <rPr>
        <rFont val="メイリオ"/>
        <b/>
        <color rgb="FF000000"/>
        <sz val="10.0"/>
      </rPr>
      <t xml:space="preserve">ステップ1：
</t>
    </r>
    <r>
      <rPr>
        <rFont val="メイリオ"/>
        <color rgb="FF000000"/>
        <sz val="10.0"/>
      </rPr>
      <t xml:space="preserve">Thực hiện「レポートデータExcel出力」
</t>
    </r>
    <r>
      <rPr>
        <rFont val="メイリオ"/>
        <b/>
        <color rgb="FF000000"/>
        <sz val="10.0"/>
      </rPr>
      <t xml:space="preserve">ステップ2：
</t>
    </r>
    <r>
      <rPr>
        <rFont val="メイリオ"/>
        <color rgb="FF000000"/>
        <sz val="10.0"/>
      </rPr>
      <t xml:space="preserve">Thực hiện query dưới đây trên DB, xác nhận lịch sử download
</t>
    </r>
    <r>
      <rPr>
        <rFont val="メイリオ"/>
        <color rgb="FF000000"/>
        <sz val="10.0"/>
      </rPr>
      <t xml:space="preserve">```sql
</t>
    </r>
    <r>
      <rPr>
        <rFont val="メイリオ"/>
        <color rgb="FF000000"/>
        <sz val="10.0"/>
      </rPr>
      <t xml:space="preserve">SELECT download_type, file_name, record_count, target_month
</t>
    </r>
    <r>
      <rPr>
        <rFont val="メイリオ"/>
        <color rgb="FF000000"/>
        <sz val="10.0"/>
      </rPr>
      <t xml:space="preserve">FROM t_file_download
</t>
    </r>
    <r>
      <rPr>
        <rFont val="メイリオ"/>
        <color rgb="FF000000"/>
        <sz val="10.0"/>
      </rPr>
      <t xml:space="preserve">WHERE ja_id = 1
</t>
    </r>
    <r>
      <rPr>
        <rFont val="メイリオ"/>
        <color rgb="FF000000"/>
        <sz val="10.0"/>
      </rPr>
      <t xml:space="preserve">ORDER BY download_datetime DESC
</t>
    </r>
    <r>
      <rPr>
        <rFont val="メイリオ"/>
        <color rgb="FF000000"/>
        <sz val="10.0"/>
      </rPr>
      <t xml:space="preserve">LIMIT 1;
</t>
    </r>
    <r>
      <rPr>
        <rFont val="メイリオ"/>
        <color rgb="FF000000"/>
        <sz val="10.0"/>
      </rPr>
      <t>```</t>
    </r>
  </si>
  <si>
    <r>
      <rPr>
        <rFont val="メイリオ"/>
        <b/>
        <color rgb="FF000000"/>
        <sz val="10.0"/>
      </rPr>
      <t xml:space="preserve">ステップ1：
</t>
    </r>
    <r>
      <rPr>
        <rFont val="メイリオ"/>
        <color rgb="FF000000"/>
        <sz val="10.0"/>
      </rPr>
      <t xml:space="preserve">File Excel được download
</t>
    </r>
    <r>
      <rPr>
        <rFont val="メイリオ"/>
        <b/>
        <color rgb="FF000000"/>
        <sz val="10.0"/>
      </rPr>
      <t xml:space="preserve">ステップ2：
</t>
    </r>
    <r>
      <rPr>
        <rFont val="メイリオ"/>
        <color rgb="FF000000"/>
        <sz val="10.0"/>
      </rPr>
      <t>1 record được đăng ký vào t_file_download（download_type=5, file_name lưu tên file Excel, record_count lưu số lượng, target_month lưu năm tháng đối tượng）</t>
    </r>
  </si>
  <si>
    <t>ACSMS-TC-026-034</t>
  </si>
  <si>
    <t>Đối tượng 0 record（xuất Excel）</t>
  </si>
  <si>
    <r>
      <rPr>
        <rFont val="メイリオ"/>
        <b/>
        <color rgb="FF000000"/>
        <sz val="10.0"/>
      </rPr>
      <t xml:space="preserve">ステップ1：
</t>
    </r>
    <r>
      <rPr>
        <rFont val="メイリオ"/>
        <color rgb="FF000000"/>
        <sz val="10.0"/>
      </rPr>
      <t xml:space="preserve">Thực hiện「レポートデータExcel出力」với điều kiện không tồn tại đối tượng tổng hợp
</t>
    </r>
    <r>
      <rPr>
        <rFont val="メイリオ"/>
        <b/>
        <color rgb="FF000000"/>
        <sz val="10.0"/>
      </rPr>
      <t xml:space="preserve">ステップ2：
</t>
    </r>
    <r>
      <rPr>
        <rFont val="メイリオ"/>
        <color rgb="FF000000"/>
        <sz val="10.0"/>
      </rPr>
      <t>Xác nhận số lượng đăng ký của t_file_download trên DB</t>
    </r>
  </si>
  <si>
    <r>
      <rPr>
        <rFont val="メイリオ"/>
        <b/>
        <color rgb="FF000000"/>
        <sz val="10.0"/>
      </rPr>
      <t xml:space="preserve">ステップ1：
</t>
    </r>
    <r>
      <rPr>
        <rFont val="メイリオ"/>
        <color rgb="FF000000"/>
        <sz val="10.0"/>
      </rPr>
      <t xml:space="preserve">・Trả về HTTP 404（`error_code: REPORT_NO_DATA`、メッセージ `対象のデータが存在しません。`）
</t>
    </r>
    <r>
      <rPr>
        <rFont val="メイリオ"/>
        <color rgb="FF000000"/>
        <sz val="10.0"/>
      </rPr>
      <t xml:space="preserve">・File Excel không được download
</t>
    </r>
    <r>
      <rPr>
        <rFont val="メイリオ"/>
        <color rgb="FF000000"/>
        <sz val="10.0"/>
      </rPr>
      <t xml:space="preserve">・Hiển thị message「対象のデータが存在しません。」(ACSMS-MSG-026-004)
</t>
    </r>
    <r>
      <rPr>
        <rFont val="メイリオ"/>
        <b/>
        <color rgb="FF000000"/>
        <sz val="10.0"/>
      </rPr>
      <t xml:space="preserve">ステップ2：
</t>
    </r>
    <r>
      <rPr>
        <rFont val="メイリオ"/>
        <color rgb="FF000000"/>
        <sz val="10.0"/>
      </rPr>
      <t>Record không được đăng ký vào t_file_download</t>
    </r>
  </si>
  <si>
    <t>カテゴリ5: Xử lý lỗi chung (Common Error Handling)</t>
  </si>
  <si>
    <t>ACSMS-TC-026-035</t>
  </si>
  <si>
    <t>Request parameter không hợp lệ（BAD_REQUEST）</t>
  </si>
  <si>
    <r>
      <rPr>
        <rFont val="メイリオ"/>
        <b/>
        <color rgb="FF000000"/>
        <sz val="10.0"/>
      </rPr>
      <t xml:space="preserve">ステップ1：
</t>
    </r>
    <r>
      <rPr>
        <rFont val="メイリオ"/>
        <color rgb="FF000000"/>
        <sz val="10.0"/>
      </rPr>
      <t>Gửi GET「/api/v1/report/meibo/preview?tekiyo_date=2026-04-01&amp;report_type=invalid」（帳票種別 không hợp lệ）trên tab Network của DevTools</t>
    </r>
  </si>
  <si>
    <r>
      <rPr>
        <rFont val="メイリオ"/>
        <b/>
        <color rgb="FF000000"/>
        <sz val="10.0"/>
      </rPr>
      <t xml:space="preserve">ステップ1：
</t>
    </r>
    <r>
      <rPr>
        <rFont val="メイリオ"/>
        <color rgb="FF000000"/>
        <sz val="10.0"/>
      </rPr>
      <t>Trả về HTTP 400（`error_code: BAD_REQUEST`、メッセージ `リクエストパラメータが不正です。` または `error_code: VALIDATION_ERROR`）</t>
    </r>
  </si>
  <si>
    <t>ACSMS-TC-026-036</t>
  </si>
  <si>
    <t>Hết session（UNAUTHORIZED）</t>
  </si>
  <si>
    <t>・Đã đăng nhập bằng CHUOKAI
・Đã chuẩn bị sẵn việc làm hết hiệu lực session bằng công cụ quản lý</t>
  </si>
  <si>
    <r>
      <rPr>
        <rFont val="メイリオ"/>
        <b/>
        <color rgb="FF000000"/>
        <sz val="10.0"/>
      </rPr>
      <t xml:space="preserve">ステップ1：
</t>
    </r>
    <r>
      <rPr>
        <rFont val="メイリオ"/>
        <color rgb="FF000000"/>
        <sz val="10.0"/>
      </rPr>
      <t xml:space="preserve">Làm hết hiệu lực session khi đang mở màn hình xuất danh bạ độc giả
</t>
    </r>
    <r>
      <rPr>
        <rFont val="メイリオ"/>
        <b/>
        <color rgb="FF000000"/>
        <sz val="10.0"/>
      </rPr>
      <t xml:space="preserve">ステップ2：
</t>
    </r>
    <r>
      <rPr>
        <rFont val="メイリオ"/>
        <color rgb="FF000000"/>
        <sz val="10.0"/>
      </rPr>
      <t>Click nút「レポートプレビュー」</t>
    </r>
  </si>
  <si>
    <r>
      <rPr>
        <rFont val="メイリオ"/>
        <b/>
        <color rgb="FF000000"/>
        <sz val="10.0"/>
      </rPr>
      <t xml:space="preserve">ステップ1：
</t>
    </r>
    <r>
      <rPr>
        <rFont val="メイリオ"/>
        <color rgb="FF000000"/>
        <sz val="10.0"/>
      </rPr>
      <t xml:space="preserve">Màn hình ở trạng thái đã được hiển thị
</t>
    </r>
    <r>
      <rPr>
        <rFont val="メイリオ"/>
        <b/>
        <color rgb="FF000000"/>
        <sz val="10.0"/>
      </rPr>
      <t xml:space="preserve">ステップ2：
</t>
    </r>
    <r>
      <rPr>
        <rFont val="メイリオ"/>
        <color rgb="FF000000"/>
        <sz val="10.0"/>
      </rPr>
      <t xml:space="preserve">・Trả về HTTP 401（`error_code: UNAUTHORIZED`、メッセージ `セッションが切れました。再度ログインしてください。`）
</t>
    </r>
    <r>
      <rPr>
        <rFont val="メイリオ"/>
        <color rgb="FF000000"/>
        <sz val="10.0"/>
      </rPr>
      <t>・Chuyển sang「/login」（`redirect` được gắn vào query）</t>
    </r>
  </si>
  <si>
    <t>ACSMS-TC-026-037</t>
  </si>
  <si>
    <t>Hình dạng response lỗi validation（VALIDATION_ERROR）</t>
  </si>
  <si>
    <r>
      <rPr>
        <rFont val="メイリオ"/>
        <b/>
        <color rgb="FF000000"/>
        <sz val="10.0"/>
      </rPr>
      <t xml:space="preserve">ステップ1：
</t>
    </r>
    <r>
      <rPr>
        <rFont val="メイリオ"/>
        <color rgb="FF000000"/>
        <sz val="10.0"/>
      </rPr>
      <t>Gửi GET「/api/v1/report/meibo/export」với thiếu tekiyo_date trên tab Network của DevTools</t>
    </r>
  </si>
  <si>
    <r>
      <rPr>
        <rFont val="メイリオ"/>
        <b/>
        <color rgb="FF000000"/>
        <sz val="10.0"/>
      </rPr>
      <t xml:space="preserve">ステップ1：
</t>
    </r>
    <r>
      <rPr>
        <rFont val="メイリオ"/>
        <color rgb="FF000000"/>
        <sz val="10.0"/>
      </rPr>
      <t xml:space="preserve">・Trả về HTTP 400（`error_code: VALIDATION_ERROR`、メッセージ `入力値が不正です。詳細はerrorsフィールドを確認してください。`）
</t>
    </r>
    <r>
      <rPr>
        <rFont val="メイリオ"/>
        <color rgb="FF000000"/>
        <sz val="10.0"/>
      </rPr>
      <t>・Response bao gồm mảng `errors`, mỗi phần tử có hình dạng `{ field, message }`</t>
    </r>
  </si>
  <si>
    <t>ACSMS-TC-026-038</t>
  </si>
  <si>
    <t>Vượt giới hạn rate（TOO_MANY_REQUESTS）</t>
  </si>
  <si>
    <r>
      <rPr>
        <rFont val="メイリオ"/>
        <b/>
        <color rgb="FF000000"/>
        <sz val="10.0"/>
      </rPr>
      <t xml:space="preserve">ステップ1：
</t>
    </r>
    <r>
      <rPr>
        <rFont val="メイリオ"/>
        <color rgb="FF000000"/>
        <sz val="10.0"/>
      </rPr>
      <t xml:space="preserve">Gửi liên tục request tương đương preview hoặc xuất Excel đến số lần giới hạn
</t>
    </r>
    <r>
      <rPr>
        <rFont val="メイリオ"/>
        <b/>
        <color rgb="FF000000"/>
        <sz val="10.0"/>
      </rPr>
      <t xml:space="preserve">ステップ2：
</t>
    </r>
    <r>
      <rPr>
        <rFont val="メイリオ"/>
        <color rgb="FF000000"/>
        <sz val="10.0"/>
      </rPr>
      <t>Gửi thêm request vượt quá giới hạn</t>
    </r>
  </si>
  <si>
    <r>
      <rPr>
        <rFont val="メイリオ"/>
        <b/>
        <color rgb="FF000000"/>
        <sz val="10.0"/>
      </rPr>
      <t xml:space="preserve">ステップ1：
</t>
    </r>
    <r>
      <rPr>
        <rFont val="メイリオ"/>
        <color rgb="FF000000"/>
        <sz val="10.0"/>
      </rPr>
      <t xml:space="preserve">Request đến số lần giới hạn được xử lý bình thường
</t>
    </r>
    <r>
      <rPr>
        <rFont val="メイリオ"/>
        <b/>
        <color rgb="FF000000"/>
        <sz val="10.0"/>
      </rPr>
      <t xml:space="preserve">ステップ2：
</t>
    </r>
    <r>
      <rPr>
        <rFont val="メイリオ"/>
        <color rgb="FF000000"/>
        <sz val="10.0"/>
      </rPr>
      <t>Trả về HTTP 429（`error_code: TOO_MANY_REQUESTS`、メッセージ `リクエスト回数が上限を超えました。しばらくしてから再度お試しください。`）</t>
    </r>
  </si>
  <si>
    <t>ACSMS-TC-026-039</t>
  </si>
  <si>
    <t>Lỗi hệ thống（INTERNAL_SERVER_ERROR）</t>
  </si>
  <si>
    <t>・Đã đăng nhập bằng CHUOKAI
・Đã chuẩn bị sẵn việc phát sinh exception ở phía server</t>
  </si>
  <si>
    <r>
      <rPr>
        <rFont val="メイリオ"/>
        <b/>
        <color rgb="FF000000"/>
        <sz val="10.0"/>
      </rPr>
      <t xml:space="preserve">ステップ1：
</t>
    </r>
    <r>
      <rPr>
        <rFont val="メイリオ"/>
        <color rgb="FF000000"/>
        <sz val="10.0"/>
      </rPr>
      <t>Thực hiện「レポートプレビュー」ở trạng thái đã phát sinh lỗi kết nối DB v.v. ở phía server</t>
    </r>
  </si>
  <si>
    <r>
      <rPr>
        <rFont val="メイリオ"/>
        <b/>
        <color rgb="FF000000"/>
        <sz val="10.0"/>
      </rPr>
      <t xml:space="preserve">ステップ1：
</t>
    </r>
    <r>
      <rPr>
        <rFont val="メイリオ"/>
        <color rgb="FF000000"/>
        <sz val="10.0"/>
      </rPr>
      <t xml:space="preserve">・Trả về HTTP 500（`error_code: INTERNAL_SERVER_ERROR`、メッセージ `システムエラーが発生しました。しばらくしてから再度お試しください。`）
</t>
    </r>
    <r>
      <rPr>
        <rFont val="メイリオ"/>
        <color rgb="FF000000"/>
        <sz val="10.0"/>
      </rPr>
      <t>・Hiển thị message「システムエラーが発生しました。しばらくしてから再度お試しください。」(ACSMS-MSG-026-005)</t>
    </r>
  </si>
  <si>
    <t>ACSMS-TC-026-040</t>
  </si>
  <si>
    <t>Ngắt kết nối mạng</t>
  </si>
  <si>
    <r>
      <rPr>
        <rFont val="メイリオ"/>
        <b/>
        <color rgb="FF000000"/>
        <sz val="10.0"/>
      </rPr>
      <t xml:space="preserve">ステップ1：
</t>
    </r>
    <r>
      <rPr>
        <rFont val="メイリオ"/>
        <color rgb="FF000000"/>
        <sz val="10.0"/>
      </rPr>
      <t xml:space="preserve">Chọn「Offline」trên tab Network của DevTools, ngắt kết nối mạng
</t>
    </r>
    <r>
      <rPr>
        <rFont val="メイリオ"/>
        <b/>
        <color rgb="FF000000"/>
        <sz val="10.0"/>
      </rPr>
      <t xml:space="preserve">ステップ2：
</t>
    </r>
    <r>
      <rPr>
        <rFont val="メイリオ"/>
        <color rgb="FF000000"/>
        <sz val="10.0"/>
      </rPr>
      <t>Click nút「レポートプレビュー」</t>
    </r>
  </si>
  <si>
    <r>
      <rPr>
        <rFont val="メイリオ"/>
        <b/>
        <color rgb="FF000000"/>
        <sz val="10.0"/>
      </rPr>
      <t xml:space="preserve">ステップ1：
</t>
    </r>
    <r>
      <rPr>
        <rFont val="メイリオ"/>
        <color rgb="FF000000"/>
        <sz val="10.0"/>
      </rPr>
      <t xml:space="preserve">Mạng được ngắt kết nối
</t>
    </r>
    <r>
      <rPr>
        <rFont val="メイリオ"/>
        <b/>
        <color rgb="FF000000"/>
        <sz val="10.0"/>
      </rPr>
      <t xml:space="preserve">ステップ2：
</t>
    </r>
    <r>
      <rPr>
        <rFont val="メイリオ"/>
        <color rgb="FF000000"/>
        <sz val="10.0"/>
      </rPr>
      <t xml:space="preserve">・Hiển thị toast lỗi mạng
</t>
    </r>
    <r>
      <rPr>
        <rFont val="メイリオ"/>
        <color rgb="FF000000"/>
        <sz val="10.0"/>
      </rPr>
      <t>・Không bị terminate bất thường</t>
    </r>
  </si>
  <si>
    <t>ACSMS-TC-026-041</t>
  </si>
  <si>
    <t>An toàn với đầu vào SQL injection</t>
  </si>
  <si>
    <r>
      <rPr>
        <rFont val="メイリオ"/>
        <b/>
        <color rgb="FF000000"/>
        <sz val="10.0"/>
      </rPr>
      <t xml:space="preserve">ステップ1：
</t>
    </r>
    <r>
      <rPr>
        <rFont val="メイリオ"/>
        <color rgb="FF000000"/>
        <sz val="10.0"/>
      </rPr>
      <t xml:space="preserve">Gửi GET「/api/v1/report/meibo/preview」với tekiyo_date được chỉ định `2026-04-01'; DROP TABLE t_dokusya_rireki; --` trên tab Network của DevTools
</t>
    </r>
    <r>
      <rPr>
        <rFont val="メイリオ"/>
        <b/>
        <color rgb="FF000000"/>
        <sz val="10.0"/>
      </rPr>
      <t xml:space="preserve">ステップ2：
</t>
    </r>
    <r>
      <rPr>
        <rFont val="メイリオ"/>
        <color rgb="FF000000"/>
        <sz val="10.0"/>
      </rPr>
      <t>Xác nhận bảng t_dokusya_rireki tồn tại trên DB</t>
    </r>
  </si>
  <si>
    <r>
      <rPr>
        <rFont val="メイリオ"/>
        <b/>
        <color rgb="FF000000"/>
        <sz val="10.0"/>
      </rPr>
      <t xml:space="preserve">ステップ1：
</t>
    </r>
    <r>
      <rPr>
        <rFont val="メイリオ"/>
        <color rgb="FF000000"/>
        <sz val="10.0"/>
      </rPr>
      <t xml:space="preserve">・Giá trị đầu vào được xử lý như literal bởi parameterized query, không được thực thi như SQL
</t>
    </r>
    <r>
      <rPr>
        <rFont val="メイリオ"/>
        <color rgb="FF000000"/>
        <sz val="10.0"/>
      </rPr>
      <t xml:space="preserve">・Trả về HTTP 400（`error_code: VALIDATION_ERROR` または `BAD_REQUEST`）
</t>
    </r>
    <r>
      <rPr>
        <rFont val="メイリオ"/>
        <b/>
        <color rgb="FF000000"/>
        <sz val="10.0"/>
      </rPr>
      <t xml:space="preserve">ステップ2：
</t>
    </r>
    <r>
      <rPr>
        <rFont val="メイリオ"/>
        <color rgb="FF000000"/>
        <sz val="10.0"/>
      </rPr>
      <t>Bảng t_dokusya_rireki không bị xóa và tồn tại</t>
    </r>
  </si>
  <si>
    <t>カテゴリ6: Đối tượng tổng hợp・Lựa chọn cửa hàng bán (Scope / Hanbaiten Options)</t>
  </si>
  <si>
    <t>ACSMS-TC-026-042</t>
  </si>
  <si>
    <t>Lọc theo chi nhánh (chỉ với loại báo biểu theo chi nhánh quản lý・điều kiện tùy chọn)</t>
  </si>
  <si>
    <t>・role: JA_HONTEN (ja_id=100・có quyền `report.export_meibo`)
・Dưới chi nhánh quản lý A (kanri_shiten_id=10) có chi nhánh X (shiten_id=21)／chi nhánh Y (shiten_id=22)
・Dưới chi nhánh quản lý B (kanri_shiten_id=11) có chi nhánh Z (shiten_id=31)
・Người đọc còn hiệu lực tại thời điểm ngày áp dụng: chi nhánh X có 3 người, chi nhánh Y có 2 người, chưa đặt chi nhánh (shiten_id là NULL) có 1 người (tất cả đều thuộc chi nhánh quản lý A)</t>
  </si>
  <si>
    <t>ACSMS-TC-026-043</t>
  </si>
  <si>
    <t>Đối tượng tổng hợp được tách theo loại báo biểu (#56597)</t>
  </si>
  <si>
    <t>・role: JA_HONTEN (có quyền `report.export_meibo`)
・Dưới cùng một chi nhánh quản lý・cửa hàng bán có thật, tồn tại người đọc đang đọc báo trong kỳ xuất như sau
・(a) Bản giấy (dokusya_shubetsu=1) 2 người
・(b) Kết hợp (3)・trả phí (denshi_dokusya_shubetsu=1) 1 người
・(c) Kết hợp (3)・miễn phí (denshi_dokusya_shubetsu=0) 1 người
・(d) Bản điện tử (2)・trả phí・đã duyệt (denshi_shonin_status=1) 1 người
・(e) Bản điện tử (2)・trả phí・chưa duyệt 1 người
・(f) Bản điện tử (2)・miễn phí・đã duyệt 1 người
・Số bản đọc của (b) là 2 bản</t>
  </si>
  <si>
    <t>ACSMS-TC-026-044</t>
  </si>
  <si>
    <t>Cửa hàng bán dummy của bản điện tử bị loại khỏi lựa chọn (#56597)</t>
  </si>
  <si>
    <t>・role: JA_HONTEN (có quyền `report.export_meibo`)
・JA của mình có cửa hàng bán dummy của bản điện tử (`hanbaiten_code = 9999999999`)
・Có người đọc bản điện tử gắn với cửa hàng dummy
・Cũng tồn tại từ 2 cửa hàng bán có thật trở lên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</si>
</sst>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12">
    <font>
      <sz val="11.0"/>
      <color theme="1"/>
      <name val="Calibri"/>
      <scheme val="minor"/>
    </font>
    <font>
      <b/>
      <sz val="11.0"/>
      <color rgb="FF000000"/>
      <name val="游ゴシック"/>
    </font>
    <font>
      <sz val="11.0"/>
      <color theme="1"/>
      <name val="Calibri"/>
    </font>
    <font/>
    <font>
      <b/>
      <sz val="14.0"/>
      <color rgb="FF000000"/>
      <name val="游ゴシック"/>
    </font>
    <font>
      <sz val="11.0"/>
      <color rgb="FF000000"/>
      <name val="游ゴシック"/>
    </font>
    <font>
      <sz val="26.0"/>
      <color rgb="FF1F3864"/>
      <name val="游ゴシック"/>
    </font>
    <font>
      <sz val="24.0"/>
      <color rgb="FF1F3864"/>
      <name val="游ゴシック"/>
    </font>
    <font>
      <sz val="15.0"/>
      <color theme="1"/>
      <name val="游ゴシック"/>
    </font>
    <font>
      <sz val="10.0"/>
      <color rgb="FF000000"/>
      <name val="游ゴシック"/>
    </font>
    <font>
      <sz val="11.0"/>
      <color theme="1"/>
      <name val="Arial"/>
    </font>
    <font>
      <i/>
      <sz val="11.0"/>
      <color rgb="FF000000"/>
      <name val="游ゴシック"/>
    </font>
  </fonts>
  <fills count="10">
    <fill>
      <patternFill patternType="none"/>
    </fill>
    <fill>
      <patternFill patternType="lightGray"/>
    </fill>
    <fill>
      <patternFill patternType="solid">
        <fgColor rgb="FFB4C6E7"/>
        <bgColor rgb="FFB4C6E7"/>
      </patternFill>
    </fill>
    <fill>
      <patternFill patternType="solid">
        <fgColor rgb="FFBDD6EE"/>
        <bgColor rgb="FFBDD6EE"/>
      </patternFill>
    </fill>
    <fill>
      <patternFill patternType="solid">
        <fgColor rgb="FFD9E2F3"/>
        <bgColor rgb="FFD9E2F3"/>
      </patternFill>
    </fill>
    <fill>
      <patternFill patternType="solid">
        <fgColor rgb="FFDEEAF6"/>
        <bgColor rgb="FFDEEAF6"/>
      </patternFill>
    </fill>
    <fill>
      <patternFill patternType="solid">
        <fgColor rgb="FFFFFF99"/>
        <bgColor rgb="FFFFFF99"/>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top style="thin">
        <color rgb="FF000000"/>
      </top>
      <bottom style="thin">
        <color rgb="FF000000"/>
      </bottom>
    </border>
    <border>
      <top style="thin">
        <color rgb="FF000000"/>
      </top>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top/>
      <bottom/>
    </border>
    <border>
      <top/>
      <bottom/>
    </border>
    <border>
      <right/>
      <top/>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2" fontId="1" numFmtId="0" xfId="0" applyAlignment="1" applyBorder="1" applyFont="1">
      <alignment horizontal="center" shrinkToFit="0" vertical="center" wrapText="1"/>
    </xf>
    <xf borderId="4" fillId="0" fontId="2" numFmtId="0" xfId="0" applyBorder="1" applyFont="1"/>
    <xf borderId="5" fillId="0" fontId="3" numFmtId="0" xfId="0" applyBorder="1" applyFont="1"/>
    <xf borderId="6" fillId="0" fontId="3" numFmtId="0" xfId="0" applyBorder="1" applyFont="1"/>
    <xf borderId="3" fillId="2" fontId="4" numFmtId="0" xfId="0" applyAlignment="1" applyBorder="1" applyFont="1">
      <alignment horizontal="center" shrinkToFit="0" vertical="center" wrapText="1"/>
    </xf>
    <xf borderId="3" fillId="3" fontId="1" numFmtId="0" xfId="0" applyAlignment="1" applyBorder="1" applyFill="1" applyFont="1">
      <alignment horizontal="left" shrinkToFit="0" vertical="center" wrapText="1"/>
    </xf>
    <xf borderId="7" fillId="0" fontId="2" numFmtId="0" xfId="0" applyBorder="1" applyFont="1"/>
    <xf borderId="8" fillId="0" fontId="2" numFmtId="0" xfId="0" applyBorder="1" applyFont="1"/>
    <xf borderId="3" fillId="0" fontId="5" numFmtId="0" xfId="0" applyAlignment="1" applyBorder="1" applyFont="1">
      <alignment horizontal="left" shrinkToFit="0" vertical="center" wrapText="1"/>
    </xf>
    <xf borderId="9" fillId="0" fontId="2" numFmtId="0" xfId="0" applyBorder="1" applyFont="1"/>
    <xf borderId="1" fillId="0" fontId="5"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8" fillId="0" fontId="6" numFmtId="0" xfId="0" applyAlignment="1" applyBorder="1" applyFont="1">
      <alignment horizontal="center" shrinkToFit="0" vertical="center" wrapText="1"/>
    </xf>
    <xf borderId="9" fillId="0" fontId="3" numFmtId="0" xfId="0" applyBorder="1" applyFont="1"/>
    <xf borderId="3" fillId="0" fontId="5" numFmtId="49" xfId="0" applyAlignment="1" applyBorder="1" applyFont="1" applyNumberFormat="1">
      <alignment horizontal="left" shrinkToFit="0" vertical="center" wrapText="1"/>
    </xf>
    <xf borderId="2" fillId="0" fontId="5" numFmtId="0" xfId="0" applyAlignment="1" applyBorder="1" applyFont="1">
      <alignment horizontal="center" shrinkToFit="0" vertical="center" wrapText="1"/>
    </xf>
    <xf borderId="8" fillId="0" fontId="7" numFmtId="0" xfId="0" applyAlignment="1" applyBorder="1" applyFont="1">
      <alignment horizontal="center" shrinkToFit="0" vertical="center" wrapText="1"/>
    </xf>
    <xf borderId="4" fillId="0" fontId="3" numFmtId="0" xfId="0" applyBorder="1" applyFont="1"/>
    <xf borderId="10" fillId="3" fontId="1" numFmtId="0" xfId="0" applyAlignment="1" applyBorder="1" applyFont="1">
      <alignment horizontal="center" shrinkToFit="0" vertical="center" wrapText="1"/>
    </xf>
    <xf borderId="7" fillId="0" fontId="3" numFmtId="0" xfId="0" applyBorder="1" applyFont="1"/>
    <xf borderId="2" fillId="3" fontId="1" numFmtId="0" xfId="0" applyAlignment="1" applyBorder="1" applyFont="1">
      <alignment horizontal="center" shrinkToFit="0" vertical="center" wrapText="1"/>
    </xf>
    <xf borderId="8" fillId="0" fontId="8" numFmtId="0" xfId="0" applyAlignment="1" applyBorder="1" applyFont="1">
      <alignment horizontal="center" shrinkToFit="0" vertical="center" wrapText="1"/>
    </xf>
    <xf borderId="3" fillId="3" fontId="1" numFmtId="0" xfId="0" applyAlignment="1" applyBorder="1" applyFont="1">
      <alignment horizontal="center" shrinkToFit="0" vertical="center" wrapText="1"/>
    </xf>
    <xf borderId="2" fillId="0" fontId="5" numFmtId="49" xfId="0" applyAlignment="1" applyBorder="1" applyFont="1" applyNumberFormat="1">
      <alignment horizontal="center" shrinkToFit="0" vertical="center" wrapText="1"/>
    </xf>
    <xf borderId="11" fillId="0" fontId="3" numFmtId="0" xfId="0" applyBorder="1" applyFont="1"/>
    <xf borderId="3" fillId="4" fontId="9" numFmtId="0" xfId="0" applyAlignment="1" applyBorder="1" applyFill="1" applyFont="1">
      <alignment horizontal="center" shrinkToFit="0" vertical="center" wrapText="1"/>
    </xf>
    <xf borderId="12" fillId="0" fontId="3" numFmtId="0" xfId="0" applyBorder="1" applyFont="1"/>
    <xf borderId="13" fillId="0" fontId="3" numFmtId="0" xfId="0" applyBorder="1" applyFont="1"/>
    <xf borderId="14" fillId="0" fontId="3" numFmtId="0" xfId="0" applyBorder="1" applyFont="1"/>
    <xf borderId="0" fillId="0" fontId="1" numFmtId="0" xfId="0" applyAlignment="1" applyFont="1">
      <alignment horizontal="left" shrinkToFit="0" vertical="center" wrapText="1"/>
    </xf>
    <xf borderId="0" fillId="0" fontId="5" numFmtId="0" xfId="0" applyAlignment="1" applyFont="1">
      <alignment horizontal="left" shrinkToFit="0" vertical="center" wrapText="1"/>
    </xf>
    <xf borderId="3" fillId="4" fontId="9" numFmtId="49" xfId="0" applyAlignment="1" applyBorder="1" applyFont="1" applyNumberFormat="1">
      <alignment horizontal="center" shrinkToFit="0" vertical="center" wrapText="1"/>
    </xf>
    <xf borderId="1" fillId="5" fontId="1" numFmtId="0" xfId="0" applyAlignment="1" applyBorder="1" applyFill="1" applyFont="1">
      <alignment horizontal="left" shrinkToFit="0" vertical="center" wrapText="1"/>
    </xf>
    <xf borderId="15" fillId="6" fontId="1" numFmtId="0" xfId="0" applyAlignment="1" applyBorder="1" applyFill="1" applyFont="1">
      <alignment horizontal="left" shrinkToFit="0" vertical="center" wrapText="1"/>
    </xf>
    <xf borderId="16" fillId="0" fontId="3" numFmtId="0" xfId="0" applyBorder="1" applyFont="1"/>
    <xf borderId="11" fillId="0" fontId="2" numFmtId="0" xfId="0" applyBorder="1" applyFont="1"/>
    <xf borderId="17" fillId="0" fontId="3" numFmtId="0" xfId="0" applyBorder="1" applyFont="1"/>
    <xf borderId="13" fillId="0" fontId="2" numFmtId="0" xfId="0" applyBorder="1" applyFont="1"/>
    <xf borderId="14" fillId="0" fontId="2" numFmtId="0" xfId="0" applyBorder="1" applyFont="1"/>
    <xf borderId="3" fillId="0" fontId="5" numFmtId="164" xfId="0" applyAlignment="1" applyBorder="1" applyFont="1" applyNumberFormat="1">
      <alignment horizontal="center" shrinkToFit="0" vertical="center" wrapText="1"/>
    </xf>
    <xf borderId="3" fillId="0" fontId="1" numFmtId="0" xfId="0" applyAlignment="1" applyBorder="1" applyFont="1">
      <alignment horizontal="center" shrinkToFit="0" vertical="center" wrapText="1"/>
    </xf>
    <xf borderId="3" fillId="0" fontId="1" numFmtId="164" xfId="0" applyAlignment="1" applyBorder="1" applyFont="1" applyNumberFormat="1">
      <alignment horizontal="center" shrinkToFit="0" vertical="center" wrapText="1"/>
    </xf>
    <xf borderId="3" fillId="5" fontId="1" numFmtId="0" xfId="0" applyAlignment="1" applyBorder="1" applyFont="1">
      <alignment horizontal="center" shrinkToFit="0" vertical="center" wrapText="1"/>
    </xf>
    <xf borderId="1" fillId="5" fontId="1" numFmtId="0" xfId="0" applyAlignment="1" applyBorder="1" applyFont="1">
      <alignment horizontal="center" shrinkToFit="0" vertical="center" wrapText="1"/>
    </xf>
    <xf borderId="1" fillId="0" fontId="5" numFmtId="0" xfId="0" applyAlignment="1" applyBorder="1" applyFont="1">
      <alignment horizontal="center" shrinkToFit="0" vertical="top" wrapText="1"/>
    </xf>
    <xf borderId="3" fillId="0" fontId="5" numFmtId="0" xfId="0" applyAlignment="1" applyBorder="1" applyFont="1">
      <alignment horizontal="center" shrinkToFit="0" vertical="top" wrapText="1"/>
    </xf>
    <xf borderId="3" fillId="0" fontId="5" numFmtId="0" xfId="0" applyAlignment="1" applyBorder="1" applyFont="1">
      <alignment horizontal="left" shrinkToFit="0" vertical="top" wrapText="1"/>
    </xf>
    <xf borderId="3" fillId="7" fontId="1" numFmtId="0" xfId="0" applyAlignment="1" applyBorder="1" applyFill="1" applyFont="1">
      <alignment horizontal="center" shrinkToFit="0" vertical="top" wrapText="1"/>
    </xf>
    <xf borderId="10" fillId="5" fontId="1" numFmtId="0" xfId="0" applyAlignment="1" applyBorder="1" applyFont="1">
      <alignment horizontal="center" shrinkToFit="0" vertical="center" wrapText="1"/>
    </xf>
    <xf borderId="2" fillId="5" fontId="1" numFmtId="0" xfId="0" applyAlignment="1" applyBorder="1" applyFont="1">
      <alignment horizontal="center" shrinkToFit="0" vertical="center" wrapText="1"/>
    </xf>
    <xf borderId="3" fillId="8" fontId="1" numFmtId="0" xfId="0" applyAlignment="1" applyBorder="1" applyFill="1" applyFont="1">
      <alignment horizontal="center" shrinkToFit="0" vertical="top" wrapText="1"/>
    </xf>
    <xf borderId="3" fillId="0" fontId="5" numFmtId="0" xfId="0" applyAlignment="1" applyBorder="1" applyFont="1">
      <alignment horizontal="center" readingOrder="0" shrinkToFit="0" vertical="top" wrapText="1"/>
    </xf>
    <xf borderId="3" fillId="0" fontId="10" numFmtId="0" xfId="0" applyAlignment="1" applyBorder="1" applyFont="1">
      <alignment horizontal="center" shrinkToFit="0" vertical="top" wrapText="1"/>
    </xf>
    <xf borderId="3" fillId="0" fontId="10" numFmtId="165" xfId="0" applyAlignment="1" applyBorder="1" applyFont="1" applyNumberFormat="1">
      <alignment horizontal="center" readingOrder="0" shrinkToFit="0" vertical="top" wrapText="1"/>
    </xf>
    <xf borderId="3" fillId="9" fontId="1" numFmtId="0" xfId="0" applyAlignment="1" applyBorder="1" applyFill="1" applyFont="1">
      <alignment horizontal="center" shrinkToFit="0" vertical="top" wrapText="1"/>
    </xf>
    <xf borderId="3" fillId="3" fontId="1" numFmtId="0" xfId="0" applyAlignment="1" applyBorder="1" applyFont="1">
      <alignment horizontal="right" shrinkToFit="0" vertical="center" wrapText="1"/>
    </xf>
    <xf borderId="3" fillId="0" fontId="1" numFmtId="0" xfId="0" applyAlignment="1" applyBorder="1" applyFont="1">
      <alignment horizontal="center" shrinkToFit="0" vertical="top" wrapText="1"/>
    </xf>
    <xf borderId="3" fillId="0" fontId="1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2"/>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9"/>
    </row>
    <row r="3" ht="12.75" customHeight="1">
      <c r="B3" s="10"/>
      <c r="AK3" s="12"/>
    </row>
    <row r="4" ht="12.75" customHeight="1">
      <c r="B4" s="10"/>
      <c r="AK4" s="12"/>
    </row>
    <row r="5" ht="12.75" customHeight="1">
      <c r="B5" s="10"/>
      <c r="AK5" s="12"/>
    </row>
    <row r="6" ht="12.75" customHeight="1">
      <c r="B6" s="10"/>
      <c r="AK6" s="12"/>
    </row>
    <row r="7" ht="12.75" customHeight="1">
      <c r="B7" s="10"/>
      <c r="AK7" s="12"/>
    </row>
    <row r="8" ht="12.75" customHeight="1">
      <c r="B8" s="10"/>
      <c r="AK8" s="12"/>
    </row>
    <row r="9" ht="12.75" customHeight="1">
      <c r="B9" s="10"/>
      <c r="AK9" s="12"/>
    </row>
    <row r="10" ht="29.25" customHeight="1">
      <c r="B10" s="15" t="s">
        <v>10</v>
      </c>
      <c r="AK10" s="16"/>
    </row>
    <row r="11" ht="12.75" customHeight="1">
      <c r="B11" s="10"/>
      <c r="AK11" s="12"/>
    </row>
    <row r="12" ht="39.0" customHeight="1">
      <c r="B12" s="19" t="s">
        <v>22</v>
      </c>
      <c r="AK12" s="16"/>
    </row>
    <row r="13" ht="12.75" customHeight="1">
      <c r="B13" s="10"/>
      <c r="AK13" s="12"/>
    </row>
    <row r="14" ht="12.75" customHeight="1">
      <c r="B14" s="10"/>
      <c r="AK14" s="12"/>
    </row>
    <row r="15" ht="12.75" customHeight="1">
      <c r="B15" s="24" t="s">
        <v>28</v>
      </c>
      <c r="AK15" s="16"/>
    </row>
    <row r="16" ht="12.75" customHeight="1">
      <c r="B16" s="10"/>
      <c r="AK16" s="12"/>
    </row>
    <row r="17" ht="12.75" customHeight="1">
      <c r="B17" s="10"/>
      <c r="AK17" s="12"/>
    </row>
    <row r="18" ht="12.75" customHeight="1">
      <c r="B18" s="10"/>
      <c r="N18" s="28" t="s">
        <v>33</v>
      </c>
      <c r="O18" s="5"/>
      <c r="P18" s="5"/>
      <c r="Q18" s="5"/>
      <c r="R18" s="6"/>
      <c r="S18" s="28" t="s">
        <v>36</v>
      </c>
      <c r="T18" s="5"/>
      <c r="U18" s="5"/>
      <c r="V18" s="5"/>
      <c r="W18" s="6"/>
      <c r="AK18" s="12"/>
    </row>
    <row r="19" ht="12.75" customHeight="1">
      <c r="B19" s="10"/>
      <c r="N19" s="28" t="s">
        <v>41</v>
      </c>
      <c r="O19" s="5"/>
      <c r="P19" s="5"/>
      <c r="Q19" s="5"/>
      <c r="R19" s="6"/>
      <c r="S19" s="28" t="s">
        <v>20</v>
      </c>
      <c r="T19" s="5"/>
      <c r="U19" s="5"/>
      <c r="V19" s="5"/>
      <c r="W19" s="6"/>
      <c r="AK19" s="12"/>
    </row>
    <row r="20" ht="12.75" customHeight="1">
      <c r="B20" s="10"/>
      <c r="N20" s="28" t="s">
        <v>2</v>
      </c>
      <c r="O20" s="5"/>
      <c r="P20" s="5"/>
      <c r="Q20" s="5"/>
      <c r="R20" s="6"/>
      <c r="S20" s="34" t="s">
        <v>17</v>
      </c>
      <c r="T20" s="5"/>
      <c r="U20" s="5"/>
      <c r="V20" s="5"/>
      <c r="W20" s="6"/>
      <c r="AK20" s="12"/>
    </row>
    <row r="21" ht="12.75" customHeight="1">
      <c r="B21" s="10"/>
      <c r="AK21" s="12"/>
    </row>
    <row r="22" ht="12.75" customHeight="1">
      <c r="B22" s="10"/>
      <c r="AK22" s="12"/>
    </row>
    <row r="23" ht="12.75" customHeight="1">
      <c r="B23" s="10"/>
      <c r="AK23" s="12"/>
    </row>
    <row r="24" ht="12.75" customHeight="1">
      <c r="B24" s="10"/>
      <c r="AK24" s="12"/>
    </row>
    <row r="25" ht="12.75" customHeight="1">
      <c r="B25" s="10"/>
      <c r="AK25" s="12"/>
    </row>
    <row r="26" ht="12.75" customHeight="1">
      <c r="B26" s="10"/>
      <c r="AK26" s="12"/>
    </row>
    <row r="27" ht="12.75" customHeight="1">
      <c r="B27" s="10"/>
      <c r="AK27" s="12"/>
    </row>
    <row r="28" ht="12.75" customHeight="1">
      <c r="B28" s="10"/>
      <c r="AK28" s="12"/>
    </row>
    <row r="29" ht="12.75" customHeight="1">
      <c r="B29" s="10"/>
      <c r="AK29" s="12"/>
    </row>
    <row r="30" ht="12.75" customHeight="1">
      <c r="B30" s="10"/>
      <c r="AK30" s="12"/>
    </row>
    <row r="31" ht="12.75" customHeight="1">
      <c r="B31" s="10"/>
      <c r="AK31" s="12"/>
    </row>
    <row r="32" ht="12.75" customHeight="1">
      <c r="B32" s="10"/>
      <c r="AK32" s="12"/>
    </row>
    <row r="33" ht="12.75" customHeight="1">
      <c r="B33" s="10"/>
      <c r="AK33" s="12"/>
    </row>
    <row r="34" ht="12.75" customHeight="1">
      <c r="B34" s="38"/>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1"/>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 t="s">
        <v>1</v>
      </c>
      <c r="B1" s="3" t="s">
        <v>2</v>
      </c>
      <c r="C1" s="5"/>
      <c r="D1" s="5"/>
      <c r="E1" s="6"/>
      <c r="F1" s="3" t="s">
        <v>4</v>
      </c>
      <c r="G1" s="5"/>
      <c r="H1" s="6"/>
      <c r="I1" s="3" t="s">
        <v>5</v>
      </c>
      <c r="J1" s="5"/>
      <c r="K1" s="5"/>
      <c r="L1" s="5"/>
      <c r="M1" s="5"/>
      <c r="N1" s="6"/>
      <c r="O1" s="3" t="s">
        <v>7</v>
      </c>
      <c r="P1" s="5"/>
      <c r="Q1" s="5"/>
      <c r="R1" s="5"/>
      <c r="S1" s="5"/>
      <c r="T1" s="5"/>
      <c r="U1" s="5"/>
      <c r="V1" s="6"/>
      <c r="W1" s="3" t="s">
        <v>9</v>
      </c>
      <c r="X1" s="5"/>
      <c r="Y1" s="5"/>
      <c r="Z1" s="5"/>
      <c r="AA1" s="5"/>
      <c r="AB1" s="6"/>
      <c r="AC1" s="3" t="s">
        <v>13</v>
      </c>
      <c r="AD1" s="5"/>
      <c r="AE1" s="5"/>
      <c r="AF1" s="5"/>
      <c r="AG1" s="5"/>
      <c r="AH1" s="6"/>
    </row>
    <row r="2" ht="22.5" customHeight="1">
      <c r="A2" s="13"/>
      <c r="B2" s="14" t="s">
        <v>17</v>
      </c>
      <c r="C2" s="5"/>
      <c r="D2" s="5"/>
      <c r="E2" s="6"/>
      <c r="F2" s="14" t="s">
        <v>20</v>
      </c>
      <c r="G2" s="5"/>
      <c r="H2" s="6"/>
      <c r="I2" s="14" t="s">
        <v>18</v>
      </c>
      <c r="J2" s="5"/>
      <c r="K2" s="5"/>
      <c r="L2" s="5"/>
      <c r="M2" s="5"/>
      <c r="N2" s="6"/>
      <c r="O2" s="11" t="s">
        <v>23</v>
      </c>
      <c r="P2" s="5"/>
      <c r="Q2" s="5"/>
      <c r="R2" s="5"/>
      <c r="S2" s="5"/>
      <c r="T2" s="5"/>
      <c r="U2" s="5"/>
      <c r="V2" s="6"/>
      <c r="W2" s="14" t="s">
        <v>15</v>
      </c>
      <c r="X2" s="5"/>
      <c r="Y2" s="5"/>
      <c r="Z2" s="5"/>
      <c r="AA2" s="5"/>
      <c r="AB2" s="6"/>
      <c r="AC2" s="14" t="s">
        <v>15</v>
      </c>
      <c r="AD2" s="5"/>
      <c r="AE2" s="5"/>
      <c r="AF2" s="5"/>
      <c r="AG2" s="5"/>
      <c r="AH2" s="6"/>
    </row>
    <row r="3" ht="22.5" customHeight="1">
      <c r="A3" s="13"/>
      <c r="B3" s="14" t="s">
        <v>32</v>
      </c>
      <c r="C3" s="5"/>
      <c r="D3" s="5"/>
      <c r="E3" s="6"/>
      <c r="F3" s="14" t="s">
        <v>34</v>
      </c>
      <c r="G3" s="5"/>
      <c r="H3" s="6"/>
      <c r="I3" s="14" t="s">
        <v>35</v>
      </c>
      <c r="J3" s="5"/>
      <c r="K3" s="5"/>
      <c r="L3" s="5"/>
      <c r="M3" s="5"/>
      <c r="N3" s="6"/>
      <c r="O3" s="11" t="s">
        <v>39</v>
      </c>
      <c r="P3" s="5"/>
      <c r="Q3" s="5"/>
      <c r="R3" s="5"/>
      <c r="S3" s="5"/>
      <c r="T3" s="5"/>
      <c r="U3" s="5"/>
      <c r="V3" s="6"/>
      <c r="W3" s="14"/>
      <c r="X3" s="5"/>
      <c r="Y3" s="5"/>
      <c r="Z3" s="5"/>
      <c r="AA3" s="5"/>
      <c r="AB3" s="6"/>
      <c r="AC3" s="14"/>
      <c r="AD3" s="5"/>
      <c r="AE3" s="5"/>
      <c r="AF3" s="5"/>
      <c r="AG3" s="5"/>
      <c r="AH3"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F2:H2"/>
    <mergeCell ref="I2:N2"/>
    <mergeCell ref="B3:E3"/>
    <mergeCell ref="F3:H3"/>
    <mergeCell ref="I3:N3"/>
    <mergeCell ref="O2:V2"/>
    <mergeCell ref="W2:AB2"/>
    <mergeCell ref="O3:V3"/>
    <mergeCell ref="W3:AB3"/>
    <mergeCell ref="AC3:AH3"/>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3" t="s">
        <v>0</v>
      </c>
      <c r="B1" s="5"/>
      <c r="C1" s="5"/>
      <c r="D1" s="5"/>
      <c r="E1" s="5"/>
      <c r="F1" s="5"/>
      <c r="G1" s="5"/>
      <c r="H1" s="5"/>
      <c r="I1" s="6"/>
      <c r="J1" s="3" t="s">
        <v>6</v>
      </c>
      <c r="K1" s="5"/>
      <c r="L1" s="5"/>
      <c r="M1" s="5"/>
      <c r="N1" s="5"/>
      <c r="O1" s="5"/>
      <c r="P1" s="6"/>
      <c r="Q1" s="3" t="s">
        <v>11</v>
      </c>
      <c r="R1" s="5"/>
      <c r="S1" s="5"/>
      <c r="T1" s="5"/>
      <c r="U1" s="6"/>
      <c r="V1" s="3" t="s">
        <v>14</v>
      </c>
      <c r="W1" s="5"/>
      <c r="X1" s="5"/>
      <c r="Y1" s="6"/>
      <c r="Z1" s="3" t="s">
        <v>16</v>
      </c>
      <c r="AA1" s="5"/>
      <c r="AB1" s="5"/>
      <c r="AC1" s="6"/>
      <c r="AD1" s="3" t="s">
        <v>19</v>
      </c>
      <c r="AE1" s="5"/>
      <c r="AF1" s="5"/>
      <c r="AG1" s="6"/>
      <c r="AH1" s="3" t="s">
        <v>21</v>
      </c>
      <c r="AI1" s="5"/>
      <c r="AJ1" s="5"/>
      <c r="AK1" s="6"/>
    </row>
    <row r="2" ht="19.5" customHeight="1">
      <c r="A2" s="18" t="s">
        <v>10</v>
      </c>
      <c r="B2" s="20"/>
      <c r="C2" s="20"/>
      <c r="D2" s="20"/>
      <c r="E2" s="20"/>
      <c r="F2" s="20"/>
      <c r="G2" s="20"/>
      <c r="H2" s="20"/>
      <c r="I2" s="22"/>
      <c r="J2" s="18" t="s">
        <v>26</v>
      </c>
      <c r="K2" s="20"/>
      <c r="L2" s="20"/>
      <c r="M2" s="20"/>
      <c r="N2" s="20"/>
      <c r="O2" s="20"/>
      <c r="P2" s="22"/>
      <c r="Q2" s="18" t="s">
        <v>27</v>
      </c>
      <c r="R2" s="20"/>
      <c r="S2" s="20"/>
      <c r="T2" s="20"/>
      <c r="U2" s="22"/>
      <c r="V2" s="26" t="s">
        <v>17</v>
      </c>
      <c r="W2" s="20"/>
      <c r="X2" s="20"/>
      <c r="Y2" s="22"/>
      <c r="Z2" s="18" t="s">
        <v>18</v>
      </c>
      <c r="AA2" s="20"/>
      <c r="AB2" s="20"/>
      <c r="AC2" s="22"/>
      <c r="AD2" s="26" t="s">
        <v>17</v>
      </c>
      <c r="AE2" s="20"/>
      <c r="AF2" s="20"/>
      <c r="AG2" s="22"/>
      <c r="AH2" s="18" t="s">
        <v>18</v>
      </c>
      <c r="AI2" s="20"/>
      <c r="AJ2" s="20"/>
      <c r="AK2" s="22"/>
    </row>
    <row r="3" ht="19.5" customHeight="1">
      <c r="A3" s="27"/>
      <c r="B3" s="30"/>
      <c r="C3" s="30"/>
      <c r="D3" s="30"/>
      <c r="E3" s="30"/>
      <c r="F3" s="30"/>
      <c r="G3" s="30"/>
      <c r="H3" s="30"/>
      <c r="I3" s="31"/>
      <c r="J3" s="27"/>
      <c r="K3" s="30"/>
      <c r="L3" s="30"/>
      <c r="M3" s="30"/>
      <c r="N3" s="30"/>
      <c r="O3" s="30"/>
      <c r="P3" s="31"/>
      <c r="Q3" s="27"/>
      <c r="R3" s="30"/>
      <c r="S3" s="30"/>
      <c r="T3" s="30"/>
      <c r="U3" s="31"/>
      <c r="V3" s="27"/>
      <c r="W3" s="30"/>
      <c r="X3" s="30"/>
      <c r="Y3" s="31"/>
      <c r="Z3" s="27"/>
      <c r="AA3" s="30"/>
      <c r="AB3" s="30"/>
      <c r="AC3" s="31"/>
      <c r="AD3" s="27"/>
      <c r="AE3" s="30"/>
      <c r="AF3" s="30"/>
      <c r="AG3" s="31"/>
      <c r="AH3" s="27"/>
      <c r="AI3" s="30"/>
      <c r="AJ3" s="30"/>
      <c r="AK3" s="31"/>
    </row>
    <row r="4" ht="15.0" customHeight="1"/>
    <row r="5" ht="19.5" customHeight="1">
      <c r="B5" s="32" t="s">
        <v>44</v>
      </c>
    </row>
    <row r="6" ht="19.5" customHeight="1">
      <c r="C6" s="33" t="s">
        <v>47</v>
      </c>
    </row>
    <row r="7" ht="19.5" customHeight="1">
      <c r="C7" s="33" t="s">
        <v>49</v>
      </c>
    </row>
    <row r="8" ht="19.5" customHeight="1">
      <c r="C8" s="33" t="s">
        <v>50</v>
      </c>
    </row>
    <row r="9" ht="15.0" customHeight="1"/>
    <row r="10" ht="19.5" customHeight="1">
      <c r="B10" s="32" t="s">
        <v>51</v>
      </c>
    </row>
    <row r="11" ht="19.5" customHeight="1">
      <c r="C11" s="36" t="s">
        <v>53</v>
      </c>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9"/>
    </row>
    <row r="12" ht="15.0" customHeight="1"/>
    <row r="13" ht="19.5" customHeight="1">
      <c r="B13" s="32" t="s">
        <v>55</v>
      </c>
    </row>
    <row r="14" ht="15.0" customHeight="1"/>
    <row r="15" ht="22.5" customHeight="1">
      <c r="C15" s="1" t="s">
        <v>56</v>
      </c>
      <c r="D15" s="3" t="s">
        <v>57</v>
      </c>
      <c r="E15" s="5"/>
      <c r="F15" s="5"/>
      <c r="G15" s="5"/>
      <c r="H15" s="5"/>
      <c r="I15" s="5"/>
      <c r="J15" s="5"/>
      <c r="K15" s="5"/>
      <c r="L15" s="5"/>
      <c r="M15" s="5"/>
      <c r="N15" s="6"/>
      <c r="O15" s="3" t="s">
        <v>58</v>
      </c>
      <c r="P15" s="5"/>
      <c r="Q15" s="5"/>
      <c r="R15" s="5"/>
      <c r="S15" s="5"/>
      <c r="T15" s="5"/>
      <c r="U15" s="5"/>
      <c r="V15" s="5"/>
      <c r="W15" s="5"/>
      <c r="X15" s="5"/>
      <c r="Y15" s="5"/>
      <c r="Z15" s="5"/>
      <c r="AA15" s="5"/>
      <c r="AB15" s="5"/>
      <c r="AC15" s="5"/>
      <c r="AD15" s="5"/>
      <c r="AE15" s="5"/>
      <c r="AF15" s="5"/>
      <c r="AG15" s="6"/>
    </row>
    <row r="16" ht="22.5" customHeight="1">
      <c r="C16" s="13">
        <v>1.0</v>
      </c>
      <c r="D16" s="11" t="s">
        <v>59</v>
      </c>
      <c r="E16" s="5"/>
      <c r="F16" s="5"/>
      <c r="G16" s="5"/>
      <c r="H16" s="5"/>
      <c r="I16" s="5"/>
      <c r="J16" s="5"/>
      <c r="K16" s="5"/>
      <c r="L16" s="5"/>
      <c r="M16" s="5"/>
      <c r="N16" s="6"/>
      <c r="O16" s="11" t="s">
        <v>60</v>
      </c>
      <c r="P16" s="5"/>
      <c r="Q16" s="5"/>
      <c r="R16" s="5"/>
      <c r="S16" s="5"/>
      <c r="T16" s="5"/>
      <c r="U16" s="5"/>
      <c r="V16" s="5"/>
      <c r="W16" s="5"/>
      <c r="X16" s="5"/>
      <c r="Y16" s="5"/>
      <c r="Z16" s="5"/>
      <c r="AA16" s="5"/>
      <c r="AB16" s="5"/>
      <c r="AC16" s="5"/>
      <c r="AD16" s="5"/>
      <c r="AE16" s="5"/>
      <c r="AF16" s="5"/>
      <c r="AG16" s="6"/>
    </row>
    <row r="17" ht="22.5" customHeight="1">
      <c r="C17" s="13">
        <v>2.0</v>
      </c>
      <c r="D17" s="11" t="s">
        <v>59</v>
      </c>
      <c r="E17" s="5"/>
      <c r="F17" s="5"/>
      <c r="G17" s="5"/>
      <c r="H17" s="5"/>
      <c r="I17" s="5"/>
      <c r="J17" s="5"/>
      <c r="K17" s="5"/>
      <c r="L17" s="5"/>
      <c r="M17" s="5"/>
      <c r="N17" s="6"/>
      <c r="O17" s="11" t="s">
        <v>61</v>
      </c>
      <c r="P17" s="5"/>
      <c r="Q17" s="5"/>
      <c r="R17" s="5"/>
      <c r="S17" s="5"/>
      <c r="T17" s="5"/>
      <c r="U17" s="5"/>
      <c r="V17" s="5"/>
      <c r="W17" s="5"/>
      <c r="X17" s="5"/>
      <c r="Y17" s="5"/>
      <c r="Z17" s="5"/>
      <c r="AA17" s="5"/>
      <c r="AB17" s="5"/>
      <c r="AC17" s="5"/>
      <c r="AD17" s="5"/>
      <c r="AE17" s="5"/>
      <c r="AF17" s="5"/>
      <c r="AG17"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I1"/>
    <mergeCell ref="J1:P1"/>
    <mergeCell ref="Q1:U1"/>
    <mergeCell ref="V1:Y1"/>
    <mergeCell ref="Z1:AC1"/>
    <mergeCell ref="AD1:AG1"/>
    <mergeCell ref="AH1:AK1"/>
    <mergeCell ref="A2:I3"/>
    <mergeCell ref="J2:P3"/>
    <mergeCell ref="Q2:U3"/>
    <mergeCell ref="V2:Y3"/>
    <mergeCell ref="Z2:AC3"/>
    <mergeCell ref="AD2:AG3"/>
    <mergeCell ref="AH2:AK3"/>
    <mergeCell ref="D15:N15"/>
    <mergeCell ref="O15:AG15"/>
    <mergeCell ref="D16:N16"/>
    <mergeCell ref="O16:AG16"/>
    <mergeCell ref="D17:N17"/>
    <mergeCell ref="O17:AG17"/>
    <mergeCell ref="B5:AK5"/>
    <mergeCell ref="C6:AK6"/>
    <mergeCell ref="C7:AK7"/>
    <mergeCell ref="C8:AK8"/>
    <mergeCell ref="B10:AK10"/>
    <mergeCell ref="C11:AK11"/>
    <mergeCell ref="B13:AK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7" t="s">
        <v>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6"/>
    </row>
    <row r="3" ht="22.5" customHeight="1">
      <c r="A3" s="8" t="s">
        <v>8</v>
      </c>
      <c r="B3" s="5"/>
      <c r="C3" s="5"/>
      <c r="D3" s="5"/>
      <c r="E3" s="5"/>
      <c r="F3" s="6"/>
      <c r="G3" s="11" t="s">
        <v>10</v>
      </c>
      <c r="H3" s="5"/>
      <c r="I3" s="5"/>
      <c r="J3" s="5"/>
      <c r="K3" s="5"/>
      <c r="L3" s="5"/>
      <c r="M3" s="5"/>
      <c r="N3" s="5"/>
      <c r="O3" s="6"/>
      <c r="P3" s="8" t="s">
        <v>12</v>
      </c>
      <c r="Q3" s="5"/>
      <c r="R3" s="5"/>
      <c r="S3" s="5"/>
      <c r="T3" s="5"/>
      <c r="U3" s="5"/>
      <c r="V3" s="5"/>
      <c r="W3" s="6"/>
      <c r="X3" s="11" t="s">
        <v>15</v>
      </c>
      <c r="Y3" s="5"/>
      <c r="Z3" s="5"/>
      <c r="AA3" s="5"/>
      <c r="AB3" s="5"/>
      <c r="AC3" s="5"/>
      <c r="AD3" s="5"/>
      <c r="AE3" s="5"/>
      <c r="AF3" s="5"/>
      <c r="AG3" s="5"/>
      <c r="AH3" s="6"/>
    </row>
    <row r="4" ht="22.5" customHeight="1">
      <c r="A4" s="8" t="s">
        <v>5</v>
      </c>
      <c r="B4" s="5"/>
      <c r="C4" s="5"/>
      <c r="D4" s="5"/>
      <c r="E4" s="5"/>
      <c r="F4" s="6"/>
      <c r="G4" s="11" t="s">
        <v>18</v>
      </c>
      <c r="H4" s="5"/>
      <c r="I4" s="5"/>
      <c r="J4" s="5"/>
      <c r="K4" s="5"/>
      <c r="L4" s="5"/>
      <c r="M4" s="5"/>
      <c r="N4" s="5"/>
      <c r="O4" s="6"/>
      <c r="P4" s="8" t="s">
        <v>14</v>
      </c>
      <c r="Q4" s="5"/>
      <c r="R4" s="5"/>
      <c r="S4" s="5"/>
      <c r="T4" s="5"/>
      <c r="U4" s="5"/>
      <c r="V4" s="5"/>
      <c r="W4" s="6"/>
      <c r="X4" s="17" t="s">
        <v>17</v>
      </c>
      <c r="Y4" s="5"/>
      <c r="Z4" s="5"/>
      <c r="AA4" s="5"/>
      <c r="AB4" s="5"/>
      <c r="AC4" s="5"/>
      <c r="AD4" s="5"/>
      <c r="AE4" s="5"/>
      <c r="AF4" s="5"/>
      <c r="AG4" s="5"/>
      <c r="AH4" s="6"/>
    </row>
    <row r="6" ht="22.5" customHeight="1">
      <c r="A6" s="21" t="s">
        <v>24</v>
      </c>
      <c r="B6" s="23" t="s">
        <v>25</v>
      </c>
      <c r="C6" s="20"/>
      <c r="D6" s="20"/>
      <c r="E6" s="20"/>
      <c r="F6" s="20"/>
      <c r="G6" s="22"/>
      <c r="H6" s="25" t="s">
        <v>29</v>
      </c>
      <c r="I6" s="5"/>
      <c r="J6" s="5"/>
      <c r="K6" s="5"/>
      <c r="L6" s="5"/>
      <c r="M6" s="5"/>
      <c r="N6" s="5"/>
      <c r="O6" s="5"/>
      <c r="P6" s="6"/>
      <c r="Q6" s="23" t="s">
        <v>30</v>
      </c>
      <c r="R6" s="20"/>
      <c r="S6" s="22"/>
      <c r="T6" s="25" t="s">
        <v>31</v>
      </c>
      <c r="U6" s="5"/>
      <c r="V6" s="5"/>
      <c r="W6" s="5"/>
      <c r="X6" s="5"/>
      <c r="Y6" s="5"/>
      <c r="Z6" s="5"/>
      <c r="AA6" s="5"/>
      <c r="AB6" s="5"/>
      <c r="AC6" s="5"/>
      <c r="AD6" s="5"/>
      <c r="AE6" s="5"/>
      <c r="AF6" s="5"/>
      <c r="AG6" s="5"/>
      <c r="AH6" s="6"/>
    </row>
    <row r="7" ht="22.5" customHeight="1">
      <c r="A7" s="29"/>
      <c r="B7" s="27"/>
      <c r="C7" s="30"/>
      <c r="D7" s="30"/>
      <c r="E7" s="30"/>
      <c r="F7" s="30"/>
      <c r="G7" s="31"/>
      <c r="H7" s="25" t="s">
        <v>37</v>
      </c>
      <c r="I7" s="5"/>
      <c r="J7" s="6"/>
      <c r="K7" s="25" t="s">
        <v>38</v>
      </c>
      <c r="L7" s="5"/>
      <c r="M7" s="6"/>
      <c r="N7" s="25" t="s">
        <v>40</v>
      </c>
      <c r="O7" s="5"/>
      <c r="P7" s="6"/>
      <c r="Q7" s="27"/>
      <c r="R7" s="30"/>
      <c r="S7" s="31"/>
      <c r="T7" s="25" t="s">
        <v>42</v>
      </c>
      <c r="U7" s="5"/>
      <c r="V7" s="6"/>
      <c r="W7" s="25" t="s">
        <v>43</v>
      </c>
      <c r="X7" s="5"/>
      <c r="Y7" s="6"/>
      <c r="Z7" s="25" t="s">
        <v>45</v>
      </c>
      <c r="AA7" s="5"/>
      <c r="AB7" s="6"/>
      <c r="AC7" s="25" t="s">
        <v>46</v>
      </c>
      <c r="AD7" s="5"/>
      <c r="AE7" s="6"/>
      <c r="AF7" s="25" t="s">
        <v>48</v>
      </c>
      <c r="AG7" s="5"/>
      <c r="AH7" s="6"/>
    </row>
    <row r="8" ht="22.5" customHeight="1">
      <c r="A8" s="35" t="s">
        <v>52</v>
      </c>
    </row>
    <row r="9" ht="22.5" customHeight="1">
      <c r="A9" s="13">
        <v>1.0</v>
      </c>
      <c r="B9" s="11" t="s">
        <v>54</v>
      </c>
      <c r="C9" s="5"/>
      <c r="D9" s="5"/>
      <c r="E9" s="5"/>
      <c r="F9" s="5"/>
      <c r="G9" s="6"/>
      <c r="H9" s="14">
        <f t="array" ref="H9">INDIRECT("'"&amp;$B9&amp;"'!H7",TRUE)</f>
        <v>25</v>
      </c>
      <c r="I9" s="5"/>
      <c r="J9" s="6"/>
      <c r="K9" s="14">
        <f t="array" ref="K9">INDIRECT("'"&amp;$B9&amp;"'!K7",TRUE)</f>
        <v>19</v>
      </c>
      <c r="L9" s="5"/>
      <c r="M9" s="6"/>
      <c r="N9" s="14">
        <f t="array" ref="N9">INDIRECT("'"&amp;$B9&amp;"'!N7",TRUE)</f>
        <v>0</v>
      </c>
      <c r="O9" s="5"/>
      <c r="P9" s="6"/>
      <c r="Q9" s="14">
        <f t="array" ref="Q9">INDIRECT("'"&amp;$B9&amp;"'!Q7",TRUE)</f>
        <v>44</v>
      </c>
      <c r="R9" s="5"/>
      <c r="S9" s="6"/>
      <c r="T9" s="14">
        <f t="array" ref="T9">INDIRECT("'"&amp;$B9&amp;"'!T7",TRUE)</f>
        <v>44</v>
      </c>
      <c r="U9" s="5"/>
      <c r="V9" s="6"/>
      <c r="W9" s="14">
        <f t="array" ref="W9">INDIRECT("'"&amp;$B9&amp;"'!W7",TRUE)</f>
        <v>0</v>
      </c>
      <c r="X9" s="5"/>
      <c r="Y9" s="6"/>
      <c r="Z9" s="14">
        <f t="array" ref="Z9">INDIRECT("'"&amp;$B9&amp;"'!Z7",TRUE)</f>
        <v>0</v>
      </c>
      <c r="AA9" s="5"/>
      <c r="AB9" s="6"/>
      <c r="AC9" s="14">
        <f t="array" ref="AC9">INDIRECT("'"&amp;$B9&amp;"'!AC7",TRUE)</f>
        <v>0</v>
      </c>
      <c r="AD9" s="5"/>
      <c r="AE9" s="6"/>
      <c r="AF9" s="42">
        <f>IFERROR((T9+W9+AC9)/Q9,0)</f>
        <v>1</v>
      </c>
      <c r="AG9" s="5"/>
      <c r="AH9" s="6"/>
    </row>
    <row r="10" ht="22.5" customHeight="1">
      <c r="A10" s="13">
        <v>2.0</v>
      </c>
      <c r="B10" s="11"/>
      <c r="C10" s="5"/>
      <c r="D10" s="5"/>
      <c r="E10" s="5"/>
      <c r="F10" s="5"/>
      <c r="G10" s="6"/>
      <c r="H10" s="14"/>
      <c r="I10" s="5"/>
      <c r="J10" s="6"/>
      <c r="K10" s="14"/>
      <c r="L10" s="5"/>
      <c r="M10" s="6"/>
      <c r="N10" s="14"/>
      <c r="O10" s="5"/>
      <c r="P10" s="6"/>
      <c r="Q10" s="14"/>
      <c r="R10" s="5"/>
      <c r="S10" s="6"/>
      <c r="T10" s="14"/>
      <c r="U10" s="5"/>
      <c r="V10" s="6"/>
      <c r="W10" s="14"/>
      <c r="X10" s="5"/>
      <c r="Y10" s="6"/>
      <c r="Z10" s="14"/>
      <c r="AA10" s="5"/>
      <c r="AB10" s="6"/>
      <c r="AC10" s="14"/>
      <c r="AD10" s="5"/>
      <c r="AE10" s="6"/>
      <c r="AF10" s="42"/>
      <c r="AG10" s="5"/>
      <c r="AH10" s="6"/>
    </row>
    <row r="11" ht="22.5" customHeight="1">
      <c r="A11" s="13"/>
      <c r="B11" s="25" t="s">
        <v>30</v>
      </c>
      <c r="C11" s="5"/>
      <c r="D11" s="5"/>
      <c r="E11" s="5"/>
      <c r="F11" s="5"/>
      <c r="G11" s="6"/>
      <c r="H11" s="43">
        <f>SUM(H9:J10)</f>
        <v>25</v>
      </c>
      <c r="I11" s="5"/>
      <c r="J11" s="6"/>
      <c r="K11" s="43">
        <f>SUM(K9:M10)</f>
        <v>19</v>
      </c>
      <c r="L11" s="5"/>
      <c r="M11" s="6"/>
      <c r="N11" s="43">
        <f>SUM(N9:P10)</f>
        <v>0</v>
      </c>
      <c r="O11" s="5"/>
      <c r="P11" s="6"/>
      <c r="Q11" s="43">
        <f>SUM(Q9:S10)</f>
        <v>44</v>
      </c>
      <c r="R11" s="5"/>
      <c r="S11" s="6"/>
      <c r="T11" s="43">
        <f>SUM(T9:V10)</f>
        <v>44</v>
      </c>
      <c r="U11" s="5"/>
      <c r="V11" s="6"/>
      <c r="W11" s="43">
        <f>SUM(W9:Y10)</f>
        <v>0</v>
      </c>
      <c r="X11" s="5"/>
      <c r="Y11" s="6"/>
      <c r="Z11" s="43">
        <f>SUM(Z9:AB10)</f>
        <v>0</v>
      </c>
      <c r="AA11" s="5"/>
      <c r="AB11" s="6"/>
      <c r="AC11" s="43">
        <f>SUM(AC9:AE10)</f>
        <v>0</v>
      </c>
      <c r="AD11" s="5"/>
      <c r="AE11" s="6"/>
      <c r="AF11" s="44">
        <f>IFERROR((T11+W11+AC11)/Q11,0)</f>
        <v>1</v>
      </c>
      <c r="AG11" s="5"/>
      <c r="AH11" s="6"/>
    </row>
    <row r="12" ht="22.5" customHeight="1">
      <c r="A12" s="35" t="s">
        <v>62</v>
      </c>
    </row>
    <row r="13" ht="22.5" customHeight="1">
      <c r="A13" s="13">
        <v>1.0</v>
      </c>
      <c r="B13" s="11" t="s">
        <v>54</v>
      </c>
      <c r="C13" s="5"/>
      <c r="D13" s="5"/>
      <c r="E13" s="5"/>
      <c r="F13" s="5"/>
      <c r="G13" s="6"/>
      <c r="H13" s="14">
        <f t="array" ref="H13">INDIRECT("'"&amp;$B13&amp;"'!H8",TRUE)</f>
        <v>25</v>
      </c>
      <c r="I13" s="5"/>
      <c r="J13" s="6"/>
      <c r="K13" s="14">
        <f t="array" ref="K13">INDIRECT("'"&amp;$B13&amp;"'!K8",TRUE)</f>
        <v>19</v>
      </c>
      <c r="L13" s="5"/>
      <c r="M13" s="6"/>
      <c r="N13" s="14">
        <f t="array" ref="N13">INDIRECT("'"&amp;$B13&amp;"'!N8",TRUE)</f>
        <v>0</v>
      </c>
      <c r="O13" s="5"/>
      <c r="P13" s="6"/>
      <c r="Q13" s="14">
        <f t="array" ref="Q13">INDIRECT("'"&amp;$B13&amp;"'!Q8",TRUE)</f>
        <v>44</v>
      </c>
      <c r="R13" s="5"/>
      <c r="S13" s="6"/>
      <c r="T13" s="14">
        <f t="array" ref="T13">INDIRECT("'"&amp;$B13&amp;"'!T8",TRUE)</f>
        <v>44</v>
      </c>
      <c r="U13" s="5"/>
      <c r="V13" s="6"/>
      <c r="W13" s="14">
        <f t="array" ref="W13">INDIRECT("'"&amp;$B13&amp;"'!W8",TRUE)</f>
        <v>0</v>
      </c>
      <c r="X13" s="5"/>
      <c r="Y13" s="6"/>
      <c r="Z13" s="14">
        <f t="array" ref="Z13">INDIRECT("'"&amp;$B13&amp;"'!Z8",TRUE)</f>
        <v>0</v>
      </c>
      <c r="AA13" s="5"/>
      <c r="AB13" s="6"/>
      <c r="AC13" s="14">
        <f t="array" ref="AC13">INDIRECT("'"&amp;$B13&amp;"'!AC8",TRUE)</f>
        <v>0</v>
      </c>
      <c r="AD13" s="5"/>
      <c r="AE13" s="6"/>
      <c r="AF13" s="42">
        <f>IFERROR((T13+W13+AC13)/Q13,0)</f>
        <v>1</v>
      </c>
      <c r="AG13" s="5"/>
      <c r="AH13" s="6"/>
    </row>
    <row r="14" ht="22.5" customHeight="1">
      <c r="A14" s="13">
        <v>2.0</v>
      </c>
      <c r="B14" s="11"/>
      <c r="C14" s="5"/>
      <c r="D14" s="5"/>
      <c r="E14" s="5"/>
      <c r="F14" s="5"/>
      <c r="G14" s="6"/>
      <c r="H14" s="14"/>
      <c r="I14" s="5"/>
      <c r="J14" s="6"/>
      <c r="K14" s="14"/>
      <c r="L14" s="5"/>
      <c r="M14" s="6"/>
      <c r="N14" s="14"/>
      <c r="O14" s="5"/>
      <c r="P14" s="6"/>
      <c r="Q14" s="14"/>
      <c r="R14" s="5"/>
      <c r="S14" s="6"/>
      <c r="T14" s="14"/>
      <c r="U14" s="5"/>
      <c r="V14" s="6"/>
      <c r="W14" s="14"/>
      <c r="X14" s="5"/>
      <c r="Y14" s="6"/>
      <c r="Z14" s="14"/>
      <c r="AA14" s="5"/>
      <c r="AB14" s="6"/>
      <c r="AC14" s="14"/>
      <c r="AD14" s="5"/>
      <c r="AE14" s="6"/>
      <c r="AF14" s="42"/>
      <c r="AG14" s="5"/>
      <c r="AH14" s="6"/>
    </row>
    <row r="15" ht="22.5" customHeight="1">
      <c r="A15" s="13"/>
      <c r="B15" s="25" t="s">
        <v>30</v>
      </c>
      <c r="C15" s="5"/>
      <c r="D15" s="5"/>
      <c r="E15" s="5"/>
      <c r="F15" s="5"/>
      <c r="G15" s="6"/>
      <c r="H15" s="43">
        <f>SUM(H13:J14)</f>
        <v>25</v>
      </c>
      <c r="I15" s="5"/>
      <c r="J15" s="6"/>
      <c r="K15" s="43">
        <f>SUM(K13:M14)</f>
        <v>19</v>
      </c>
      <c r="L15" s="5"/>
      <c r="M15" s="6"/>
      <c r="N15" s="43">
        <f>SUM(N13:P14)</f>
        <v>0</v>
      </c>
      <c r="O15" s="5"/>
      <c r="P15" s="6"/>
      <c r="Q15" s="43">
        <f>SUM(Q13:S14)</f>
        <v>44</v>
      </c>
      <c r="R15" s="5"/>
      <c r="S15" s="6"/>
      <c r="T15" s="43">
        <f>SUM(T13:V14)</f>
        <v>44</v>
      </c>
      <c r="U15" s="5"/>
      <c r="V15" s="6"/>
      <c r="W15" s="43">
        <f>SUM(W13:Y14)</f>
        <v>0</v>
      </c>
      <c r="X15" s="5"/>
      <c r="Y15" s="6"/>
      <c r="Z15" s="43">
        <f>SUM(Z13:AB14)</f>
        <v>0</v>
      </c>
      <c r="AA15" s="5"/>
      <c r="AB15" s="6"/>
      <c r="AC15" s="43">
        <f>SUM(AC13:AE14)</f>
        <v>0</v>
      </c>
      <c r="AD15" s="5"/>
      <c r="AE15" s="6"/>
      <c r="AF15" s="44">
        <f>IFERROR((T15+W15+AC15)/Q15,0)</f>
        <v>1</v>
      </c>
      <c r="AG15" s="5"/>
      <c r="AH15"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3" t="s">
        <v>0</v>
      </c>
      <c r="B1" s="5"/>
      <c r="C1" s="5"/>
      <c r="D1" s="5"/>
      <c r="E1" s="5"/>
      <c r="F1" s="5"/>
      <c r="G1" s="5"/>
      <c r="H1" s="5"/>
      <c r="I1" s="6"/>
      <c r="J1" s="3" t="s">
        <v>6</v>
      </c>
      <c r="K1" s="5"/>
      <c r="L1" s="5"/>
      <c r="M1" s="5"/>
      <c r="N1" s="5"/>
      <c r="O1" s="5"/>
      <c r="P1" s="6"/>
      <c r="Q1" s="3" t="s">
        <v>11</v>
      </c>
      <c r="R1" s="5"/>
      <c r="S1" s="5"/>
      <c r="T1" s="5"/>
      <c r="U1" s="6"/>
      <c r="V1" s="3" t="s">
        <v>14</v>
      </c>
      <c r="W1" s="5"/>
      <c r="X1" s="5"/>
      <c r="Y1" s="6"/>
      <c r="Z1" s="3" t="s">
        <v>16</v>
      </c>
      <c r="AA1" s="5"/>
      <c r="AB1" s="5"/>
      <c r="AC1" s="6"/>
      <c r="AD1" s="3" t="s">
        <v>19</v>
      </c>
      <c r="AE1" s="5"/>
      <c r="AF1" s="5"/>
      <c r="AG1" s="6"/>
      <c r="AH1" s="3" t="s">
        <v>21</v>
      </c>
      <c r="AI1" s="5"/>
      <c r="AJ1" s="5"/>
      <c r="AK1" s="6"/>
    </row>
    <row r="2" ht="19.5" customHeight="1">
      <c r="A2" s="18" t="s">
        <v>10</v>
      </c>
      <c r="B2" s="20"/>
      <c r="C2" s="20"/>
      <c r="D2" s="20"/>
      <c r="E2" s="20"/>
      <c r="F2" s="20"/>
      <c r="G2" s="20"/>
      <c r="H2" s="20"/>
      <c r="I2" s="22"/>
      <c r="J2" s="18" t="s">
        <v>26</v>
      </c>
      <c r="K2" s="20"/>
      <c r="L2" s="20"/>
      <c r="M2" s="20"/>
      <c r="N2" s="20"/>
      <c r="O2" s="20"/>
      <c r="P2" s="22"/>
      <c r="Q2" s="18" t="s">
        <v>63</v>
      </c>
      <c r="R2" s="20"/>
      <c r="S2" s="20"/>
      <c r="T2" s="20"/>
      <c r="U2" s="22"/>
      <c r="V2" s="26" t="s">
        <v>17</v>
      </c>
      <c r="W2" s="20"/>
      <c r="X2" s="20"/>
      <c r="Y2" s="22"/>
      <c r="Z2" s="18" t="s">
        <v>18</v>
      </c>
      <c r="AA2" s="20"/>
      <c r="AB2" s="20"/>
      <c r="AC2" s="22"/>
      <c r="AD2" s="26" t="s">
        <v>17</v>
      </c>
      <c r="AE2" s="20"/>
      <c r="AF2" s="20"/>
      <c r="AG2" s="22"/>
      <c r="AH2" s="18" t="s">
        <v>18</v>
      </c>
      <c r="AI2" s="20"/>
      <c r="AJ2" s="20"/>
      <c r="AK2" s="22"/>
    </row>
    <row r="3" ht="19.5" customHeight="1">
      <c r="A3" s="27"/>
      <c r="B3" s="30"/>
      <c r="C3" s="30"/>
      <c r="D3" s="30"/>
      <c r="E3" s="30"/>
      <c r="F3" s="30"/>
      <c r="G3" s="30"/>
      <c r="H3" s="30"/>
      <c r="I3" s="31"/>
      <c r="J3" s="27"/>
      <c r="K3" s="30"/>
      <c r="L3" s="30"/>
      <c r="M3" s="30"/>
      <c r="N3" s="30"/>
      <c r="O3" s="30"/>
      <c r="P3" s="31"/>
      <c r="Q3" s="27"/>
      <c r="R3" s="30"/>
      <c r="S3" s="30"/>
      <c r="T3" s="30"/>
      <c r="U3" s="31"/>
      <c r="V3" s="27"/>
      <c r="W3" s="30"/>
      <c r="X3" s="30"/>
      <c r="Y3" s="31"/>
      <c r="Z3" s="27"/>
      <c r="AA3" s="30"/>
      <c r="AB3" s="30"/>
      <c r="AC3" s="31"/>
      <c r="AD3" s="27"/>
      <c r="AE3" s="30"/>
      <c r="AF3" s="30"/>
      <c r="AG3" s="31"/>
      <c r="AH3" s="27"/>
      <c r="AI3" s="30"/>
      <c r="AJ3" s="30"/>
      <c r="AK3" s="31"/>
    </row>
    <row r="5" ht="19.5" customHeight="1">
      <c r="B5" s="32" t="s">
        <v>64</v>
      </c>
    </row>
    <row r="7" ht="28.5" customHeight="1">
      <c r="B7" s="46" t="s">
        <v>24</v>
      </c>
      <c r="C7" s="45" t="s">
        <v>66</v>
      </c>
      <c r="D7" s="5"/>
      <c r="E7" s="6"/>
      <c r="F7" s="45" t="s">
        <v>68</v>
      </c>
      <c r="G7" s="5"/>
      <c r="H7" s="5"/>
      <c r="I7" s="5"/>
      <c r="J7" s="5"/>
      <c r="K7" s="5"/>
      <c r="L7" s="6"/>
      <c r="M7" s="45" t="s">
        <v>70</v>
      </c>
      <c r="N7" s="5"/>
      <c r="O7" s="5"/>
      <c r="P7" s="5"/>
      <c r="Q7" s="5"/>
      <c r="R7" s="5"/>
      <c r="S7" s="5"/>
      <c r="T7" s="6"/>
      <c r="U7" s="45" t="s">
        <v>72</v>
      </c>
      <c r="V7" s="6"/>
      <c r="W7" s="45" t="s">
        <v>73</v>
      </c>
      <c r="X7" s="5"/>
      <c r="Y7" s="5"/>
      <c r="Z7" s="5"/>
      <c r="AA7" s="5"/>
      <c r="AB7" s="5"/>
      <c r="AC7" s="6"/>
      <c r="AD7" s="45" t="s">
        <v>74</v>
      </c>
      <c r="AE7" s="5"/>
      <c r="AF7" s="6"/>
    </row>
    <row r="8" ht="30.0" customHeight="1">
      <c r="B8" s="47">
        <v>1.0</v>
      </c>
      <c r="C8" s="48" t="s">
        <v>75</v>
      </c>
      <c r="D8" s="5"/>
      <c r="E8" s="6"/>
      <c r="F8" s="49" t="s">
        <v>76</v>
      </c>
      <c r="G8" s="5"/>
      <c r="H8" s="5"/>
      <c r="I8" s="5"/>
      <c r="J8" s="5"/>
      <c r="K8" s="5"/>
      <c r="L8" s="6"/>
      <c r="M8" s="49" t="s">
        <v>77</v>
      </c>
      <c r="N8" s="5"/>
      <c r="O8" s="5"/>
      <c r="P8" s="5"/>
      <c r="Q8" s="5"/>
      <c r="R8" s="5"/>
      <c r="S8" s="5"/>
      <c r="T8" s="6"/>
      <c r="U8" s="50" t="s">
        <v>79</v>
      </c>
      <c r="V8" s="6"/>
      <c r="W8" s="49" t="s">
        <v>80</v>
      </c>
      <c r="X8" s="5"/>
      <c r="Y8" s="5"/>
      <c r="Z8" s="5"/>
      <c r="AA8" s="5"/>
      <c r="AB8" s="5"/>
      <c r="AC8" s="6"/>
      <c r="AD8" s="48">
        <v>265.0</v>
      </c>
      <c r="AE8" s="5"/>
      <c r="AF8" s="6"/>
    </row>
    <row r="9" ht="30.0" customHeight="1">
      <c r="B9" s="47">
        <v>2.0</v>
      </c>
      <c r="C9" s="48" t="s">
        <v>83</v>
      </c>
      <c r="D9" s="5"/>
      <c r="E9" s="6"/>
      <c r="F9" s="49" t="s">
        <v>76</v>
      </c>
      <c r="G9" s="5"/>
      <c r="H9" s="5"/>
      <c r="I9" s="5"/>
      <c r="J9" s="5"/>
      <c r="K9" s="5"/>
      <c r="L9" s="6"/>
      <c r="M9" s="49" t="s">
        <v>85</v>
      </c>
      <c r="N9" s="5"/>
      <c r="O9" s="5"/>
      <c r="P9" s="5"/>
      <c r="Q9" s="5"/>
      <c r="R9" s="5"/>
      <c r="S9" s="5"/>
      <c r="T9" s="6"/>
      <c r="U9" s="50" t="s">
        <v>79</v>
      </c>
      <c r="V9" s="6"/>
      <c r="W9" s="49" t="s">
        <v>86</v>
      </c>
      <c r="X9" s="5"/>
      <c r="Y9" s="5"/>
      <c r="Z9" s="5"/>
      <c r="AA9" s="5"/>
      <c r="AB9" s="5"/>
      <c r="AC9" s="6"/>
      <c r="AD9" s="48">
        <v>200.0</v>
      </c>
      <c r="AE9" s="5"/>
      <c r="AF9" s="6"/>
    </row>
    <row r="10" ht="36.0" customHeight="1">
      <c r="B10" s="47">
        <v>3.0</v>
      </c>
      <c r="C10" s="48" t="s">
        <v>88</v>
      </c>
      <c r="D10" s="5"/>
      <c r="E10" s="6"/>
      <c r="F10" s="49" t="s">
        <v>76</v>
      </c>
      <c r="G10" s="5"/>
      <c r="H10" s="5"/>
      <c r="I10" s="5"/>
      <c r="J10" s="5"/>
      <c r="K10" s="5"/>
      <c r="L10" s="6"/>
      <c r="M10" s="49" t="s">
        <v>90</v>
      </c>
      <c r="N10" s="5"/>
      <c r="O10" s="5"/>
      <c r="P10" s="5"/>
      <c r="Q10" s="5"/>
      <c r="R10" s="5"/>
      <c r="S10" s="5"/>
      <c r="T10" s="6"/>
      <c r="U10" s="50" t="s">
        <v>79</v>
      </c>
      <c r="V10" s="6"/>
      <c r="W10" s="49" t="s">
        <v>91</v>
      </c>
      <c r="X10" s="5"/>
      <c r="Y10" s="5"/>
      <c r="Z10" s="5"/>
      <c r="AA10" s="5"/>
      <c r="AB10" s="5"/>
      <c r="AC10" s="6"/>
      <c r="AD10" s="48">
        <v>50.0</v>
      </c>
      <c r="AE10" s="5"/>
      <c r="AF10" s="6"/>
    </row>
    <row r="11" ht="30.0" customHeight="1">
      <c r="B11" s="47">
        <v>4.0</v>
      </c>
      <c r="C11" s="48" t="s">
        <v>93</v>
      </c>
      <c r="D11" s="5"/>
      <c r="E11" s="6"/>
      <c r="F11" s="49" t="s">
        <v>76</v>
      </c>
      <c r="G11" s="5"/>
      <c r="H11" s="5"/>
      <c r="I11" s="5"/>
      <c r="J11" s="5"/>
      <c r="K11" s="5"/>
      <c r="L11" s="6"/>
      <c r="M11" s="49" t="s">
        <v>94</v>
      </c>
      <c r="N11" s="5"/>
      <c r="O11" s="5"/>
      <c r="P11" s="5"/>
      <c r="Q11" s="5"/>
      <c r="R11" s="5"/>
      <c r="S11" s="5"/>
      <c r="T11" s="6"/>
      <c r="U11" s="50" t="s">
        <v>79</v>
      </c>
      <c r="V11" s="6"/>
      <c r="W11" s="49" t="s">
        <v>80</v>
      </c>
      <c r="X11" s="5"/>
      <c r="Y11" s="5"/>
      <c r="Z11" s="5"/>
      <c r="AA11" s="5"/>
      <c r="AB11" s="5"/>
      <c r="AC11" s="6"/>
      <c r="AD11" s="48">
        <v>75.0</v>
      </c>
      <c r="AE11" s="5"/>
      <c r="AF11" s="6"/>
    </row>
    <row r="12" ht="30.0" customHeight="1">
      <c r="B12" s="47">
        <v>5.0</v>
      </c>
      <c r="C12" s="48" t="s">
        <v>95</v>
      </c>
      <c r="D12" s="5"/>
      <c r="E12" s="6"/>
      <c r="F12" s="49" t="s">
        <v>76</v>
      </c>
      <c r="G12" s="5"/>
      <c r="H12" s="5"/>
      <c r="I12" s="5"/>
      <c r="J12" s="5"/>
      <c r="K12" s="5"/>
      <c r="L12" s="6"/>
      <c r="M12" s="49" t="s">
        <v>96</v>
      </c>
      <c r="N12" s="5"/>
      <c r="O12" s="5"/>
      <c r="P12" s="5"/>
      <c r="Q12" s="5"/>
      <c r="R12" s="5"/>
      <c r="S12" s="5"/>
      <c r="T12" s="6"/>
      <c r="U12" s="50" t="s">
        <v>79</v>
      </c>
      <c r="V12" s="6"/>
      <c r="W12" s="49" t="s">
        <v>97</v>
      </c>
      <c r="X12" s="5"/>
      <c r="Y12" s="5"/>
      <c r="Z12" s="5"/>
      <c r="AA12" s="5"/>
      <c r="AB12" s="5"/>
      <c r="AC12" s="6"/>
      <c r="AD12" s="48">
        <v>30.0</v>
      </c>
      <c r="AE12" s="5"/>
      <c r="AF12" s="6"/>
    </row>
    <row r="13" ht="30.0" customHeight="1">
      <c r="B13" s="47">
        <v>6.0</v>
      </c>
      <c r="C13" s="48" t="s">
        <v>98</v>
      </c>
      <c r="D13" s="5"/>
      <c r="E13" s="6"/>
      <c r="F13" s="49" t="s">
        <v>76</v>
      </c>
      <c r="G13" s="5"/>
      <c r="H13" s="5"/>
      <c r="I13" s="5"/>
      <c r="J13" s="5"/>
      <c r="K13" s="5"/>
      <c r="L13" s="6"/>
      <c r="M13" s="49" t="s">
        <v>100</v>
      </c>
      <c r="N13" s="5"/>
      <c r="O13" s="5"/>
      <c r="P13" s="5"/>
      <c r="Q13" s="5"/>
      <c r="R13" s="5"/>
      <c r="S13" s="5"/>
      <c r="T13" s="6"/>
      <c r="U13" s="50" t="s">
        <v>79</v>
      </c>
      <c r="V13" s="6"/>
      <c r="W13" s="49" t="s">
        <v>101</v>
      </c>
      <c r="X13" s="5"/>
      <c r="Y13" s="5"/>
      <c r="Z13" s="5"/>
      <c r="AA13" s="5"/>
      <c r="AB13" s="5"/>
      <c r="AC13" s="6"/>
      <c r="AD13" s="48">
        <v>50.0</v>
      </c>
      <c r="AE13" s="5"/>
      <c r="AF13" s="6"/>
    </row>
    <row r="14" ht="30.0" customHeight="1">
      <c r="B14" s="47">
        <v>7.0</v>
      </c>
      <c r="C14" s="48" t="s">
        <v>102</v>
      </c>
      <c r="D14" s="5"/>
      <c r="E14" s="6"/>
      <c r="F14" s="49" t="s">
        <v>76</v>
      </c>
      <c r="G14" s="5"/>
      <c r="H14" s="5"/>
      <c r="I14" s="5"/>
      <c r="J14" s="5"/>
      <c r="K14" s="5"/>
      <c r="L14" s="6"/>
      <c r="M14" s="49" t="s">
        <v>103</v>
      </c>
      <c r="N14" s="5"/>
      <c r="O14" s="5"/>
      <c r="P14" s="5"/>
      <c r="Q14" s="5"/>
      <c r="R14" s="5"/>
      <c r="S14" s="5"/>
      <c r="T14" s="6"/>
      <c r="U14" s="50" t="s">
        <v>79</v>
      </c>
      <c r="V14" s="6"/>
      <c r="W14" s="49" t="s">
        <v>97</v>
      </c>
      <c r="X14" s="5"/>
      <c r="Y14" s="5"/>
      <c r="Z14" s="5"/>
      <c r="AA14" s="5"/>
      <c r="AB14" s="5"/>
      <c r="AC14" s="6"/>
      <c r="AD14" s="48">
        <v>10.0</v>
      </c>
      <c r="AE14" s="5"/>
      <c r="AF14" s="6"/>
    </row>
    <row r="15" ht="30.0" customHeight="1">
      <c r="B15" s="47">
        <v>8.0</v>
      </c>
      <c r="C15" s="48" t="s">
        <v>106</v>
      </c>
      <c r="D15" s="5"/>
      <c r="E15" s="6"/>
      <c r="F15" s="49" t="s">
        <v>76</v>
      </c>
      <c r="G15" s="5"/>
      <c r="H15" s="5"/>
      <c r="I15" s="5"/>
      <c r="J15" s="5"/>
      <c r="K15" s="5"/>
      <c r="L15" s="6"/>
      <c r="M15" s="49" t="s">
        <v>109</v>
      </c>
      <c r="N15" s="5"/>
      <c r="O15" s="5"/>
      <c r="P15" s="5"/>
      <c r="Q15" s="5"/>
      <c r="R15" s="5"/>
      <c r="S15" s="5"/>
      <c r="T15" s="6"/>
      <c r="U15" s="53" t="s">
        <v>114</v>
      </c>
      <c r="V15" s="6"/>
      <c r="W15" s="49" t="s">
        <v>115</v>
      </c>
      <c r="X15" s="5"/>
      <c r="Y15" s="5"/>
      <c r="Z15" s="5"/>
      <c r="AA15" s="5"/>
      <c r="AB15" s="5"/>
      <c r="AC15" s="6"/>
      <c r="AD15" s="48">
        <v>20.0</v>
      </c>
      <c r="AE15" s="5"/>
      <c r="AF15" s="6"/>
    </row>
    <row r="16" ht="30.0" customHeight="1">
      <c r="B16" s="47">
        <v>9.0</v>
      </c>
      <c r="C16" s="48" t="s">
        <v>117</v>
      </c>
      <c r="D16" s="5"/>
      <c r="E16" s="6"/>
      <c r="F16" s="49" t="s">
        <v>76</v>
      </c>
      <c r="G16" s="5"/>
      <c r="H16" s="5"/>
      <c r="I16" s="5"/>
      <c r="J16" s="5"/>
      <c r="K16" s="5"/>
      <c r="L16" s="6"/>
      <c r="M16" s="49" t="s">
        <v>120</v>
      </c>
      <c r="N16" s="5"/>
      <c r="O16" s="5"/>
      <c r="P16" s="5"/>
      <c r="Q16" s="5"/>
      <c r="R16" s="5"/>
      <c r="S16" s="5"/>
      <c r="T16" s="6"/>
      <c r="U16" s="50" t="s">
        <v>79</v>
      </c>
      <c r="V16" s="6"/>
      <c r="W16" s="49" t="s">
        <v>122</v>
      </c>
      <c r="X16" s="5"/>
      <c r="Y16" s="5"/>
      <c r="Z16" s="5"/>
      <c r="AA16" s="5"/>
      <c r="AB16" s="5"/>
      <c r="AC16" s="6"/>
      <c r="AD16" s="48">
        <v>8.0</v>
      </c>
      <c r="AE16" s="5"/>
      <c r="AF16" s="6"/>
    </row>
    <row r="17" ht="30.0" customHeight="1">
      <c r="B17" s="47">
        <v>10.0</v>
      </c>
      <c r="C17" s="48" t="s">
        <v>124</v>
      </c>
      <c r="D17" s="5"/>
      <c r="E17" s="6"/>
      <c r="F17" s="49" t="s">
        <v>76</v>
      </c>
      <c r="G17" s="5"/>
      <c r="H17" s="5"/>
      <c r="I17" s="5"/>
      <c r="J17" s="5"/>
      <c r="K17" s="5"/>
      <c r="L17" s="6"/>
      <c r="M17" s="49" t="s">
        <v>126</v>
      </c>
      <c r="N17" s="5"/>
      <c r="O17" s="5"/>
      <c r="P17" s="5"/>
      <c r="Q17" s="5"/>
      <c r="R17" s="5"/>
      <c r="S17" s="5"/>
      <c r="T17" s="6"/>
      <c r="U17" s="50" t="s">
        <v>79</v>
      </c>
      <c r="V17" s="6"/>
      <c r="W17" s="49" t="s">
        <v>127</v>
      </c>
      <c r="X17" s="5"/>
      <c r="Y17" s="5"/>
      <c r="Z17" s="5"/>
      <c r="AA17" s="5"/>
      <c r="AB17" s="5"/>
      <c r="AC17" s="6"/>
      <c r="AD17" s="48">
        <v>30.0</v>
      </c>
      <c r="AE17" s="5"/>
      <c r="AF17" s="6"/>
    </row>
    <row r="18" ht="30.0" customHeight="1">
      <c r="B18" s="47">
        <v>11.0</v>
      </c>
      <c r="C18" s="48" t="s">
        <v>128</v>
      </c>
      <c r="D18" s="5"/>
      <c r="E18" s="6"/>
      <c r="F18" s="49" t="s">
        <v>129</v>
      </c>
      <c r="G18" s="5"/>
      <c r="H18" s="5"/>
      <c r="I18" s="5"/>
      <c r="J18" s="5"/>
      <c r="K18" s="5"/>
      <c r="L18" s="6"/>
      <c r="M18" s="49" t="s">
        <v>132</v>
      </c>
      <c r="N18" s="5"/>
      <c r="O18" s="5"/>
      <c r="P18" s="5"/>
      <c r="Q18" s="5"/>
      <c r="R18" s="5"/>
      <c r="S18" s="5"/>
      <c r="T18" s="6"/>
      <c r="U18" s="53" t="s">
        <v>114</v>
      </c>
      <c r="V18" s="6"/>
      <c r="W18" s="49" t="s">
        <v>135</v>
      </c>
      <c r="X18" s="5"/>
      <c r="Y18" s="5"/>
      <c r="Z18" s="5"/>
      <c r="AA18" s="5"/>
      <c r="AB18" s="5"/>
      <c r="AC18" s="6"/>
      <c r="AD18" s="48">
        <v>100.0</v>
      </c>
      <c r="AE18" s="5"/>
      <c r="AF18" s="6"/>
    </row>
    <row r="19" ht="30.0" customHeight="1">
      <c r="B19" s="47">
        <v>12.0</v>
      </c>
      <c r="C19" s="48" t="s">
        <v>138</v>
      </c>
      <c r="D19" s="5"/>
      <c r="E19" s="6"/>
      <c r="F19" s="49" t="s">
        <v>129</v>
      </c>
      <c r="G19" s="5"/>
      <c r="H19" s="5"/>
      <c r="I19" s="5"/>
      <c r="J19" s="5"/>
      <c r="K19" s="5"/>
      <c r="L19" s="6"/>
      <c r="M19" s="49" t="s">
        <v>140</v>
      </c>
      <c r="N19" s="5"/>
      <c r="O19" s="5"/>
      <c r="P19" s="5"/>
      <c r="Q19" s="5"/>
      <c r="R19" s="5"/>
      <c r="S19" s="5"/>
      <c r="T19" s="6"/>
      <c r="U19" s="53" t="s">
        <v>114</v>
      </c>
      <c r="V19" s="6"/>
      <c r="W19" s="49" t="s">
        <v>135</v>
      </c>
      <c r="X19" s="5"/>
      <c r="Y19" s="5"/>
      <c r="Z19" s="5"/>
      <c r="AA19" s="5"/>
      <c r="AB19" s="5"/>
      <c r="AC19" s="6"/>
      <c r="AD19" s="48">
        <v>80.0</v>
      </c>
      <c r="AE19" s="5"/>
      <c r="AF19" s="6"/>
    </row>
    <row r="20" ht="30.0" customHeight="1">
      <c r="B20" s="47">
        <v>13.0</v>
      </c>
      <c r="C20" s="48" t="s">
        <v>141</v>
      </c>
      <c r="D20" s="5"/>
      <c r="E20" s="6"/>
      <c r="F20" s="49" t="s">
        <v>129</v>
      </c>
      <c r="G20" s="5"/>
      <c r="H20" s="5"/>
      <c r="I20" s="5"/>
      <c r="J20" s="5"/>
      <c r="K20" s="5"/>
      <c r="L20" s="6"/>
      <c r="M20" s="49" t="s">
        <v>144</v>
      </c>
      <c r="N20" s="5"/>
      <c r="O20" s="5"/>
      <c r="P20" s="5"/>
      <c r="Q20" s="5"/>
      <c r="R20" s="5"/>
      <c r="S20" s="5"/>
      <c r="T20" s="6"/>
      <c r="U20" s="53" t="s">
        <v>114</v>
      </c>
      <c r="V20" s="6"/>
      <c r="W20" s="49" t="s">
        <v>101</v>
      </c>
      <c r="X20" s="5"/>
      <c r="Y20" s="5"/>
      <c r="Z20" s="5"/>
      <c r="AA20" s="5"/>
      <c r="AB20" s="5"/>
      <c r="AC20" s="6"/>
      <c r="AD20" s="48">
        <v>60.0</v>
      </c>
      <c r="AE20" s="5"/>
      <c r="AF20" s="6"/>
    </row>
    <row r="21" ht="30.0" customHeight="1">
      <c r="B21" s="47">
        <v>14.0</v>
      </c>
      <c r="C21" s="48" t="s">
        <v>148</v>
      </c>
      <c r="D21" s="5"/>
      <c r="E21" s="6"/>
      <c r="F21" s="49" t="s">
        <v>129</v>
      </c>
      <c r="G21" s="5"/>
      <c r="H21" s="5"/>
      <c r="I21" s="5"/>
      <c r="J21" s="5"/>
      <c r="K21" s="5"/>
      <c r="L21" s="6"/>
      <c r="M21" s="49" t="s">
        <v>149</v>
      </c>
      <c r="N21" s="5"/>
      <c r="O21" s="5"/>
      <c r="P21" s="5"/>
      <c r="Q21" s="5"/>
      <c r="R21" s="5"/>
      <c r="S21" s="5"/>
      <c r="T21" s="6"/>
      <c r="U21" s="53" t="s">
        <v>114</v>
      </c>
      <c r="V21" s="6"/>
      <c r="W21" s="49" t="s">
        <v>135</v>
      </c>
      <c r="X21" s="5"/>
      <c r="Y21" s="5"/>
      <c r="Z21" s="5"/>
      <c r="AA21" s="5"/>
      <c r="AB21" s="5"/>
      <c r="AC21" s="6"/>
      <c r="AD21" s="48">
        <v>50.0</v>
      </c>
      <c r="AE21" s="5"/>
      <c r="AF21" s="6"/>
    </row>
    <row r="22" ht="30.0" customHeight="1">
      <c r="B22" s="47">
        <v>15.0</v>
      </c>
      <c r="C22" s="48" t="s">
        <v>154</v>
      </c>
      <c r="D22" s="5"/>
      <c r="E22" s="6"/>
      <c r="F22" s="49" t="s">
        <v>129</v>
      </c>
      <c r="G22" s="5"/>
      <c r="H22" s="5"/>
      <c r="I22" s="5"/>
      <c r="J22" s="5"/>
      <c r="K22" s="5"/>
      <c r="L22" s="6"/>
      <c r="M22" s="49" t="s">
        <v>157</v>
      </c>
      <c r="N22" s="5"/>
      <c r="O22" s="5"/>
      <c r="P22" s="5"/>
      <c r="Q22" s="5"/>
      <c r="R22" s="5"/>
      <c r="S22" s="5"/>
      <c r="T22" s="6"/>
      <c r="U22" s="53" t="s">
        <v>114</v>
      </c>
      <c r="V22" s="6"/>
      <c r="W22" s="49" t="s">
        <v>158</v>
      </c>
      <c r="X22" s="5"/>
      <c r="Y22" s="5"/>
      <c r="Z22" s="5"/>
      <c r="AA22" s="5"/>
      <c r="AB22" s="5"/>
      <c r="AC22" s="6"/>
      <c r="AD22" s="48">
        <v>30.0</v>
      </c>
      <c r="AE22" s="5"/>
      <c r="AF22" s="6"/>
    </row>
    <row r="23" ht="30.0" customHeight="1">
      <c r="B23" s="47">
        <v>16.0</v>
      </c>
      <c r="C23" s="48" t="s">
        <v>159</v>
      </c>
      <c r="D23" s="5"/>
      <c r="E23" s="6"/>
      <c r="F23" s="49" t="s">
        <v>129</v>
      </c>
      <c r="G23" s="5"/>
      <c r="H23" s="5"/>
      <c r="I23" s="5"/>
      <c r="J23" s="5"/>
      <c r="K23" s="5"/>
      <c r="L23" s="6"/>
      <c r="M23" s="49" t="s">
        <v>160</v>
      </c>
      <c r="N23" s="5"/>
      <c r="O23" s="5"/>
      <c r="P23" s="5"/>
      <c r="Q23" s="5"/>
      <c r="R23" s="5"/>
      <c r="S23" s="5"/>
      <c r="T23" s="6"/>
      <c r="U23" s="50" t="s">
        <v>79</v>
      </c>
      <c r="V23" s="6"/>
      <c r="W23" s="49" t="s">
        <v>164</v>
      </c>
      <c r="X23" s="5"/>
      <c r="Y23" s="5"/>
      <c r="Z23" s="5"/>
      <c r="AA23" s="5"/>
      <c r="AB23" s="5"/>
      <c r="AC23" s="6"/>
      <c r="AD23" s="48">
        <v>15.0</v>
      </c>
      <c r="AE23" s="5"/>
      <c r="AF23" s="6"/>
    </row>
    <row r="24" ht="36.0" customHeight="1">
      <c r="B24" s="47">
        <v>17.0</v>
      </c>
      <c r="C24" s="48" t="s">
        <v>167</v>
      </c>
      <c r="D24" s="5"/>
      <c r="E24" s="6"/>
      <c r="F24" s="49" t="s">
        <v>129</v>
      </c>
      <c r="G24" s="5"/>
      <c r="H24" s="5"/>
      <c r="I24" s="5"/>
      <c r="J24" s="5"/>
      <c r="K24" s="5"/>
      <c r="L24" s="6"/>
      <c r="M24" s="49" t="s">
        <v>168</v>
      </c>
      <c r="N24" s="5"/>
      <c r="O24" s="5"/>
      <c r="P24" s="5"/>
      <c r="Q24" s="5"/>
      <c r="R24" s="5"/>
      <c r="S24" s="5"/>
      <c r="T24" s="6"/>
      <c r="U24" s="53" t="s">
        <v>114</v>
      </c>
      <c r="V24" s="6"/>
      <c r="W24" s="49" t="s">
        <v>169</v>
      </c>
      <c r="X24" s="5"/>
      <c r="Y24" s="5"/>
      <c r="Z24" s="5"/>
      <c r="AA24" s="5"/>
      <c r="AB24" s="5"/>
      <c r="AC24" s="6"/>
      <c r="AD24" s="48">
        <v>45.0</v>
      </c>
      <c r="AE24" s="5"/>
      <c r="AF24" s="6"/>
    </row>
    <row r="25" ht="30.0" customHeight="1">
      <c r="B25" s="47">
        <v>18.0</v>
      </c>
      <c r="C25" s="48" t="s">
        <v>173</v>
      </c>
      <c r="D25" s="5"/>
      <c r="E25" s="6"/>
      <c r="F25" s="49" t="s">
        <v>129</v>
      </c>
      <c r="G25" s="5"/>
      <c r="H25" s="5"/>
      <c r="I25" s="5"/>
      <c r="J25" s="5"/>
      <c r="K25" s="5"/>
      <c r="L25" s="6"/>
      <c r="M25" s="49" t="s">
        <v>175</v>
      </c>
      <c r="N25" s="5"/>
      <c r="O25" s="5"/>
      <c r="P25" s="5"/>
      <c r="Q25" s="5"/>
      <c r="R25" s="5"/>
      <c r="S25" s="5"/>
      <c r="T25" s="6"/>
      <c r="U25" s="53" t="s">
        <v>114</v>
      </c>
      <c r="V25" s="6"/>
      <c r="W25" s="49" t="s">
        <v>177</v>
      </c>
      <c r="X25" s="5"/>
      <c r="Y25" s="5"/>
      <c r="Z25" s="5"/>
      <c r="AA25" s="5"/>
      <c r="AB25" s="5"/>
      <c r="AC25" s="6"/>
      <c r="AD25" s="48">
        <v>30.0</v>
      </c>
      <c r="AE25" s="5"/>
      <c r="AF25" s="6"/>
    </row>
    <row r="26" ht="36.0" customHeight="1">
      <c r="B26" s="47">
        <v>19.0</v>
      </c>
      <c r="C26" s="48" t="s">
        <v>178</v>
      </c>
      <c r="D26" s="5"/>
      <c r="E26" s="6"/>
      <c r="F26" s="49" t="s">
        <v>129</v>
      </c>
      <c r="G26" s="5"/>
      <c r="H26" s="5"/>
      <c r="I26" s="5"/>
      <c r="J26" s="5"/>
      <c r="K26" s="5"/>
      <c r="L26" s="6"/>
      <c r="M26" s="49" t="s">
        <v>179</v>
      </c>
      <c r="N26" s="5"/>
      <c r="O26" s="5"/>
      <c r="P26" s="5"/>
      <c r="Q26" s="5"/>
      <c r="R26" s="5"/>
      <c r="S26" s="5"/>
      <c r="T26" s="6"/>
      <c r="U26" s="53" t="s">
        <v>114</v>
      </c>
      <c r="V26" s="6"/>
      <c r="W26" s="49" t="s">
        <v>180</v>
      </c>
      <c r="X26" s="5"/>
      <c r="Y26" s="5"/>
      <c r="Z26" s="5"/>
      <c r="AA26" s="5"/>
      <c r="AB26" s="5"/>
      <c r="AC26" s="6"/>
      <c r="AD26" s="48">
        <v>25.0</v>
      </c>
      <c r="AE26" s="5"/>
      <c r="AF26" s="6"/>
    </row>
    <row r="27" ht="30.0" customHeight="1">
      <c r="B27" s="47">
        <v>20.0</v>
      </c>
      <c r="C27" s="48" t="s">
        <v>185</v>
      </c>
      <c r="D27" s="5"/>
      <c r="E27" s="6"/>
      <c r="F27" s="49" t="s">
        <v>187</v>
      </c>
      <c r="G27" s="5"/>
      <c r="H27" s="5"/>
      <c r="I27" s="5"/>
      <c r="J27" s="5"/>
      <c r="K27" s="5"/>
      <c r="L27" s="6"/>
      <c r="M27" s="49" t="s">
        <v>188</v>
      </c>
      <c r="N27" s="5"/>
      <c r="O27" s="5"/>
      <c r="P27" s="5"/>
      <c r="Q27" s="5"/>
      <c r="R27" s="5"/>
      <c r="S27" s="5"/>
      <c r="T27" s="6"/>
      <c r="U27" s="50" t="s">
        <v>79</v>
      </c>
      <c r="V27" s="6"/>
      <c r="W27" s="49" t="s">
        <v>177</v>
      </c>
      <c r="X27" s="5"/>
      <c r="Y27" s="5"/>
      <c r="Z27" s="5"/>
      <c r="AA27" s="5"/>
      <c r="AB27" s="5"/>
      <c r="AC27" s="6"/>
      <c r="AD27" s="48">
        <v>60.0</v>
      </c>
      <c r="AE27" s="5"/>
      <c r="AF27" s="6"/>
    </row>
    <row r="28" ht="30.0" customHeight="1">
      <c r="B28" s="47">
        <v>21.0</v>
      </c>
      <c r="C28" s="48" t="s">
        <v>189</v>
      </c>
      <c r="D28" s="5"/>
      <c r="E28" s="6"/>
      <c r="F28" s="49" t="s">
        <v>187</v>
      </c>
      <c r="G28" s="5"/>
      <c r="H28" s="5"/>
      <c r="I28" s="5"/>
      <c r="J28" s="5"/>
      <c r="K28" s="5"/>
      <c r="L28" s="6"/>
      <c r="M28" s="49" t="s">
        <v>192</v>
      </c>
      <c r="N28" s="5"/>
      <c r="O28" s="5"/>
      <c r="P28" s="5"/>
      <c r="Q28" s="5"/>
      <c r="R28" s="5"/>
      <c r="S28" s="5"/>
      <c r="T28" s="6"/>
      <c r="U28" s="53" t="s">
        <v>114</v>
      </c>
      <c r="V28" s="6"/>
      <c r="W28" s="49" t="s">
        <v>196</v>
      </c>
      <c r="X28" s="5"/>
      <c r="Y28" s="5"/>
      <c r="Z28" s="5"/>
      <c r="AA28" s="5"/>
      <c r="AB28" s="5"/>
      <c r="AC28" s="6"/>
      <c r="AD28" s="48">
        <v>16.0</v>
      </c>
      <c r="AE28" s="5"/>
      <c r="AF28" s="6"/>
    </row>
    <row r="29" ht="30.0" customHeight="1">
      <c r="B29" s="47">
        <v>22.0</v>
      </c>
      <c r="C29" s="48" t="s">
        <v>197</v>
      </c>
      <c r="D29" s="5"/>
      <c r="E29" s="6"/>
      <c r="F29" s="49" t="s">
        <v>187</v>
      </c>
      <c r="G29" s="5"/>
      <c r="H29" s="5"/>
      <c r="I29" s="5"/>
      <c r="J29" s="5"/>
      <c r="K29" s="5"/>
      <c r="L29" s="6"/>
      <c r="M29" s="49" t="s">
        <v>198</v>
      </c>
      <c r="N29" s="5"/>
      <c r="O29" s="5"/>
      <c r="P29" s="5"/>
      <c r="Q29" s="5"/>
      <c r="R29" s="5"/>
      <c r="S29" s="5"/>
      <c r="T29" s="6"/>
      <c r="U29" s="50" t="s">
        <v>79</v>
      </c>
      <c r="V29" s="6"/>
      <c r="W29" s="49" t="s">
        <v>201</v>
      </c>
      <c r="X29" s="5"/>
      <c r="Y29" s="5"/>
      <c r="Z29" s="5"/>
      <c r="AA29" s="5"/>
      <c r="AB29" s="5"/>
      <c r="AC29" s="6"/>
      <c r="AD29" s="48">
        <v>18.0</v>
      </c>
      <c r="AE29" s="5"/>
      <c r="AF29" s="6"/>
    </row>
    <row r="30" ht="30.0" customHeight="1">
      <c r="B30" s="47">
        <v>23.0</v>
      </c>
      <c r="C30" s="48" t="s">
        <v>205</v>
      </c>
      <c r="D30" s="5"/>
      <c r="E30" s="6"/>
      <c r="F30" s="49" t="s">
        <v>187</v>
      </c>
      <c r="G30" s="5"/>
      <c r="H30" s="5"/>
      <c r="I30" s="5"/>
      <c r="J30" s="5"/>
      <c r="K30" s="5"/>
      <c r="L30" s="6"/>
      <c r="M30" s="49" t="s">
        <v>206</v>
      </c>
      <c r="N30" s="5"/>
      <c r="O30" s="5"/>
      <c r="P30" s="5"/>
      <c r="Q30" s="5"/>
      <c r="R30" s="5"/>
      <c r="S30" s="5"/>
      <c r="T30" s="6"/>
      <c r="U30" s="53" t="s">
        <v>114</v>
      </c>
      <c r="V30" s="6"/>
      <c r="W30" s="49" t="s">
        <v>207</v>
      </c>
      <c r="X30" s="5"/>
      <c r="Y30" s="5"/>
      <c r="Z30" s="5"/>
      <c r="AA30" s="5"/>
      <c r="AB30" s="5"/>
      <c r="AC30" s="6"/>
      <c r="AD30" s="48">
        <v>8.0</v>
      </c>
      <c r="AE30" s="5"/>
      <c r="AF30" s="6"/>
    </row>
    <row r="31" ht="30.0" customHeight="1">
      <c r="B31" s="47">
        <v>24.0</v>
      </c>
      <c r="C31" s="48" t="s">
        <v>208</v>
      </c>
      <c r="D31" s="5"/>
      <c r="E31" s="6"/>
      <c r="F31" s="49" t="s">
        <v>187</v>
      </c>
      <c r="G31" s="5"/>
      <c r="H31" s="5"/>
      <c r="I31" s="5"/>
      <c r="J31" s="5"/>
      <c r="K31" s="5"/>
      <c r="L31" s="6"/>
      <c r="M31" s="49" t="s">
        <v>210</v>
      </c>
      <c r="N31" s="5"/>
      <c r="O31" s="5"/>
      <c r="P31" s="5"/>
      <c r="Q31" s="5"/>
      <c r="R31" s="5"/>
      <c r="S31" s="5"/>
      <c r="T31" s="6"/>
      <c r="U31" s="50" t="s">
        <v>79</v>
      </c>
      <c r="V31" s="6"/>
      <c r="W31" s="49" t="s">
        <v>212</v>
      </c>
      <c r="X31" s="5"/>
      <c r="Y31" s="5"/>
      <c r="Z31" s="5"/>
      <c r="AA31" s="5"/>
      <c r="AB31" s="5"/>
      <c r="AC31" s="6"/>
      <c r="AD31" s="48">
        <v>10.0</v>
      </c>
      <c r="AE31" s="5"/>
      <c r="AF31" s="6"/>
    </row>
    <row r="32" ht="30.0" customHeight="1">
      <c r="B32" s="47">
        <v>25.0</v>
      </c>
      <c r="C32" s="48" t="s">
        <v>213</v>
      </c>
      <c r="D32" s="5"/>
      <c r="E32" s="6"/>
      <c r="F32" s="49" t="s">
        <v>187</v>
      </c>
      <c r="G32" s="5"/>
      <c r="H32" s="5"/>
      <c r="I32" s="5"/>
      <c r="J32" s="5"/>
      <c r="K32" s="5"/>
      <c r="L32" s="6"/>
      <c r="M32" s="49" t="s">
        <v>214</v>
      </c>
      <c r="N32" s="5"/>
      <c r="O32" s="5"/>
      <c r="P32" s="5"/>
      <c r="Q32" s="5"/>
      <c r="R32" s="5"/>
      <c r="S32" s="5"/>
      <c r="T32" s="6"/>
      <c r="U32" s="53" t="s">
        <v>114</v>
      </c>
      <c r="V32" s="6"/>
      <c r="W32" s="49" t="s">
        <v>218</v>
      </c>
      <c r="X32" s="5"/>
      <c r="Y32" s="5"/>
      <c r="Z32" s="5"/>
      <c r="AA32" s="5"/>
      <c r="AB32" s="5"/>
      <c r="AC32" s="6"/>
      <c r="AD32" s="48">
        <v>30.0</v>
      </c>
      <c r="AE32" s="5"/>
      <c r="AF32" s="6"/>
    </row>
    <row r="33" ht="30.0" customHeight="1">
      <c r="B33" s="47">
        <v>26.0</v>
      </c>
      <c r="C33" s="48" t="s">
        <v>221</v>
      </c>
      <c r="D33" s="5"/>
      <c r="E33" s="6"/>
      <c r="F33" s="49" t="s">
        <v>187</v>
      </c>
      <c r="G33" s="5"/>
      <c r="H33" s="5"/>
      <c r="I33" s="5"/>
      <c r="J33" s="5"/>
      <c r="K33" s="5"/>
      <c r="L33" s="6"/>
      <c r="M33" s="49" t="s">
        <v>222</v>
      </c>
      <c r="N33" s="5"/>
      <c r="O33" s="5"/>
      <c r="P33" s="5"/>
      <c r="Q33" s="5"/>
      <c r="R33" s="5"/>
      <c r="S33" s="5"/>
      <c r="T33" s="6"/>
      <c r="U33" s="50" t="s">
        <v>79</v>
      </c>
      <c r="V33" s="6"/>
      <c r="W33" s="49" t="s">
        <v>223</v>
      </c>
      <c r="X33" s="5"/>
      <c r="Y33" s="5"/>
      <c r="Z33" s="5"/>
      <c r="AA33" s="5"/>
      <c r="AB33" s="5"/>
      <c r="AC33" s="6"/>
      <c r="AD33" s="48">
        <v>15.0</v>
      </c>
      <c r="AE33" s="5"/>
      <c r="AF33" s="6"/>
    </row>
    <row r="34" ht="30.0" customHeight="1">
      <c r="B34" s="47">
        <v>27.0</v>
      </c>
      <c r="C34" s="48" t="s">
        <v>224</v>
      </c>
      <c r="D34" s="5"/>
      <c r="E34" s="6"/>
      <c r="F34" s="49" t="s">
        <v>187</v>
      </c>
      <c r="G34" s="5"/>
      <c r="H34" s="5"/>
      <c r="I34" s="5"/>
      <c r="J34" s="5"/>
      <c r="K34" s="5"/>
      <c r="L34" s="6"/>
      <c r="M34" s="49" t="s">
        <v>226</v>
      </c>
      <c r="N34" s="5"/>
      <c r="O34" s="5"/>
      <c r="P34" s="5"/>
      <c r="Q34" s="5"/>
      <c r="R34" s="5"/>
      <c r="S34" s="5"/>
      <c r="T34" s="6"/>
      <c r="U34" s="50" t="s">
        <v>79</v>
      </c>
      <c r="V34" s="6"/>
      <c r="W34" s="49" t="s">
        <v>228</v>
      </c>
      <c r="X34" s="5"/>
      <c r="Y34" s="5"/>
      <c r="Z34" s="5"/>
      <c r="AA34" s="5"/>
      <c r="AB34" s="5"/>
      <c r="AC34" s="6"/>
      <c r="AD34" s="48">
        <v>18.0</v>
      </c>
      <c r="AE34" s="5"/>
      <c r="AF34" s="6"/>
    </row>
    <row r="35" ht="30.0" customHeight="1">
      <c r="B35" s="47">
        <v>28.0</v>
      </c>
      <c r="C35" s="48" t="s">
        <v>230</v>
      </c>
      <c r="D35" s="5"/>
      <c r="E35" s="6"/>
      <c r="F35" s="49" t="s">
        <v>232</v>
      </c>
      <c r="G35" s="5"/>
      <c r="H35" s="5"/>
      <c r="I35" s="5"/>
      <c r="J35" s="5"/>
      <c r="K35" s="5"/>
      <c r="L35" s="6"/>
      <c r="M35" s="49" t="s">
        <v>233</v>
      </c>
      <c r="N35" s="5"/>
      <c r="O35" s="5"/>
      <c r="P35" s="5"/>
      <c r="Q35" s="5"/>
      <c r="R35" s="5"/>
      <c r="S35" s="5"/>
      <c r="T35" s="6"/>
      <c r="U35" s="50" t="s">
        <v>79</v>
      </c>
      <c r="V35" s="6"/>
      <c r="W35" s="49" t="s">
        <v>234</v>
      </c>
      <c r="X35" s="5"/>
      <c r="Y35" s="5"/>
      <c r="Z35" s="5"/>
      <c r="AA35" s="5"/>
      <c r="AB35" s="5"/>
      <c r="AC35" s="6"/>
      <c r="AD35" s="48">
        <v>25.0</v>
      </c>
      <c r="AE35" s="5"/>
      <c r="AF35" s="6"/>
    </row>
    <row r="36" ht="30.0" customHeight="1">
      <c r="B36" s="47">
        <v>29.0</v>
      </c>
      <c r="C36" s="48" t="s">
        <v>235</v>
      </c>
      <c r="D36" s="5"/>
      <c r="E36" s="6"/>
      <c r="F36" s="49" t="s">
        <v>232</v>
      </c>
      <c r="G36" s="5"/>
      <c r="H36" s="5"/>
      <c r="I36" s="5"/>
      <c r="J36" s="5"/>
      <c r="K36" s="5"/>
      <c r="L36" s="6"/>
      <c r="M36" s="49" t="s">
        <v>236</v>
      </c>
      <c r="N36" s="5"/>
      <c r="O36" s="5"/>
      <c r="P36" s="5"/>
      <c r="Q36" s="5"/>
      <c r="R36" s="5"/>
      <c r="S36" s="5"/>
      <c r="T36" s="6"/>
      <c r="U36" s="50" t="s">
        <v>79</v>
      </c>
      <c r="V36" s="6"/>
      <c r="W36" s="49" t="s">
        <v>97</v>
      </c>
      <c r="X36" s="5"/>
      <c r="Y36" s="5"/>
      <c r="Z36" s="5"/>
      <c r="AA36" s="5"/>
      <c r="AB36" s="5"/>
      <c r="AC36" s="6"/>
      <c r="AD36" s="48">
        <v>8.0</v>
      </c>
      <c r="AE36" s="5"/>
      <c r="AF36" s="6"/>
    </row>
    <row r="37" ht="30.0" customHeight="1">
      <c r="B37" s="47">
        <v>30.0</v>
      </c>
      <c r="C37" s="48" t="s">
        <v>240</v>
      </c>
      <c r="D37" s="5"/>
      <c r="E37" s="6"/>
      <c r="F37" s="49" t="s">
        <v>232</v>
      </c>
      <c r="G37" s="5"/>
      <c r="H37" s="5"/>
      <c r="I37" s="5"/>
      <c r="J37" s="5"/>
      <c r="K37" s="5"/>
      <c r="L37" s="6"/>
      <c r="M37" s="49" t="s">
        <v>242</v>
      </c>
      <c r="N37" s="5"/>
      <c r="O37" s="5"/>
      <c r="P37" s="5"/>
      <c r="Q37" s="5"/>
      <c r="R37" s="5"/>
      <c r="S37" s="5"/>
      <c r="T37" s="6"/>
      <c r="U37" s="50" t="s">
        <v>79</v>
      </c>
      <c r="V37" s="6"/>
      <c r="W37" s="49" t="s">
        <v>244</v>
      </c>
      <c r="X37" s="5"/>
      <c r="Y37" s="5"/>
      <c r="Z37" s="5"/>
      <c r="AA37" s="5"/>
      <c r="AB37" s="5"/>
      <c r="AC37" s="6"/>
      <c r="AD37" s="48">
        <v>15.0</v>
      </c>
      <c r="AE37" s="5"/>
      <c r="AF37" s="6"/>
    </row>
    <row r="38" ht="30.0" customHeight="1">
      <c r="B38" s="47">
        <v>31.0</v>
      </c>
      <c r="C38" s="48" t="s">
        <v>245</v>
      </c>
      <c r="D38" s="5"/>
      <c r="E38" s="6"/>
      <c r="F38" s="49" t="s">
        <v>232</v>
      </c>
      <c r="G38" s="5"/>
      <c r="H38" s="5"/>
      <c r="I38" s="5"/>
      <c r="J38" s="5"/>
      <c r="K38" s="5"/>
      <c r="L38" s="6"/>
      <c r="M38" s="49" t="s">
        <v>246</v>
      </c>
      <c r="N38" s="5"/>
      <c r="O38" s="5"/>
      <c r="P38" s="5"/>
      <c r="Q38" s="5"/>
      <c r="R38" s="5"/>
      <c r="S38" s="5"/>
      <c r="T38" s="6"/>
      <c r="U38" s="50" t="s">
        <v>79</v>
      </c>
      <c r="V38" s="6"/>
      <c r="W38" s="49" t="s">
        <v>97</v>
      </c>
      <c r="X38" s="5"/>
      <c r="Y38" s="5"/>
      <c r="Z38" s="5"/>
      <c r="AA38" s="5"/>
      <c r="AB38" s="5"/>
      <c r="AC38" s="6"/>
      <c r="AD38" s="48">
        <v>40.0</v>
      </c>
      <c r="AE38" s="5"/>
      <c r="AF38" s="6"/>
    </row>
    <row r="39" ht="30.0" customHeight="1">
      <c r="B39" s="47">
        <v>32.0</v>
      </c>
      <c r="C39" s="48" t="s">
        <v>249</v>
      </c>
      <c r="D39" s="5"/>
      <c r="E39" s="6"/>
      <c r="F39" s="49" t="s">
        <v>232</v>
      </c>
      <c r="G39" s="5"/>
      <c r="H39" s="5"/>
      <c r="I39" s="5"/>
      <c r="J39" s="5"/>
      <c r="K39" s="5"/>
      <c r="L39" s="6"/>
      <c r="M39" s="49" t="s">
        <v>252</v>
      </c>
      <c r="N39" s="5"/>
      <c r="O39" s="5"/>
      <c r="P39" s="5"/>
      <c r="Q39" s="5"/>
      <c r="R39" s="5"/>
      <c r="S39" s="5"/>
      <c r="T39" s="6"/>
      <c r="U39" s="53" t="s">
        <v>114</v>
      </c>
      <c r="V39" s="6"/>
      <c r="W39" s="49" t="s">
        <v>254</v>
      </c>
      <c r="X39" s="5"/>
      <c r="Y39" s="5"/>
      <c r="Z39" s="5"/>
      <c r="AA39" s="5"/>
      <c r="AB39" s="5"/>
      <c r="AC39" s="6"/>
      <c r="AD39" s="48">
        <v>20.0</v>
      </c>
      <c r="AE39" s="5"/>
      <c r="AF39" s="6"/>
    </row>
    <row r="40" ht="30.0" customHeight="1">
      <c r="B40" s="47">
        <v>33.0</v>
      </c>
      <c r="C40" s="48" t="s">
        <v>255</v>
      </c>
      <c r="D40" s="5"/>
      <c r="E40" s="6"/>
      <c r="F40" s="49" t="s">
        <v>232</v>
      </c>
      <c r="G40" s="5"/>
      <c r="H40" s="5"/>
      <c r="I40" s="5"/>
      <c r="J40" s="5"/>
      <c r="K40" s="5"/>
      <c r="L40" s="6"/>
      <c r="M40" s="49" t="s">
        <v>256</v>
      </c>
      <c r="N40" s="5"/>
      <c r="O40" s="5"/>
      <c r="P40" s="5"/>
      <c r="Q40" s="5"/>
      <c r="R40" s="5"/>
      <c r="S40" s="5"/>
      <c r="T40" s="6"/>
      <c r="U40" s="53" t="s">
        <v>114</v>
      </c>
      <c r="V40" s="6"/>
      <c r="W40" s="49" t="s">
        <v>257</v>
      </c>
      <c r="X40" s="5"/>
      <c r="Y40" s="5"/>
      <c r="Z40" s="5"/>
      <c r="AA40" s="5"/>
      <c r="AB40" s="5"/>
      <c r="AC40" s="6"/>
      <c r="AD40" s="48">
        <v>12.0</v>
      </c>
      <c r="AE40" s="5"/>
      <c r="AF40" s="6"/>
    </row>
    <row r="41" ht="30.0" customHeight="1">
      <c r="B41" s="47">
        <v>34.0</v>
      </c>
      <c r="C41" s="48" t="s">
        <v>260</v>
      </c>
      <c r="D41" s="5"/>
      <c r="E41" s="6"/>
      <c r="F41" s="49" t="s">
        <v>232</v>
      </c>
      <c r="G41" s="5"/>
      <c r="H41" s="5"/>
      <c r="I41" s="5"/>
      <c r="J41" s="5"/>
      <c r="K41" s="5"/>
      <c r="L41" s="6"/>
      <c r="M41" s="49" t="s">
        <v>263</v>
      </c>
      <c r="N41" s="5"/>
      <c r="O41" s="5"/>
      <c r="P41" s="5"/>
      <c r="Q41" s="5"/>
      <c r="R41" s="5"/>
      <c r="S41" s="5"/>
      <c r="T41" s="6"/>
      <c r="U41" s="50" t="s">
        <v>79</v>
      </c>
      <c r="V41" s="6"/>
      <c r="W41" s="49" t="s">
        <v>265</v>
      </c>
      <c r="X41" s="5"/>
      <c r="Y41" s="5"/>
      <c r="Z41" s="5"/>
      <c r="AA41" s="5"/>
      <c r="AB41" s="5"/>
      <c r="AC41" s="6"/>
      <c r="AD41" s="48">
        <v>15.0</v>
      </c>
      <c r="AE41" s="5"/>
      <c r="AF41" s="6"/>
    </row>
    <row r="42" ht="30.0" customHeight="1">
      <c r="B42" s="47">
        <v>35.0</v>
      </c>
      <c r="C42" s="48" t="s">
        <v>266</v>
      </c>
      <c r="D42" s="5"/>
      <c r="E42" s="6"/>
      <c r="F42" s="49" t="s">
        <v>232</v>
      </c>
      <c r="G42" s="5"/>
      <c r="H42" s="5"/>
      <c r="I42" s="5"/>
      <c r="J42" s="5"/>
      <c r="K42" s="5"/>
      <c r="L42" s="6"/>
      <c r="M42" s="49" t="s">
        <v>267</v>
      </c>
      <c r="N42" s="5"/>
      <c r="O42" s="5"/>
      <c r="P42" s="5"/>
      <c r="Q42" s="5"/>
      <c r="R42" s="5"/>
      <c r="S42" s="5"/>
      <c r="T42" s="6"/>
      <c r="U42" s="53" t="s">
        <v>114</v>
      </c>
      <c r="V42" s="6"/>
      <c r="W42" s="49" t="s">
        <v>97</v>
      </c>
      <c r="X42" s="5"/>
      <c r="Y42" s="5"/>
      <c r="Z42" s="5"/>
      <c r="AA42" s="5"/>
      <c r="AB42" s="5"/>
      <c r="AC42" s="6"/>
      <c r="AD42" s="48">
        <v>30.0</v>
      </c>
      <c r="AE42" s="5"/>
      <c r="AF42" s="6"/>
    </row>
    <row r="43" ht="36.0" customHeight="1">
      <c r="B43" s="47">
        <v>36.0</v>
      </c>
      <c r="C43" s="48" t="s">
        <v>270</v>
      </c>
      <c r="D43" s="5"/>
      <c r="E43" s="6"/>
      <c r="F43" s="49" t="s">
        <v>232</v>
      </c>
      <c r="G43" s="5"/>
      <c r="H43" s="5"/>
      <c r="I43" s="5"/>
      <c r="J43" s="5"/>
      <c r="K43" s="5"/>
      <c r="L43" s="6"/>
      <c r="M43" s="49" t="s">
        <v>272</v>
      </c>
      <c r="N43" s="5"/>
      <c r="O43" s="5"/>
      <c r="P43" s="5"/>
      <c r="Q43" s="5"/>
      <c r="R43" s="5"/>
      <c r="S43" s="5"/>
      <c r="T43" s="6"/>
      <c r="U43" s="50" t="s">
        <v>79</v>
      </c>
      <c r="V43" s="6"/>
      <c r="W43" s="49" t="s">
        <v>244</v>
      </c>
      <c r="X43" s="5"/>
      <c r="Y43" s="5"/>
      <c r="Z43" s="5"/>
      <c r="AA43" s="5"/>
      <c r="AB43" s="5"/>
      <c r="AC43" s="6"/>
      <c r="AD43" s="48">
        <v>6.0</v>
      </c>
      <c r="AE43" s="5"/>
      <c r="AF43" s="6"/>
    </row>
    <row r="44" ht="30.0" customHeight="1">
      <c r="B44" s="47">
        <v>37.0</v>
      </c>
      <c r="C44" s="48" t="s">
        <v>274</v>
      </c>
      <c r="D44" s="5"/>
      <c r="E44" s="6"/>
      <c r="F44" s="49" t="s">
        <v>275</v>
      </c>
      <c r="G44" s="5"/>
      <c r="H44" s="5"/>
      <c r="I44" s="5"/>
      <c r="J44" s="5"/>
      <c r="K44" s="5"/>
      <c r="L44" s="6"/>
      <c r="M44" s="49" t="s">
        <v>276</v>
      </c>
      <c r="N44" s="5"/>
      <c r="O44" s="5"/>
      <c r="P44" s="5"/>
      <c r="Q44" s="5"/>
      <c r="R44" s="5"/>
      <c r="S44" s="5"/>
      <c r="T44" s="6"/>
      <c r="U44" s="57" t="s">
        <v>277</v>
      </c>
      <c r="V44" s="6"/>
      <c r="W44" s="49" t="s">
        <v>279</v>
      </c>
      <c r="X44" s="5"/>
      <c r="Y44" s="5"/>
      <c r="Z44" s="5"/>
      <c r="AA44" s="5"/>
      <c r="AB44" s="5"/>
      <c r="AC44" s="6"/>
      <c r="AD44" s="48">
        <v>60.0</v>
      </c>
      <c r="AE44" s="5"/>
      <c r="AF44" s="6"/>
    </row>
    <row r="45" ht="36.0" customHeight="1">
      <c r="B45" s="47">
        <v>38.0</v>
      </c>
      <c r="C45" s="48" t="s">
        <v>282</v>
      </c>
      <c r="D45" s="5"/>
      <c r="E45" s="6"/>
      <c r="F45" s="49" t="s">
        <v>275</v>
      </c>
      <c r="G45" s="5"/>
      <c r="H45" s="5"/>
      <c r="I45" s="5"/>
      <c r="J45" s="5"/>
      <c r="K45" s="5"/>
      <c r="L45" s="6"/>
      <c r="M45" s="49" t="s">
        <v>284</v>
      </c>
      <c r="N45" s="5"/>
      <c r="O45" s="5"/>
      <c r="P45" s="5"/>
      <c r="Q45" s="5"/>
      <c r="R45" s="5"/>
      <c r="S45" s="5"/>
      <c r="T45" s="6"/>
      <c r="U45" s="57" t="s">
        <v>277</v>
      </c>
      <c r="V45" s="6"/>
      <c r="W45" s="49" t="s">
        <v>279</v>
      </c>
      <c r="X45" s="5"/>
      <c r="Y45" s="5"/>
      <c r="Z45" s="5"/>
      <c r="AA45" s="5"/>
      <c r="AB45" s="5"/>
      <c r="AC45" s="6"/>
      <c r="AD45" s="48">
        <v>40.0</v>
      </c>
      <c r="AE45" s="5"/>
      <c r="AF45" s="6"/>
    </row>
    <row r="46" ht="30.0" customHeight="1">
      <c r="B46" s="47">
        <v>39.0</v>
      </c>
      <c r="C46" s="48" t="s">
        <v>285</v>
      </c>
      <c r="D46" s="5"/>
      <c r="E46" s="6"/>
      <c r="F46" s="49" t="s">
        <v>275</v>
      </c>
      <c r="G46" s="5"/>
      <c r="H46" s="5"/>
      <c r="I46" s="5"/>
      <c r="J46" s="5"/>
      <c r="K46" s="5"/>
      <c r="L46" s="6"/>
      <c r="M46" s="49" t="s">
        <v>286</v>
      </c>
      <c r="N46" s="5"/>
      <c r="O46" s="5"/>
      <c r="P46" s="5"/>
      <c r="Q46" s="5"/>
      <c r="R46" s="5"/>
      <c r="S46" s="5"/>
      <c r="T46" s="6"/>
      <c r="U46" s="57" t="s">
        <v>277</v>
      </c>
      <c r="V46" s="6"/>
      <c r="W46" s="49" t="s">
        <v>135</v>
      </c>
      <c r="X46" s="5"/>
      <c r="Y46" s="5"/>
      <c r="Z46" s="5"/>
      <c r="AA46" s="5"/>
      <c r="AB46" s="5"/>
      <c r="AC46" s="6"/>
      <c r="AD46" s="48">
        <v>25.0</v>
      </c>
      <c r="AE46" s="5"/>
      <c r="AF46" s="6"/>
    </row>
    <row r="47" ht="30.0" customHeight="1">
      <c r="B47" s="47">
        <v>40.0</v>
      </c>
      <c r="C47" s="48" t="s">
        <v>289</v>
      </c>
      <c r="D47" s="5"/>
      <c r="E47" s="6"/>
      <c r="F47" s="49" t="s">
        <v>275</v>
      </c>
      <c r="G47" s="5"/>
      <c r="H47" s="5"/>
      <c r="I47" s="5"/>
      <c r="J47" s="5"/>
      <c r="K47" s="5"/>
      <c r="L47" s="6"/>
      <c r="M47" s="49" t="s">
        <v>291</v>
      </c>
      <c r="N47" s="5"/>
      <c r="O47" s="5"/>
      <c r="P47" s="5"/>
      <c r="Q47" s="5"/>
      <c r="R47" s="5"/>
      <c r="S47" s="5"/>
      <c r="T47" s="6"/>
      <c r="U47" s="57" t="s">
        <v>277</v>
      </c>
      <c r="V47" s="6"/>
      <c r="W47" s="49" t="s">
        <v>97</v>
      </c>
      <c r="X47" s="5"/>
      <c r="Y47" s="5"/>
      <c r="Z47" s="5"/>
      <c r="AA47" s="5"/>
      <c r="AB47" s="5"/>
      <c r="AC47" s="6"/>
      <c r="AD47" s="48">
        <v>5.0</v>
      </c>
      <c r="AE47" s="5"/>
      <c r="AF47" s="6"/>
    </row>
    <row r="48" ht="30.0" customHeight="1">
      <c r="B48" s="47">
        <v>41.0</v>
      </c>
      <c r="C48" s="48" t="s">
        <v>293</v>
      </c>
      <c r="D48" s="5"/>
      <c r="E48" s="6"/>
      <c r="F48" s="49" t="s">
        <v>275</v>
      </c>
      <c r="G48" s="5"/>
      <c r="H48" s="5"/>
      <c r="I48" s="5"/>
      <c r="J48" s="5"/>
      <c r="K48" s="5"/>
      <c r="L48" s="6"/>
      <c r="M48" s="49" t="s">
        <v>294</v>
      </c>
      <c r="N48" s="5"/>
      <c r="O48" s="5"/>
      <c r="P48" s="5"/>
      <c r="Q48" s="5"/>
      <c r="R48" s="5"/>
      <c r="S48" s="5"/>
      <c r="T48" s="6"/>
      <c r="U48" s="50" t="s">
        <v>79</v>
      </c>
      <c r="V48" s="6"/>
      <c r="W48" s="49" t="s">
        <v>97</v>
      </c>
      <c r="X48" s="5"/>
      <c r="Y48" s="5"/>
      <c r="Z48" s="5"/>
      <c r="AA48" s="5"/>
      <c r="AB48" s="5"/>
      <c r="AC48" s="6"/>
      <c r="AD48" s="48">
        <v>5.0</v>
      </c>
      <c r="AE48" s="5"/>
      <c r="AF48" s="6"/>
    </row>
    <row r="49" ht="30.0" customHeight="1">
      <c r="B49" s="47">
        <v>42.0</v>
      </c>
      <c r="C49" s="48" t="s">
        <v>296</v>
      </c>
      <c r="D49" s="5"/>
      <c r="E49" s="6"/>
      <c r="F49" s="49" t="s">
        <v>275</v>
      </c>
      <c r="G49" s="5"/>
      <c r="H49" s="5"/>
      <c r="I49" s="5"/>
      <c r="J49" s="5"/>
      <c r="K49" s="5"/>
      <c r="L49" s="6"/>
      <c r="M49" s="49" t="s">
        <v>297</v>
      </c>
      <c r="N49" s="5"/>
      <c r="O49" s="5"/>
      <c r="P49" s="5"/>
      <c r="Q49" s="5"/>
      <c r="R49" s="5"/>
      <c r="S49" s="5"/>
      <c r="T49" s="6"/>
      <c r="U49" s="53" t="s">
        <v>114</v>
      </c>
      <c r="V49" s="6"/>
      <c r="W49" s="49" t="s">
        <v>298</v>
      </c>
      <c r="X49" s="5"/>
      <c r="Y49" s="5"/>
      <c r="Z49" s="5"/>
      <c r="AA49" s="5"/>
      <c r="AB49" s="5"/>
      <c r="AC49" s="6"/>
      <c r="AD49" s="48">
        <v>8.0</v>
      </c>
      <c r="AE49" s="5"/>
      <c r="AF49" s="6"/>
    </row>
    <row r="50" ht="30.0" customHeight="1">
      <c r="B50" s="47">
        <v>43.0</v>
      </c>
      <c r="C50" s="48" t="s">
        <v>302</v>
      </c>
      <c r="D50" s="5"/>
      <c r="E50" s="6"/>
      <c r="F50" s="49" t="s">
        <v>304</v>
      </c>
      <c r="G50" s="5"/>
      <c r="H50" s="5"/>
      <c r="I50" s="5"/>
      <c r="J50" s="5"/>
      <c r="K50" s="5"/>
      <c r="L50" s="6"/>
      <c r="M50" s="49" t="s">
        <v>305</v>
      </c>
      <c r="N50" s="5"/>
      <c r="O50" s="5"/>
      <c r="P50" s="5"/>
      <c r="Q50" s="5"/>
      <c r="R50" s="5"/>
      <c r="S50" s="5"/>
      <c r="T50" s="6"/>
      <c r="U50" s="53" t="s">
        <v>114</v>
      </c>
      <c r="V50" s="6"/>
      <c r="W50" s="49" t="s">
        <v>306</v>
      </c>
      <c r="X50" s="5"/>
      <c r="Y50" s="5"/>
      <c r="Z50" s="5"/>
      <c r="AA50" s="5"/>
      <c r="AB50" s="5"/>
      <c r="AC50" s="6"/>
      <c r="AD50" s="48">
        <v>12.0</v>
      </c>
      <c r="AE50" s="5"/>
      <c r="AF50" s="6"/>
    </row>
    <row r="51" ht="30.0" customHeight="1">
      <c r="B51" s="47">
        <v>44.0</v>
      </c>
      <c r="C51" s="48" t="s">
        <v>307</v>
      </c>
      <c r="D51" s="5"/>
      <c r="E51" s="6"/>
      <c r="F51" s="49" t="s">
        <v>304</v>
      </c>
      <c r="G51" s="5"/>
      <c r="H51" s="5"/>
      <c r="I51" s="5"/>
      <c r="J51" s="5"/>
      <c r="K51" s="5"/>
      <c r="L51" s="6"/>
      <c r="M51" s="49" t="s">
        <v>308</v>
      </c>
      <c r="N51" s="5"/>
      <c r="O51" s="5"/>
      <c r="P51" s="5"/>
      <c r="Q51" s="5"/>
      <c r="R51" s="5"/>
      <c r="S51" s="5"/>
      <c r="T51" s="6"/>
      <c r="U51" s="53" t="s">
        <v>114</v>
      </c>
      <c r="V51" s="6"/>
      <c r="W51" s="49" t="s">
        <v>311</v>
      </c>
      <c r="X51" s="5"/>
      <c r="Y51" s="5"/>
      <c r="Z51" s="5"/>
      <c r="AA51" s="5"/>
      <c r="AB51" s="5"/>
      <c r="AC51" s="6"/>
      <c r="AD51" s="48">
        <v>8.0</v>
      </c>
      <c r="AE51" s="5"/>
      <c r="AF51" s="6"/>
    </row>
    <row r="52" ht="22.5" customHeight="1">
      <c r="B52" s="58" t="s">
        <v>30</v>
      </c>
      <c r="C52" s="5"/>
      <c r="D52" s="5"/>
      <c r="E52" s="5"/>
      <c r="F52" s="5"/>
      <c r="G52" s="5"/>
      <c r="H52" s="5"/>
      <c r="I52" s="5"/>
      <c r="J52" s="5"/>
      <c r="K52" s="5"/>
      <c r="L52" s="5"/>
      <c r="M52" s="5"/>
      <c r="N52" s="5"/>
      <c r="O52" s="5"/>
      <c r="P52" s="5"/>
      <c r="Q52" s="5"/>
      <c r="R52" s="5"/>
      <c r="S52" s="5"/>
      <c r="T52" s="6"/>
      <c r="U52" s="25"/>
      <c r="V52" s="6"/>
      <c r="W52" s="25"/>
      <c r="X52" s="5"/>
      <c r="Y52" s="5"/>
      <c r="Z52" s="5"/>
      <c r="AA52" s="5"/>
      <c r="AB52" s="5"/>
      <c r="AC52" s="6"/>
      <c r="AD52" s="25">
        <f>SUM(AD8:AD51)</f>
        <v>1682</v>
      </c>
      <c r="AE52" s="5"/>
      <c r="AF52" s="6"/>
    </row>
    <row r="53" ht="15.75" customHeight="1"/>
    <row r="54" ht="19.5" customHeight="1">
      <c r="B54" s="32" t="s">
        <v>316</v>
      </c>
    </row>
    <row r="55" ht="15.75" customHeight="1"/>
    <row r="56" ht="28.5" customHeight="1">
      <c r="B56" s="45" t="s">
        <v>317</v>
      </c>
      <c r="C56" s="6"/>
      <c r="D56" s="45" t="s">
        <v>319</v>
      </c>
      <c r="E56" s="5"/>
      <c r="F56" s="6"/>
      <c r="G56" s="45" t="s">
        <v>321</v>
      </c>
      <c r="H56" s="5"/>
      <c r="I56" s="5"/>
      <c r="J56" s="5"/>
      <c r="K56" s="5"/>
      <c r="L56" s="6"/>
      <c r="M56" s="45" t="s">
        <v>323</v>
      </c>
      <c r="N56" s="6"/>
      <c r="O56" s="45" t="s">
        <v>324</v>
      </c>
      <c r="P56" s="5"/>
      <c r="Q56" s="6"/>
      <c r="R56" s="45" t="s">
        <v>325</v>
      </c>
      <c r="S56" s="5"/>
      <c r="T56" s="5"/>
      <c r="U56" s="5"/>
      <c r="V56" s="5"/>
      <c r="W56" s="5"/>
      <c r="X56" s="5"/>
      <c r="Y56" s="5"/>
      <c r="Z56" s="5"/>
      <c r="AA56" s="5"/>
      <c r="AB56" s="5"/>
      <c r="AC56" s="5"/>
      <c r="AD56" s="5"/>
      <c r="AE56" s="5"/>
      <c r="AF56" s="5"/>
      <c r="AG56" s="5"/>
      <c r="AH56" s="5"/>
      <c r="AI56" s="5"/>
      <c r="AJ56" s="5"/>
      <c r="AK56" s="6"/>
    </row>
    <row r="57" ht="36.0" customHeight="1">
      <c r="B57" s="59" t="s">
        <v>137</v>
      </c>
      <c r="C57" s="6"/>
      <c r="D57" s="48" t="s">
        <v>327</v>
      </c>
      <c r="E57" s="5"/>
      <c r="F57" s="6"/>
      <c r="G57" s="49" t="s">
        <v>329</v>
      </c>
      <c r="H57" s="5"/>
      <c r="I57" s="5"/>
      <c r="J57" s="5"/>
      <c r="K57" s="5"/>
      <c r="L57" s="6"/>
      <c r="M57" s="48">
        <v>10.0</v>
      </c>
      <c r="N57" s="6"/>
      <c r="O57" s="48" t="s">
        <v>79</v>
      </c>
      <c r="P57" s="5"/>
      <c r="Q57" s="6"/>
      <c r="R57" s="49" t="s">
        <v>332</v>
      </c>
      <c r="S57" s="5"/>
      <c r="T57" s="5"/>
      <c r="U57" s="5"/>
      <c r="V57" s="5"/>
      <c r="W57" s="5"/>
      <c r="X57" s="5"/>
      <c r="Y57" s="5"/>
      <c r="Z57" s="5"/>
      <c r="AA57" s="5"/>
      <c r="AB57" s="5"/>
      <c r="AC57" s="5"/>
      <c r="AD57" s="5"/>
      <c r="AE57" s="5"/>
      <c r="AF57" s="5"/>
      <c r="AG57" s="5"/>
      <c r="AH57" s="5"/>
      <c r="AI57" s="5"/>
      <c r="AJ57" s="5"/>
      <c r="AK57" s="6"/>
    </row>
    <row r="58" ht="30.0" customHeight="1">
      <c r="B58" s="59" t="s">
        <v>333</v>
      </c>
      <c r="C58" s="6"/>
      <c r="D58" s="48" t="s">
        <v>334</v>
      </c>
      <c r="E58" s="5"/>
      <c r="F58" s="6"/>
      <c r="G58" s="49" t="s">
        <v>335</v>
      </c>
      <c r="H58" s="5"/>
      <c r="I58" s="5"/>
      <c r="J58" s="5"/>
      <c r="K58" s="5"/>
      <c r="L58" s="6"/>
      <c r="M58" s="48">
        <v>9.0</v>
      </c>
      <c r="N58" s="6"/>
      <c r="O58" s="48" t="s">
        <v>114</v>
      </c>
      <c r="P58" s="5"/>
      <c r="Q58" s="6"/>
      <c r="R58" s="49" t="s">
        <v>338</v>
      </c>
      <c r="S58" s="5"/>
      <c r="T58" s="5"/>
      <c r="U58" s="5"/>
      <c r="V58" s="5"/>
      <c r="W58" s="5"/>
      <c r="X58" s="5"/>
      <c r="Y58" s="5"/>
      <c r="Z58" s="5"/>
      <c r="AA58" s="5"/>
      <c r="AB58" s="5"/>
      <c r="AC58" s="5"/>
      <c r="AD58" s="5"/>
      <c r="AE58" s="5"/>
      <c r="AF58" s="5"/>
      <c r="AG58" s="5"/>
      <c r="AH58" s="5"/>
      <c r="AI58" s="5"/>
      <c r="AJ58" s="5"/>
      <c r="AK58" s="6"/>
    </row>
    <row r="59" ht="36.0" customHeight="1">
      <c r="B59" s="59" t="s">
        <v>340</v>
      </c>
      <c r="C59" s="6"/>
      <c r="D59" s="48" t="s">
        <v>342</v>
      </c>
      <c r="E59" s="5"/>
      <c r="F59" s="6"/>
      <c r="G59" s="49" t="s">
        <v>343</v>
      </c>
      <c r="H59" s="5"/>
      <c r="I59" s="5"/>
      <c r="J59" s="5"/>
      <c r="K59" s="5"/>
      <c r="L59" s="6"/>
      <c r="M59" s="48">
        <v>8.0</v>
      </c>
      <c r="N59" s="6"/>
      <c r="O59" s="48" t="s">
        <v>79</v>
      </c>
      <c r="P59" s="5"/>
      <c r="Q59" s="6"/>
      <c r="R59" s="49" t="s">
        <v>344</v>
      </c>
      <c r="S59" s="5"/>
      <c r="T59" s="5"/>
      <c r="U59" s="5"/>
      <c r="V59" s="5"/>
      <c r="W59" s="5"/>
      <c r="X59" s="5"/>
      <c r="Y59" s="5"/>
      <c r="Z59" s="5"/>
      <c r="AA59" s="5"/>
      <c r="AB59" s="5"/>
      <c r="AC59" s="5"/>
      <c r="AD59" s="5"/>
      <c r="AE59" s="5"/>
      <c r="AF59" s="5"/>
      <c r="AG59" s="5"/>
      <c r="AH59" s="5"/>
      <c r="AI59" s="5"/>
      <c r="AJ59" s="5"/>
      <c r="AK59" s="6"/>
    </row>
    <row r="60" ht="36.0" customHeight="1">
      <c r="B60" s="59" t="s">
        <v>345</v>
      </c>
      <c r="C60" s="6"/>
      <c r="D60" s="48" t="s">
        <v>346</v>
      </c>
      <c r="E60" s="5"/>
      <c r="F60" s="6"/>
      <c r="G60" s="49" t="s">
        <v>348</v>
      </c>
      <c r="H60" s="5"/>
      <c r="I60" s="5"/>
      <c r="J60" s="5"/>
      <c r="K60" s="5"/>
      <c r="L60" s="6"/>
      <c r="M60" s="48">
        <v>9.0</v>
      </c>
      <c r="N60" s="6"/>
      <c r="O60" s="48" t="s">
        <v>79</v>
      </c>
      <c r="P60" s="5"/>
      <c r="Q60" s="6"/>
      <c r="R60" s="49" t="s">
        <v>352</v>
      </c>
      <c r="S60" s="5"/>
      <c r="T60" s="5"/>
      <c r="U60" s="5"/>
      <c r="V60" s="5"/>
      <c r="W60" s="5"/>
      <c r="X60" s="5"/>
      <c r="Y60" s="5"/>
      <c r="Z60" s="5"/>
      <c r="AA60" s="5"/>
      <c r="AB60" s="5"/>
      <c r="AC60" s="5"/>
      <c r="AD60" s="5"/>
      <c r="AE60" s="5"/>
      <c r="AF60" s="5"/>
      <c r="AG60" s="5"/>
      <c r="AH60" s="5"/>
      <c r="AI60" s="5"/>
      <c r="AJ60" s="5"/>
      <c r="AK60" s="6"/>
    </row>
    <row r="61" ht="36.0" customHeight="1">
      <c r="B61" s="59" t="s">
        <v>353</v>
      </c>
      <c r="C61" s="6"/>
      <c r="D61" s="48" t="s">
        <v>354</v>
      </c>
      <c r="E61" s="5"/>
      <c r="F61" s="6"/>
      <c r="G61" s="49" t="s">
        <v>355</v>
      </c>
      <c r="H61" s="5"/>
      <c r="I61" s="5"/>
      <c r="J61" s="5"/>
      <c r="K61" s="5"/>
      <c r="L61" s="6"/>
      <c r="M61" s="48">
        <v>6.0</v>
      </c>
      <c r="N61" s="6"/>
      <c r="O61" s="48" t="s">
        <v>356</v>
      </c>
      <c r="P61" s="5"/>
      <c r="Q61" s="6"/>
      <c r="R61" s="49" t="s">
        <v>358</v>
      </c>
      <c r="S61" s="5"/>
      <c r="T61" s="5"/>
      <c r="U61" s="5"/>
      <c r="V61" s="5"/>
      <c r="W61" s="5"/>
      <c r="X61" s="5"/>
      <c r="Y61" s="5"/>
      <c r="Z61" s="5"/>
      <c r="AA61" s="5"/>
      <c r="AB61" s="5"/>
      <c r="AC61" s="5"/>
      <c r="AD61" s="5"/>
      <c r="AE61" s="5"/>
      <c r="AF61" s="5"/>
      <c r="AG61" s="5"/>
      <c r="AH61" s="5"/>
      <c r="AI61" s="5"/>
      <c r="AJ61" s="5"/>
      <c r="AK61" s="6"/>
    </row>
    <row r="62" ht="30.0" customHeight="1">
      <c r="B62" s="59" t="s">
        <v>359</v>
      </c>
      <c r="C62" s="6"/>
      <c r="D62" s="48" t="s">
        <v>360</v>
      </c>
      <c r="E62" s="5"/>
      <c r="F62" s="6"/>
      <c r="G62" s="49" t="s">
        <v>361</v>
      </c>
      <c r="H62" s="5"/>
      <c r="I62" s="5"/>
      <c r="J62" s="5"/>
      <c r="K62" s="5"/>
      <c r="L62" s="6"/>
      <c r="M62" s="48">
        <v>2.0</v>
      </c>
      <c r="N62" s="6"/>
      <c r="O62" s="48" t="s">
        <v>114</v>
      </c>
      <c r="P62" s="5"/>
      <c r="Q62" s="6"/>
      <c r="R62" s="49" t="s">
        <v>364</v>
      </c>
      <c r="S62" s="5"/>
      <c r="T62" s="5"/>
      <c r="U62" s="5"/>
      <c r="V62" s="5"/>
      <c r="W62" s="5"/>
      <c r="X62" s="5"/>
      <c r="Y62" s="5"/>
      <c r="Z62" s="5"/>
      <c r="AA62" s="5"/>
      <c r="AB62" s="5"/>
      <c r="AC62" s="5"/>
      <c r="AD62" s="5"/>
      <c r="AE62" s="5"/>
      <c r="AF62" s="5"/>
      <c r="AG62" s="5"/>
      <c r="AH62" s="5"/>
      <c r="AI62" s="5"/>
      <c r="AJ62" s="5"/>
      <c r="AK62" s="6"/>
    </row>
    <row r="63" ht="15.75" customHeight="1"/>
    <row r="64" ht="30.0" customHeight="1">
      <c r="B64" s="60" t="s">
        <v>368</v>
      </c>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6"/>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5" t="s">
        <v>65</v>
      </c>
      <c r="B1" s="5"/>
      <c r="C1" s="5"/>
      <c r="D1" s="5"/>
      <c r="E1" s="6"/>
      <c r="F1" s="11" t="s">
        <v>67</v>
      </c>
      <c r="G1" s="5"/>
      <c r="H1" s="5"/>
      <c r="I1" s="5"/>
      <c r="J1" s="5"/>
      <c r="K1" s="5"/>
      <c r="L1" s="5"/>
      <c r="M1" s="5"/>
      <c r="N1" s="5"/>
      <c r="O1" s="5"/>
      <c r="P1" s="5"/>
      <c r="Q1" s="6"/>
      <c r="R1" s="45" t="s">
        <v>69</v>
      </c>
      <c r="S1" s="5"/>
      <c r="T1" s="5"/>
      <c r="U1" s="5"/>
      <c r="V1" s="6"/>
      <c r="W1" s="11" t="s">
        <v>71</v>
      </c>
      <c r="X1" s="5"/>
      <c r="Y1" s="5"/>
      <c r="Z1" s="5"/>
      <c r="AA1" s="5"/>
      <c r="AB1" s="5"/>
      <c r="AC1" s="5"/>
      <c r="AD1" s="5"/>
      <c r="AE1" s="5"/>
      <c r="AF1" s="5"/>
      <c r="AG1" s="5"/>
      <c r="AH1" s="6"/>
    </row>
    <row r="2" ht="22.5" customHeight="1">
      <c r="A2" s="45" t="s">
        <v>16</v>
      </c>
      <c r="B2" s="5"/>
      <c r="C2" s="5"/>
      <c r="D2" s="5"/>
      <c r="E2" s="6"/>
      <c r="F2" s="11" t="s">
        <v>18</v>
      </c>
      <c r="G2" s="5"/>
      <c r="H2" s="5"/>
      <c r="I2" s="5"/>
      <c r="J2" s="5"/>
      <c r="K2" s="5"/>
      <c r="L2" s="5"/>
      <c r="M2" s="5"/>
      <c r="N2" s="5"/>
      <c r="O2" s="5"/>
      <c r="P2" s="5"/>
      <c r="Q2" s="6"/>
      <c r="R2" s="45" t="s">
        <v>14</v>
      </c>
      <c r="S2" s="5"/>
      <c r="T2" s="5"/>
      <c r="U2" s="5"/>
      <c r="V2" s="6"/>
      <c r="W2" s="17" t="s">
        <v>17</v>
      </c>
      <c r="X2" s="5"/>
      <c r="Y2" s="5"/>
      <c r="Z2" s="5"/>
      <c r="AA2" s="5"/>
      <c r="AB2" s="5"/>
      <c r="AC2" s="5"/>
      <c r="AD2" s="5"/>
      <c r="AE2" s="5"/>
      <c r="AF2" s="5"/>
      <c r="AG2" s="5"/>
      <c r="AH2" s="6"/>
    </row>
    <row r="3" ht="22.5" customHeight="1">
      <c r="A3" s="45" t="s">
        <v>9</v>
      </c>
      <c r="B3" s="5"/>
      <c r="C3" s="5"/>
      <c r="D3" s="5"/>
      <c r="E3" s="6"/>
      <c r="F3" s="11" t="s">
        <v>15</v>
      </c>
      <c r="G3" s="5"/>
      <c r="H3" s="5"/>
      <c r="I3" s="5"/>
      <c r="J3" s="5"/>
      <c r="K3" s="5"/>
      <c r="L3" s="5"/>
      <c r="M3" s="5"/>
      <c r="N3" s="5"/>
      <c r="O3" s="5"/>
      <c r="P3" s="5"/>
      <c r="Q3" s="6"/>
      <c r="R3" s="45" t="s">
        <v>78</v>
      </c>
      <c r="S3" s="5"/>
      <c r="T3" s="5"/>
      <c r="U3" s="5"/>
      <c r="V3" s="6"/>
      <c r="W3" s="17"/>
      <c r="X3" s="5"/>
      <c r="Y3" s="5"/>
      <c r="Z3" s="5"/>
      <c r="AA3" s="5"/>
      <c r="AB3" s="5"/>
      <c r="AC3" s="5"/>
      <c r="AD3" s="5"/>
      <c r="AE3" s="5"/>
      <c r="AF3" s="5"/>
      <c r="AG3" s="5"/>
      <c r="AH3" s="6"/>
    </row>
    <row r="4" ht="22.5" customHeight="1">
      <c r="A4" s="45" t="s">
        <v>81</v>
      </c>
      <c r="B4" s="5"/>
      <c r="C4" s="5"/>
      <c r="D4" s="5"/>
      <c r="E4" s="6"/>
      <c r="F4" s="11" t="s">
        <v>82</v>
      </c>
      <c r="G4" s="5"/>
      <c r="H4" s="5"/>
      <c r="I4" s="5"/>
      <c r="J4" s="5"/>
      <c r="K4" s="5"/>
      <c r="L4" s="5"/>
      <c r="M4" s="5"/>
      <c r="N4" s="5"/>
      <c r="O4" s="5"/>
      <c r="P4" s="5"/>
      <c r="Q4" s="5"/>
      <c r="R4" s="5"/>
      <c r="S4" s="5"/>
      <c r="T4" s="5"/>
      <c r="U4" s="5"/>
      <c r="V4" s="5"/>
      <c r="W4" s="5"/>
      <c r="X4" s="5"/>
      <c r="Y4" s="5"/>
      <c r="Z4" s="5"/>
      <c r="AA4" s="5"/>
      <c r="AB4" s="5"/>
      <c r="AC4" s="5"/>
      <c r="AD4" s="5"/>
      <c r="AE4" s="5"/>
      <c r="AF4" s="5"/>
      <c r="AG4" s="5"/>
      <c r="AH4" s="6"/>
    </row>
    <row r="5" ht="22.5" customHeight="1">
      <c r="A5" s="45" t="s">
        <v>84</v>
      </c>
      <c r="B5" s="5"/>
      <c r="C5" s="5"/>
      <c r="D5" s="5"/>
      <c r="E5" s="5"/>
      <c r="F5" s="5"/>
      <c r="G5" s="5"/>
      <c r="H5" s="5"/>
      <c r="I5" s="5"/>
      <c r="J5" s="5"/>
      <c r="K5" s="5"/>
      <c r="L5" s="5"/>
      <c r="M5" s="5"/>
      <c r="N5" s="5"/>
      <c r="O5" s="5"/>
      <c r="P5" s="5"/>
      <c r="Q5" s="5"/>
      <c r="R5" s="5"/>
      <c r="S5" s="6"/>
      <c r="T5" s="45" t="s">
        <v>31</v>
      </c>
      <c r="U5" s="5"/>
      <c r="V5" s="5"/>
      <c r="W5" s="5"/>
      <c r="X5" s="5"/>
      <c r="Y5" s="5"/>
      <c r="Z5" s="5"/>
      <c r="AA5" s="5"/>
      <c r="AB5" s="5"/>
      <c r="AC5" s="5"/>
      <c r="AD5" s="5"/>
      <c r="AE5" s="5"/>
      <c r="AF5" s="5"/>
      <c r="AG5" s="5"/>
      <c r="AH5" s="6"/>
    </row>
    <row r="6" ht="22.5" customHeight="1">
      <c r="A6" s="45" t="s">
        <v>87</v>
      </c>
      <c r="B6" s="5"/>
      <c r="C6" s="5"/>
      <c r="D6" s="5"/>
      <c r="E6" s="5"/>
      <c r="F6" s="5"/>
      <c r="G6" s="6"/>
      <c r="H6" s="45" t="s">
        <v>37</v>
      </c>
      <c r="I6" s="5"/>
      <c r="J6" s="6"/>
      <c r="K6" s="45" t="s">
        <v>38</v>
      </c>
      <c r="L6" s="5"/>
      <c r="M6" s="6"/>
      <c r="N6" s="45" t="s">
        <v>89</v>
      </c>
      <c r="O6" s="5"/>
      <c r="P6" s="6"/>
      <c r="Q6" s="45" t="s">
        <v>30</v>
      </c>
      <c r="R6" s="5"/>
      <c r="S6" s="6"/>
      <c r="T6" s="45" t="s">
        <v>42</v>
      </c>
      <c r="U6" s="5"/>
      <c r="V6" s="6"/>
      <c r="W6" s="45" t="s">
        <v>43</v>
      </c>
      <c r="X6" s="5"/>
      <c r="Y6" s="6"/>
      <c r="Z6" s="45" t="s">
        <v>45</v>
      </c>
      <c r="AA6" s="5"/>
      <c r="AB6" s="6"/>
      <c r="AC6" s="45" t="s">
        <v>46</v>
      </c>
      <c r="AD6" s="5"/>
      <c r="AE6" s="6"/>
      <c r="AF6" s="45" t="s">
        <v>30</v>
      </c>
      <c r="AG6" s="5"/>
      <c r="AH6" s="6"/>
    </row>
    <row r="7" ht="22.5" customHeight="1">
      <c r="A7" s="45" t="s">
        <v>92</v>
      </c>
      <c r="B7" s="5"/>
      <c r="C7" s="5"/>
      <c r="D7" s="5"/>
      <c r="E7" s="5"/>
      <c r="F7" s="5"/>
      <c r="G7" s="6"/>
      <c r="H7" s="14">
        <f t="shared" ref="H7:H8" si="1">COUNTIF($AE$12:$AF$1049,"N")</f>
        <v>25</v>
      </c>
      <c r="I7" s="5"/>
      <c r="J7" s="6"/>
      <c r="K7" s="14">
        <f t="shared" ref="K7:K8" si="2">COUNTIF($AE$12:$AF$1049,"A")</f>
        <v>19</v>
      </c>
      <c r="L7" s="5"/>
      <c r="M7" s="6"/>
      <c r="N7" s="14">
        <f t="shared" ref="N7:N8" si="3">COUNTIF($AE$12:$AF$1049,"B")</f>
        <v>0</v>
      </c>
      <c r="O7" s="5"/>
      <c r="P7" s="6"/>
      <c r="Q7" s="43">
        <f t="shared" ref="Q7:Q8" si="4">SUM(H7:P7)</f>
        <v>44</v>
      </c>
      <c r="R7" s="5"/>
      <c r="S7" s="6"/>
      <c r="T7" s="14">
        <f>COUNTIF($AG$12:$AI$1049,T$6)</f>
        <v>44</v>
      </c>
      <c r="U7" s="5"/>
      <c r="V7" s="6"/>
      <c r="W7" s="14">
        <f>COUNTIF($AG$12:$AI$1049,W$6)</f>
        <v>0</v>
      </c>
      <c r="X7" s="5"/>
      <c r="Y7" s="6"/>
      <c r="Z7" s="14">
        <f>COUNTIF($AG$12:$AI$1049,Z$6)</f>
        <v>0</v>
      </c>
      <c r="AA7" s="5"/>
      <c r="AB7" s="6"/>
      <c r="AC7" s="14">
        <f>COUNTIF($AG$12:$AI$1049,AC$6)</f>
        <v>0</v>
      </c>
      <c r="AD7" s="5"/>
      <c r="AE7" s="6"/>
      <c r="AF7" s="43">
        <f t="shared" ref="AF7:AF8" si="5">SUM(T7:AE7)</f>
        <v>44</v>
      </c>
      <c r="AG7" s="5"/>
      <c r="AH7" s="6"/>
    </row>
    <row r="8" ht="22.5" customHeight="1">
      <c r="A8" s="45" t="s">
        <v>99</v>
      </c>
      <c r="B8" s="5"/>
      <c r="C8" s="5"/>
      <c r="D8" s="5"/>
      <c r="E8" s="5"/>
      <c r="F8" s="5"/>
      <c r="G8" s="6"/>
      <c r="H8" s="14">
        <f t="shared" si="1"/>
        <v>25</v>
      </c>
      <c r="I8" s="5"/>
      <c r="J8" s="6"/>
      <c r="K8" s="14">
        <f t="shared" si="2"/>
        <v>19</v>
      </c>
      <c r="L8" s="5"/>
      <c r="M8" s="6"/>
      <c r="N8" s="14">
        <f t="shared" si="3"/>
        <v>0</v>
      </c>
      <c r="O8" s="5"/>
      <c r="P8" s="6"/>
      <c r="Q8" s="43">
        <f t="shared" si="4"/>
        <v>44</v>
      </c>
      <c r="R8" s="5"/>
      <c r="S8" s="6"/>
      <c r="T8" s="14">
        <f>COUNTIF($AV$12:$AX$1049,T$6)</f>
        <v>44</v>
      </c>
      <c r="U8" s="5"/>
      <c r="V8" s="6"/>
      <c r="W8" s="14">
        <f>COUNTIF($AV$12:$AX$1049,W$6)</f>
        <v>0</v>
      </c>
      <c r="X8" s="5"/>
      <c r="Y8" s="6"/>
      <c r="Z8" s="14">
        <f>COUNTIF($AV$12:$AX$1049,Z$6)</f>
        <v>0</v>
      </c>
      <c r="AA8" s="5"/>
      <c r="AB8" s="6"/>
      <c r="AC8" s="14">
        <f>COUNTIF($AV$12:$AX$1049,AC$6)</f>
        <v>0</v>
      </c>
      <c r="AD8" s="5"/>
      <c r="AE8" s="6"/>
      <c r="AF8" s="43">
        <f t="shared" si="5"/>
        <v>44</v>
      </c>
      <c r="AG8" s="5"/>
      <c r="AH8" s="6"/>
    </row>
    <row r="9" ht="12.75" customHeight="1"/>
    <row r="10" ht="36.0" customHeight="1">
      <c r="A10" s="51" t="s">
        <v>24</v>
      </c>
      <c r="B10" s="52" t="s">
        <v>104</v>
      </c>
      <c r="C10" s="20"/>
      <c r="D10" s="22"/>
      <c r="E10" s="52" t="s">
        <v>105</v>
      </c>
      <c r="F10" s="20"/>
      <c r="G10" s="20"/>
      <c r="H10" s="20"/>
      <c r="I10" s="22"/>
      <c r="J10" s="52" t="s">
        <v>107</v>
      </c>
      <c r="K10" s="20"/>
      <c r="L10" s="20"/>
      <c r="M10" s="20"/>
      <c r="N10" s="20"/>
      <c r="O10" s="20"/>
      <c r="P10" s="22"/>
      <c r="Q10" s="52" t="s">
        <v>108</v>
      </c>
      <c r="R10" s="20"/>
      <c r="S10" s="20"/>
      <c r="T10" s="20"/>
      <c r="U10" s="20"/>
      <c r="V10" s="20"/>
      <c r="W10" s="22"/>
      <c r="X10" s="52" t="s">
        <v>110</v>
      </c>
      <c r="Y10" s="20"/>
      <c r="Z10" s="20"/>
      <c r="AA10" s="20"/>
      <c r="AB10" s="20"/>
      <c r="AC10" s="20"/>
      <c r="AD10" s="22"/>
      <c r="AE10" s="52" t="s">
        <v>111</v>
      </c>
      <c r="AF10" s="22"/>
      <c r="AG10" s="45" t="s">
        <v>112</v>
      </c>
      <c r="AH10" s="5"/>
      <c r="AI10" s="5"/>
      <c r="AJ10" s="5"/>
      <c r="AK10" s="5"/>
      <c r="AL10" s="5"/>
      <c r="AM10" s="5"/>
      <c r="AN10" s="5"/>
      <c r="AO10" s="5"/>
      <c r="AP10" s="5"/>
      <c r="AQ10" s="5"/>
      <c r="AR10" s="5"/>
      <c r="AS10" s="5"/>
      <c r="AT10" s="5"/>
      <c r="AU10" s="6"/>
      <c r="AV10" s="45" t="s">
        <v>113</v>
      </c>
      <c r="AW10" s="5"/>
      <c r="AX10" s="5"/>
      <c r="AY10" s="5"/>
      <c r="AZ10" s="5"/>
      <c r="BA10" s="5"/>
      <c r="BB10" s="5"/>
      <c r="BC10" s="5"/>
      <c r="BD10" s="5"/>
      <c r="BE10" s="5"/>
      <c r="BF10" s="5"/>
      <c r="BG10" s="5"/>
      <c r="BH10" s="5"/>
      <c r="BI10" s="5"/>
      <c r="BJ10" s="6"/>
      <c r="BK10" s="52" t="s">
        <v>116</v>
      </c>
      <c r="BL10" s="20"/>
      <c r="BM10" s="20"/>
      <c r="BN10" s="20"/>
      <c r="BO10" s="20"/>
      <c r="BP10" s="20"/>
      <c r="BQ10" s="22"/>
    </row>
    <row r="11" ht="36.0" customHeight="1">
      <c r="A11" s="29"/>
      <c r="B11" s="27"/>
      <c r="C11" s="30"/>
      <c r="D11" s="31"/>
      <c r="E11" s="27"/>
      <c r="F11" s="30"/>
      <c r="G11" s="30"/>
      <c r="H11" s="30"/>
      <c r="I11" s="31"/>
      <c r="J11" s="27"/>
      <c r="K11" s="30"/>
      <c r="L11" s="30"/>
      <c r="M11" s="30"/>
      <c r="N11" s="30"/>
      <c r="O11" s="30"/>
      <c r="P11" s="31"/>
      <c r="Q11" s="27"/>
      <c r="R11" s="30"/>
      <c r="S11" s="30"/>
      <c r="T11" s="30"/>
      <c r="U11" s="30"/>
      <c r="V11" s="30"/>
      <c r="W11" s="31"/>
      <c r="X11" s="27"/>
      <c r="Y11" s="30"/>
      <c r="Z11" s="30"/>
      <c r="AA11" s="30"/>
      <c r="AB11" s="30"/>
      <c r="AC11" s="30"/>
      <c r="AD11" s="31"/>
      <c r="AE11" s="27"/>
      <c r="AF11" s="31"/>
      <c r="AG11" s="45" t="s">
        <v>118</v>
      </c>
      <c r="AH11" s="5"/>
      <c r="AI11" s="6"/>
      <c r="AJ11" s="45" t="s">
        <v>119</v>
      </c>
      <c r="AK11" s="5"/>
      <c r="AL11" s="6"/>
      <c r="AM11" s="45" t="s">
        <v>5</v>
      </c>
      <c r="AN11" s="5"/>
      <c r="AO11" s="6"/>
      <c r="AP11" s="45" t="s">
        <v>121</v>
      </c>
      <c r="AQ11" s="5"/>
      <c r="AR11" s="6"/>
      <c r="AS11" s="45" t="s">
        <v>123</v>
      </c>
      <c r="AT11" s="5"/>
      <c r="AU11" s="6"/>
      <c r="AV11" s="45" t="s">
        <v>118</v>
      </c>
      <c r="AW11" s="5"/>
      <c r="AX11" s="6"/>
      <c r="AY11" s="45" t="s">
        <v>119</v>
      </c>
      <c r="AZ11" s="5"/>
      <c r="BA11" s="6"/>
      <c r="BB11" s="45" t="s">
        <v>5</v>
      </c>
      <c r="BC11" s="5"/>
      <c r="BD11" s="6"/>
      <c r="BE11" s="45" t="s">
        <v>121</v>
      </c>
      <c r="BF11" s="5"/>
      <c r="BG11" s="6"/>
      <c r="BH11" s="45" t="s">
        <v>123</v>
      </c>
      <c r="BI11" s="5"/>
      <c r="BJ11" s="6"/>
      <c r="BK11" s="27"/>
      <c r="BL11" s="30"/>
      <c r="BM11" s="30"/>
      <c r="BN11" s="30"/>
      <c r="BO11" s="30"/>
      <c r="BP11" s="30"/>
      <c r="BQ11" s="31"/>
    </row>
    <row r="12" ht="22.5" customHeight="1">
      <c r="A12" s="8" t="s">
        <v>125</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6"/>
    </row>
    <row r="13" ht="399.75" customHeight="1">
      <c r="A13" s="47">
        <v>1.0</v>
      </c>
      <c r="B13" s="49" t="s">
        <v>130</v>
      </c>
      <c r="C13" s="5"/>
      <c r="D13" s="6"/>
      <c r="E13" s="49" t="s">
        <v>131</v>
      </c>
      <c r="F13" s="5"/>
      <c r="G13" s="5"/>
      <c r="H13" s="5"/>
      <c r="I13" s="6"/>
      <c r="J13" s="49" t="s">
        <v>133</v>
      </c>
      <c r="K13" s="5"/>
      <c r="L13" s="5"/>
      <c r="M13" s="5"/>
      <c r="N13" s="5"/>
      <c r="O13" s="5"/>
      <c r="P13" s="6"/>
      <c r="Q13" s="49" t="s">
        <v>134</v>
      </c>
      <c r="R13" s="5"/>
      <c r="S13" s="5"/>
      <c r="T13" s="5"/>
      <c r="U13" s="5"/>
      <c r="V13" s="5"/>
      <c r="W13" s="6"/>
      <c r="X13" s="49" t="s">
        <v>136</v>
      </c>
      <c r="Y13" s="5"/>
      <c r="Z13" s="5"/>
      <c r="AA13" s="5"/>
      <c r="AB13" s="5"/>
      <c r="AC13" s="5"/>
      <c r="AD13" s="6"/>
      <c r="AE13" s="48" t="s">
        <v>137</v>
      </c>
      <c r="AF13" s="6"/>
      <c r="AG13" s="54" t="s">
        <v>42</v>
      </c>
      <c r="AH13" s="5"/>
      <c r="AI13" s="6"/>
      <c r="AJ13" s="48"/>
      <c r="AK13" s="5"/>
      <c r="AL13" s="6"/>
      <c r="AM13" s="55" t="s">
        <v>139</v>
      </c>
      <c r="AN13" s="5"/>
      <c r="AO13" s="6"/>
      <c r="AP13" s="56">
        <v>46217.0</v>
      </c>
      <c r="AQ13" s="5"/>
      <c r="AR13" s="6"/>
      <c r="AS13" s="48"/>
      <c r="AT13" s="5"/>
      <c r="AU13" s="6"/>
      <c r="AV13" s="54" t="s">
        <v>42</v>
      </c>
      <c r="AW13" s="5"/>
      <c r="AX13" s="6"/>
      <c r="AY13" s="48"/>
      <c r="AZ13" s="5"/>
      <c r="BA13" s="6"/>
      <c r="BB13" s="55" t="s">
        <v>139</v>
      </c>
      <c r="BC13" s="5"/>
      <c r="BD13" s="6"/>
      <c r="BE13" s="56">
        <v>46239.0</v>
      </c>
      <c r="BF13" s="5"/>
      <c r="BG13" s="6"/>
      <c r="BH13" s="48"/>
      <c r="BI13" s="5"/>
      <c r="BJ13" s="6"/>
      <c r="BK13" s="49"/>
      <c r="BL13" s="5"/>
      <c r="BM13" s="5"/>
      <c r="BN13" s="5"/>
      <c r="BO13" s="5"/>
      <c r="BP13" s="5"/>
      <c r="BQ13" s="6"/>
    </row>
    <row r="14" ht="351.75" customHeight="1">
      <c r="A14" s="47">
        <v>2.0</v>
      </c>
      <c r="B14" s="49" t="s">
        <v>142</v>
      </c>
      <c r="C14" s="5"/>
      <c r="D14" s="6"/>
      <c r="E14" s="49" t="s">
        <v>143</v>
      </c>
      <c r="F14" s="5"/>
      <c r="G14" s="5"/>
      <c r="H14" s="5"/>
      <c r="I14" s="6"/>
      <c r="J14" s="49" t="s">
        <v>145</v>
      </c>
      <c r="K14" s="5"/>
      <c r="L14" s="5"/>
      <c r="M14" s="5"/>
      <c r="N14" s="5"/>
      <c r="O14" s="5"/>
      <c r="P14" s="6"/>
      <c r="Q14" s="49" t="s">
        <v>146</v>
      </c>
      <c r="R14" s="5"/>
      <c r="S14" s="5"/>
      <c r="T14" s="5"/>
      <c r="U14" s="5"/>
      <c r="V14" s="5"/>
      <c r="W14" s="6"/>
      <c r="X14" s="49" t="s">
        <v>147</v>
      </c>
      <c r="Y14" s="5"/>
      <c r="Z14" s="5"/>
      <c r="AA14" s="5"/>
      <c r="AB14" s="5"/>
      <c r="AC14" s="5"/>
      <c r="AD14" s="6"/>
      <c r="AE14" s="48" t="s">
        <v>137</v>
      </c>
      <c r="AF14" s="6"/>
      <c r="AG14" s="54" t="s">
        <v>42</v>
      </c>
      <c r="AH14" s="5"/>
      <c r="AI14" s="6"/>
      <c r="AJ14" s="48"/>
      <c r="AK14" s="5"/>
      <c r="AL14" s="6"/>
      <c r="AM14" s="55" t="s">
        <v>139</v>
      </c>
      <c r="AN14" s="5"/>
      <c r="AO14" s="6"/>
      <c r="AP14" s="56">
        <v>46217.0</v>
      </c>
      <c r="AQ14" s="5"/>
      <c r="AR14" s="6"/>
      <c r="AS14" s="48"/>
      <c r="AT14" s="5"/>
      <c r="AU14" s="6"/>
      <c r="AV14" s="55" t="s">
        <v>42</v>
      </c>
      <c r="AW14" s="5"/>
      <c r="AX14" s="6"/>
      <c r="AY14" s="48"/>
      <c r="AZ14" s="5"/>
      <c r="BA14" s="6"/>
      <c r="BB14" s="55" t="s">
        <v>139</v>
      </c>
      <c r="BC14" s="5"/>
      <c r="BD14" s="6"/>
      <c r="BE14" s="56">
        <v>46239.0</v>
      </c>
      <c r="BF14" s="5"/>
      <c r="BG14" s="6"/>
      <c r="BH14" s="48"/>
      <c r="BI14" s="5"/>
      <c r="BJ14" s="6"/>
      <c r="BK14" s="49"/>
      <c r="BL14" s="5"/>
      <c r="BM14" s="5"/>
      <c r="BN14" s="5"/>
      <c r="BO14" s="5"/>
      <c r="BP14" s="5"/>
      <c r="BQ14" s="6"/>
    </row>
    <row r="15" ht="127.5" customHeight="1">
      <c r="A15" s="47">
        <v>3.0</v>
      </c>
      <c r="B15" s="49" t="s">
        <v>150</v>
      </c>
      <c r="C15" s="5"/>
      <c r="D15" s="6"/>
      <c r="E15" s="49" t="s">
        <v>151</v>
      </c>
      <c r="F15" s="5"/>
      <c r="G15" s="5"/>
      <c r="H15" s="5"/>
      <c r="I15" s="6"/>
      <c r="J15" s="49" t="s">
        <v>152</v>
      </c>
      <c r="K15" s="5"/>
      <c r="L15" s="5"/>
      <c r="M15" s="5"/>
      <c r="N15" s="5"/>
      <c r="O15" s="5"/>
      <c r="P15" s="6"/>
      <c r="Q15" s="49" t="s">
        <v>153</v>
      </c>
      <c r="R15" s="5"/>
      <c r="S15" s="5"/>
      <c r="T15" s="5"/>
      <c r="U15" s="5"/>
      <c r="V15" s="5"/>
      <c r="W15" s="6"/>
      <c r="X15" s="49" t="s">
        <v>155</v>
      </c>
      <c r="Y15" s="5"/>
      <c r="Z15" s="5"/>
      <c r="AA15" s="5"/>
      <c r="AB15" s="5"/>
      <c r="AC15" s="5"/>
      <c r="AD15" s="6"/>
      <c r="AE15" s="48" t="s">
        <v>156</v>
      </c>
      <c r="AF15" s="6"/>
      <c r="AG15" s="55" t="s">
        <v>42</v>
      </c>
      <c r="AH15" s="5"/>
      <c r="AI15" s="6"/>
      <c r="AJ15" s="48"/>
      <c r="AK15" s="5"/>
      <c r="AL15" s="6"/>
      <c r="AM15" s="55" t="s">
        <v>139</v>
      </c>
      <c r="AN15" s="5"/>
      <c r="AO15" s="6"/>
      <c r="AP15" s="56">
        <v>46217.0</v>
      </c>
      <c r="AQ15" s="5"/>
      <c r="AR15" s="6"/>
      <c r="AS15" s="48"/>
      <c r="AT15" s="5"/>
      <c r="AU15" s="6"/>
      <c r="AV15" s="55" t="s">
        <v>42</v>
      </c>
      <c r="AW15" s="5"/>
      <c r="AX15" s="6"/>
      <c r="AY15" s="48"/>
      <c r="AZ15" s="5"/>
      <c r="BA15" s="6"/>
      <c r="BB15" s="55" t="s">
        <v>139</v>
      </c>
      <c r="BC15" s="5"/>
      <c r="BD15" s="6"/>
      <c r="BE15" s="56">
        <v>46239.0</v>
      </c>
      <c r="BF15" s="5"/>
      <c r="BG15" s="6"/>
      <c r="BH15" s="48"/>
      <c r="BI15" s="5"/>
      <c r="BJ15" s="6"/>
      <c r="BK15" s="49"/>
      <c r="BL15" s="5"/>
      <c r="BM15" s="5"/>
      <c r="BN15" s="5"/>
      <c r="BO15" s="5"/>
      <c r="BP15" s="5"/>
      <c r="BQ15" s="6"/>
    </row>
    <row r="16" ht="127.5" customHeight="1">
      <c r="A16" s="47">
        <v>4.0</v>
      </c>
      <c r="B16" s="49" t="s">
        <v>161</v>
      </c>
      <c r="C16" s="5"/>
      <c r="D16" s="6"/>
      <c r="E16" s="49" t="s">
        <v>162</v>
      </c>
      <c r="F16" s="5"/>
      <c r="G16" s="5"/>
      <c r="H16" s="5"/>
      <c r="I16" s="6"/>
      <c r="J16" s="49" t="s">
        <v>163</v>
      </c>
      <c r="K16" s="5"/>
      <c r="L16" s="5"/>
      <c r="M16" s="5"/>
      <c r="N16" s="5"/>
      <c r="O16" s="5"/>
      <c r="P16" s="6"/>
      <c r="Q16" s="49" t="s">
        <v>165</v>
      </c>
      <c r="R16" s="5"/>
      <c r="S16" s="5"/>
      <c r="T16" s="5"/>
      <c r="U16" s="5"/>
      <c r="V16" s="5"/>
      <c r="W16" s="6"/>
      <c r="X16" s="49" t="s">
        <v>166</v>
      </c>
      <c r="Y16" s="5"/>
      <c r="Z16" s="5"/>
      <c r="AA16" s="5"/>
      <c r="AB16" s="5"/>
      <c r="AC16" s="5"/>
      <c r="AD16" s="6"/>
      <c r="AE16" s="48" t="s">
        <v>156</v>
      </c>
      <c r="AF16" s="6"/>
      <c r="AG16" s="55" t="s">
        <v>42</v>
      </c>
      <c r="AH16" s="5"/>
      <c r="AI16" s="6"/>
      <c r="AJ16" s="48"/>
      <c r="AK16" s="5"/>
      <c r="AL16" s="6"/>
      <c r="AM16" s="55" t="s">
        <v>139</v>
      </c>
      <c r="AN16" s="5"/>
      <c r="AO16" s="6"/>
      <c r="AP16" s="56">
        <v>46217.0</v>
      </c>
      <c r="AQ16" s="5"/>
      <c r="AR16" s="6"/>
      <c r="AS16" s="48"/>
      <c r="AT16" s="5"/>
      <c r="AU16" s="6"/>
      <c r="AV16" s="55" t="s">
        <v>42</v>
      </c>
      <c r="AW16" s="5"/>
      <c r="AX16" s="6"/>
      <c r="AY16" s="48"/>
      <c r="AZ16" s="5"/>
      <c r="BA16" s="6"/>
      <c r="BB16" s="55" t="s">
        <v>139</v>
      </c>
      <c r="BC16" s="5"/>
      <c r="BD16" s="6"/>
      <c r="BE16" s="56">
        <v>46239.0</v>
      </c>
      <c r="BF16" s="5"/>
      <c r="BG16" s="6"/>
      <c r="BH16" s="48"/>
      <c r="BI16" s="5"/>
      <c r="BJ16" s="6"/>
      <c r="BK16" s="49"/>
      <c r="BL16" s="5"/>
      <c r="BM16" s="5"/>
      <c r="BN16" s="5"/>
      <c r="BO16" s="5"/>
      <c r="BP16" s="5"/>
      <c r="BQ16" s="6"/>
    </row>
    <row r="17" ht="240.0" customHeight="1">
      <c r="A17" s="47">
        <v>5.0</v>
      </c>
      <c r="B17" s="49" t="s">
        <v>170</v>
      </c>
      <c r="C17" s="5"/>
      <c r="D17" s="6"/>
      <c r="E17" s="49" t="s">
        <v>171</v>
      </c>
      <c r="F17" s="5"/>
      <c r="G17" s="5"/>
      <c r="H17" s="5"/>
      <c r="I17" s="6"/>
      <c r="J17" s="49" t="s">
        <v>172</v>
      </c>
      <c r="K17" s="5"/>
      <c r="L17" s="5"/>
      <c r="M17" s="5"/>
      <c r="N17" s="5"/>
      <c r="O17" s="5"/>
      <c r="P17" s="6"/>
      <c r="Q17" s="49" t="s">
        <v>174</v>
      </c>
      <c r="R17" s="5"/>
      <c r="S17" s="5"/>
      <c r="T17" s="5"/>
      <c r="U17" s="5"/>
      <c r="V17" s="5"/>
      <c r="W17" s="6"/>
      <c r="X17" s="49" t="s">
        <v>176</v>
      </c>
      <c r="Y17" s="5"/>
      <c r="Z17" s="5"/>
      <c r="AA17" s="5"/>
      <c r="AB17" s="5"/>
      <c r="AC17" s="5"/>
      <c r="AD17" s="6"/>
      <c r="AE17" s="48" t="s">
        <v>156</v>
      </c>
      <c r="AF17" s="6"/>
      <c r="AG17" s="55" t="s">
        <v>42</v>
      </c>
      <c r="AH17" s="5"/>
      <c r="AI17" s="6"/>
      <c r="AJ17" s="48"/>
      <c r="AK17" s="5"/>
      <c r="AL17" s="6"/>
      <c r="AM17" s="55" t="s">
        <v>139</v>
      </c>
      <c r="AN17" s="5"/>
      <c r="AO17" s="6"/>
      <c r="AP17" s="56">
        <v>46217.0</v>
      </c>
      <c r="AQ17" s="5"/>
      <c r="AR17" s="6"/>
      <c r="AS17" s="48"/>
      <c r="AT17" s="5"/>
      <c r="AU17" s="6"/>
      <c r="AV17" s="55" t="s">
        <v>42</v>
      </c>
      <c r="AW17" s="5"/>
      <c r="AX17" s="6"/>
      <c r="AY17" s="48"/>
      <c r="AZ17" s="5"/>
      <c r="BA17" s="6"/>
      <c r="BB17" s="55" t="s">
        <v>139</v>
      </c>
      <c r="BC17" s="5"/>
      <c r="BD17" s="6"/>
      <c r="BE17" s="56">
        <v>46239.0</v>
      </c>
      <c r="BF17" s="5"/>
      <c r="BG17" s="6"/>
      <c r="BH17" s="48"/>
      <c r="BI17" s="5"/>
      <c r="BJ17" s="6"/>
      <c r="BK17" s="49"/>
      <c r="BL17" s="5"/>
      <c r="BM17" s="5"/>
      <c r="BN17" s="5"/>
      <c r="BO17" s="5"/>
      <c r="BP17" s="5"/>
      <c r="BQ17" s="6"/>
    </row>
    <row r="18" ht="144.0" customHeight="1">
      <c r="A18" s="47">
        <v>6.0</v>
      </c>
      <c r="B18" s="49" t="s">
        <v>181</v>
      </c>
      <c r="C18" s="5"/>
      <c r="D18" s="6"/>
      <c r="E18" s="49" t="s">
        <v>182</v>
      </c>
      <c r="F18" s="5"/>
      <c r="G18" s="5"/>
      <c r="H18" s="5"/>
      <c r="I18" s="6"/>
      <c r="J18" s="49" t="s">
        <v>183</v>
      </c>
      <c r="K18" s="5"/>
      <c r="L18" s="5"/>
      <c r="M18" s="5"/>
      <c r="N18" s="5"/>
      <c r="O18" s="5"/>
      <c r="P18" s="6"/>
      <c r="Q18" s="49" t="s">
        <v>184</v>
      </c>
      <c r="R18" s="5"/>
      <c r="S18" s="5"/>
      <c r="T18" s="5"/>
      <c r="U18" s="5"/>
      <c r="V18" s="5"/>
      <c r="W18" s="6"/>
      <c r="X18" s="49" t="s">
        <v>186</v>
      </c>
      <c r="Y18" s="5"/>
      <c r="Z18" s="5"/>
      <c r="AA18" s="5"/>
      <c r="AB18" s="5"/>
      <c r="AC18" s="5"/>
      <c r="AD18" s="6"/>
      <c r="AE18" s="48" t="s">
        <v>137</v>
      </c>
      <c r="AF18" s="6"/>
      <c r="AG18" s="55" t="s">
        <v>42</v>
      </c>
      <c r="AH18" s="5"/>
      <c r="AI18" s="6"/>
      <c r="AJ18" s="48"/>
      <c r="AK18" s="5"/>
      <c r="AL18" s="6"/>
      <c r="AM18" s="55" t="s">
        <v>139</v>
      </c>
      <c r="AN18" s="5"/>
      <c r="AO18" s="6"/>
      <c r="AP18" s="56">
        <v>46217.0</v>
      </c>
      <c r="AQ18" s="5"/>
      <c r="AR18" s="6"/>
      <c r="AS18" s="48"/>
      <c r="AT18" s="5"/>
      <c r="AU18" s="6"/>
      <c r="AV18" s="55" t="s">
        <v>42</v>
      </c>
      <c r="AW18" s="5"/>
      <c r="AX18" s="6"/>
      <c r="AY18" s="48"/>
      <c r="AZ18" s="5"/>
      <c r="BA18" s="6"/>
      <c r="BB18" s="55" t="s">
        <v>139</v>
      </c>
      <c r="BC18" s="5"/>
      <c r="BD18" s="6"/>
      <c r="BE18" s="56">
        <v>46239.0</v>
      </c>
      <c r="BF18" s="5"/>
      <c r="BG18" s="6"/>
      <c r="BH18" s="48"/>
      <c r="BI18" s="5"/>
      <c r="BJ18" s="6"/>
      <c r="BK18" s="49"/>
      <c r="BL18" s="5"/>
      <c r="BM18" s="5"/>
      <c r="BN18" s="5"/>
      <c r="BO18" s="5"/>
      <c r="BP18" s="5"/>
      <c r="BQ18" s="6"/>
    </row>
    <row r="19" ht="159.75" customHeight="1">
      <c r="A19" s="47">
        <v>7.0</v>
      </c>
      <c r="B19" s="49" t="s">
        <v>190</v>
      </c>
      <c r="C19" s="5"/>
      <c r="D19" s="6"/>
      <c r="E19" s="49" t="s">
        <v>191</v>
      </c>
      <c r="F19" s="5"/>
      <c r="G19" s="5"/>
      <c r="H19" s="5"/>
      <c r="I19" s="6"/>
      <c r="J19" s="49" t="s">
        <v>193</v>
      </c>
      <c r="K19" s="5"/>
      <c r="L19" s="5"/>
      <c r="M19" s="5"/>
      <c r="N19" s="5"/>
      <c r="O19" s="5"/>
      <c r="P19" s="6"/>
      <c r="Q19" s="49" t="s">
        <v>194</v>
      </c>
      <c r="R19" s="5"/>
      <c r="S19" s="5"/>
      <c r="T19" s="5"/>
      <c r="U19" s="5"/>
      <c r="V19" s="5"/>
      <c r="W19" s="6"/>
      <c r="X19" s="49" t="s">
        <v>195</v>
      </c>
      <c r="Y19" s="5"/>
      <c r="Z19" s="5"/>
      <c r="AA19" s="5"/>
      <c r="AB19" s="5"/>
      <c r="AC19" s="5"/>
      <c r="AD19" s="6"/>
      <c r="AE19" s="48" t="s">
        <v>137</v>
      </c>
      <c r="AF19" s="6"/>
      <c r="AG19" s="55" t="s">
        <v>42</v>
      </c>
      <c r="AH19" s="5"/>
      <c r="AI19" s="6"/>
      <c r="AJ19" s="48"/>
      <c r="AK19" s="5"/>
      <c r="AL19" s="6"/>
      <c r="AM19" s="55" t="s">
        <v>139</v>
      </c>
      <c r="AN19" s="5"/>
      <c r="AO19" s="6"/>
      <c r="AP19" s="56">
        <v>46217.0</v>
      </c>
      <c r="AQ19" s="5"/>
      <c r="AR19" s="6"/>
      <c r="AS19" s="48"/>
      <c r="AT19" s="5"/>
      <c r="AU19" s="6"/>
      <c r="AV19" s="55" t="s">
        <v>42</v>
      </c>
      <c r="AW19" s="5"/>
      <c r="AX19" s="6"/>
      <c r="AY19" s="48"/>
      <c r="AZ19" s="5"/>
      <c r="BA19" s="6"/>
      <c r="BB19" s="55" t="s">
        <v>139</v>
      </c>
      <c r="BC19" s="5"/>
      <c r="BD19" s="6"/>
      <c r="BE19" s="56">
        <v>46239.0</v>
      </c>
      <c r="BF19" s="5"/>
      <c r="BG19" s="6"/>
      <c r="BH19" s="48"/>
      <c r="BI19" s="5"/>
      <c r="BJ19" s="6"/>
      <c r="BK19" s="49"/>
      <c r="BL19" s="5"/>
      <c r="BM19" s="5"/>
      <c r="BN19" s="5"/>
      <c r="BO19" s="5"/>
      <c r="BP19" s="5"/>
      <c r="BQ19" s="6"/>
    </row>
    <row r="20" ht="144.0" customHeight="1">
      <c r="A20" s="47">
        <v>8.0</v>
      </c>
      <c r="B20" s="49" t="s">
        <v>199</v>
      </c>
      <c r="C20" s="5"/>
      <c r="D20" s="6"/>
      <c r="E20" s="49" t="s">
        <v>200</v>
      </c>
      <c r="F20" s="5"/>
      <c r="G20" s="5"/>
      <c r="H20" s="5"/>
      <c r="I20" s="6"/>
      <c r="J20" s="49" t="s">
        <v>202</v>
      </c>
      <c r="K20" s="5"/>
      <c r="L20" s="5"/>
      <c r="M20" s="5"/>
      <c r="N20" s="5"/>
      <c r="O20" s="5"/>
      <c r="P20" s="6"/>
      <c r="Q20" s="49" t="s">
        <v>203</v>
      </c>
      <c r="R20" s="5"/>
      <c r="S20" s="5"/>
      <c r="T20" s="5"/>
      <c r="U20" s="5"/>
      <c r="V20" s="5"/>
      <c r="W20" s="6"/>
      <c r="X20" s="49" t="s">
        <v>204</v>
      </c>
      <c r="Y20" s="5"/>
      <c r="Z20" s="5"/>
      <c r="AA20" s="5"/>
      <c r="AB20" s="5"/>
      <c r="AC20" s="5"/>
      <c r="AD20" s="6"/>
      <c r="AE20" s="48" t="s">
        <v>137</v>
      </c>
      <c r="AF20" s="6"/>
      <c r="AG20" s="55" t="s">
        <v>42</v>
      </c>
      <c r="AH20" s="5"/>
      <c r="AI20" s="6"/>
      <c r="AJ20" s="48"/>
      <c r="AK20" s="5"/>
      <c r="AL20" s="6"/>
      <c r="AM20" s="55" t="s">
        <v>139</v>
      </c>
      <c r="AN20" s="5"/>
      <c r="AO20" s="6"/>
      <c r="AP20" s="56">
        <v>46217.0</v>
      </c>
      <c r="AQ20" s="5"/>
      <c r="AR20" s="6"/>
      <c r="AS20" s="48"/>
      <c r="AT20" s="5"/>
      <c r="AU20" s="6"/>
      <c r="AV20" s="55" t="s">
        <v>42</v>
      </c>
      <c r="AW20" s="5"/>
      <c r="AX20" s="6"/>
      <c r="AY20" s="48"/>
      <c r="AZ20" s="5"/>
      <c r="BA20" s="6"/>
      <c r="BB20" s="55" t="s">
        <v>139</v>
      </c>
      <c r="BC20" s="5"/>
      <c r="BD20" s="6"/>
      <c r="BE20" s="56">
        <v>46239.0</v>
      </c>
      <c r="BF20" s="5"/>
      <c r="BG20" s="6"/>
      <c r="BH20" s="48"/>
      <c r="BI20" s="5"/>
      <c r="BJ20" s="6"/>
      <c r="BK20" s="49" t="s">
        <v>209</v>
      </c>
      <c r="BL20" s="5"/>
      <c r="BM20" s="5"/>
      <c r="BN20" s="5"/>
      <c r="BO20" s="5"/>
      <c r="BP20" s="5"/>
      <c r="BQ20" s="6"/>
    </row>
    <row r="21" ht="22.5" customHeight="1">
      <c r="A21" s="8" t="s">
        <v>211</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6"/>
    </row>
    <row r="22" ht="127.5" customHeight="1">
      <c r="A22" s="47">
        <v>9.0</v>
      </c>
      <c r="B22" s="49" t="s">
        <v>215</v>
      </c>
      <c r="C22" s="5"/>
      <c r="D22" s="6"/>
      <c r="E22" s="49" t="s">
        <v>216</v>
      </c>
      <c r="F22" s="5"/>
      <c r="G22" s="5"/>
      <c r="H22" s="5"/>
      <c r="I22" s="6"/>
      <c r="J22" s="49" t="s">
        <v>217</v>
      </c>
      <c r="K22" s="5"/>
      <c r="L22" s="5"/>
      <c r="M22" s="5"/>
      <c r="N22" s="5"/>
      <c r="O22" s="5"/>
      <c r="P22" s="6"/>
      <c r="Q22" s="49" t="s">
        <v>219</v>
      </c>
      <c r="R22" s="5"/>
      <c r="S22" s="5"/>
      <c r="T22" s="5"/>
      <c r="U22" s="5"/>
      <c r="V22" s="5"/>
      <c r="W22" s="6"/>
      <c r="X22" s="49" t="s">
        <v>220</v>
      </c>
      <c r="Y22" s="5"/>
      <c r="Z22" s="5"/>
      <c r="AA22" s="5"/>
      <c r="AB22" s="5"/>
      <c r="AC22" s="5"/>
      <c r="AD22" s="6"/>
      <c r="AE22" s="48" t="s">
        <v>156</v>
      </c>
      <c r="AF22" s="6"/>
      <c r="AG22" s="55" t="s">
        <v>42</v>
      </c>
      <c r="AH22" s="5"/>
      <c r="AI22" s="6"/>
      <c r="AJ22" s="48"/>
      <c r="AK22" s="5"/>
      <c r="AL22" s="6"/>
      <c r="AM22" s="55" t="s">
        <v>139</v>
      </c>
      <c r="AN22" s="5"/>
      <c r="AO22" s="6"/>
      <c r="AP22" s="56">
        <v>46217.0</v>
      </c>
      <c r="AQ22" s="5"/>
      <c r="AR22" s="6"/>
      <c r="AS22" s="48"/>
      <c r="AT22" s="5"/>
      <c r="AU22" s="6"/>
      <c r="AV22" s="55" t="s">
        <v>42</v>
      </c>
      <c r="AW22" s="5"/>
      <c r="AX22" s="6"/>
      <c r="AY22" s="48"/>
      <c r="AZ22" s="5"/>
      <c r="BA22" s="6"/>
      <c r="BB22" s="55" t="s">
        <v>139</v>
      </c>
      <c r="BC22" s="5"/>
      <c r="BD22" s="6"/>
      <c r="BE22" s="56">
        <v>46239.0</v>
      </c>
      <c r="BF22" s="5"/>
      <c r="BG22" s="6"/>
      <c r="BH22" s="48"/>
      <c r="BI22" s="5"/>
      <c r="BJ22" s="6"/>
      <c r="BK22" s="49"/>
      <c r="BL22" s="5"/>
      <c r="BM22" s="5"/>
      <c r="BN22" s="5"/>
      <c r="BO22" s="5"/>
      <c r="BP22" s="5"/>
      <c r="BQ22" s="6"/>
    </row>
    <row r="23" ht="240.0" customHeight="1">
      <c r="A23" s="47">
        <v>10.0</v>
      </c>
      <c r="B23" s="49" t="s">
        <v>225</v>
      </c>
      <c r="C23" s="5"/>
      <c r="D23" s="6"/>
      <c r="E23" s="49" t="s">
        <v>227</v>
      </c>
      <c r="F23" s="5"/>
      <c r="G23" s="5"/>
      <c r="H23" s="5"/>
      <c r="I23" s="6"/>
      <c r="J23" s="49" t="s">
        <v>217</v>
      </c>
      <c r="K23" s="5"/>
      <c r="L23" s="5"/>
      <c r="M23" s="5"/>
      <c r="N23" s="5"/>
      <c r="O23" s="5"/>
      <c r="P23" s="6"/>
      <c r="Q23" s="49" t="s">
        <v>229</v>
      </c>
      <c r="R23" s="5"/>
      <c r="S23" s="5"/>
      <c r="T23" s="5"/>
      <c r="U23" s="5"/>
      <c r="V23" s="5"/>
      <c r="W23" s="6"/>
      <c r="X23" s="49" t="s">
        <v>231</v>
      </c>
      <c r="Y23" s="5"/>
      <c r="Z23" s="5"/>
      <c r="AA23" s="5"/>
      <c r="AB23" s="5"/>
      <c r="AC23" s="5"/>
      <c r="AD23" s="6"/>
      <c r="AE23" s="48" t="s">
        <v>156</v>
      </c>
      <c r="AF23" s="6"/>
      <c r="AG23" s="55" t="s">
        <v>42</v>
      </c>
      <c r="AH23" s="5"/>
      <c r="AI23" s="6"/>
      <c r="AJ23" s="48"/>
      <c r="AK23" s="5"/>
      <c r="AL23" s="6"/>
      <c r="AM23" s="55" t="s">
        <v>139</v>
      </c>
      <c r="AN23" s="5"/>
      <c r="AO23" s="6"/>
      <c r="AP23" s="56">
        <v>46217.0</v>
      </c>
      <c r="AQ23" s="5"/>
      <c r="AR23" s="6"/>
      <c r="AS23" s="48"/>
      <c r="AT23" s="5"/>
      <c r="AU23" s="6"/>
      <c r="AV23" s="55" t="s">
        <v>42</v>
      </c>
      <c r="AW23" s="5"/>
      <c r="AX23" s="6"/>
      <c r="AY23" s="48"/>
      <c r="AZ23" s="5"/>
      <c r="BA23" s="6"/>
      <c r="BB23" s="55" t="s">
        <v>139</v>
      </c>
      <c r="BC23" s="5"/>
      <c r="BD23" s="6"/>
      <c r="BE23" s="56">
        <v>46239.0</v>
      </c>
      <c r="BF23" s="5"/>
      <c r="BG23" s="6"/>
      <c r="BH23" s="48"/>
      <c r="BI23" s="5"/>
      <c r="BJ23" s="6"/>
      <c r="BK23" s="49"/>
      <c r="BL23" s="5"/>
      <c r="BM23" s="5"/>
      <c r="BN23" s="5"/>
      <c r="BO23" s="5"/>
      <c r="BP23" s="5"/>
      <c r="BQ23" s="6"/>
    </row>
    <row r="24" ht="207.75" customHeight="1">
      <c r="A24" s="47">
        <v>11.0</v>
      </c>
      <c r="B24" s="49" t="s">
        <v>237</v>
      </c>
      <c r="C24" s="5"/>
      <c r="D24" s="6"/>
      <c r="E24" s="49" t="s">
        <v>238</v>
      </c>
      <c r="F24" s="5"/>
      <c r="G24" s="5"/>
      <c r="H24" s="5"/>
      <c r="I24" s="6"/>
      <c r="J24" s="49" t="s">
        <v>239</v>
      </c>
      <c r="K24" s="5"/>
      <c r="L24" s="5"/>
      <c r="M24" s="5"/>
      <c r="N24" s="5"/>
      <c r="O24" s="5"/>
      <c r="P24" s="6"/>
      <c r="Q24" s="49" t="s">
        <v>241</v>
      </c>
      <c r="R24" s="5"/>
      <c r="S24" s="5"/>
      <c r="T24" s="5"/>
      <c r="U24" s="5"/>
      <c r="V24" s="5"/>
      <c r="W24" s="6"/>
      <c r="X24" s="49" t="s">
        <v>243</v>
      </c>
      <c r="Y24" s="5"/>
      <c r="Z24" s="5"/>
      <c r="AA24" s="5"/>
      <c r="AB24" s="5"/>
      <c r="AC24" s="5"/>
      <c r="AD24" s="6"/>
      <c r="AE24" s="48" t="s">
        <v>156</v>
      </c>
      <c r="AF24" s="6"/>
      <c r="AG24" s="55" t="s">
        <v>42</v>
      </c>
      <c r="AH24" s="5"/>
      <c r="AI24" s="6"/>
      <c r="AJ24" s="48"/>
      <c r="AK24" s="5"/>
      <c r="AL24" s="6"/>
      <c r="AM24" s="55" t="s">
        <v>139</v>
      </c>
      <c r="AN24" s="5"/>
      <c r="AO24" s="6"/>
      <c r="AP24" s="56">
        <v>46217.0</v>
      </c>
      <c r="AQ24" s="5"/>
      <c r="AR24" s="6"/>
      <c r="AS24" s="48"/>
      <c r="AT24" s="5"/>
      <c r="AU24" s="6"/>
      <c r="AV24" s="55" t="s">
        <v>42</v>
      </c>
      <c r="AW24" s="5"/>
      <c r="AX24" s="6"/>
      <c r="AY24" s="48"/>
      <c r="AZ24" s="5"/>
      <c r="BA24" s="6"/>
      <c r="BB24" s="55" t="s">
        <v>139</v>
      </c>
      <c r="BC24" s="5"/>
      <c r="BD24" s="6"/>
      <c r="BE24" s="56">
        <v>46239.0</v>
      </c>
      <c r="BF24" s="5"/>
      <c r="BG24" s="6"/>
      <c r="BH24" s="48"/>
      <c r="BI24" s="5"/>
      <c r="BJ24" s="6"/>
      <c r="BK24" s="49"/>
      <c r="BL24" s="5"/>
      <c r="BM24" s="5"/>
      <c r="BN24" s="5"/>
      <c r="BO24" s="5"/>
      <c r="BP24" s="5"/>
      <c r="BQ24" s="6"/>
    </row>
    <row r="25" ht="96.0" customHeight="1">
      <c r="A25" s="47">
        <v>12.0</v>
      </c>
      <c r="B25" s="49" t="s">
        <v>247</v>
      </c>
      <c r="C25" s="5"/>
      <c r="D25" s="6"/>
      <c r="E25" s="49" t="s">
        <v>248</v>
      </c>
      <c r="F25" s="5"/>
      <c r="G25" s="5"/>
      <c r="H25" s="5"/>
      <c r="I25" s="6"/>
      <c r="J25" s="49" t="s">
        <v>250</v>
      </c>
      <c r="K25" s="5"/>
      <c r="L25" s="5"/>
      <c r="M25" s="5"/>
      <c r="N25" s="5"/>
      <c r="O25" s="5"/>
      <c r="P25" s="6"/>
      <c r="Q25" s="49" t="s">
        <v>251</v>
      </c>
      <c r="R25" s="5"/>
      <c r="S25" s="5"/>
      <c r="T25" s="5"/>
      <c r="U25" s="5"/>
      <c r="V25" s="5"/>
      <c r="W25" s="6"/>
      <c r="X25" s="49" t="s">
        <v>253</v>
      </c>
      <c r="Y25" s="5"/>
      <c r="Z25" s="5"/>
      <c r="AA25" s="5"/>
      <c r="AB25" s="5"/>
      <c r="AC25" s="5"/>
      <c r="AD25" s="6"/>
      <c r="AE25" s="48" t="s">
        <v>156</v>
      </c>
      <c r="AF25" s="6"/>
      <c r="AG25" s="55" t="s">
        <v>42</v>
      </c>
      <c r="AH25" s="5"/>
      <c r="AI25" s="6"/>
      <c r="AJ25" s="48"/>
      <c r="AK25" s="5"/>
      <c r="AL25" s="6"/>
      <c r="AM25" s="55" t="s">
        <v>139</v>
      </c>
      <c r="AN25" s="5"/>
      <c r="AO25" s="6"/>
      <c r="AP25" s="56">
        <v>46217.0</v>
      </c>
      <c r="AQ25" s="5"/>
      <c r="AR25" s="6"/>
      <c r="AS25" s="48"/>
      <c r="AT25" s="5"/>
      <c r="AU25" s="6"/>
      <c r="AV25" s="55" t="s">
        <v>42</v>
      </c>
      <c r="AW25" s="5"/>
      <c r="AX25" s="6"/>
      <c r="AY25" s="48"/>
      <c r="AZ25" s="5"/>
      <c r="BA25" s="6"/>
      <c r="BB25" s="55" t="s">
        <v>139</v>
      </c>
      <c r="BC25" s="5"/>
      <c r="BD25" s="6"/>
      <c r="BE25" s="56">
        <v>46239.0</v>
      </c>
      <c r="BF25" s="5"/>
      <c r="BG25" s="6"/>
      <c r="BH25" s="48"/>
      <c r="BI25" s="5"/>
      <c r="BJ25" s="6"/>
      <c r="BK25" s="49"/>
      <c r="BL25" s="5"/>
      <c r="BM25" s="5"/>
      <c r="BN25" s="5"/>
      <c r="BO25" s="5"/>
      <c r="BP25" s="5"/>
      <c r="BQ25" s="6"/>
    </row>
    <row r="26" ht="79.5" customHeight="1">
      <c r="A26" s="47">
        <v>13.0</v>
      </c>
      <c r="B26" s="49" t="s">
        <v>258</v>
      </c>
      <c r="C26" s="5"/>
      <c r="D26" s="6"/>
      <c r="E26" s="49" t="s">
        <v>259</v>
      </c>
      <c r="F26" s="5"/>
      <c r="G26" s="5"/>
      <c r="H26" s="5"/>
      <c r="I26" s="6"/>
      <c r="J26" s="49" t="s">
        <v>261</v>
      </c>
      <c r="K26" s="5"/>
      <c r="L26" s="5"/>
      <c r="M26" s="5"/>
      <c r="N26" s="5"/>
      <c r="O26" s="5"/>
      <c r="P26" s="6"/>
      <c r="Q26" s="49" t="s">
        <v>262</v>
      </c>
      <c r="R26" s="5"/>
      <c r="S26" s="5"/>
      <c r="T26" s="5"/>
      <c r="U26" s="5"/>
      <c r="V26" s="5"/>
      <c r="W26" s="6"/>
      <c r="X26" s="49" t="s">
        <v>264</v>
      </c>
      <c r="Y26" s="5"/>
      <c r="Z26" s="5"/>
      <c r="AA26" s="5"/>
      <c r="AB26" s="5"/>
      <c r="AC26" s="5"/>
      <c r="AD26" s="6"/>
      <c r="AE26" s="48" t="s">
        <v>156</v>
      </c>
      <c r="AF26" s="6"/>
      <c r="AG26" s="55" t="s">
        <v>42</v>
      </c>
      <c r="AH26" s="5"/>
      <c r="AI26" s="6"/>
      <c r="AJ26" s="48"/>
      <c r="AK26" s="5"/>
      <c r="AL26" s="6"/>
      <c r="AM26" s="55" t="s">
        <v>139</v>
      </c>
      <c r="AN26" s="5"/>
      <c r="AO26" s="6"/>
      <c r="AP26" s="56">
        <v>46217.0</v>
      </c>
      <c r="AQ26" s="5"/>
      <c r="AR26" s="6"/>
      <c r="AS26" s="48"/>
      <c r="AT26" s="5"/>
      <c r="AU26" s="6"/>
      <c r="AV26" s="55" t="s">
        <v>42</v>
      </c>
      <c r="AW26" s="5"/>
      <c r="AX26" s="6"/>
      <c r="AY26" s="48"/>
      <c r="AZ26" s="5"/>
      <c r="BA26" s="6"/>
      <c r="BB26" s="55" t="s">
        <v>139</v>
      </c>
      <c r="BC26" s="5"/>
      <c r="BD26" s="6"/>
      <c r="BE26" s="56">
        <v>46239.0</v>
      </c>
      <c r="BF26" s="5"/>
      <c r="BG26" s="6"/>
      <c r="BH26" s="48"/>
      <c r="BI26" s="5"/>
      <c r="BJ26" s="6"/>
      <c r="BK26" s="49"/>
      <c r="BL26" s="5"/>
      <c r="BM26" s="5"/>
      <c r="BN26" s="5"/>
      <c r="BO26" s="5"/>
      <c r="BP26" s="5"/>
      <c r="BQ26" s="6"/>
    </row>
    <row r="27" ht="144.0" customHeight="1">
      <c r="A27" s="47">
        <v>14.0</v>
      </c>
      <c r="B27" s="49" t="s">
        <v>268</v>
      </c>
      <c r="C27" s="5"/>
      <c r="D27" s="6"/>
      <c r="E27" s="49" t="s">
        <v>269</v>
      </c>
      <c r="F27" s="5"/>
      <c r="G27" s="5"/>
      <c r="H27" s="5"/>
      <c r="I27" s="6"/>
      <c r="J27" s="49" t="s">
        <v>217</v>
      </c>
      <c r="K27" s="5"/>
      <c r="L27" s="5"/>
      <c r="M27" s="5"/>
      <c r="N27" s="5"/>
      <c r="O27" s="5"/>
      <c r="P27" s="6"/>
      <c r="Q27" s="49" t="s">
        <v>271</v>
      </c>
      <c r="R27" s="5"/>
      <c r="S27" s="5"/>
      <c r="T27" s="5"/>
      <c r="U27" s="5"/>
      <c r="V27" s="5"/>
      <c r="W27" s="6"/>
      <c r="X27" s="49" t="s">
        <v>273</v>
      </c>
      <c r="Y27" s="5"/>
      <c r="Z27" s="5"/>
      <c r="AA27" s="5"/>
      <c r="AB27" s="5"/>
      <c r="AC27" s="5"/>
      <c r="AD27" s="6"/>
      <c r="AE27" s="48" t="s">
        <v>156</v>
      </c>
      <c r="AF27" s="6"/>
      <c r="AG27" s="55" t="s">
        <v>42</v>
      </c>
      <c r="AH27" s="5"/>
      <c r="AI27" s="6"/>
      <c r="AJ27" s="48"/>
      <c r="AK27" s="5"/>
      <c r="AL27" s="6"/>
      <c r="AM27" s="55" t="s">
        <v>139</v>
      </c>
      <c r="AN27" s="5"/>
      <c r="AO27" s="6"/>
      <c r="AP27" s="56">
        <v>46217.0</v>
      </c>
      <c r="AQ27" s="5"/>
      <c r="AR27" s="6"/>
      <c r="AS27" s="48"/>
      <c r="AT27" s="5"/>
      <c r="AU27" s="6"/>
      <c r="AV27" s="55" t="s">
        <v>42</v>
      </c>
      <c r="AW27" s="5"/>
      <c r="AX27" s="6"/>
      <c r="AY27" s="48"/>
      <c r="AZ27" s="5"/>
      <c r="BA27" s="6"/>
      <c r="BB27" s="55" t="s">
        <v>139</v>
      </c>
      <c r="BC27" s="5"/>
      <c r="BD27" s="6"/>
      <c r="BE27" s="56">
        <v>46239.0</v>
      </c>
      <c r="BF27" s="5"/>
      <c r="BG27" s="6"/>
      <c r="BH27" s="48"/>
      <c r="BI27" s="5"/>
      <c r="BJ27" s="6"/>
      <c r="BK27" s="49"/>
      <c r="BL27" s="5"/>
      <c r="BM27" s="5"/>
      <c r="BN27" s="5"/>
      <c r="BO27" s="5"/>
      <c r="BP27" s="5"/>
      <c r="BQ27" s="6"/>
    </row>
    <row r="28" ht="127.5" customHeight="1">
      <c r="A28" s="47">
        <v>15.0</v>
      </c>
      <c r="B28" s="49" t="s">
        <v>278</v>
      </c>
      <c r="C28" s="5"/>
      <c r="D28" s="6"/>
      <c r="E28" s="49" t="s">
        <v>280</v>
      </c>
      <c r="F28" s="5"/>
      <c r="G28" s="5"/>
      <c r="H28" s="5"/>
      <c r="I28" s="6"/>
      <c r="J28" s="49" t="s">
        <v>217</v>
      </c>
      <c r="K28" s="5"/>
      <c r="L28" s="5"/>
      <c r="M28" s="5"/>
      <c r="N28" s="5"/>
      <c r="O28" s="5"/>
      <c r="P28" s="6"/>
      <c r="Q28" s="49" t="s">
        <v>281</v>
      </c>
      <c r="R28" s="5"/>
      <c r="S28" s="5"/>
      <c r="T28" s="5"/>
      <c r="U28" s="5"/>
      <c r="V28" s="5"/>
      <c r="W28" s="6"/>
      <c r="X28" s="49" t="s">
        <v>283</v>
      </c>
      <c r="Y28" s="5"/>
      <c r="Z28" s="5"/>
      <c r="AA28" s="5"/>
      <c r="AB28" s="5"/>
      <c r="AC28" s="5"/>
      <c r="AD28" s="6"/>
      <c r="AE28" s="48" t="s">
        <v>156</v>
      </c>
      <c r="AF28" s="6"/>
      <c r="AG28" s="55" t="s">
        <v>42</v>
      </c>
      <c r="AH28" s="5"/>
      <c r="AI28" s="6"/>
      <c r="AJ28" s="48"/>
      <c r="AK28" s="5"/>
      <c r="AL28" s="6"/>
      <c r="AM28" s="55" t="s">
        <v>139</v>
      </c>
      <c r="AN28" s="5"/>
      <c r="AO28" s="6"/>
      <c r="AP28" s="56">
        <v>46217.0</v>
      </c>
      <c r="AQ28" s="5"/>
      <c r="AR28" s="6"/>
      <c r="AS28" s="48"/>
      <c r="AT28" s="5"/>
      <c r="AU28" s="6"/>
      <c r="AV28" s="55" t="s">
        <v>42</v>
      </c>
      <c r="AW28" s="5"/>
      <c r="AX28" s="6"/>
      <c r="AY28" s="48"/>
      <c r="AZ28" s="5"/>
      <c r="BA28" s="6"/>
      <c r="BB28" s="55" t="s">
        <v>139</v>
      </c>
      <c r="BC28" s="5"/>
      <c r="BD28" s="6"/>
      <c r="BE28" s="56">
        <v>46239.0</v>
      </c>
      <c r="BF28" s="5"/>
      <c r="BG28" s="6"/>
      <c r="BH28" s="48"/>
      <c r="BI28" s="5"/>
      <c r="BJ28" s="6"/>
      <c r="BK28" s="49"/>
      <c r="BL28" s="5"/>
      <c r="BM28" s="5"/>
      <c r="BN28" s="5"/>
      <c r="BO28" s="5"/>
      <c r="BP28" s="5"/>
      <c r="BQ28" s="6"/>
    </row>
    <row r="29" ht="144.0" customHeight="1">
      <c r="A29" s="47">
        <v>16.0</v>
      </c>
      <c r="B29" s="49" t="s">
        <v>287</v>
      </c>
      <c r="C29" s="5"/>
      <c r="D29" s="6"/>
      <c r="E29" s="49" t="s">
        <v>288</v>
      </c>
      <c r="F29" s="5"/>
      <c r="G29" s="5"/>
      <c r="H29" s="5"/>
      <c r="I29" s="6"/>
      <c r="J29" s="49" t="s">
        <v>217</v>
      </c>
      <c r="K29" s="5"/>
      <c r="L29" s="5"/>
      <c r="M29" s="5"/>
      <c r="N29" s="5"/>
      <c r="O29" s="5"/>
      <c r="P29" s="6"/>
      <c r="Q29" s="49" t="s">
        <v>290</v>
      </c>
      <c r="R29" s="5"/>
      <c r="S29" s="5"/>
      <c r="T29" s="5"/>
      <c r="U29" s="5"/>
      <c r="V29" s="5"/>
      <c r="W29" s="6"/>
      <c r="X29" s="49" t="s">
        <v>292</v>
      </c>
      <c r="Y29" s="5"/>
      <c r="Z29" s="5"/>
      <c r="AA29" s="5"/>
      <c r="AB29" s="5"/>
      <c r="AC29" s="5"/>
      <c r="AD29" s="6"/>
      <c r="AE29" s="48" t="s">
        <v>156</v>
      </c>
      <c r="AF29" s="6"/>
      <c r="AG29" s="55" t="s">
        <v>42</v>
      </c>
      <c r="AH29" s="5"/>
      <c r="AI29" s="6"/>
      <c r="AJ29" s="48"/>
      <c r="AK29" s="5"/>
      <c r="AL29" s="6"/>
      <c r="AM29" s="55" t="s">
        <v>139</v>
      </c>
      <c r="AN29" s="5"/>
      <c r="AO29" s="6"/>
      <c r="AP29" s="56">
        <v>46217.0</v>
      </c>
      <c r="AQ29" s="5"/>
      <c r="AR29" s="6"/>
      <c r="AS29" s="48"/>
      <c r="AT29" s="5"/>
      <c r="AU29" s="6"/>
      <c r="AV29" s="55" t="s">
        <v>42</v>
      </c>
      <c r="AW29" s="5"/>
      <c r="AX29" s="6"/>
      <c r="AY29" s="48"/>
      <c r="AZ29" s="5"/>
      <c r="BA29" s="6"/>
      <c r="BB29" s="55" t="s">
        <v>139</v>
      </c>
      <c r="BC29" s="5"/>
      <c r="BD29" s="6"/>
      <c r="BE29" s="56">
        <v>46239.0</v>
      </c>
      <c r="BF29" s="5"/>
      <c r="BG29" s="6"/>
      <c r="BH29" s="48"/>
      <c r="BI29" s="5"/>
      <c r="BJ29" s="6"/>
      <c r="BK29" s="49" t="s">
        <v>209</v>
      </c>
      <c r="BL29" s="5"/>
      <c r="BM29" s="5"/>
      <c r="BN29" s="5"/>
      <c r="BO29" s="5"/>
      <c r="BP29" s="5"/>
      <c r="BQ29" s="6"/>
    </row>
    <row r="30" ht="22.5" customHeight="1">
      <c r="A30" s="8" t="s">
        <v>295</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6"/>
    </row>
    <row r="31" ht="79.5" customHeight="1">
      <c r="A31" s="47">
        <v>17.0</v>
      </c>
      <c r="B31" s="49" t="s">
        <v>299</v>
      </c>
      <c r="C31" s="5"/>
      <c r="D31" s="6"/>
      <c r="E31" s="49" t="s">
        <v>300</v>
      </c>
      <c r="F31" s="5"/>
      <c r="G31" s="5"/>
      <c r="H31" s="5"/>
      <c r="I31" s="6"/>
      <c r="J31" s="49" t="s">
        <v>217</v>
      </c>
      <c r="K31" s="5"/>
      <c r="L31" s="5"/>
      <c r="M31" s="5"/>
      <c r="N31" s="5"/>
      <c r="O31" s="5"/>
      <c r="P31" s="6"/>
      <c r="Q31" s="49" t="s">
        <v>301</v>
      </c>
      <c r="R31" s="5"/>
      <c r="S31" s="5"/>
      <c r="T31" s="5"/>
      <c r="U31" s="5"/>
      <c r="V31" s="5"/>
      <c r="W31" s="6"/>
      <c r="X31" s="49" t="s">
        <v>303</v>
      </c>
      <c r="Y31" s="5"/>
      <c r="Z31" s="5"/>
      <c r="AA31" s="5"/>
      <c r="AB31" s="5"/>
      <c r="AC31" s="5"/>
      <c r="AD31" s="6"/>
      <c r="AE31" s="48" t="s">
        <v>137</v>
      </c>
      <c r="AF31" s="6"/>
      <c r="AG31" s="55" t="s">
        <v>42</v>
      </c>
      <c r="AH31" s="5"/>
      <c r="AI31" s="6"/>
      <c r="AJ31" s="48"/>
      <c r="AK31" s="5"/>
      <c r="AL31" s="6"/>
      <c r="AM31" s="55" t="s">
        <v>139</v>
      </c>
      <c r="AN31" s="5"/>
      <c r="AO31" s="6"/>
      <c r="AP31" s="56">
        <v>46217.0</v>
      </c>
      <c r="AQ31" s="5"/>
      <c r="AR31" s="6"/>
      <c r="AS31" s="48"/>
      <c r="AT31" s="5"/>
      <c r="AU31" s="6"/>
      <c r="AV31" s="55" t="s">
        <v>42</v>
      </c>
      <c r="AW31" s="5"/>
      <c r="AX31" s="6"/>
      <c r="AY31" s="48"/>
      <c r="AZ31" s="5"/>
      <c r="BA31" s="6"/>
      <c r="BB31" s="55" t="s">
        <v>139</v>
      </c>
      <c r="BC31" s="5"/>
      <c r="BD31" s="6"/>
      <c r="BE31" s="56">
        <v>46239.0</v>
      </c>
      <c r="BF31" s="5"/>
      <c r="BG31" s="6"/>
      <c r="BH31" s="48"/>
      <c r="BI31" s="5"/>
      <c r="BJ31" s="6"/>
      <c r="BK31" s="49"/>
      <c r="BL31" s="5"/>
      <c r="BM31" s="5"/>
      <c r="BN31" s="5"/>
      <c r="BO31" s="5"/>
      <c r="BP31" s="5"/>
      <c r="BQ31" s="6"/>
    </row>
    <row r="32" ht="96.0" customHeight="1">
      <c r="A32" s="47">
        <v>18.0</v>
      </c>
      <c r="B32" s="49" t="s">
        <v>309</v>
      </c>
      <c r="C32" s="5"/>
      <c r="D32" s="6"/>
      <c r="E32" s="49" t="s">
        <v>310</v>
      </c>
      <c r="F32" s="5"/>
      <c r="G32" s="5"/>
      <c r="H32" s="5"/>
      <c r="I32" s="6"/>
      <c r="J32" s="49" t="s">
        <v>250</v>
      </c>
      <c r="K32" s="5"/>
      <c r="L32" s="5"/>
      <c r="M32" s="5"/>
      <c r="N32" s="5"/>
      <c r="O32" s="5"/>
      <c r="P32" s="6"/>
      <c r="Q32" s="49" t="s">
        <v>312</v>
      </c>
      <c r="R32" s="5"/>
      <c r="S32" s="5"/>
      <c r="T32" s="5"/>
      <c r="U32" s="5"/>
      <c r="V32" s="5"/>
      <c r="W32" s="6"/>
      <c r="X32" s="49" t="s">
        <v>313</v>
      </c>
      <c r="Y32" s="5"/>
      <c r="Z32" s="5"/>
      <c r="AA32" s="5"/>
      <c r="AB32" s="5"/>
      <c r="AC32" s="5"/>
      <c r="AD32" s="6"/>
      <c r="AE32" s="48" t="s">
        <v>137</v>
      </c>
      <c r="AF32" s="6"/>
      <c r="AG32" s="55" t="s">
        <v>42</v>
      </c>
      <c r="AH32" s="5"/>
      <c r="AI32" s="6"/>
      <c r="AJ32" s="48"/>
      <c r="AK32" s="5"/>
      <c r="AL32" s="6"/>
      <c r="AM32" s="55" t="s">
        <v>139</v>
      </c>
      <c r="AN32" s="5"/>
      <c r="AO32" s="6"/>
      <c r="AP32" s="56">
        <v>46217.0</v>
      </c>
      <c r="AQ32" s="5"/>
      <c r="AR32" s="6"/>
      <c r="AS32" s="48"/>
      <c r="AT32" s="5"/>
      <c r="AU32" s="6"/>
      <c r="AV32" s="55" t="s">
        <v>42</v>
      </c>
      <c r="AW32" s="5"/>
      <c r="AX32" s="6"/>
      <c r="AY32" s="48"/>
      <c r="AZ32" s="5"/>
      <c r="BA32" s="6"/>
      <c r="BB32" s="55" t="s">
        <v>139</v>
      </c>
      <c r="BC32" s="5"/>
      <c r="BD32" s="6"/>
      <c r="BE32" s="56">
        <v>46239.0</v>
      </c>
      <c r="BF32" s="5"/>
      <c r="BG32" s="6"/>
      <c r="BH32" s="48"/>
      <c r="BI32" s="5"/>
      <c r="BJ32" s="6"/>
      <c r="BK32" s="49"/>
      <c r="BL32" s="5"/>
      <c r="BM32" s="5"/>
      <c r="BN32" s="5"/>
      <c r="BO32" s="5"/>
      <c r="BP32" s="5"/>
      <c r="BQ32" s="6"/>
    </row>
    <row r="33" ht="96.0" customHeight="1">
      <c r="A33" s="47">
        <v>19.0</v>
      </c>
      <c r="B33" s="49" t="s">
        <v>314</v>
      </c>
      <c r="C33" s="5"/>
      <c r="D33" s="6"/>
      <c r="E33" s="49" t="s">
        <v>315</v>
      </c>
      <c r="F33" s="5"/>
      <c r="G33" s="5"/>
      <c r="H33" s="5"/>
      <c r="I33" s="6"/>
      <c r="J33" s="49" t="s">
        <v>318</v>
      </c>
      <c r="K33" s="5"/>
      <c r="L33" s="5"/>
      <c r="M33" s="5"/>
      <c r="N33" s="5"/>
      <c r="O33" s="5"/>
      <c r="P33" s="6"/>
      <c r="Q33" s="49" t="s">
        <v>320</v>
      </c>
      <c r="R33" s="5"/>
      <c r="S33" s="5"/>
      <c r="T33" s="5"/>
      <c r="U33" s="5"/>
      <c r="V33" s="5"/>
      <c r="W33" s="6"/>
      <c r="X33" s="49" t="s">
        <v>322</v>
      </c>
      <c r="Y33" s="5"/>
      <c r="Z33" s="5"/>
      <c r="AA33" s="5"/>
      <c r="AB33" s="5"/>
      <c r="AC33" s="5"/>
      <c r="AD33" s="6"/>
      <c r="AE33" s="48" t="s">
        <v>137</v>
      </c>
      <c r="AF33" s="6"/>
      <c r="AG33" s="55" t="s">
        <v>42</v>
      </c>
      <c r="AH33" s="5"/>
      <c r="AI33" s="6"/>
      <c r="AJ33" s="48"/>
      <c r="AK33" s="5"/>
      <c r="AL33" s="6"/>
      <c r="AM33" s="55" t="s">
        <v>139</v>
      </c>
      <c r="AN33" s="5"/>
      <c r="AO33" s="6"/>
      <c r="AP33" s="56">
        <v>46217.0</v>
      </c>
      <c r="AQ33" s="5"/>
      <c r="AR33" s="6"/>
      <c r="AS33" s="48"/>
      <c r="AT33" s="5"/>
      <c r="AU33" s="6"/>
      <c r="AV33" s="55" t="s">
        <v>42</v>
      </c>
      <c r="AW33" s="5"/>
      <c r="AX33" s="6"/>
      <c r="AY33" s="48"/>
      <c r="AZ33" s="5"/>
      <c r="BA33" s="6"/>
      <c r="BB33" s="55" t="s">
        <v>139</v>
      </c>
      <c r="BC33" s="5"/>
      <c r="BD33" s="6"/>
      <c r="BE33" s="56">
        <v>46239.0</v>
      </c>
      <c r="BF33" s="5"/>
      <c r="BG33" s="6"/>
      <c r="BH33" s="48"/>
      <c r="BI33" s="5"/>
      <c r="BJ33" s="6"/>
      <c r="BK33" s="49"/>
      <c r="BL33" s="5"/>
      <c r="BM33" s="5"/>
      <c r="BN33" s="5"/>
      <c r="BO33" s="5"/>
      <c r="BP33" s="5"/>
      <c r="BQ33" s="6"/>
    </row>
    <row r="34" ht="159.75" customHeight="1">
      <c r="A34" s="47">
        <v>20.0</v>
      </c>
      <c r="B34" s="49" t="s">
        <v>326</v>
      </c>
      <c r="C34" s="5"/>
      <c r="D34" s="6"/>
      <c r="E34" s="49" t="s">
        <v>328</v>
      </c>
      <c r="F34" s="5"/>
      <c r="G34" s="5"/>
      <c r="H34" s="5"/>
      <c r="I34" s="6"/>
      <c r="J34" s="49" t="s">
        <v>217</v>
      </c>
      <c r="K34" s="5"/>
      <c r="L34" s="5"/>
      <c r="M34" s="5"/>
      <c r="N34" s="5"/>
      <c r="O34" s="5"/>
      <c r="P34" s="6"/>
      <c r="Q34" s="49" t="s">
        <v>330</v>
      </c>
      <c r="R34" s="5"/>
      <c r="S34" s="5"/>
      <c r="T34" s="5"/>
      <c r="U34" s="5"/>
      <c r="V34" s="5"/>
      <c r="W34" s="6"/>
      <c r="X34" s="49" t="s">
        <v>331</v>
      </c>
      <c r="Y34" s="5"/>
      <c r="Z34" s="5"/>
      <c r="AA34" s="5"/>
      <c r="AB34" s="5"/>
      <c r="AC34" s="5"/>
      <c r="AD34" s="6"/>
      <c r="AE34" s="48" t="s">
        <v>137</v>
      </c>
      <c r="AF34" s="6"/>
      <c r="AG34" s="55" t="s">
        <v>42</v>
      </c>
      <c r="AH34" s="5"/>
      <c r="AI34" s="6"/>
      <c r="AJ34" s="48"/>
      <c r="AK34" s="5"/>
      <c r="AL34" s="6"/>
      <c r="AM34" s="55" t="s">
        <v>139</v>
      </c>
      <c r="AN34" s="5"/>
      <c r="AO34" s="6"/>
      <c r="AP34" s="56">
        <v>46217.0</v>
      </c>
      <c r="AQ34" s="5"/>
      <c r="AR34" s="6"/>
      <c r="AS34" s="48"/>
      <c r="AT34" s="5"/>
      <c r="AU34" s="6"/>
      <c r="AV34" s="55" t="s">
        <v>42</v>
      </c>
      <c r="AW34" s="5"/>
      <c r="AX34" s="6"/>
      <c r="AY34" s="48"/>
      <c r="AZ34" s="5"/>
      <c r="BA34" s="6"/>
      <c r="BB34" s="55" t="s">
        <v>139</v>
      </c>
      <c r="BC34" s="5"/>
      <c r="BD34" s="6"/>
      <c r="BE34" s="56">
        <v>46239.0</v>
      </c>
      <c r="BF34" s="5"/>
      <c r="BG34" s="6"/>
      <c r="BH34" s="48"/>
      <c r="BI34" s="5"/>
      <c r="BJ34" s="6"/>
      <c r="BK34" s="49"/>
      <c r="BL34" s="5"/>
      <c r="BM34" s="5"/>
      <c r="BN34" s="5"/>
      <c r="BO34" s="5"/>
      <c r="BP34" s="5"/>
      <c r="BQ34" s="6"/>
    </row>
    <row r="35" ht="127.5" customHeight="1">
      <c r="A35" s="47">
        <v>21.0</v>
      </c>
      <c r="B35" s="49" t="s">
        <v>336</v>
      </c>
      <c r="C35" s="5"/>
      <c r="D35" s="6"/>
      <c r="E35" s="49" t="s">
        <v>337</v>
      </c>
      <c r="F35" s="5"/>
      <c r="G35" s="5"/>
      <c r="H35" s="5"/>
      <c r="I35" s="6"/>
      <c r="J35" s="49" t="s">
        <v>217</v>
      </c>
      <c r="K35" s="5"/>
      <c r="L35" s="5"/>
      <c r="M35" s="5"/>
      <c r="N35" s="5"/>
      <c r="O35" s="5"/>
      <c r="P35" s="6"/>
      <c r="Q35" s="49" t="s">
        <v>339</v>
      </c>
      <c r="R35" s="5"/>
      <c r="S35" s="5"/>
      <c r="T35" s="5"/>
      <c r="U35" s="5"/>
      <c r="V35" s="5"/>
      <c r="W35" s="6"/>
      <c r="X35" s="49" t="s">
        <v>341</v>
      </c>
      <c r="Y35" s="5"/>
      <c r="Z35" s="5"/>
      <c r="AA35" s="5"/>
      <c r="AB35" s="5"/>
      <c r="AC35" s="5"/>
      <c r="AD35" s="6"/>
      <c r="AE35" s="48" t="s">
        <v>156</v>
      </c>
      <c r="AF35" s="6"/>
      <c r="AG35" s="55" t="s">
        <v>42</v>
      </c>
      <c r="AH35" s="5"/>
      <c r="AI35" s="6"/>
      <c r="AJ35" s="48"/>
      <c r="AK35" s="5"/>
      <c r="AL35" s="6"/>
      <c r="AM35" s="55" t="s">
        <v>139</v>
      </c>
      <c r="AN35" s="5"/>
      <c r="AO35" s="6"/>
      <c r="AP35" s="56">
        <v>46217.0</v>
      </c>
      <c r="AQ35" s="5"/>
      <c r="AR35" s="6"/>
      <c r="AS35" s="48"/>
      <c r="AT35" s="5"/>
      <c r="AU35" s="6"/>
      <c r="AV35" s="55" t="s">
        <v>42</v>
      </c>
      <c r="AW35" s="5"/>
      <c r="AX35" s="6"/>
      <c r="AY35" s="48"/>
      <c r="AZ35" s="5"/>
      <c r="BA35" s="6"/>
      <c r="BB35" s="55" t="s">
        <v>139</v>
      </c>
      <c r="BC35" s="5"/>
      <c r="BD35" s="6"/>
      <c r="BE35" s="56">
        <v>46239.0</v>
      </c>
      <c r="BF35" s="5"/>
      <c r="BG35" s="6"/>
      <c r="BH35" s="48"/>
      <c r="BI35" s="5"/>
      <c r="BJ35" s="6"/>
      <c r="BK35" s="49"/>
      <c r="BL35" s="5"/>
      <c r="BM35" s="5"/>
      <c r="BN35" s="5"/>
      <c r="BO35" s="5"/>
      <c r="BP35" s="5"/>
      <c r="BQ35" s="6"/>
    </row>
    <row r="36" ht="192.0" customHeight="1">
      <c r="A36" s="47">
        <v>22.0</v>
      </c>
      <c r="B36" s="49" t="s">
        <v>347</v>
      </c>
      <c r="C36" s="5"/>
      <c r="D36" s="6"/>
      <c r="E36" s="49" t="s">
        <v>349</v>
      </c>
      <c r="F36" s="5"/>
      <c r="G36" s="5"/>
      <c r="H36" s="5"/>
      <c r="I36" s="6"/>
      <c r="J36" s="49" t="s">
        <v>217</v>
      </c>
      <c r="K36" s="5"/>
      <c r="L36" s="5"/>
      <c r="M36" s="5"/>
      <c r="N36" s="5"/>
      <c r="O36" s="5"/>
      <c r="P36" s="6"/>
      <c r="Q36" s="49" t="s">
        <v>350</v>
      </c>
      <c r="R36" s="5"/>
      <c r="S36" s="5"/>
      <c r="T36" s="5"/>
      <c r="U36" s="5"/>
      <c r="V36" s="5"/>
      <c r="W36" s="6"/>
      <c r="X36" s="49" t="s">
        <v>351</v>
      </c>
      <c r="Y36" s="5"/>
      <c r="Z36" s="5"/>
      <c r="AA36" s="5"/>
      <c r="AB36" s="5"/>
      <c r="AC36" s="5"/>
      <c r="AD36" s="6"/>
      <c r="AE36" s="48" t="s">
        <v>137</v>
      </c>
      <c r="AF36" s="6"/>
      <c r="AG36" s="55" t="s">
        <v>42</v>
      </c>
      <c r="AH36" s="5"/>
      <c r="AI36" s="6"/>
      <c r="AJ36" s="48"/>
      <c r="AK36" s="5"/>
      <c r="AL36" s="6"/>
      <c r="AM36" s="55" t="s">
        <v>139</v>
      </c>
      <c r="AN36" s="5"/>
      <c r="AO36" s="6"/>
      <c r="AP36" s="56">
        <v>46217.0</v>
      </c>
      <c r="AQ36" s="5"/>
      <c r="AR36" s="6"/>
      <c r="AS36" s="48"/>
      <c r="AT36" s="5"/>
      <c r="AU36" s="6"/>
      <c r="AV36" s="55" t="s">
        <v>42</v>
      </c>
      <c r="AW36" s="5"/>
      <c r="AX36" s="6"/>
      <c r="AY36" s="48"/>
      <c r="AZ36" s="5"/>
      <c r="BA36" s="6"/>
      <c r="BB36" s="55" t="s">
        <v>139</v>
      </c>
      <c r="BC36" s="5"/>
      <c r="BD36" s="6"/>
      <c r="BE36" s="56">
        <v>46239.0</v>
      </c>
      <c r="BF36" s="5"/>
      <c r="BG36" s="6"/>
      <c r="BH36" s="48"/>
      <c r="BI36" s="5"/>
      <c r="BJ36" s="6"/>
      <c r="BK36" s="49" t="s">
        <v>209</v>
      </c>
      <c r="BL36" s="5"/>
      <c r="BM36" s="5"/>
      <c r="BN36" s="5"/>
      <c r="BO36" s="5"/>
      <c r="BP36" s="5"/>
      <c r="BQ36" s="6"/>
    </row>
    <row r="37" ht="22.5" customHeight="1">
      <c r="A37" s="8" t="s">
        <v>357</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6"/>
    </row>
    <row r="38" ht="79.5" customHeight="1">
      <c r="A38" s="47">
        <v>23.0</v>
      </c>
      <c r="B38" s="49" t="s">
        <v>362</v>
      </c>
      <c r="C38" s="5"/>
      <c r="D38" s="6"/>
      <c r="E38" s="49" t="s">
        <v>363</v>
      </c>
      <c r="F38" s="5"/>
      <c r="G38" s="5"/>
      <c r="H38" s="5"/>
      <c r="I38" s="6"/>
      <c r="J38" s="49" t="s">
        <v>365</v>
      </c>
      <c r="K38" s="5"/>
      <c r="L38" s="5"/>
      <c r="M38" s="5"/>
      <c r="N38" s="5"/>
      <c r="O38" s="5"/>
      <c r="P38" s="6"/>
      <c r="Q38" s="49" t="s">
        <v>366</v>
      </c>
      <c r="R38" s="5"/>
      <c r="S38" s="5"/>
      <c r="T38" s="5"/>
      <c r="U38" s="5"/>
      <c r="V38" s="5"/>
      <c r="W38" s="6"/>
      <c r="X38" s="49" t="s">
        <v>367</v>
      </c>
      <c r="Y38" s="5"/>
      <c r="Z38" s="5"/>
      <c r="AA38" s="5"/>
      <c r="AB38" s="5"/>
      <c r="AC38" s="5"/>
      <c r="AD38" s="6"/>
      <c r="AE38" s="48" t="s">
        <v>156</v>
      </c>
      <c r="AF38" s="6"/>
      <c r="AG38" s="55" t="s">
        <v>42</v>
      </c>
      <c r="AH38" s="5"/>
      <c r="AI38" s="6"/>
      <c r="AJ38" s="48"/>
      <c r="AK38" s="5"/>
      <c r="AL38" s="6"/>
      <c r="AM38" s="55" t="s">
        <v>139</v>
      </c>
      <c r="AN38" s="5"/>
      <c r="AO38" s="6"/>
      <c r="AP38" s="56">
        <v>46217.0</v>
      </c>
      <c r="AQ38" s="5"/>
      <c r="AR38" s="6"/>
      <c r="AS38" s="48"/>
      <c r="AT38" s="5"/>
      <c r="AU38" s="6"/>
      <c r="AV38" s="55" t="s">
        <v>42</v>
      </c>
      <c r="AW38" s="5"/>
      <c r="AX38" s="6"/>
      <c r="AY38" s="48"/>
      <c r="AZ38" s="5"/>
      <c r="BA38" s="6"/>
      <c r="BB38" s="55" t="s">
        <v>139</v>
      </c>
      <c r="BC38" s="5"/>
      <c r="BD38" s="6"/>
      <c r="BE38" s="56">
        <v>46239.0</v>
      </c>
      <c r="BF38" s="5"/>
      <c r="BG38" s="6"/>
      <c r="BH38" s="48"/>
      <c r="BI38" s="5"/>
      <c r="BJ38" s="6"/>
      <c r="BK38" s="49"/>
      <c r="BL38" s="5"/>
      <c r="BM38" s="5"/>
      <c r="BN38" s="5"/>
      <c r="BO38" s="5"/>
      <c r="BP38" s="5"/>
      <c r="BQ38" s="6"/>
    </row>
    <row r="39" ht="79.5" customHeight="1">
      <c r="A39" s="47">
        <v>24.0</v>
      </c>
      <c r="B39" s="49" t="s">
        <v>369</v>
      </c>
      <c r="C39" s="5"/>
      <c r="D39" s="6"/>
      <c r="E39" s="49" t="s">
        <v>370</v>
      </c>
      <c r="F39" s="5"/>
      <c r="G39" s="5"/>
      <c r="H39" s="5"/>
      <c r="I39" s="6"/>
      <c r="J39" s="49" t="s">
        <v>371</v>
      </c>
      <c r="K39" s="5"/>
      <c r="L39" s="5"/>
      <c r="M39" s="5"/>
      <c r="N39" s="5"/>
      <c r="O39" s="5"/>
      <c r="P39" s="6"/>
      <c r="Q39" s="49" t="s">
        <v>372</v>
      </c>
      <c r="R39" s="5"/>
      <c r="S39" s="5"/>
      <c r="T39" s="5"/>
      <c r="U39" s="5"/>
      <c r="V39" s="5"/>
      <c r="W39" s="6"/>
      <c r="X39" s="49" t="s">
        <v>373</v>
      </c>
      <c r="Y39" s="5"/>
      <c r="Z39" s="5"/>
      <c r="AA39" s="5"/>
      <c r="AB39" s="5"/>
      <c r="AC39" s="5"/>
      <c r="AD39" s="6"/>
      <c r="AE39" s="48" t="s">
        <v>156</v>
      </c>
      <c r="AF39" s="6"/>
      <c r="AG39" s="55" t="s">
        <v>42</v>
      </c>
      <c r="AH39" s="5"/>
      <c r="AI39" s="6"/>
      <c r="AJ39" s="48"/>
      <c r="AK39" s="5"/>
      <c r="AL39" s="6"/>
      <c r="AM39" s="55" t="s">
        <v>139</v>
      </c>
      <c r="AN39" s="5"/>
      <c r="AO39" s="6"/>
      <c r="AP39" s="56">
        <v>46217.0</v>
      </c>
      <c r="AQ39" s="5"/>
      <c r="AR39" s="6"/>
      <c r="AS39" s="48"/>
      <c r="AT39" s="5"/>
      <c r="AU39" s="6"/>
      <c r="AV39" s="55" t="s">
        <v>42</v>
      </c>
      <c r="AW39" s="5"/>
      <c r="AX39" s="6"/>
      <c r="AY39" s="48"/>
      <c r="AZ39" s="5"/>
      <c r="BA39" s="6"/>
      <c r="BB39" s="55" t="s">
        <v>139</v>
      </c>
      <c r="BC39" s="5"/>
      <c r="BD39" s="6"/>
      <c r="BE39" s="56">
        <v>46239.0</v>
      </c>
      <c r="BF39" s="5"/>
      <c r="BG39" s="6"/>
      <c r="BH39" s="48"/>
      <c r="BI39" s="5"/>
      <c r="BJ39" s="6"/>
      <c r="BK39" s="49"/>
      <c r="BL39" s="5"/>
      <c r="BM39" s="5"/>
      <c r="BN39" s="5"/>
      <c r="BO39" s="5"/>
      <c r="BP39" s="5"/>
      <c r="BQ39" s="6"/>
    </row>
    <row r="40" ht="223.5" customHeight="1">
      <c r="A40" s="47">
        <v>25.0</v>
      </c>
      <c r="B40" s="49" t="s">
        <v>374</v>
      </c>
      <c r="C40" s="5"/>
      <c r="D40" s="6"/>
      <c r="E40" s="49" t="s">
        <v>375</v>
      </c>
      <c r="F40" s="5"/>
      <c r="G40" s="5"/>
      <c r="H40" s="5"/>
      <c r="I40" s="6"/>
      <c r="J40" s="49" t="s">
        <v>376</v>
      </c>
      <c r="K40" s="5"/>
      <c r="L40" s="5"/>
      <c r="M40" s="5"/>
      <c r="N40" s="5"/>
      <c r="O40" s="5"/>
      <c r="P40" s="6"/>
      <c r="Q40" s="49" t="s">
        <v>377</v>
      </c>
      <c r="R40" s="5"/>
      <c r="S40" s="5"/>
      <c r="T40" s="5"/>
      <c r="U40" s="5"/>
      <c r="V40" s="5"/>
      <c r="W40" s="6"/>
      <c r="X40" s="49" t="s">
        <v>378</v>
      </c>
      <c r="Y40" s="5"/>
      <c r="Z40" s="5"/>
      <c r="AA40" s="5"/>
      <c r="AB40" s="5"/>
      <c r="AC40" s="5"/>
      <c r="AD40" s="6"/>
      <c r="AE40" s="48" t="s">
        <v>156</v>
      </c>
      <c r="AF40" s="6"/>
      <c r="AG40" s="55" t="s">
        <v>42</v>
      </c>
      <c r="AH40" s="5"/>
      <c r="AI40" s="6"/>
      <c r="AJ40" s="48"/>
      <c r="AK40" s="5"/>
      <c r="AL40" s="6"/>
      <c r="AM40" s="55" t="s">
        <v>139</v>
      </c>
      <c r="AN40" s="5"/>
      <c r="AO40" s="6"/>
      <c r="AP40" s="56">
        <v>46217.0</v>
      </c>
      <c r="AQ40" s="5"/>
      <c r="AR40" s="6"/>
      <c r="AS40" s="48"/>
      <c r="AT40" s="5"/>
      <c r="AU40" s="6"/>
      <c r="AV40" s="55" t="s">
        <v>42</v>
      </c>
      <c r="AW40" s="5"/>
      <c r="AX40" s="6"/>
      <c r="AY40" s="48"/>
      <c r="AZ40" s="5"/>
      <c r="BA40" s="6"/>
      <c r="BB40" s="55" t="s">
        <v>139</v>
      </c>
      <c r="BC40" s="5"/>
      <c r="BD40" s="6"/>
      <c r="BE40" s="56">
        <v>46239.0</v>
      </c>
      <c r="BF40" s="5"/>
      <c r="BG40" s="6"/>
      <c r="BH40" s="48"/>
      <c r="BI40" s="5"/>
      <c r="BJ40" s="6"/>
      <c r="BK40" s="49"/>
      <c r="BL40" s="5"/>
      <c r="BM40" s="5"/>
      <c r="BN40" s="5"/>
      <c r="BO40" s="5"/>
      <c r="BP40" s="5"/>
      <c r="BQ40" s="6"/>
    </row>
    <row r="41" ht="159.75" customHeight="1">
      <c r="A41" s="47">
        <v>26.0</v>
      </c>
      <c r="B41" s="49" t="s">
        <v>379</v>
      </c>
      <c r="C41" s="5"/>
      <c r="D41" s="6"/>
      <c r="E41" s="49" t="s">
        <v>380</v>
      </c>
      <c r="F41" s="5"/>
      <c r="G41" s="5"/>
      <c r="H41" s="5"/>
      <c r="I41" s="6"/>
      <c r="J41" s="49" t="s">
        <v>381</v>
      </c>
      <c r="K41" s="5"/>
      <c r="L41" s="5"/>
      <c r="M41" s="5"/>
      <c r="N41" s="5"/>
      <c r="O41" s="5"/>
      <c r="P41" s="6"/>
      <c r="Q41" s="49" t="s">
        <v>382</v>
      </c>
      <c r="R41" s="5"/>
      <c r="S41" s="5"/>
      <c r="T41" s="5"/>
      <c r="U41" s="5"/>
      <c r="V41" s="5"/>
      <c r="W41" s="6"/>
      <c r="X41" s="49" t="s">
        <v>383</v>
      </c>
      <c r="Y41" s="5"/>
      <c r="Z41" s="5"/>
      <c r="AA41" s="5"/>
      <c r="AB41" s="5"/>
      <c r="AC41" s="5"/>
      <c r="AD41" s="6"/>
      <c r="AE41" s="48" t="s">
        <v>156</v>
      </c>
      <c r="AF41" s="6"/>
      <c r="AG41" s="55" t="s">
        <v>42</v>
      </c>
      <c r="AH41" s="5"/>
      <c r="AI41" s="6"/>
      <c r="AJ41" s="48"/>
      <c r="AK41" s="5"/>
      <c r="AL41" s="6"/>
      <c r="AM41" s="55" t="s">
        <v>139</v>
      </c>
      <c r="AN41" s="5"/>
      <c r="AO41" s="6"/>
      <c r="AP41" s="56">
        <v>46217.0</v>
      </c>
      <c r="AQ41" s="5"/>
      <c r="AR41" s="6"/>
      <c r="AS41" s="48"/>
      <c r="AT41" s="5"/>
      <c r="AU41" s="6"/>
      <c r="AV41" s="55" t="s">
        <v>42</v>
      </c>
      <c r="AW41" s="5"/>
      <c r="AX41" s="6"/>
      <c r="AY41" s="48"/>
      <c r="AZ41" s="5"/>
      <c r="BA41" s="6"/>
      <c r="BB41" s="55" t="s">
        <v>139</v>
      </c>
      <c r="BC41" s="5"/>
      <c r="BD41" s="6"/>
      <c r="BE41" s="56">
        <v>46239.0</v>
      </c>
      <c r="BF41" s="5"/>
      <c r="BG41" s="6"/>
      <c r="BH41" s="48"/>
      <c r="BI41" s="5"/>
      <c r="BJ41" s="6"/>
      <c r="BK41" s="49"/>
      <c r="BL41" s="5"/>
      <c r="BM41" s="5"/>
      <c r="BN41" s="5"/>
      <c r="BO41" s="5"/>
      <c r="BP41" s="5"/>
      <c r="BQ41" s="6"/>
    </row>
    <row r="42" ht="96.0" customHeight="1">
      <c r="A42" s="47">
        <v>27.0</v>
      </c>
      <c r="B42" s="49" t="s">
        <v>384</v>
      </c>
      <c r="C42" s="5"/>
      <c r="D42" s="6"/>
      <c r="E42" s="49" t="s">
        <v>385</v>
      </c>
      <c r="F42" s="5"/>
      <c r="G42" s="5"/>
      <c r="H42" s="5"/>
      <c r="I42" s="6"/>
      <c r="J42" s="49" t="s">
        <v>386</v>
      </c>
      <c r="K42" s="5"/>
      <c r="L42" s="5"/>
      <c r="M42" s="5"/>
      <c r="N42" s="5"/>
      <c r="O42" s="5"/>
      <c r="P42" s="6"/>
      <c r="Q42" s="49" t="s">
        <v>387</v>
      </c>
      <c r="R42" s="5"/>
      <c r="S42" s="5"/>
      <c r="T42" s="5"/>
      <c r="U42" s="5"/>
      <c r="V42" s="5"/>
      <c r="W42" s="6"/>
      <c r="X42" s="49" t="s">
        <v>388</v>
      </c>
      <c r="Y42" s="5"/>
      <c r="Z42" s="5"/>
      <c r="AA42" s="5"/>
      <c r="AB42" s="5"/>
      <c r="AC42" s="5"/>
      <c r="AD42" s="6"/>
      <c r="AE42" s="48" t="s">
        <v>156</v>
      </c>
      <c r="AF42" s="6"/>
      <c r="AG42" s="55" t="s">
        <v>42</v>
      </c>
      <c r="AH42" s="5"/>
      <c r="AI42" s="6"/>
      <c r="AJ42" s="48"/>
      <c r="AK42" s="5"/>
      <c r="AL42" s="6"/>
      <c r="AM42" s="55" t="s">
        <v>139</v>
      </c>
      <c r="AN42" s="5"/>
      <c r="AO42" s="6"/>
      <c r="AP42" s="56">
        <v>46217.0</v>
      </c>
      <c r="AQ42" s="5"/>
      <c r="AR42" s="6"/>
      <c r="AS42" s="48"/>
      <c r="AT42" s="5"/>
      <c r="AU42" s="6"/>
      <c r="AV42" s="55" t="s">
        <v>42</v>
      </c>
      <c r="AW42" s="5"/>
      <c r="AX42" s="6"/>
      <c r="AY42" s="48"/>
      <c r="AZ42" s="5"/>
      <c r="BA42" s="6"/>
      <c r="BB42" s="55" t="s">
        <v>139</v>
      </c>
      <c r="BC42" s="5"/>
      <c r="BD42" s="6"/>
      <c r="BE42" s="56">
        <v>46239.0</v>
      </c>
      <c r="BF42" s="5"/>
      <c r="BG42" s="6"/>
      <c r="BH42" s="48"/>
      <c r="BI42" s="5"/>
      <c r="BJ42" s="6"/>
      <c r="BK42" s="49"/>
      <c r="BL42" s="5"/>
      <c r="BM42" s="5"/>
      <c r="BN42" s="5"/>
      <c r="BO42" s="5"/>
      <c r="BP42" s="5"/>
      <c r="BQ42" s="6"/>
    </row>
    <row r="43" ht="79.5" customHeight="1">
      <c r="A43" s="47">
        <v>28.0</v>
      </c>
      <c r="B43" s="49" t="s">
        <v>389</v>
      </c>
      <c r="C43" s="5"/>
      <c r="D43" s="6"/>
      <c r="E43" s="49" t="s">
        <v>390</v>
      </c>
      <c r="F43" s="5"/>
      <c r="G43" s="5"/>
      <c r="H43" s="5"/>
      <c r="I43" s="6"/>
      <c r="J43" s="49" t="s">
        <v>391</v>
      </c>
      <c r="K43" s="5"/>
      <c r="L43" s="5"/>
      <c r="M43" s="5"/>
      <c r="N43" s="5"/>
      <c r="O43" s="5"/>
      <c r="P43" s="6"/>
      <c r="Q43" s="49" t="s">
        <v>392</v>
      </c>
      <c r="R43" s="5"/>
      <c r="S43" s="5"/>
      <c r="T43" s="5"/>
      <c r="U43" s="5"/>
      <c r="V43" s="5"/>
      <c r="W43" s="6"/>
      <c r="X43" s="49" t="s">
        <v>393</v>
      </c>
      <c r="Y43" s="5"/>
      <c r="Z43" s="5"/>
      <c r="AA43" s="5"/>
      <c r="AB43" s="5"/>
      <c r="AC43" s="5"/>
      <c r="AD43" s="6"/>
      <c r="AE43" s="48" t="s">
        <v>156</v>
      </c>
      <c r="AF43" s="6"/>
      <c r="AG43" s="55" t="s">
        <v>42</v>
      </c>
      <c r="AH43" s="5"/>
      <c r="AI43" s="6"/>
      <c r="AJ43" s="48"/>
      <c r="AK43" s="5"/>
      <c r="AL43" s="6"/>
      <c r="AM43" s="55" t="s">
        <v>139</v>
      </c>
      <c r="AN43" s="5"/>
      <c r="AO43" s="6"/>
      <c r="AP43" s="56">
        <v>46217.0</v>
      </c>
      <c r="AQ43" s="5"/>
      <c r="AR43" s="6"/>
      <c r="AS43" s="48"/>
      <c r="AT43" s="5"/>
      <c r="AU43" s="6"/>
      <c r="AV43" s="55" t="s">
        <v>42</v>
      </c>
      <c r="AW43" s="5"/>
      <c r="AX43" s="6"/>
      <c r="AY43" s="48"/>
      <c r="AZ43" s="5"/>
      <c r="BA43" s="6"/>
      <c r="BB43" s="55" t="s">
        <v>139</v>
      </c>
      <c r="BC43" s="5"/>
      <c r="BD43" s="6"/>
      <c r="BE43" s="56">
        <v>46239.0</v>
      </c>
      <c r="BF43" s="5"/>
      <c r="BG43" s="6"/>
      <c r="BH43" s="48"/>
      <c r="BI43" s="5"/>
      <c r="BJ43" s="6"/>
      <c r="BK43" s="49"/>
      <c r="BL43" s="5"/>
      <c r="BM43" s="5"/>
      <c r="BN43" s="5"/>
      <c r="BO43" s="5"/>
      <c r="BP43" s="5"/>
      <c r="BQ43" s="6"/>
    </row>
    <row r="44" ht="48.0" customHeight="1">
      <c r="A44" s="47">
        <v>29.0</v>
      </c>
      <c r="B44" s="49" t="s">
        <v>394</v>
      </c>
      <c r="C44" s="5"/>
      <c r="D44" s="6"/>
      <c r="E44" s="49" t="s">
        <v>395</v>
      </c>
      <c r="F44" s="5"/>
      <c r="G44" s="5"/>
      <c r="H44" s="5"/>
      <c r="I44" s="6"/>
      <c r="J44" s="49" t="s">
        <v>396</v>
      </c>
      <c r="K44" s="5"/>
      <c r="L44" s="5"/>
      <c r="M44" s="5"/>
      <c r="N44" s="5"/>
      <c r="O44" s="5"/>
      <c r="P44" s="6"/>
      <c r="Q44" s="49" t="s">
        <v>397</v>
      </c>
      <c r="R44" s="5"/>
      <c r="S44" s="5"/>
      <c r="T44" s="5"/>
      <c r="U44" s="5"/>
      <c r="V44" s="5"/>
      <c r="W44" s="6"/>
      <c r="X44" s="49" t="s">
        <v>398</v>
      </c>
      <c r="Y44" s="5"/>
      <c r="Z44" s="5"/>
      <c r="AA44" s="5"/>
      <c r="AB44" s="5"/>
      <c r="AC44" s="5"/>
      <c r="AD44" s="6"/>
      <c r="AE44" s="48" t="s">
        <v>156</v>
      </c>
      <c r="AF44" s="6"/>
      <c r="AG44" s="55" t="s">
        <v>42</v>
      </c>
      <c r="AH44" s="5"/>
      <c r="AI44" s="6"/>
      <c r="AJ44" s="48"/>
      <c r="AK44" s="5"/>
      <c r="AL44" s="6"/>
      <c r="AM44" s="55" t="s">
        <v>139</v>
      </c>
      <c r="AN44" s="5"/>
      <c r="AO44" s="6"/>
      <c r="AP44" s="56">
        <v>46217.0</v>
      </c>
      <c r="AQ44" s="5"/>
      <c r="AR44" s="6"/>
      <c r="AS44" s="48"/>
      <c r="AT44" s="5"/>
      <c r="AU44" s="6"/>
      <c r="AV44" s="55" t="s">
        <v>42</v>
      </c>
      <c r="AW44" s="5"/>
      <c r="AX44" s="6"/>
      <c r="AY44" s="48"/>
      <c r="AZ44" s="5"/>
      <c r="BA44" s="6"/>
      <c r="BB44" s="55" t="s">
        <v>139</v>
      </c>
      <c r="BC44" s="5"/>
      <c r="BD44" s="6"/>
      <c r="BE44" s="56">
        <v>46239.0</v>
      </c>
      <c r="BF44" s="5"/>
      <c r="BG44" s="6"/>
      <c r="BH44" s="48"/>
      <c r="BI44" s="5"/>
      <c r="BJ44" s="6"/>
      <c r="BK44" s="49"/>
      <c r="BL44" s="5"/>
      <c r="BM44" s="5"/>
      <c r="BN44" s="5"/>
      <c r="BO44" s="5"/>
      <c r="BP44" s="5"/>
      <c r="BQ44" s="6"/>
    </row>
    <row r="45" ht="79.5" customHeight="1">
      <c r="A45" s="47">
        <v>30.0</v>
      </c>
      <c r="B45" s="49" t="s">
        <v>399</v>
      </c>
      <c r="C45" s="5"/>
      <c r="D45" s="6"/>
      <c r="E45" s="49" t="s">
        <v>400</v>
      </c>
      <c r="F45" s="5"/>
      <c r="G45" s="5"/>
      <c r="H45" s="5"/>
      <c r="I45" s="6"/>
      <c r="J45" s="49" t="s">
        <v>401</v>
      </c>
      <c r="K45" s="5"/>
      <c r="L45" s="5"/>
      <c r="M45" s="5"/>
      <c r="N45" s="5"/>
      <c r="O45" s="5"/>
      <c r="P45" s="6"/>
      <c r="Q45" s="49" t="s">
        <v>402</v>
      </c>
      <c r="R45" s="5"/>
      <c r="S45" s="5"/>
      <c r="T45" s="5"/>
      <c r="U45" s="5"/>
      <c r="V45" s="5"/>
      <c r="W45" s="6"/>
      <c r="X45" s="49" t="s">
        <v>403</v>
      </c>
      <c r="Y45" s="5"/>
      <c r="Z45" s="5"/>
      <c r="AA45" s="5"/>
      <c r="AB45" s="5"/>
      <c r="AC45" s="5"/>
      <c r="AD45" s="6"/>
      <c r="AE45" s="48" t="s">
        <v>156</v>
      </c>
      <c r="AF45" s="6"/>
      <c r="AG45" s="55" t="s">
        <v>42</v>
      </c>
      <c r="AH45" s="5"/>
      <c r="AI45" s="6"/>
      <c r="AJ45" s="48"/>
      <c r="AK45" s="5"/>
      <c r="AL45" s="6"/>
      <c r="AM45" s="55" t="s">
        <v>139</v>
      </c>
      <c r="AN45" s="5"/>
      <c r="AO45" s="6"/>
      <c r="AP45" s="56">
        <v>46217.0</v>
      </c>
      <c r="AQ45" s="5"/>
      <c r="AR45" s="6"/>
      <c r="AS45" s="48"/>
      <c r="AT45" s="5"/>
      <c r="AU45" s="6"/>
      <c r="AV45" s="55" t="s">
        <v>42</v>
      </c>
      <c r="AW45" s="5"/>
      <c r="AX45" s="6"/>
      <c r="AY45" s="48"/>
      <c r="AZ45" s="5"/>
      <c r="BA45" s="6"/>
      <c r="BB45" s="55" t="s">
        <v>139</v>
      </c>
      <c r="BC45" s="5"/>
      <c r="BD45" s="6"/>
      <c r="BE45" s="56">
        <v>46239.0</v>
      </c>
      <c r="BF45" s="5"/>
      <c r="BG45" s="6"/>
      <c r="BH45" s="48"/>
      <c r="BI45" s="5"/>
      <c r="BJ45" s="6"/>
      <c r="BK45" s="49"/>
      <c r="BL45" s="5"/>
      <c r="BM45" s="5"/>
      <c r="BN45" s="5"/>
      <c r="BO45" s="5"/>
      <c r="BP45" s="5"/>
      <c r="BQ45" s="6"/>
    </row>
    <row r="46" ht="111.75" customHeight="1">
      <c r="A46" s="47">
        <v>31.0</v>
      </c>
      <c r="B46" s="49" t="s">
        <v>404</v>
      </c>
      <c r="C46" s="5"/>
      <c r="D46" s="6"/>
      <c r="E46" s="49" t="s">
        <v>405</v>
      </c>
      <c r="F46" s="5"/>
      <c r="G46" s="5"/>
      <c r="H46" s="5"/>
      <c r="I46" s="6"/>
      <c r="J46" s="49" t="s">
        <v>406</v>
      </c>
      <c r="K46" s="5"/>
      <c r="L46" s="5"/>
      <c r="M46" s="5"/>
      <c r="N46" s="5"/>
      <c r="O46" s="5"/>
      <c r="P46" s="6"/>
      <c r="Q46" s="49" t="s">
        <v>407</v>
      </c>
      <c r="R46" s="5"/>
      <c r="S46" s="5"/>
      <c r="T46" s="5"/>
      <c r="U46" s="5"/>
      <c r="V46" s="5"/>
      <c r="W46" s="6"/>
      <c r="X46" s="49" t="s">
        <v>408</v>
      </c>
      <c r="Y46" s="5"/>
      <c r="Z46" s="5"/>
      <c r="AA46" s="5"/>
      <c r="AB46" s="5"/>
      <c r="AC46" s="5"/>
      <c r="AD46" s="6"/>
      <c r="AE46" s="48" t="s">
        <v>137</v>
      </c>
      <c r="AF46" s="6"/>
      <c r="AG46" s="55" t="s">
        <v>42</v>
      </c>
      <c r="AH46" s="5"/>
      <c r="AI46" s="6"/>
      <c r="AJ46" s="48"/>
      <c r="AK46" s="5"/>
      <c r="AL46" s="6"/>
      <c r="AM46" s="55" t="s">
        <v>139</v>
      </c>
      <c r="AN46" s="5"/>
      <c r="AO46" s="6"/>
      <c r="AP46" s="56">
        <v>46217.0</v>
      </c>
      <c r="AQ46" s="5"/>
      <c r="AR46" s="6"/>
      <c r="AS46" s="48"/>
      <c r="AT46" s="5"/>
      <c r="AU46" s="6"/>
      <c r="AV46" s="55" t="s">
        <v>42</v>
      </c>
      <c r="AW46" s="5"/>
      <c r="AX46" s="6"/>
      <c r="AY46" s="48"/>
      <c r="AZ46" s="5"/>
      <c r="BA46" s="6"/>
      <c r="BB46" s="55" t="s">
        <v>139</v>
      </c>
      <c r="BC46" s="5"/>
      <c r="BD46" s="6"/>
      <c r="BE46" s="56">
        <v>46239.0</v>
      </c>
      <c r="BF46" s="5"/>
      <c r="BG46" s="6"/>
      <c r="BH46" s="48"/>
      <c r="BI46" s="5"/>
      <c r="BJ46" s="6"/>
      <c r="BK46" s="49"/>
      <c r="BL46" s="5"/>
      <c r="BM46" s="5"/>
      <c r="BN46" s="5"/>
      <c r="BO46" s="5"/>
      <c r="BP46" s="5"/>
      <c r="BQ46" s="6"/>
    </row>
    <row r="47" ht="175.5" customHeight="1">
      <c r="A47" s="47">
        <v>32.0</v>
      </c>
      <c r="B47" s="49" t="s">
        <v>409</v>
      </c>
      <c r="C47" s="5"/>
      <c r="D47" s="6"/>
      <c r="E47" s="49" t="s">
        <v>410</v>
      </c>
      <c r="F47" s="5"/>
      <c r="G47" s="5"/>
      <c r="H47" s="5"/>
      <c r="I47" s="6"/>
      <c r="J47" s="49" t="s">
        <v>411</v>
      </c>
      <c r="K47" s="5"/>
      <c r="L47" s="5"/>
      <c r="M47" s="5"/>
      <c r="N47" s="5"/>
      <c r="O47" s="5"/>
      <c r="P47" s="6"/>
      <c r="Q47" s="49" t="s">
        <v>412</v>
      </c>
      <c r="R47" s="5"/>
      <c r="S47" s="5"/>
      <c r="T47" s="5"/>
      <c r="U47" s="5"/>
      <c r="V47" s="5"/>
      <c r="W47" s="6"/>
      <c r="X47" s="49" t="s">
        <v>413</v>
      </c>
      <c r="Y47" s="5"/>
      <c r="Z47" s="5"/>
      <c r="AA47" s="5"/>
      <c r="AB47" s="5"/>
      <c r="AC47" s="5"/>
      <c r="AD47" s="6"/>
      <c r="AE47" s="48" t="s">
        <v>156</v>
      </c>
      <c r="AF47" s="6"/>
      <c r="AG47" s="55" t="s">
        <v>42</v>
      </c>
      <c r="AH47" s="5"/>
      <c r="AI47" s="6"/>
      <c r="AJ47" s="48"/>
      <c r="AK47" s="5"/>
      <c r="AL47" s="6"/>
      <c r="AM47" s="55" t="s">
        <v>139</v>
      </c>
      <c r="AN47" s="5"/>
      <c r="AO47" s="6"/>
      <c r="AP47" s="56">
        <v>46217.0</v>
      </c>
      <c r="AQ47" s="5"/>
      <c r="AR47" s="6"/>
      <c r="AS47" s="48"/>
      <c r="AT47" s="5"/>
      <c r="AU47" s="6"/>
      <c r="AV47" s="55" t="s">
        <v>42</v>
      </c>
      <c r="AW47" s="5"/>
      <c r="AX47" s="6"/>
      <c r="AY47" s="48"/>
      <c r="AZ47" s="5"/>
      <c r="BA47" s="6"/>
      <c r="BB47" s="55" t="s">
        <v>139</v>
      </c>
      <c r="BC47" s="5"/>
      <c r="BD47" s="6"/>
      <c r="BE47" s="56">
        <v>46239.0</v>
      </c>
      <c r="BF47" s="5"/>
      <c r="BG47" s="6"/>
      <c r="BH47" s="48"/>
      <c r="BI47" s="5"/>
      <c r="BJ47" s="6"/>
      <c r="BK47" s="49"/>
      <c r="BL47" s="5"/>
      <c r="BM47" s="5"/>
      <c r="BN47" s="5"/>
      <c r="BO47" s="5"/>
      <c r="BP47" s="5"/>
      <c r="BQ47" s="6"/>
    </row>
    <row r="48" ht="288.0" customHeight="1">
      <c r="A48" s="47">
        <v>33.0</v>
      </c>
      <c r="B48" s="49" t="s">
        <v>414</v>
      </c>
      <c r="C48" s="5"/>
      <c r="D48" s="6"/>
      <c r="E48" s="49" t="s">
        <v>415</v>
      </c>
      <c r="F48" s="5"/>
      <c r="G48" s="5"/>
      <c r="H48" s="5"/>
      <c r="I48" s="6"/>
      <c r="J48" s="49" t="s">
        <v>217</v>
      </c>
      <c r="K48" s="5"/>
      <c r="L48" s="5"/>
      <c r="M48" s="5"/>
      <c r="N48" s="5"/>
      <c r="O48" s="5"/>
      <c r="P48" s="6"/>
      <c r="Q48" s="49" t="s">
        <v>416</v>
      </c>
      <c r="R48" s="5"/>
      <c r="S48" s="5"/>
      <c r="T48" s="5"/>
      <c r="U48" s="5"/>
      <c r="V48" s="5"/>
      <c r="W48" s="6"/>
      <c r="X48" s="49" t="s">
        <v>417</v>
      </c>
      <c r="Y48" s="5"/>
      <c r="Z48" s="5"/>
      <c r="AA48" s="5"/>
      <c r="AB48" s="5"/>
      <c r="AC48" s="5"/>
      <c r="AD48" s="6"/>
      <c r="AE48" s="48" t="s">
        <v>156</v>
      </c>
      <c r="AF48" s="6"/>
      <c r="AG48" s="55" t="s">
        <v>42</v>
      </c>
      <c r="AH48" s="5"/>
      <c r="AI48" s="6"/>
      <c r="AJ48" s="48"/>
      <c r="AK48" s="5"/>
      <c r="AL48" s="6"/>
      <c r="AM48" s="55" t="s">
        <v>139</v>
      </c>
      <c r="AN48" s="5"/>
      <c r="AO48" s="6"/>
      <c r="AP48" s="56">
        <v>46217.0</v>
      </c>
      <c r="AQ48" s="5"/>
      <c r="AR48" s="6"/>
      <c r="AS48" s="48"/>
      <c r="AT48" s="5"/>
      <c r="AU48" s="6"/>
      <c r="AV48" s="55" t="s">
        <v>42</v>
      </c>
      <c r="AW48" s="5"/>
      <c r="AX48" s="6"/>
      <c r="AY48" s="48"/>
      <c r="AZ48" s="5"/>
      <c r="BA48" s="6"/>
      <c r="BB48" s="55" t="s">
        <v>139</v>
      </c>
      <c r="BC48" s="5"/>
      <c r="BD48" s="6"/>
      <c r="BE48" s="56">
        <v>46239.0</v>
      </c>
      <c r="BF48" s="5"/>
      <c r="BG48" s="6"/>
      <c r="BH48" s="48"/>
      <c r="BI48" s="5"/>
      <c r="BJ48" s="6"/>
      <c r="BK48" s="49"/>
      <c r="BL48" s="5"/>
      <c r="BM48" s="5"/>
      <c r="BN48" s="5"/>
      <c r="BO48" s="5"/>
      <c r="BP48" s="5"/>
      <c r="BQ48" s="6"/>
    </row>
    <row r="49" ht="223.5" customHeight="1">
      <c r="A49" s="47">
        <v>34.0</v>
      </c>
      <c r="B49" s="49" t="s">
        <v>418</v>
      </c>
      <c r="C49" s="5"/>
      <c r="D49" s="6"/>
      <c r="E49" s="49" t="s">
        <v>419</v>
      </c>
      <c r="F49" s="5"/>
      <c r="G49" s="5"/>
      <c r="H49" s="5"/>
      <c r="I49" s="6"/>
      <c r="J49" s="49" t="s">
        <v>406</v>
      </c>
      <c r="K49" s="5"/>
      <c r="L49" s="5"/>
      <c r="M49" s="5"/>
      <c r="N49" s="5"/>
      <c r="O49" s="5"/>
      <c r="P49" s="6"/>
      <c r="Q49" s="49" t="s">
        <v>420</v>
      </c>
      <c r="R49" s="5"/>
      <c r="S49" s="5"/>
      <c r="T49" s="5"/>
      <c r="U49" s="5"/>
      <c r="V49" s="5"/>
      <c r="W49" s="6"/>
      <c r="X49" s="49" t="s">
        <v>421</v>
      </c>
      <c r="Y49" s="5"/>
      <c r="Z49" s="5"/>
      <c r="AA49" s="5"/>
      <c r="AB49" s="5"/>
      <c r="AC49" s="5"/>
      <c r="AD49" s="6"/>
      <c r="AE49" s="48" t="s">
        <v>137</v>
      </c>
      <c r="AF49" s="6"/>
      <c r="AG49" s="55" t="s">
        <v>42</v>
      </c>
      <c r="AH49" s="5"/>
      <c r="AI49" s="6"/>
      <c r="AJ49" s="48"/>
      <c r="AK49" s="5"/>
      <c r="AL49" s="6"/>
      <c r="AM49" s="55" t="s">
        <v>139</v>
      </c>
      <c r="AN49" s="5"/>
      <c r="AO49" s="6"/>
      <c r="AP49" s="56">
        <v>46217.0</v>
      </c>
      <c r="AQ49" s="5"/>
      <c r="AR49" s="6"/>
      <c r="AS49" s="48"/>
      <c r="AT49" s="5"/>
      <c r="AU49" s="6"/>
      <c r="AV49" s="55" t="s">
        <v>42</v>
      </c>
      <c r="AW49" s="5"/>
      <c r="AX49" s="6"/>
      <c r="AY49" s="48"/>
      <c r="AZ49" s="5"/>
      <c r="BA49" s="6"/>
      <c r="BB49" s="55" t="s">
        <v>139</v>
      </c>
      <c r="BC49" s="5"/>
      <c r="BD49" s="6"/>
      <c r="BE49" s="56">
        <v>46239.0</v>
      </c>
      <c r="BF49" s="5"/>
      <c r="BG49" s="6"/>
      <c r="BH49" s="48"/>
      <c r="BI49" s="5"/>
      <c r="BJ49" s="6"/>
      <c r="BK49" s="49" t="s">
        <v>209</v>
      </c>
      <c r="BL49" s="5"/>
      <c r="BM49" s="5"/>
      <c r="BN49" s="5"/>
      <c r="BO49" s="5"/>
      <c r="BP49" s="5"/>
      <c r="BQ49" s="6"/>
    </row>
    <row r="50" ht="22.5" customHeight="1">
      <c r="A50" s="8" t="s">
        <v>422</v>
      </c>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6"/>
    </row>
    <row r="51" ht="96.0" customHeight="1">
      <c r="A51" s="47">
        <v>35.0</v>
      </c>
      <c r="B51" s="49" t="s">
        <v>423</v>
      </c>
      <c r="C51" s="5"/>
      <c r="D51" s="6"/>
      <c r="E51" s="49" t="s">
        <v>424</v>
      </c>
      <c r="F51" s="5"/>
      <c r="G51" s="5"/>
      <c r="H51" s="5"/>
      <c r="I51" s="6"/>
      <c r="J51" s="49" t="s">
        <v>217</v>
      </c>
      <c r="K51" s="5"/>
      <c r="L51" s="5"/>
      <c r="M51" s="5"/>
      <c r="N51" s="5"/>
      <c r="O51" s="5"/>
      <c r="P51" s="6"/>
      <c r="Q51" s="49" t="s">
        <v>425</v>
      </c>
      <c r="R51" s="5"/>
      <c r="S51" s="5"/>
      <c r="T51" s="5"/>
      <c r="U51" s="5"/>
      <c r="V51" s="5"/>
      <c r="W51" s="6"/>
      <c r="X51" s="49" t="s">
        <v>426</v>
      </c>
      <c r="Y51" s="5"/>
      <c r="Z51" s="5"/>
      <c r="AA51" s="5"/>
      <c r="AB51" s="5"/>
      <c r="AC51" s="5"/>
      <c r="AD51" s="6"/>
      <c r="AE51" s="48" t="s">
        <v>137</v>
      </c>
      <c r="AF51" s="6"/>
      <c r="AG51" s="55" t="s">
        <v>42</v>
      </c>
      <c r="AH51" s="5"/>
      <c r="AI51" s="6"/>
      <c r="AJ51" s="48"/>
      <c r="AK51" s="5"/>
      <c r="AL51" s="6"/>
      <c r="AM51" s="55" t="s">
        <v>139</v>
      </c>
      <c r="AN51" s="5"/>
      <c r="AO51" s="6"/>
      <c r="AP51" s="56">
        <v>46217.0</v>
      </c>
      <c r="AQ51" s="5"/>
      <c r="AR51" s="6"/>
      <c r="AS51" s="48"/>
      <c r="AT51" s="5"/>
      <c r="AU51" s="6"/>
      <c r="AV51" s="55" t="s">
        <v>42</v>
      </c>
      <c r="AW51" s="5"/>
      <c r="AX51" s="6"/>
      <c r="AY51" s="48"/>
      <c r="AZ51" s="5"/>
      <c r="BA51" s="6"/>
      <c r="BB51" s="55" t="s">
        <v>139</v>
      </c>
      <c r="BC51" s="5"/>
      <c r="BD51" s="6"/>
      <c r="BE51" s="56">
        <v>46239.0</v>
      </c>
      <c r="BF51" s="5"/>
      <c r="BG51" s="6"/>
      <c r="BH51" s="48"/>
      <c r="BI51" s="5"/>
      <c r="BJ51" s="6"/>
      <c r="BK51" s="49"/>
      <c r="BL51" s="5"/>
      <c r="BM51" s="5"/>
      <c r="BN51" s="5"/>
      <c r="BO51" s="5"/>
      <c r="BP51" s="5"/>
      <c r="BQ51" s="6"/>
    </row>
    <row r="52" ht="175.5" customHeight="1">
      <c r="A52" s="47">
        <v>36.0</v>
      </c>
      <c r="B52" s="49" t="s">
        <v>427</v>
      </c>
      <c r="C52" s="5"/>
      <c r="D52" s="6"/>
      <c r="E52" s="49" t="s">
        <v>428</v>
      </c>
      <c r="F52" s="5"/>
      <c r="G52" s="5"/>
      <c r="H52" s="5"/>
      <c r="I52" s="6"/>
      <c r="J52" s="49" t="s">
        <v>429</v>
      </c>
      <c r="K52" s="5"/>
      <c r="L52" s="5"/>
      <c r="M52" s="5"/>
      <c r="N52" s="5"/>
      <c r="O52" s="5"/>
      <c r="P52" s="6"/>
      <c r="Q52" s="49" t="s">
        <v>430</v>
      </c>
      <c r="R52" s="5"/>
      <c r="S52" s="5"/>
      <c r="T52" s="5"/>
      <c r="U52" s="5"/>
      <c r="V52" s="5"/>
      <c r="W52" s="6"/>
      <c r="X52" s="49" t="s">
        <v>431</v>
      </c>
      <c r="Y52" s="5"/>
      <c r="Z52" s="5"/>
      <c r="AA52" s="5"/>
      <c r="AB52" s="5"/>
      <c r="AC52" s="5"/>
      <c r="AD52" s="6"/>
      <c r="AE52" s="48" t="s">
        <v>137</v>
      </c>
      <c r="AF52" s="6"/>
      <c r="AG52" s="55" t="s">
        <v>42</v>
      </c>
      <c r="AH52" s="5"/>
      <c r="AI52" s="6"/>
      <c r="AJ52" s="48"/>
      <c r="AK52" s="5"/>
      <c r="AL52" s="6"/>
      <c r="AM52" s="55" t="s">
        <v>139</v>
      </c>
      <c r="AN52" s="5"/>
      <c r="AO52" s="6"/>
      <c r="AP52" s="56">
        <v>46217.0</v>
      </c>
      <c r="AQ52" s="5"/>
      <c r="AR52" s="6"/>
      <c r="AS52" s="48"/>
      <c r="AT52" s="5"/>
      <c r="AU52" s="6"/>
      <c r="AV52" s="55" t="s">
        <v>42</v>
      </c>
      <c r="AW52" s="5"/>
      <c r="AX52" s="6"/>
      <c r="AY52" s="48"/>
      <c r="AZ52" s="5"/>
      <c r="BA52" s="6"/>
      <c r="BB52" s="55" t="s">
        <v>139</v>
      </c>
      <c r="BC52" s="5"/>
      <c r="BD52" s="6"/>
      <c r="BE52" s="56">
        <v>46239.0</v>
      </c>
      <c r="BF52" s="5"/>
      <c r="BG52" s="6"/>
      <c r="BH52" s="48"/>
      <c r="BI52" s="5"/>
      <c r="BJ52" s="6"/>
      <c r="BK52" s="49"/>
      <c r="BL52" s="5"/>
      <c r="BM52" s="5"/>
      <c r="BN52" s="5"/>
      <c r="BO52" s="5"/>
      <c r="BP52" s="5"/>
      <c r="BQ52" s="6"/>
    </row>
    <row r="53" ht="144.0" customHeight="1">
      <c r="A53" s="47">
        <v>37.0</v>
      </c>
      <c r="B53" s="49" t="s">
        <v>432</v>
      </c>
      <c r="C53" s="5"/>
      <c r="D53" s="6"/>
      <c r="E53" s="49" t="s">
        <v>433</v>
      </c>
      <c r="F53" s="5"/>
      <c r="G53" s="5"/>
      <c r="H53" s="5"/>
      <c r="I53" s="6"/>
      <c r="J53" s="49" t="s">
        <v>217</v>
      </c>
      <c r="K53" s="5"/>
      <c r="L53" s="5"/>
      <c r="M53" s="5"/>
      <c r="N53" s="5"/>
      <c r="O53" s="5"/>
      <c r="P53" s="6"/>
      <c r="Q53" s="49" t="s">
        <v>434</v>
      </c>
      <c r="R53" s="5"/>
      <c r="S53" s="5"/>
      <c r="T53" s="5"/>
      <c r="U53" s="5"/>
      <c r="V53" s="5"/>
      <c r="W53" s="6"/>
      <c r="X53" s="49" t="s">
        <v>435</v>
      </c>
      <c r="Y53" s="5"/>
      <c r="Z53" s="5"/>
      <c r="AA53" s="5"/>
      <c r="AB53" s="5"/>
      <c r="AC53" s="5"/>
      <c r="AD53" s="6"/>
      <c r="AE53" s="48" t="s">
        <v>137</v>
      </c>
      <c r="AF53" s="6"/>
      <c r="AG53" s="55" t="s">
        <v>42</v>
      </c>
      <c r="AH53" s="5"/>
      <c r="AI53" s="6"/>
      <c r="AJ53" s="48"/>
      <c r="AK53" s="5"/>
      <c r="AL53" s="6"/>
      <c r="AM53" s="55" t="s">
        <v>139</v>
      </c>
      <c r="AN53" s="5"/>
      <c r="AO53" s="6"/>
      <c r="AP53" s="56">
        <v>46217.0</v>
      </c>
      <c r="AQ53" s="5"/>
      <c r="AR53" s="6"/>
      <c r="AS53" s="48"/>
      <c r="AT53" s="5"/>
      <c r="AU53" s="6"/>
      <c r="AV53" s="55" t="s">
        <v>42</v>
      </c>
      <c r="AW53" s="5"/>
      <c r="AX53" s="6"/>
      <c r="AY53" s="48"/>
      <c r="AZ53" s="5"/>
      <c r="BA53" s="6"/>
      <c r="BB53" s="55" t="s">
        <v>139</v>
      </c>
      <c r="BC53" s="5"/>
      <c r="BD53" s="6"/>
      <c r="BE53" s="56">
        <v>46239.0</v>
      </c>
      <c r="BF53" s="5"/>
      <c r="BG53" s="6"/>
      <c r="BH53" s="48"/>
      <c r="BI53" s="5"/>
      <c r="BJ53" s="6"/>
      <c r="BK53" s="49"/>
      <c r="BL53" s="5"/>
      <c r="BM53" s="5"/>
      <c r="BN53" s="5"/>
      <c r="BO53" s="5"/>
      <c r="BP53" s="5"/>
      <c r="BQ53" s="6"/>
    </row>
    <row r="54" ht="159.75" customHeight="1">
      <c r="A54" s="47">
        <v>38.0</v>
      </c>
      <c r="B54" s="49" t="s">
        <v>436</v>
      </c>
      <c r="C54" s="5"/>
      <c r="D54" s="6"/>
      <c r="E54" s="49" t="s">
        <v>437</v>
      </c>
      <c r="F54" s="5"/>
      <c r="G54" s="5"/>
      <c r="H54" s="5"/>
      <c r="I54" s="6"/>
      <c r="J54" s="49" t="s">
        <v>217</v>
      </c>
      <c r="K54" s="5"/>
      <c r="L54" s="5"/>
      <c r="M54" s="5"/>
      <c r="N54" s="5"/>
      <c r="O54" s="5"/>
      <c r="P54" s="6"/>
      <c r="Q54" s="49" t="s">
        <v>438</v>
      </c>
      <c r="R54" s="5"/>
      <c r="S54" s="5"/>
      <c r="T54" s="5"/>
      <c r="U54" s="5"/>
      <c r="V54" s="5"/>
      <c r="W54" s="6"/>
      <c r="X54" s="49" t="s">
        <v>439</v>
      </c>
      <c r="Y54" s="5"/>
      <c r="Z54" s="5"/>
      <c r="AA54" s="5"/>
      <c r="AB54" s="5"/>
      <c r="AC54" s="5"/>
      <c r="AD54" s="6"/>
      <c r="AE54" s="48" t="s">
        <v>137</v>
      </c>
      <c r="AF54" s="6"/>
      <c r="AG54" s="55" t="s">
        <v>42</v>
      </c>
      <c r="AH54" s="5"/>
      <c r="AI54" s="6"/>
      <c r="AJ54" s="48"/>
      <c r="AK54" s="5"/>
      <c r="AL54" s="6"/>
      <c r="AM54" s="55" t="s">
        <v>139</v>
      </c>
      <c r="AN54" s="5"/>
      <c r="AO54" s="6"/>
      <c r="AP54" s="56">
        <v>46217.0</v>
      </c>
      <c r="AQ54" s="5"/>
      <c r="AR54" s="6"/>
      <c r="AS54" s="48"/>
      <c r="AT54" s="5"/>
      <c r="AU54" s="6"/>
      <c r="AV54" s="55" t="s">
        <v>42</v>
      </c>
      <c r="AW54" s="5"/>
      <c r="AX54" s="6"/>
      <c r="AY54" s="48"/>
      <c r="AZ54" s="5"/>
      <c r="BA54" s="6"/>
      <c r="BB54" s="55" t="s">
        <v>139</v>
      </c>
      <c r="BC54" s="5"/>
      <c r="BD54" s="6"/>
      <c r="BE54" s="56">
        <v>46239.0</v>
      </c>
      <c r="BF54" s="5"/>
      <c r="BG54" s="6"/>
      <c r="BH54" s="48"/>
      <c r="BI54" s="5"/>
      <c r="BJ54" s="6"/>
      <c r="BK54" s="49"/>
      <c r="BL54" s="5"/>
      <c r="BM54" s="5"/>
      <c r="BN54" s="5"/>
      <c r="BO54" s="5"/>
      <c r="BP54" s="5"/>
      <c r="BQ54" s="6"/>
    </row>
    <row r="55" ht="159.75" customHeight="1">
      <c r="A55" s="47">
        <v>39.0</v>
      </c>
      <c r="B55" s="49" t="s">
        <v>440</v>
      </c>
      <c r="C55" s="5"/>
      <c r="D55" s="6"/>
      <c r="E55" s="49" t="s">
        <v>441</v>
      </c>
      <c r="F55" s="5"/>
      <c r="G55" s="5"/>
      <c r="H55" s="5"/>
      <c r="I55" s="6"/>
      <c r="J55" s="49" t="s">
        <v>442</v>
      </c>
      <c r="K55" s="5"/>
      <c r="L55" s="5"/>
      <c r="M55" s="5"/>
      <c r="N55" s="5"/>
      <c r="O55" s="5"/>
      <c r="P55" s="6"/>
      <c r="Q55" s="49" t="s">
        <v>443</v>
      </c>
      <c r="R55" s="5"/>
      <c r="S55" s="5"/>
      <c r="T55" s="5"/>
      <c r="U55" s="5"/>
      <c r="V55" s="5"/>
      <c r="W55" s="6"/>
      <c r="X55" s="49" t="s">
        <v>444</v>
      </c>
      <c r="Y55" s="5"/>
      <c r="Z55" s="5"/>
      <c r="AA55" s="5"/>
      <c r="AB55" s="5"/>
      <c r="AC55" s="5"/>
      <c r="AD55" s="6"/>
      <c r="AE55" s="48" t="s">
        <v>137</v>
      </c>
      <c r="AF55" s="6"/>
      <c r="AG55" s="55" t="s">
        <v>42</v>
      </c>
      <c r="AH55" s="5"/>
      <c r="AI55" s="6"/>
      <c r="AJ55" s="48"/>
      <c r="AK55" s="5"/>
      <c r="AL55" s="6"/>
      <c r="AM55" s="55" t="s">
        <v>139</v>
      </c>
      <c r="AN55" s="5"/>
      <c r="AO55" s="6"/>
      <c r="AP55" s="56">
        <v>46217.0</v>
      </c>
      <c r="AQ55" s="5"/>
      <c r="AR55" s="6"/>
      <c r="AS55" s="48"/>
      <c r="AT55" s="5"/>
      <c r="AU55" s="6"/>
      <c r="AV55" s="55" t="s">
        <v>42</v>
      </c>
      <c r="AW55" s="5"/>
      <c r="AX55" s="6"/>
      <c r="AY55" s="48"/>
      <c r="AZ55" s="5"/>
      <c r="BA55" s="6"/>
      <c r="BB55" s="55" t="s">
        <v>139</v>
      </c>
      <c r="BC55" s="5"/>
      <c r="BD55" s="6"/>
      <c r="BE55" s="56">
        <v>46239.0</v>
      </c>
      <c r="BF55" s="5"/>
      <c r="BG55" s="6"/>
      <c r="BH55" s="48"/>
      <c r="BI55" s="5"/>
      <c r="BJ55" s="6"/>
      <c r="BK55" s="49"/>
      <c r="BL55" s="5"/>
      <c r="BM55" s="5"/>
      <c r="BN55" s="5"/>
      <c r="BO55" s="5"/>
      <c r="BP55" s="5"/>
      <c r="BQ55" s="6"/>
    </row>
    <row r="56" ht="127.5" customHeight="1">
      <c r="A56" s="47">
        <v>40.0</v>
      </c>
      <c r="B56" s="49" t="s">
        <v>445</v>
      </c>
      <c r="C56" s="5"/>
      <c r="D56" s="6"/>
      <c r="E56" s="49" t="s">
        <v>446</v>
      </c>
      <c r="F56" s="5"/>
      <c r="G56" s="5"/>
      <c r="H56" s="5"/>
      <c r="I56" s="6"/>
      <c r="J56" s="49" t="s">
        <v>217</v>
      </c>
      <c r="K56" s="5"/>
      <c r="L56" s="5"/>
      <c r="M56" s="5"/>
      <c r="N56" s="5"/>
      <c r="O56" s="5"/>
      <c r="P56" s="6"/>
      <c r="Q56" s="49" t="s">
        <v>447</v>
      </c>
      <c r="R56" s="5"/>
      <c r="S56" s="5"/>
      <c r="T56" s="5"/>
      <c r="U56" s="5"/>
      <c r="V56" s="5"/>
      <c r="W56" s="6"/>
      <c r="X56" s="49" t="s">
        <v>448</v>
      </c>
      <c r="Y56" s="5"/>
      <c r="Z56" s="5"/>
      <c r="AA56" s="5"/>
      <c r="AB56" s="5"/>
      <c r="AC56" s="5"/>
      <c r="AD56" s="6"/>
      <c r="AE56" s="48" t="s">
        <v>137</v>
      </c>
      <c r="AF56" s="6"/>
      <c r="AG56" s="55" t="s">
        <v>42</v>
      </c>
      <c r="AH56" s="5"/>
      <c r="AI56" s="6"/>
      <c r="AJ56" s="48"/>
      <c r="AK56" s="5"/>
      <c r="AL56" s="6"/>
      <c r="AM56" s="55" t="s">
        <v>139</v>
      </c>
      <c r="AN56" s="5"/>
      <c r="AO56" s="6"/>
      <c r="AP56" s="56">
        <v>46217.0</v>
      </c>
      <c r="AQ56" s="5"/>
      <c r="AR56" s="6"/>
      <c r="AS56" s="48"/>
      <c r="AT56" s="5"/>
      <c r="AU56" s="6"/>
      <c r="AV56" s="55" t="s">
        <v>42</v>
      </c>
      <c r="AW56" s="5"/>
      <c r="AX56" s="6"/>
      <c r="AY56" s="48"/>
      <c r="AZ56" s="5"/>
      <c r="BA56" s="6"/>
      <c r="BB56" s="55" t="s">
        <v>139</v>
      </c>
      <c r="BC56" s="5"/>
      <c r="BD56" s="6"/>
      <c r="BE56" s="56">
        <v>46239.0</v>
      </c>
      <c r="BF56" s="5"/>
      <c r="BG56" s="6"/>
      <c r="BH56" s="48"/>
      <c r="BI56" s="5"/>
      <c r="BJ56" s="6"/>
      <c r="BK56" s="49"/>
      <c r="BL56" s="5"/>
      <c r="BM56" s="5"/>
      <c r="BN56" s="5"/>
      <c r="BO56" s="5"/>
      <c r="BP56" s="5"/>
      <c r="BQ56" s="6"/>
    </row>
    <row r="57" ht="192.0" customHeight="1">
      <c r="A57" s="47">
        <v>41.0</v>
      </c>
      <c r="B57" s="49" t="s">
        <v>449</v>
      </c>
      <c r="C57" s="5"/>
      <c r="D57" s="6"/>
      <c r="E57" s="49" t="s">
        <v>450</v>
      </c>
      <c r="F57" s="5"/>
      <c r="G57" s="5"/>
      <c r="H57" s="5"/>
      <c r="I57" s="6"/>
      <c r="J57" s="49" t="s">
        <v>217</v>
      </c>
      <c r="K57" s="5"/>
      <c r="L57" s="5"/>
      <c r="M57" s="5"/>
      <c r="N57" s="5"/>
      <c r="O57" s="5"/>
      <c r="P57" s="6"/>
      <c r="Q57" s="49" t="s">
        <v>451</v>
      </c>
      <c r="R57" s="5"/>
      <c r="S57" s="5"/>
      <c r="T57" s="5"/>
      <c r="U57" s="5"/>
      <c r="V57" s="5"/>
      <c r="W57" s="6"/>
      <c r="X57" s="49" t="s">
        <v>452</v>
      </c>
      <c r="Y57" s="5"/>
      <c r="Z57" s="5"/>
      <c r="AA57" s="5"/>
      <c r="AB57" s="5"/>
      <c r="AC57" s="5"/>
      <c r="AD57" s="6"/>
      <c r="AE57" s="48" t="s">
        <v>137</v>
      </c>
      <c r="AF57" s="6"/>
      <c r="AG57" s="55" t="s">
        <v>42</v>
      </c>
      <c r="AH57" s="5"/>
      <c r="AI57" s="6"/>
      <c r="AJ57" s="48"/>
      <c r="AK57" s="5"/>
      <c r="AL57" s="6"/>
      <c r="AM57" s="55" t="s">
        <v>139</v>
      </c>
      <c r="AN57" s="5"/>
      <c r="AO57" s="6"/>
      <c r="AP57" s="56">
        <v>46217.0</v>
      </c>
      <c r="AQ57" s="5"/>
      <c r="AR57" s="6"/>
      <c r="AS57" s="48"/>
      <c r="AT57" s="5"/>
      <c r="AU57" s="6"/>
      <c r="AV57" s="55" t="s">
        <v>42</v>
      </c>
      <c r="AW57" s="5"/>
      <c r="AX57" s="6"/>
      <c r="AY57" s="48"/>
      <c r="AZ57" s="5"/>
      <c r="BA57" s="6"/>
      <c r="BB57" s="55" t="s">
        <v>139</v>
      </c>
      <c r="BC57" s="5"/>
      <c r="BD57" s="6"/>
      <c r="BE57" s="56">
        <v>46239.0</v>
      </c>
      <c r="BF57" s="5"/>
      <c r="BG57" s="6"/>
      <c r="BH57" s="48"/>
      <c r="BI57" s="5"/>
      <c r="BJ57" s="6"/>
      <c r="BK57" s="49"/>
      <c r="BL57" s="5"/>
      <c r="BM57" s="5"/>
      <c r="BN57" s="5"/>
      <c r="BO57" s="5"/>
      <c r="BP57" s="5"/>
      <c r="BQ57" s="6"/>
    </row>
    <row r="58" ht="22.5" customHeight="1">
      <c r="A58" s="8" t="s">
        <v>453</v>
      </c>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6"/>
    </row>
    <row r="59" ht="271.5" customHeight="1">
      <c r="A59" s="47">
        <v>42.0</v>
      </c>
      <c r="B59" s="49" t="s">
        <v>454</v>
      </c>
      <c r="C59" s="5"/>
      <c r="D59" s="6"/>
      <c r="E59" s="49" t="s">
        <v>455</v>
      </c>
      <c r="F59" s="5"/>
      <c r="G59" s="5"/>
      <c r="H59" s="5"/>
      <c r="I59" s="6"/>
      <c r="J59" s="49" t="s">
        <v>456</v>
      </c>
      <c r="K59" s="5"/>
      <c r="L59" s="5"/>
      <c r="M59" s="5"/>
      <c r="N59" s="5"/>
      <c r="O59" s="5"/>
      <c r="P59" s="6"/>
      <c r="Q59" s="49"/>
      <c r="R59" s="5"/>
      <c r="S59" s="5"/>
      <c r="T59" s="5"/>
      <c r="U59" s="5"/>
      <c r="V59" s="5"/>
      <c r="W59" s="6"/>
      <c r="X59" s="49"/>
      <c r="Y59" s="5"/>
      <c r="Z59" s="5"/>
      <c r="AA59" s="5"/>
      <c r="AB59" s="5"/>
      <c r="AC59" s="5"/>
      <c r="AD59" s="6"/>
      <c r="AE59" s="48" t="s">
        <v>156</v>
      </c>
      <c r="AF59" s="6"/>
      <c r="AG59" s="55" t="s">
        <v>42</v>
      </c>
      <c r="AH59" s="5"/>
      <c r="AI59" s="6"/>
      <c r="AJ59" s="48"/>
      <c r="AK59" s="5"/>
      <c r="AL59" s="6"/>
      <c r="AM59" s="55" t="s">
        <v>139</v>
      </c>
      <c r="AN59" s="5"/>
      <c r="AO59" s="6"/>
      <c r="AP59" s="56">
        <v>46217.0</v>
      </c>
      <c r="AQ59" s="5"/>
      <c r="AR59" s="6"/>
      <c r="AS59" s="48"/>
      <c r="AT59" s="5"/>
      <c r="AU59" s="6"/>
      <c r="AV59" s="55" t="s">
        <v>42</v>
      </c>
      <c r="AW59" s="5"/>
      <c r="AX59" s="6"/>
      <c r="AY59" s="48"/>
      <c r="AZ59" s="5"/>
      <c r="BA59" s="6"/>
      <c r="BB59" s="55" t="s">
        <v>139</v>
      </c>
      <c r="BC59" s="5"/>
      <c r="BD59" s="6"/>
      <c r="BE59" s="56">
        <v>46239.0</v>
      </c>
      <c r="BF59" s="5"/>
      <c r="BG59" s="6"/>
      <c r="BH59" s="48"/>
      <c r="BI59" s="5"/>
      <c r="BJ59" s="6"/>
      <c r="BK59" s="49"/>
      <c r="BL59" s="5"/>
      <c r="BM59" s="5"/>
      <c r="BN59" s="5"/>
      <c r="BO59" s="5"/>
      <c r="BP59" s="5"/>
      <c r="BQ59" s="6"/>
    </row>
    <row r="60" ht="367.5" customHeight="1">
      <c r="A60" s="47">
        <v>43.0</v>
      </c>
      <c r="B60" s="49" t="s">
        <v>457</v>
      </c>
      <c r="C60" s="5"/>
      <c r="D60" s="6"/>
      <c r="E60" s="49" t="s">
        <v>458</v>
      </c>
      <c r="F60" s="5"/>
      <c r="G60" s="5"/>
      <c r="H60" s="5"/>
      <c r="I60" s="6"/>
      <c r="J60" s="49" t="s">
        <v>459</v>
      </c>
      <c r="K60" s="5"/>
      <c r="L60" s="5"/>
      <c r="M60" s="5"/>
      <c r="N60" s="5"/>
      <c r="O60" s="5"/>
      <c r="P60" s="6"/>
      <c r="Q60" s="49"/>
      <c r="R60" s="5"/>
      <c r="S60" s="5"/>
      <c r="T60" s="5"/>
      <c r="U60" s="5"/>
      <c r="V60" s="5"/>
      <c r="W60" s="6"/>
      <c r="X60" s="49"/>
      <c r="Y60" s="5"/>
      <c r="Z60" s="5"/>
      <c r="AA60" s="5"/>
      <c r="AB60" s="5"/>
      <c r="AC60" s="5"/>
      <c r="AD60" s="6"/>
      <c r="AE60" s="48" t="s">
        <v>156</v>
      </c>
      <c r="AF60" s="6"/>
      <c r="AG60" s="55" t="s">
        <v>42</v>
      </c>
      <c r="AH60" s="5"/>
      <c r="AI60" s="6"/>
      <c r="AJ60" s="48"/>
      <c r="AK60" s="5"/>
      <c r="AL60" s="6"/>
      <c r="AM60" s="55" t="s">
        <v>139</v>
      </c>
      <c r="AN60" s="5"/>
      <c r="AO60" s="6"/>
      <c r="AP60" s="56">
        <v>46217.0</v>
      </c>
      <c r="AQ60" s="5"/>
      <c r="AR60" s="6"/>
      <c r="AS60" s="48"/>
      <c r="AT60" s="5"/>
      <c r="AU60" s="6"/>
      <c r="AV60" s="55" t="s">
        <v>42</v>
      </c>
      <c r="AW60" s="5"/>
      <c r="AX60" s="6"/>
      <c r="AY60" s="48"/>
      <c r="AZ60" s="5"/>
      <c r="BA60" s="6"/>
      <c r="BB60" s="55" t="s">
        <v>139</v>
      </c>
      <c r="BC60" s="5"/>
      <c r="BD60" s="6"/>
      <c r="BE60" s="56">
        <v>46239.0</v>
      </c>
      <c r="BF60" s="5"/>
      <c r="BG60" s="6"/>
      <c r="BH60" s="48"/>
      <c r="BI60" s="5"/>
      <c r="BJ60" s="6"/>
      <c r="BK60" s="49"/>
      <c r="BL60" s="5"/>
      <c r="BM60" s="5"/>
      <c r="BN60" s="5"/>
      <c r="BO60" s="5"/>
      <c r="BP60" s="5"/>
      <c r="BQ60" s="6"/>
    </row>
    <row r="61" ht="144.0" customHeight="1">
      <c r="A61" s="47">
        <v>44.0</v>
      </c>
      <c r="B61" s="49" t="s">
        <v>460</v>
      </c>
      <c r="C61" s="5"/>
      <c r="D61" s="6"/>
      <c r="E61" s="49" t="s">
        <v>461</v>
      </c>
      <c r="F61" s="5"/>
      <c r="G61" s="5"/>
      <c r="H61" s="5"/>
      <c r="I61" s="6"/>
      <c r="J61" s="49" t="s">
        <v>462</v>
      </c>
      <c r="K61" s="5"/>
      <c r="L61" s="5"/>
      <c r="M61" s="5"/>
      <c r="N61" s="5"/>
      <c r="O61" s="5"/>
      <c r="P61" s="6"/>
      <c r="Q61" s="49"/>
      <c r="R61" s="5"/>
      <c r="S61" s="5"/>
      <c r="T61" s="5"/>
      <c r="U61" s="5"/>
      <c r="V61" s="5"/>
      <c r="W61" s="6"/>
      <c r="X61" s="49"/>
      <c r="Y61" s="5"/>
      <c r="Z61" s="5"/>
      <c r="AA61" s="5"/>
      <c r="AB61" s="5"/>
      <c r="AC61" s="5"/>
      <c r="AD61" s="6"/>
      <c r="AE61" s="48" t="s">
        <v>156</v>
      </c>
      <c r="AF61" s="6"/>
      <c r="AG61" s="55" t="s">
        <v>42</v>
      </c>
      <c r="AH61" s="5"/>
      <c r="AI61" s="6"/>
      <c r="AJ61" s="48"/>
      <c r="AK61" s="5"/>
      <c r="AL61" s="6"/>
      <c r="AM61" s="55" t="s">
        <v>139</v>
      </c>
      <c r="AN61" s="5"/>
      <c r="AO61" s="6"/>
      <c r="AP61" s="56">
        <v>46217.0</v>
      </c>
      <c r="AQ61" s="5"/>
      <c r="AR61" s="6"/>
      <c r="AS61" s="48"/>
      <c r="AT61" s="5"/>
      <c r="AU61" s="6"/>
      <c r="AV61" s="55" t="s">
        <v>42</v>
      </c>
      <c r="AW61" s="5"/>
      <c r="AX61" s="6"/>
      <c r="AY61" s="48"/>
      <c r="AZ61" s="5"/>
      <c r="BA61" s="6"/>
      <c r="BB61" s="55" t="s">
        <v>139</v>
      </c>
      <c r="BC61" s="5"/>
      <c r="BD61" s="6"/>
      <c r="BE61" s="56">
        <v>46239.0</v>
      </c>
      <c r="BF61" s="5"/>
      <c r="BG61" s="6"/>
      <c r="BH61" s="48"/>
      <c r="BI61" s="5"/>
      <c r="BJ61" s="6"/>
      <c r="BK61" s="49"/>
      <c r="BL61" s="5"/>
      <c r="BM61" s="5"/>
      <c r="BN61" s="5"/>
      <c r="BO61" s="5"/>
      <c r="BP61" s="5"/>
      <c r="BQ61" s="6"/>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0">
    <mergeCell ref="BH19:BJ19"/>
    <mergeCell ref="BK19:BQ19"/>
    <mergeCell ref="AJ19:AL19"/>
    <mergeCell ref="AS19:AU19"/>
    <mergeCell ref="AY19:BA19"/>
    <mergeCell ref="AV19:AX19"/>
    <mergeCell ref="B19:D19"/>
    <mergeCell ref="E19:I19"/>
    <mergeCell ref="J19:P19"/>
    <mergeCell ref="Q19:W19"/>
    <mergeCell ref="X19:AD19"/>
    <mergeCell ref="AE19:AF19"/>
    <mergeCell ref="AG19:AI19"/>
    <mergeCell ref="BH20:BJ20"/>
    <mergeCell ref="BK20:BQ20"/>
    <mergeCell ref="BH22:BJ22"/>
    <mergeCell ref="BK22:BQ22"/>
    <mergeCell ref="AJ20:AL20"/>
    <mergeCell ref="AS20:AU20"/>
    <mergeCell ref="AY20:BA20"/>
    <mergeCell ref="AV20:AX20"/>
    <mergeCell ref="E20:I20"/>
    <mergeCell ref="J20:P20"/>
    <mergeCell ref="Q20:W20"/>
    <mergeCell ref="X20:AD20"/>
    <mergeCell ref="AE20:AF20"/>
    <mergeCell ref="A21:BQ21"/>
    <mergeCell ref="AG20:AI20"/>
    <mergeCell ref="B20:D20"/>
    <mergeCell ref="B22:D22"/>
    <mergeCell ref="E22:I22"/>
    <mergeCell ref="J22:P22"/>
    <mergeCell ref="Q22:W22"/>
    <mergeCell ref="X22:AD22"/>
    <mergeCell ref="AE22:AF22"/>
    <mergeCell ref="AG22:AI22"/>
    <mergeCell ref="AJ22:AL22"/>
    <mergeCell ref="AS22:AU22"/>
    <mergeCell ref="AV22:AX22"/>
    <mergeCell ref="AY22:BA22"/>
    <mergeCell ref="AJ25:AL25"/>
    <mergeCell ref="AS25:AU25"/>
    <mergeCell ref="AV25:AX25"/>
    <mergeCell ref="AY25:BA25"/>
    <mergeCell ref="BH25:BJ25"/>
    <mergeCell ref="BH23:BJ23"/>
    <mergeCell ref="BK23:BQ23"/>
    <mergeCell ref="AJ23:AL23"/>
    <mergeCell ref="AS23:AU23"/>
    <mergeCell ref="AV23:AX23"/>
    <mergeCell ref="AY23:BA23"/>
    <mergeCell ref="B23:D23"/>
    <mergeCell ref="E23:I23"/>
    <mergeCell ref="J23:P23"/>
    <mergeCell ref="Q23:W23"/>
    <mergeCell ref="X23:AD23"/>
    <mergeCell ref="AE23:AF23"/>
    <mergeCell ref="AG23:AI23"/>
    <mergeCell ref="BH24:BJ24"/>
    <mergeCell ref="BK24:BQ24"/>
    <mergeCell ref="BK25:BQ25"/>
    <mergeCell ref="AJ24:AL24"/>
    <mergeCell ref="AS24:AU24"/>
    <mergeCell ref="AV24:AX24"/>
    <mergeCell ref="AY24:BA24"/>
    <mergeCell ref="B24:D24"/>
    <mergeCell ref="E24:I24"/>
    <mergeCell ref="J24:P24"/>
    <mergeCell ref="Q24:W24"/>
    <mergeCell ref="X24:AD24"/>
    <mergeCell ref="AE24:AF24"/>
    <mergeCell ref="AG24:AI24"/>
    <mergeCell ref="B25:D25"/>
    <mergeCell ref="E25:I25"/>
    <mergeCell ref="J25:P25"/>
    <mergeCell ref="Q25:W25"/>
    <mergeCell ref="X25:AD25"/>
    <mergeCell ref="AE25:AF25"/>
    <mergeCell ref="AG25:AI25"/>
    <mergeCell ref="AJ28:AL28"/>
    <mergeCell ref="AS28:AU28"/>
    <mergeCell ref="AV28:AX28"/>
    <mergeCell ref="AY28:BA28"/>
    <mergeCell ref="BH28:BJ28"/>
    <mergeCell ref="BH26:BJ26"/>
    <mergeCell ref="BK26:BQ26"/>
    <mergeCell ref="AJ26:AL26"/>
    <mergeCell ref="AS26:AU26"/>
    <mergeCell ref="AV26:AX26"/>
    <mergeCell ref="AY26:BA26"/>
    <mergeCell ref="B26:D26"/>
    <mergeCell ref="E26:I26"/>
    <mergeCell ref="J26:P26"/>
    <mergeCell ref="Q26:W26"/>
    <mergeCell ref="X26:AD26"/>
    <mergeCell ref="AE26:AF26"/>
    <mergeCell ref="AG26:AI26"/>
    <mergeCell ref="BH27:BJ27"/>
    <mergeCell ref="BK27:BQ27"/>
    <mergeCell ref="BK28:BQ28"/>
    <mergeCell ref="AJ27:AL27"/>
    <mergeCell ref="AS27:AU27"/>
    <mergeCell ref="AV27:AX27"/>
    <mergeCell ref="AY27:BA27"/>
    <mergeCell ref="B27:D27"/>
    <mergeCell ref="E27:I27"/>
    <mergeCell ref="J27:P27"/>
    <mergeCell ref="Q27:W27"/>
    <mergeCell ref="X27:AD27"/>
    <mergeCell ref="AE27:AF27"/>
    <mergeCell ref="AG27:AI27"/>
    <mergeCell ref="B28:D28"/>
    <mergeCell ref="E28:I28"/>
    <mergeCell ref="J28:P28"/>
    <mergeCell ref="Q28:W28"/>
    <mergeCell ref="X28:AD28"/>
    <mergeCell ref="AE28:AF28"/>
    <mergeCell ref="AG28:AI28"/>
    <mergeCell ref="AJ32:AL32"/>
    <mergeCell ref="AS32:AU32"/>
    <mergeCell ref="AV32:AX32"/>
    <mergeCell ref="AY32:BA32"/>
    <mergeCell ref="BH32:BJ32"/>
    <mergeCell ref="BH29:BJ29"/>
    <mergeCell ref="BK29:BQ29"/>
    <mergeCell ref="AJ29:AL29"/>
    <mergeCell ref="AS29:AU29"/>
    <mergeCell ref="AV29:AX29"/>
    <mergeCell ref="AY29:BA29"/>
    <mergeCell ref="E29:I29"/>
    <mergeCell ref="J29:P29"/>
    <mergeCell ref="Q29:W29"/>
    <mergeCell ref="X29:AD29"/>
    <mergeCell ref="AE29:AF29"/>
    <mergeCell ref="AG29:AI29"/>
    <mergeCell ref="A30:BQ30"/>
    <mergeCell ref="BH31:BJ31"/>
    <mergeCell ref="BK31:BQ31"/>
    <mergeCell ref="BK32:BQ32"/>
    <mergeCell ref="AG31:AI31"/>
    <mergeCell ref="AJ31:AL31"/>
    <mergeCell ref="AS31:AU31"/>
    <mergeCell ref="AV31:AX31"/>
    <mergeCell ref="AY31:BA31"/>
    <mergeCell ref="B29:D29"/>
    <mergeCell ref="B31:D31"/>
    <mergeCell ref="E31:I31"/>
    <mergeCell ref="J31:P31"/>
    <mergeCell ref="Q31:W31"/>
    <mergeCell ref="X31:AD31"/>
    <mergeCell ref="AE31:AF31"/>
    <mergeCell ref="B32:D32"/>
    <mergeCell ref="E32:I32"/>
    <mergeCell ref="J32:P32"/>
    <mergeCell ref="Q32:W32"/>
    <mergeCell ref="X32:AD32"/>
    <mergeCell ref="AE32:AF32"/>
    <mergeCell ref="AG32:AI32"/>
    <mergeCell ref="AJ35:AL35"/>
    <mergeCell ref="AS35:AU35"/>
    <mergeCell ref="AV35:AX35"/>
    <mergeCell ref="AY35:BA35"/>
    <mergeCell ref="BB35:BD35"/>
    <mergeCell ref="BH35:BJ35"/>
    <mergeCell ref="BE35:BG35"/>
    <mergeCell ref="BE36:BG36"/>
    <mergeCell ref="BB36:BD36"/>
    <mergeCell ref="BH33:BJ33"/>
    <mergeCell ref="BK33:BQ33"/>
    <mergeCell ref="AJ33:AL33"/>
    <mergeCell ref="AS33:AU33"/>
    <mergeCell ref="AV33:AX33"/>
    <mergeCell ref="AY33:BA33"/>
    <mergeCell ref="B33:D33"/>
    <mergeCell ref="E33:I33"/>
    <mergeCell ref="J33:P33"/>
    <mergeCell ref="Q33:W33"/>
    <mergeCell ref="X33:AD33"/>
    <mergeCell ref="AE33:AF33"/>
    <mergeCell ref="AG33:AI33"/>
    <mergeCell ref="BH34:BJ34"/>
    <mergeCell ref="BK34:BQ34"/>
    <mergeCell ref="BK35:BQ35"/>
    <mergeCell ref="BE34:BG34"/>
    <mergeCell ref="AJ34:AL34"/>
    <mergeCell ref="AS34:AU34"/>
    <mergeCell ref="AV34:AX34"/>
    <mergeCell ref="AY34:BA34"/>
    <mergeCell ref="BB34:BD34"/>
    <mergeCell ref="B34:D34"/>
    <mergeCell ref="E34:I34"/>
    <mergeCell ref="J34:P34"/>
    <mergeCell ref="Q34:W34"/>
    <mergeCell ref="X34:AD34"/>
    <mergeCell ref="AE34:AF34"/>
    <mergeCell ref="AG34:AI34"/>
    <mergeCell ref="B35:D35"/>
    <mergeCell ref="E35:I35"/>
    <mergeCell ref="J35:P35"/>
    <mergeCell ref="Q35:W35"/>
    <mergeCell ref="X35:AD35"/>
    <mergeCell ref="AE35:AF35"/>
    <mergeCell ref="AG35:AI35"/>
    <mergeCell ref="BH40:BJ40"/>
    <mergeCell ref="BK40:BQ40"/>
    <mergeCell ref="AJ40:AL40"/>
    <mergeCell ref="AS40:AU40"/>
    <mergeCell ref="AV40:AX40"/>
    <mergeCell ref="AY40:BA40"/>
    <mergeCell ref="B40:D40"/>
    <mergeCell ref="E40:I40"/>
    <mergeCell ref="J40:P40"/>
    <mergeCell ref="Q40:W40"/>
    <mergeCell ref="X40:AD40"/>
    <mergeCell ref="AE40:AF40"/>
    <mergeCell ref="AG40:AI40"/>
    <mergeCell ref="BH41:BJ41"/>
    <mergeCell ref="BK41:BQ41"/>
    <mergeCell ref="BK42:BQ42"/>
    <mergeCell ref="BE42:BG42"/>
    <mergeCell ref="BB42:BD42"/>
    <mergeCell ref="AJ41:AL41"/>
    <mergeCell ref="AS41:AU41"/>
    <mergeCell ref="AV41:AX41"/>
    <mergeCell ref="AY41:BA41"/>
    <mergeCell ref="BB41:BD41"/>
    <mergeCell ref="B41:D41"/>
    <mergeCell ref="E41:I41"/>
    <mergeCell ref="J41:P41"/>
    <mergeCell ref="Q41:W41"/>
    <mergeCell ref="X41:AD41"/>
    <mergeCell ref="AE41:AF41"/>
    <mergeCell ref="AG41:AI41"/>
    <mergeCell ref="B42:D42"/>
    <mergeCell ref="E42:I42"/>
    <mergeCell ref="J42:P42"/>
    <mergeCell ref="Q42:W42"/>
    <mergeCell ref="X42:AD42"/>
    <mergeCell ref="AE42:AF42"/>
    <mergeCell ref="AG42:AI42"/>
    <mergeCell ref="BE40:BG40"/>
    <mergeCell ref="BE41:BG41"/>
    <mergeCell ref="AJ42:AL42"/>
    <mergeCell ref="AS42:AU42"/>
    <mergeCell ref="AV42:AX42"/>
    <mergeCell ref="AY42:BA42"/>
    <mergeCell ref="BH42:BJ42"/>
    <mergeCell ref="BE38:BG38"/>
    <mergeCell ref="BB38:BD38"/>
    <mergeCell ref="BE39:BG39"/>
    <mergeCell ref="BB39:BD39"/>
    <mergeCell ref="BB40:BD40"/>
    <mergeCell ref="AJ45:AL45"/>
    <mergeCell ref="AS45:AU45"/>
    <mergeCell ref="AV45:AX45"/>
    <mergeCell ref="AY45:BA45"/>
    <mergeCell ref="BB45:BD45"/>
    <mergeCell ref="BH45:BJ45"/>
    <mergeCell ref="BE45:BG45"/>
    <mergeCell ref="BH43:BJ43"/>
    <mergeCell ref="BK43:BQ43"/>
    <mergeCell ref="BE43:BG43"/>
    <mergeCell ref="AJ43:AL43"/>
    <mergeCell ref="AS43:AU43"/>
    <mergeCell ref="AV43:AX43"/>
    <mergeCell ref="AY43:BA43"/>
    <mergeCell ref="BB43:BD43"/>
    <mergeCell ref="B43:D43"/>
    <mergeCell ref="E43:I43"/>
    <mergeCell ref="J43:P43"/>
    <mergeCell ref="Q43:W43"/>
    <mergeCell ref="X43:AD43"/>
    <mergeCell ref="AE43:AF43"/>
    <mergeCell ref="AG43:AI43"/>
    <mergeCell ref="BH44:BJ44"/>
    <mergeCell ref="BK44:BQ44"/>
    <mergeCell ref="BK45:BQ45"/>
    <mergeCell ref="BE44:BG44"/>
    <mergeCell ref="AJ44:AL44"/>
    <mergeCell ref="AS44:AU44"/>
    <mergeCell ref="AV44:AX44"/>
    <mergeCell ref="AY44:BA44"/>
    <mergeCell ref="BB44:BD44"/>
    <mergeCell ref="B44:D44"/>
    <mergeCell ref="E44:I44"/>
    <mergeCell ref="J44:P44"/>
    <mergeCell ref="Q44:W44"/>
    <mergeCell ref="X44:AD44"/>
    <mergeCell ref="AE44:AF44"/>
    <mergeCell ref="AG44:AI44"/>
    <mergeCell ref="B45:D45"/>
    <mergeCell ref="E45:I45"/>
    <mergeCell ref="J45:P45"/>
    <mergeCell ref="Q45:W45"/>
    <mergeCell ref="X45:AD45"/>
    <mergeCell ref="AE45:AF45"/>
    <mergeCell ref="AG45:AI45"/>
    <mergeCell ref="AP43:AR43"/>
    <mergeCell ref="AP44:AR44"/>
    <mergeCell ref="AP32:AR32"/>
    <mergeCell ref="AP33:AR33"/>
    <mergeCell ref="AP34:AR34"/>
    <mergeCell ref="AP35:AR35"/>
    <mergeCell ref="AP40:AR40"/>
    <mergeCell ref="AP41:AR41"/>
    <mergeCell ref="AP42:AR42"/>
    <mergeCell ref="AJ18:AL18"/>
    <mergeCell ref="AS18:AU18"/>
    <mergeCell ref="AY18:BA18"/>
    <mergeCell ref="AM18:AO18"/>
    <mergeCell ref="AP18:AR18"/>
    <mergeCell ref="AV18:AX18"/>
    <mergeCell ref="AM19:AO19"/>
    <mergeCell ref="AP19:AR19"/>
    <mergeCell ref="AM20:AO20"/>
    <mergeCell ref="AP20:AR20"/>
    <mergeCell ref="AM22:AO22"/>
    <mergeCell ref="AP22:AR22"/>
    <mergeCell ref="AP23:AR23"/>
    <mergeCell ref="AM23:AO23"/>
    <mergeCell ref="AM24:AO24"/>
    <mergeCell ref="AM25:AO25"/>
    <mergeCell ref="AM26:AO26"/>
    <mergeCell ref="AM27:AO27"/>
    <mergeCell ref="AM28:AO28"/>
    <mergeCell ref="AM29:AO29"/>
    <mergeCell ref="AP24:AR24"/>
    <mergeCell ref="AP25:AR25"/>
    <mergeCell ref="AP26:AR26"/>
    <mergeCell ref="AP27:AR27"/>
    <mergeCell ref="AP28:AR28"/>
    <mergeCell ref="AP29:AR29"/>
    <mergeCell ref="AP31:AR31"/>
    <mergeCell ref="AM42:AO42"/>
    <mergeCell ref="AM43:AO43"/>
    <mergeCell ref="AM44:AO44"/>
    <mergeCell ref="AM45:AO45"/>
    <mergeCell ref="AP45:AR45"/>
    <mergeCell ref="AM31:AO31"/>
    <mergeCell ref="AM32:AO32"/>
    <mergeCell ref="AM33:AO33"/>
    <mergeCell ref="AM34:AO34"/>
    <mergeCell ref="AM35:AO35"/>
    <mergeCell ref="AM40:AO40"/>
    <mergeCell ref="AM41:AO41"/>
    <mergeCell ref="BH18:BJ18"/>
    <mergeCell ref="BE48:BG48"/>
    <mergeCell ref="BE49:BG49"/>
    <mergeCell ref="BE51:BG51"/>
    <mergeCell ref="BB32:BD32"/>
    <mergeCell ref="BB33:BD33"/>
    <mergeCell ref="BE46:BG46"/>
    <mergeCell ref="BB46:BD46"/>
    <mergeCell ref="BE47:BG47"/>
    <mergeCell ref="BB47:BD47"/>
    <mergeCell ref="BB48:BD48"/>
    <mergeCell ref="BE54:BG54"/>
    <mergeCell ref="BE55:BG55"/>
    <mergeCell ref="BE56:BG56"/>
    <mergeCell ref="BB49:BD49"/>
    <mergeCell ref="BB51:BD51"/>
    <mergeCell ref="BE52:BG52"/>
    <mergeCell ref="BB52:BD52"/>
    <mergeCell ref="BE53:BG53"/>
    <mergeCell ref="BB53:BD53"/>
    <mergeCell ref="BB54:BD54"/>
    <mergeCell ref="AG55:AI55"/>
    <mergeCell ref="AG56:AI56"/>
    <mergeCell ref="AG52:AI52"/>
    <mergeCell ref="AV52:AX52"/>
    <mergeCell ref="AV53:AX53"/>
    <mergeCell ref="AV54:AX54"/>
    <mergeCell ref="AV55:AX55"/>
    <mergeCell ref="AV56:AX56"/>
    <mergeCell ref="AG57:AI57"/>
    <mergeCell ref="AG59:AI59"/>
    <mergeCell ref="BB55:BD55"/>
    <mergeCell ref="BB56:BD56"/>
    <mergeCell ref="BE57:BG57"/>
    <mergeCell ref="BB57:BD57"/>
    <mergeCell ref="BE59:BG59"/>
    <mergeCell ref="BB59:BD59"/>
    <mergeCell ref="AV57:AX57"/>
    <mergeCell ref="AV59:AX59"/>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AJ15:AL15"/>
    <mergeCell ref="AS15:AU15"/>
    <mergeCell ref="AY15:BA15"/>
    <mergeCell ref="AM15:AO15"/>
    <mergeCell ref="AP15:AR15"/>
    <mergeCell ref="BB15:BD15"/>
    <mergeCell ref="AV15:AX15"/>
    <mergeCell ref="BH15:BJ15"/>
    <mergeCell ref="BE15:BG15"/>
    <mergeCell ref="BH13:BJ13"/>
    <mergeCell ref="BK13:BQ13"/>
    <mergeCell ref="BE13:BG13"/>
    <mergeCell ref="AJ13:AL13"/>
    <mergeCell ref="AS13:AU13"/>
    <mergeCell ref="AV13:AX13"/>
    <mergeCell ref="AY13:BA13"/>
    <mergeCell ref="AM13:AO13"/>
    <mergeCell ref="AP13:AR13"/>
    <mergeCell ref="BB13:BD13"/>
    <mergeCell ref="B13:D13"/>
    <mergeCell ref="E13:I13"/>
    <mergeCell ref="J13:P13"/>
    <mergeCell ref="Q13:W13"/>
    <mergeCell ref="X13:AD13"/>
    <mergeCell ref="AE13:AF13"/>
    <mergeCell ref="AG13:AI13"/>
    <mergeCell ref="BH14:BJ14"/>
    <mergeCell ref="BK14:BQ14"/>
    <mergeCell ref="BK15:BQ15"/>
    <mergeCell ref="BE14:BG14"/>
    <mergeCell ref="AJ14:AL14"/>
    <mergeCell ref="AS14:AU14"/>
    <mergeCell ref="AY14:BA14"/>
    <mergeCell ref="AM14:AO14"/>
    <mergeCell ref="AP14:AR14"/>
    <mergeCell ref="BB14:BD14"/>
    <mergeCell ref="AV14:AX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H16:BJ16"/>
    <mergeCell ref="BK16:BQ16"/>
    <mergeCell ref="BE16:BG16"/>
    <mergeCell ref="AJ16:AL16"/>
    <mergeCell ref="AS16:AU16"/>
    <mergeCell ref="AY16:BA16"/>
    <mergeCell ref="AM16:AO16"/>
    <mergeCell ref="AP16:AR16"/>
    <mergeCell ref="BB16:BD16"/>
    <mergeCell ref="AV16:AX16"/>
    <mergeCell ref="B16:D16"/>
    <mergeCell ref="E16:I16"/>
    <mergeCell ref="J16:P16"/>
    <mergeCell ref="Q16:W16"/>
    <mergeCell ref="X16:AD16"/>
    <mergeCell ref="AE16:AF16"/>
    <mergeCell ref="AG16:AI16"/>
    <mergeCell ref="BH17:BJ17"/>
    <mergeCell ref="BK17:BQ17"/>
    <mergeCell ref="BK18:BQ18"/>
    <mergeCell ref="BE17:BG17"/>
    <mergeCell ref="BE18:BG18"/>
    <mergeCell ref="BB18:BD18"/>
    <mergeCell ref="AJ17:AL17"/>
    <mergeCell ref="AS17:AU17"/>
    <mergeCell ref="AY17:BA17"/>
    <mergeCell ref="AM17:AO17"/>
    <mergeCell ref="AP17:AR17"/>
    <mergeCell ref="BB17:BD17"/>
    <mergeCell ref="AV17:AX17"/>
    <mergeCell ref="B17:D17"/>
    <mergeCell ref="E17:I17"/>
    <mergeCell ref="J17:P17"/>
    <mergeCell ref="Q17:W17"/>
    <mergeCell ref="X17:AD17"/>
    <mergeCell ref="AE17:AF17"/>
    <mergeCell ref="AG17:AI17"/>
    <mergeCell ref="B18:D18"/>
    <mergeCell ref="E18:I18"/>
    <mergeCell ref="J18:P18"/>
    <mergeCell ref="Q18:W18"/>
    <mergeCell ref="X18:AD18"/>
    <mergeCell ref="AE18:AF18"/>
    <mergeCell ref="AG18:AI18"/>
    <mergeCell ref="BH60:BJ60"/>
    <mergeCell ref="BK60:BQ60"/>
    <mergeCell ref="BE60:BG60"/>
    <mergeCell ref="AJ60:AL60"/>
    <mergeCell ref="AS60:AU60"/>
    <mergeCell ref="AY60:BA60"/>
    <mergeCell ref="AM60:AO60"/>
    <mergeCell ref="AP60:AR60"/>
    <mergeCell ref="BB60:BD60"/>
    <mergeCell ref="AV60:AX60"/>
    <mergeCell ref="B60:D60"/>
    <mergeCell ref="E60:I60"/>
    <mergeCell ref="J60:P60"/>
    <mergeCell ref="Q60:W60"/>
    <mergeCell ref="X60:AD60"/>
    <mergeCell ref="AE60:AF60"/>
    <mergeCell ref="AG60:AI60"/>
    <mergeCell ref="B61:D61"/>
    <mergeCell ref="E61:I61"/>
    <mergeCell ref="J61:P61"/>
    <mergeCell ref="Q61:W61"/>
    <mergeCell ref="X61:AD61"/>
    <mergeCell ref="AE61:AF61"/>
    <mergeCell ref="AG61:AI61"/>
    <mergeCell ref="BH61:BJ61"/>
    <mergeCell ref="BK61:BQ61"/>
    <mergeCell ref="BE61:BG61"/>
    <mergeCell ref="AJ61:AL61"/>
    <mergeCell ref="AS61:AU61"/>
    <mergeCell ref="AY61:BA61"/>
    <mergeCell ref="AM61:AO61"/>
    <mergeCell ref="AP61:AR61"/>
    <mergeCell ref="BB61:BD61"/>
    <mergeCell ref="AV61:AX61"/>
    <mergeCell ref="AG53:AI53"/>
    <mergeCell ref="AG54:AI54"/>
    <mergeCell ref="AJ39:AL39"/>
    <mergeCell ref="AS39:AU39"/>
    <mergeCell ref="AV39:AX39"/>
    <mergeCell ref="AY39:BA39"/>
    <mergeCell ref="AM39:AO39"/>
    <mergeCell ref="AP39:AR39"/>
    <mergeCell ref="BH39:BJ39"/>
    <mergeCell ref="BH36:BJ36"/>
    <mergeCell ref="BK36:BQ36"/>
    <mergeCell ref="AJ36:AL36"/>
    <mergeCell ref="AS36:AU36"/>
    <mergeCell ref="AV36:AX36"/>
    <mergeCell ref="AY36:BA36"/>
    <mergeCell ref="AM36:AO36"/>
    <mergeCell ref="AP36:AR36"/>
    <mergeCell ref="E36:I36"/>
    <mergeCell ref="J36:P36"/>
    <mergeCell ref="Q36:W36"/>
    <mergeCell ref="X36:AD36"/>
    <mergeCell ref="AE36:AF36"/>
    <mergeCell ref="AG36:AI36"/>
    <mergeCell ref="A37:BQ37"/>
    <mergeCell ref="BH38:BJ38"/>
    <mergeCell ref="BK38:BQ38"/>
    <mergeCell ref="BK39:BQ39"/>
    <mergeCell ref="AG38:AI38"/>
    <mergeCell ref="AJ38:AL38"/>
    <mergeCell ref="AS38:AU38"/>
    <mergeCell ref="AV38:AX38"/>
    <mergeCell ref="AY38:BA38"/>
    <mergeCell ref="AM38:AO38"/>
    <mergeCell ref="AP38:AR38"/>
    <mergeCell ref="B36:D36"/>
    <mergeCell ref="B38:D38"/>
    <mergeCell ref="E38:I38"/>
    <mergeCell ref="J38:P38"/>
    <mergeCell ref="Q38:W38"/>
    <mergeCell ref="X38:AD38"/>
    <mergeCell ref="AE38:AF38"/>
    <mergeCell ref="B39:D39"/>
    <mergeCell ref="E39:I39"/>
    <mergeCell ref="J39:P39"/>
    <mergeCell ref="Q39:W39"/>
    <mergeCell ref="X39:AD39"/>
    <mergeCell ref="AE39:AF39"/>
    <mergeCell ref="AG39:AI39"/>
    <mergeCell ref="AJ48:AL48"/>
    <mergeCell ref="AS48:AU48"/>
    <mergeCell ref="AV48:AX48"/>
    <mergeCell ref="AY48:BA48"/>
    <mergeCell ref="AM48:AO48"/>
    <mergeCell ref="AP48:AR48"/>
    <mergeCell ref="BH48:BJ48"/>
    <mergeCell ref="BH46:BJ46"/>
    <mergeCell ref="BK46:BQ46"/>
    <mergeCell ref="AJ46:AL46"/>
    <mergeCell ref="AS46:AU46"/>
    <mergeCell ref="AV46:AX46"/>
    <mergeCell ref="AY46:BA46"/>
    <mergeCell ref="AM46:AO46"/>
    <mergeCell ref="AP46:AR46"/>
    <mergeCell ref="B46:D46"/>
    <mergeCell ref="E46:I46"/>
    <mergeCell ref="J46:P46"/>
    <mergeCell ref="Q46:W46"/>
    <mergeCell ref="X46:AD46"/>
    <mergeCell ref="AE46:AF46"/>
    <mergeCell ref="AG46:AI46"/>
    <mergeCell ref="BH47:BJ47"/>
    <mergeCell ref="BK47:BQ47"/>
    <mergeCell ref="BK48:BQ48"/>
    <mergeCell ref="AJ47:AL47"/>
    <mergeCell ref="AS47:AU47"/>
    <mergeCell ref="AV47:AX47"/>
    <mergeCell ref="AY47:BA47"/>
    <mergeCell ref="AM47:AO47"/>
    <mergeCell ref="AP47:AR47"/>
    <mergeCell ref="B47:D47"/>
    <mergeCell ref="E47:I47"/>
    <mergeCell ref="J47:P47"/>
    <mergeCell ref="Q47:W47"/>
    <mergeCell ref="X47:AD47"/>
    <mergeCell ref="AE47:AF47"/>
    <mergeCell ref="AG47:AI47"/>
    <mergeCell ref="B48:D48"/>
    <mergeCell ref="E48:I48"/>
    <mergeCell ref="J48:P48"/>
    <mergeCell ref="Q48:W48"/>
    <mergeCell ref="X48:AD48"/>
    <mergeCell ref="AE48:AF48"/>
    <mergeCell ref="AG48:AI48"/>
    <mergeCell ref="AJ52:AL52"/>
    <mergeCell ref="AS52:AU52"/>
    <mergeCell ref="AY52:BA52"/>
    <mergeCell ref="AM52:AO52"/>
    <mergeCell ref="AP52:AR52"/>
    <mergeCell ref="BH52:BJ52"/>
    <mergeCell ref="BH49:BJ49"/>
    <mergeCell ref="BK49:BQ49"/>
    <mergeCell ref="AJ49:AL49"/>
    <mergeCell ref="AS49:AU49"/>
    <mergeCell ref="AV49:AX49"/>
    <mergeCell ref="AY49:BA49"/>
    <mergeCell ref="AM49:AO49"/>
    <mergeCell ref="AP49:AR49"/>
    <mergeCell ref="E49:I49"/>
    <mergeCell ref="J49:P49"/>
    <mergeCell ref="Q49:W49"/>
    <mergeCell ref="X49:AD49"/>
    <mergeCell ref="AE49:AF49"/>
    <mergeCell ref="AG49:AI49"/>
    <mergeCell ref="A50:BQ50"/>
    <mergeCell ref="BH51:BJ51"/>
    <mergeCell ref="BK51:BQ51"/>
    <mergeCell ref="BK52:BQ52"/>
    <mergeCell ref="AG51:AI51"/>
    <mergeCell ref="AJ51:AL51"/>
    <mergeCell ref="AS51:AU51"/>
    <mergeCell ref="AV51:AX51"/>
    <mergeCell ref="AY51:BA51"/>
    <mergeCell ref="AM51:AO51"/>
    <mergeCell ref="AP51:AR51"/>
    <mergeCell ref="B49:D49"/>
    <mergeCell ref="B51:D51"/>
    <mergeCell ref="E51:I51"/>
    <mergeCell ref="J51:P51"/>
    <mergeCell ref="Q51:W51"/>
    <mergeCell ref="X51:AD51"/>
    <mergeCell ref="AE51:AF51"/>
    <mergeCell ref="B52:D52"/>
    <mergeCell ref="E52:I52"/>
    <mergeCell ref="J52:P52"/>
    <mergeCell ref="Q52:W52"/>
    <mergeCell ref="X52:AD52"/>
    <mergeCell ref="AE52:AF52"/>
    <mergeCell ref="AJ55:AL55"/>
    <mergeCell ref="AS55:AU55"/>
    <mergeCell ref="AY55:BA55"/>
    <mergeCell ref="AM55:AO55"/>
    <mergeCell ref="AP55:AR55"/>
    <mergeCell ref="BH55:BJ55"/>
    <mergeCell ref="BH53:BJ53"/>
    <mergeCell ref="BK53:BQ53"/>
    <mergeCell ref="AJ53:AL53"/>
    <mergeCell ref="AS53:AU53"/>
    <mergeCell ref="AY53:BA53"/>
    <mergeCell ref="AM53:AO53"/>
    <mergeCell ref="AP53:AR53"/>
    <mergeCell ref="B53:D53"/>
    <mergeCell ref="E53:I53"/>
    <mergeCell ref="J53:P53"/>
    <mergeCell ref="Q53:W53"/>
    <mergeCell ref="X53:AD53"/>
    <mergeCell ref="AE53:AF53"/>
    <mergeCell ref="BH54:BJ54"/>
    <mergeCell ref="BK54:BQ54"/>
    <mergeCell ref="BK55:BQ55"/>
    <mergeCell ref="AJ54:AL54"/>
    <mergeCell ref="AS54:AU54"/>
    <mergeCell ref="AY54:BA54"/>
    <mergeCell ref="AM54:AO54"/>
    <mergeCell ref="AP54:AR54"/>
    <mergeCell ref="B54:D54"/>
    <mergeCell ref="E54:I54"/>
    <mergeCell ref="J54:P54"/>
    <mergeCell ref="Q54:W54"/>
    <mergeCell ref="X54:AD54"/>
    <mergeCell ref="AE54:AF54"/>
    <mergeCell ref="B55:D55"/>
    <mergeCell ref="E55:I55"/>
    <mergeCell ref="J55:P55"/>
    <mergeCell ref="Q55:W55"/>
    <mergeCell ref="X55:AD55"/>
    <mergeCell ref="AE55:AF55"/>
    <mergeCell ref="BH56:BJ56"/>
    <mergeCell ref="BK56:BQ56"/>
    <mergeCell ref="AJ56:AL56"/>
    <mergeCell ref="AS56:AU56"/>
    <mergeCell ref="AY56:BA56"/>
    <mergeCell ref="AM56:AO56"/>
    <mergeCell ref="AP56:AR56"/>
    <mergeCell ref="B56:D56"/>
    <mergeCell ref="E56:I56"/>
    <mergeCell ref="J56:P56"/>
    <mergeCell ref="Q56:W56"/>
    <mergeCell ref="X56:AD56"/>
    <mergeCell ref="AE56:AF56"/>
    <mergeCell ref="BH57:BJ57"/>
    <mergeCell ref="BK57:BQ57"/>
    <mergeCell ref="BH59:BJ59"/>
    <mergeCell ref="BK59:BQ59"/>
    <mergeCell ref="AJ57:AL57"/>
    <mergeCell ref="AS57:AU57"/>
    <mergeCell ref="AY57:BA57"/>
    <mergeCell ref="AM57:AO57"/>
    <mergeCell ref="AP57:AR57"/>
    <mergeCell ref="E57:I57"/>
    <mergeCell ref="J57:P57"/>
    <mergeCell ref="Q57:W57"/>
    <mergeCell ref="X57:AD57"/>
    <mergeCell ref="AE57:AF57"/>
    <mergeCell ref="A58:BQ58"/>
    <mergeCell ref="B57:D57"/>
    <mergeCell ref="B59:D59"/>
    <mergeCell ref="E59:I59"/>
    <mergeCell ref="J59:P59"/>
    <mergeCell ref="Q59:W59"/>
    <mergeCell ref="X59:AD59"/>
    <mergeCell ref="AE59:AF59"/>
    <mergeCell ref="AJ59:AL59"/>
    <mergeCell ref="AS59:AU59"/>
    <mergeCell ref="AY59:BA59"/>
    <mergeCell ref="AM59:AO59"/>
    <mergeCell ref="AP59:AR59"/>
    <mergeCell ref="BE20:BG20"/>
    <mergeCell ref="BB20:BD20"/>
    <mergeCell ref="BE22:BG22"/>
    <mergeCell ref="BB22:BD22"/>
    <mergeCell ref="BE23:BG23"/>
    <mergeCell ref="BB23:BD23"/>
    <mergeCell ref="BE24:BG24"/>
    <mergeCell ref="BB24:BD24"/>
    <mergeCell ref="BE25:BG25"/>
    <mergeCell ref="BB25:BD25"/>
    <mergeCell ref="BE26:BG26"/>
    <mergeCell ref="BB26:BD26"/>
    <mergeCell ref="BE27:BG27"/>
    <mergeCell ref="BB27:BD27"/>
    <mergeCell ref="BE31:BG31"/>
    <mergeCell ref="BE32:BG32"/>
    <mergeCell ref="BE33:BG33"/>
    <mergeCell ref="BE19:BG19"/>
    <mergeCell ref="BB19:BD19"/>
    <mergeCell ref="BE28:BG28"/>
    <mergeCell ref="BB28:BD28"/>
    <mergeCell ref="BE29:BG29"/>
    <mergeCell ref="BB29:BD29"/>
    <mergeCell ref="BB31:BD31"/>
  </mergeCells>
  <dataValidations>
    <dataValidation type="list" allowBlank="1" sqref="F1">
      <formula1>"単体テスト,結合テスト,システムテスト"</formula1>
    </dataValidation>
    <dataValidation type="list" allowBlank="1" sqref="AG13:AG20 AV13:AV20 AG22:AG29 AV22:AV29 AG31:AG36 AV31:AV36 AG38:AG49 AV38:AV49 AG51:AG57 AV51:AV57 AG59:AG61 AV59:AV61">
      <formula1>"合格,不合格,未テスト,N/A"</formula1>
    </dataValidation>
    <dataValidation type="list" allowBlank="1" sqref="AE13:AE20 AE22:AE29 AE31:AE36 AE38:AE49 AE51:AE57 AE59:AE61">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2026-08-06T10:07:48Z</dcterms:created>
  <dc:creator>openpyxl</dc:creator>
</cp:coreProperties>
</file>