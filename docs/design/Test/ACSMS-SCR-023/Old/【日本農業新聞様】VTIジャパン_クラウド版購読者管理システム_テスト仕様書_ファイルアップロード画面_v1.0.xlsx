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7pzSSOr0dkMTugMLRV/Uzy8z517CrFasMG5CqyqCUMY="/>
    </ext>
  </extLst>
</workbook>
</file>

<file path=xl/sharedStrings.xml><?xml version="1.0" encoding="utf-8"?>
<sst xmlns="http://schemas.openxmlformats.org/spreadsheetml/2006/main" count="742" uniqueCount="509">
  <si>
    <t>項番</t>
  </si>
  <si>
    <t>&lt;単体/結合/システム&gt; テスト報告書</t>
  </si>
  <si>
    <t>システム・アプリケーション名</t>
  </si>
  <si>
    <t>発行日</t>
  </si>
  <si>
    <t>ドキュメント</t>
  </si>
  <si>
    <t>バージョン</t>
  </si>
  <si>
    <t>担当者</t>
  </si>
  <si>
    <t>シート名</t>
  </si>
  <si>
    <t>変更内容</t>
  </si>
  <si>
    <t>プロジェクト名</t>
  </si>
  <si>
    <t>作成日</t>
  </si>
  <si>
    <t>確認者</t>
  </si>
  <si>
    <t>承認者</t>
  </si>
  <si>
    <t>作成者</t>
  </si>
  <si>
    <t>クラウド版購読者管理システム</t>
  </si>
  <si>
    <t>更新日</t>
  </si>
  <si>
    <t>更新者</t>
  </si>
  <si>
    <t>2026-05-27</t>
  </si>
  <si>
    <t>プロジェクトマネージャ</t>
  </si>
  <si>
    <t>1.0</t>
  </si>
  <si>
    <t>Nguyen Huy Dat</t>
  </si>
  <si>
    <t>Kieu Thi Diem</t>
  </si>
  <si>
    <t>Tạo mới</t>
  </si>
  <si>
    <t>テスト仕様書</t>
  </si>
  <si>
    <t>概要</t>
  </si>
  <si>
    <t>2026/05/27</t>
  </si>
  <si>
    <t>ファイルアップロード画面</t>
  </si>
  <si>
    <t>#</t>
  </si>
  <si>
    <t>版1.0</t>
  </si>
  <si>
    <t>機能名</t>
  </si>
  <si>
    <t>テストケース分類</t>
  </si>
  <si>
    <t>フォーマットコード</t>
  </si>
  <si>
    <t>16-BM/PM/VTI</t>
  </si>
  <si>
    <t>フォーマットバージョン</t>
  </si>
  <si>
    <t>合計</t>
  </si>
  <si>
    <t>テスト結果</t>
  </si>
  <si>
    <t>正常</t>
  </si>
  <si>
    <t>異常</t>
  </si>
  <si>
    <t>1.システム概要</t>
  </si>
  <si>
    <t>境界</t>
  </si>
  <si>
    <t>Hệ thống này là hệ thống quản lý độc giả dạng cloud dành cho JA,</t>
  </si>
  <si>
    <t>合格</t>
  </si>
  <si>
    <t>不合格</t>
  </si>
  <si>
    <t>cung cấp các chức năng như quản lý thông tin người đăng ký, quản lý lịch sử đăng ký, quản lý dữ liệu chuyển khoản tự động.</t>
  </si>
  <si>
    <t>未テスト</t>
  </si>
  <si>
    <t>Các chức năng chính bao gồm đăng ký・cập nhật・tìm kiếm thông tin người đăng ký,</t>
  </si>
  <si>
    <t>quản lý lịch sử thay đổi nội dung đăng ký, tạo và quản lý dữ liệu chuyển khoản tự động,</t>
  </si>
  <si>
    <t>chức năng upload・download file, quản lý thông báo hệ thống.</t>
  </si>
  <si>
    <t>N/A</t>
  </si>
  <si>
    <t>Ngoài ra, hệ thống còn hỗ trợ các chức năng bảo mật・audit như quản lý đăng nhập của người dùng, ghi lại lịch sử đăng nhập,</t>
  </si>
  <si>
    <t>進捗（%）</t>
  </si>
  <si>
    <t>ghi lại log thao tác của người dùng.</t>
  </si>
  <si>
    <t>テスト1回目</t>
  </si>
  <si>
    <t>2.資料目的</t>
  </si>
  <si>
    <t>Đây là tài liệu mô tả chi tiết test specification được tạo mới trên hệ thống đối với "Màn hình Upload file (ACSMS-SCR-023)".</t>
  </si>
  <si>
    <t>機能</t>
  </si>
  <si>
    <t>Tài liệu này tham khảo ISTQB và IEEE 829, và phải đáp ứng các tiêu chuẩn chất lượng sau.</t>
  </si>
  <si>
    <t>- Mỗi test case được tạo dựa trên một kịch bản đơn lẻ (single responsibility).</t>
  </si>
  <si>
    <t>- Các bước được mô tả ở mức độ có thể tái hiện, và làm rõ dữ liệu test.</t>
  </si>
  <si>
    <t>- Kết quả mong đợi phải đo lường được (nội dung message, kết quả DB query, HTTP status code, v.v.).</t>
  </si>
  <si>
    <t>3.関連資料</t>
  </si>
  <si>
    <t>No</t>
  </si>
  <si>
    <t>資料コード</t>
  </si>
  <si>
    <t>資料名</t>
  </si>
  <si>
    <t>ACSMS-SCR-023</t>
  </si>
  <si>
    <t>Tài liệu thiết kế màn hình Upload file</t>
  </si>
  <si>
    <t>ACSMS-SCR-023-api</t>
  </si>
  <si>
    <t>Tài liệu thiết kế API Upload file</t>
  </si>
  <si>
    <t>testcase-viewpoints</t>
  </si>
  <si>
    <t>Danh sách quan điểm test chung toàn hệ thống</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</si>
  <si>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</si>
  <si>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</si>
  <si>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</si>
  <si>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</si>
  <si>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</si>
  <si>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</si>
  <si>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</si>
  <si>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</si>
  <si>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</si>
  <si>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</si>
  <si>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</si>
  <si>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</si>
  <si>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</si>
  <si>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</si>
  <si>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</si>
  <si>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</si>
  <si>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</si>
  <si>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</si>
  <si>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</si>
  <si>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</si>
  <si>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</si>
  <si>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</si>
  <si>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</si>
  <si>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</si>
  <si>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</si>
  <si>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</si>
  <si>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</si>
  <si>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</si>
  <si>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</si>
  <si>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</si>
  <si>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</si>
  <si>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</si>
  <si>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</si>
  <si>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</si>
  <si>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</si>
  <si>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</si>
  <si>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</si>
  <si>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</si>
  <si>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</si>
  <si>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</si>
  <si>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</si>
  <si>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</si>
  <si>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</si>
  <si>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</si>
  <si>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</si>
  <si>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</si>
  <si>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テストレベル</t>
  </si>
  <si>
    <t>結合テスト</t>
  </si>
  <si>
    <t>VP-B-03</t>
  </si>
  <si>
    <t>機能／モジュール</t>
  </si>
  <si>
    <t>形式正規表現（郵便／電話／コード）</t>
  </si>
  <si>
    <t>ACSMS-SCR-023_ファイルアップロード画面</t>
  </si>
  <si>
    <t>VP-B-04</t>
  </si>
  <si>
    <t>半角／全角ハンドリング</t>
  </si>
  <si>
    <t>VP-B-05</t>
  </si>
  <si>
    <t>日付ロジック</t>
  </si>
  <si>
    <t>約10日付付きフォーム</t>
  </si>
  <si>
    <t>確認日</t>
  </si>
  <si>
    <t>VP-B-06</t>
  </si>
  <si>
    <t>通貨／パーセント形式</t>
  </si>
  <si>
    <t>テスト環境</t>
  </si>
  <si>
    <t>Windows 10/11, Chrome, Edge</t>
  </si>
  <si>
    <t>2-3フォーム（単価）</t>
  </si>
  <si>
    <t>VP-B-07</t>
  </si>
  <si>
    <t>分類</t>
  </si>
  <si>
    <t>マスタコード（m_code）参照</t>
  </si>
  <si>
    <t>約15ドロップダウン付きフォーム</t>
  </si>
  <si>
    <t>回目</t>
  </si>
  <si>
    <t>VP-B-08</t>
  </si>
  <si>
    <t>キー重複（duplicate code）</t>
  </si>
  <si>
    <t>境界値</t>
  </si>
  <si>
    <t>約10マスタ</t>
  </si>
  <si>
    <t>VP-B-09</t>
  </si>
  <si>
    <t>IME・全角入力・貼付ハンドリング</t>
  </si>
  <si>
    <t>1回目</t>
  </si>
  <si>
    <t>全テキスト入力フォーム＋検索画面</t>
  </si>
  <si>
    <t>VP-C-01</t>
  </si>
  <si>
    <t>C. 業務ロジック</t>
  </si>
  <si>
    <t>CRUD 正常系 + DB 永続化</t>
  </si>
  <si>
    <t>VP-C-02</t>
  </si>
  <si>
    <t>同時編集競合</t>
  </si>
  <si>
    <t>約8編集画面</t>
  </si>
  <si>
    <t>2回目</t>
  </si>
  <si>
    <t>VP-C-03</t>
  </si>
  <si>
    <t>論理削除 + FK 関連</t>
  </si>
  <si>
    <t>約6関連付きマスタ</t>
  </si>
  <si>
    <t>VP-C-04</t>
  </si>
  <si>
    <t>税込／税抜計算</t>
  </si>
  <si>
    <t>単価マスタ</t>
  </si>
  <si>
    <t>VP-C-05</t>
  </si>
  <si>
    <t>要件ID</t>
  </si>
  <si>
    <t>購読者種別ルール（読み取り専用）</t>
  </si>
  <si>
    <t>説明</t>
  </si>
  <si>
    <t>購読者マスタ</t>
  </si>
  <si>
    <t>前提条件</t>
  </si>
  <si>
    <t>ステップ／手順</t>
  </si>
  <si>
    <t>VP-C-06</t>
  </si>
  <si>
    <t>期待結果／アウトプット</t>
  </si>
  <si>
    <t>種類</t>
  </si>
  <si>
    <t>Excel取込 部分成功</t>
  </si>
  <si>
    <t>テスト1回目の結果</t>
  </si>
  <si>
    <t>2取込画面</t>
  </si>
  <si>
    <t>テスト2回目の結果</t>
  </si>
  <si>
    <t>備考</t>
  </si>
  <si>
    <t>VP-C-07</t>
  </si>
  <si>
    <t>販売店一括置換</t>
  </si>
  <si>
    <t>結果</t>
  </si>
  <si>
    <t>一括置換</t>
  </si>
  <si>
    <t>実績／
アウトプット</t>
  </si>
  <si>
    <t>VP-C-08</t>
  </si>
  <si>
    <t>確認日付
（MM/DD）</t>
  </si>
  <si>
    <t>バグID</t>
  </si>
  <si>
    <t>レポート集計の正確性</t>
  </si>
  <si>
    <t>3レポート</t>
  </si>
  <si>
    <t>VP-D-01</t>
  </si>
  <si>
    <t>D. 統合・システム</t>
  </si>
  <si>
    <t>Kiểm soát quyền truy cập (Access Control)</t>
  </si>
  <si>
    <t>ログイン + MFA フロー</t>
  </si>
  <si>
    <t>SCR-001／002</t>
  </si>
  <si>
    <t>VP-D-02</t>
  </si>
  <si>
    <t>セッションスライディング 24h</t>
  </si>
  <si>
    <t>ACSMS-TC-023-001</t>
  </si>
  <si>
    <t>NICHINO_ADMIN được phép truy cập màn hình Upload file</t>
  </si>
  <si>
    <t>・role: NICHINO_ADMIN
・Đã đăng nhập + đã xác thực MFA
・Giữ quyền「file.upload」「file.download」</t>
  </si>
  <si>
    <t>VP-D-03</t>
  </si>
  <si>
    <t>パスワード再発行フロー</t>
  </si>
  <si>
    <r>
      <rPr>
        <rFont val="メイリオ"/>
        <b/>
        <color rgb="FF000000"/>
        <sz val="10.0"/>
      </rPr>
      <t xml:space="preserve">ステップ1：
</t>
    </r>
    <r>
      <rPr>
        <rFont val="メイリオ"/>
        <color rgb="FF000000"/>
        <sz val="10.0"/>
      </rPr>
      <t xml:space="preserve">Mở dashboard, xác nhận mục「ファイルアップロード」được hiển thị trên sidebar
</t>
    </r>
    <r>
      <rPr>
        <rFont val="メイリオ"/>
        <b/>
        <color rgb="FF000000"/>
        <sz val="10.0"/>
      </rPr>
      <t xml:space="preserve">ステップ2：
</t>
    </r>
    <r>
      <rPr>
        <rFont val="メイリオ"/>
        <color rgb="FF000000"/>
        <sz val="10.0"/>
      </rPr>
      <t xml:space="preserve">Click「ファイルアップロード」và chuyển sang URL `/file-upload`
</t>
    </r>
    <r>
      <rPr>
        <rFont val="メイリオ"/>
        <b/>
        <color rgb="FF000000"/>
        <sz val="10.0"/>
      </rPr>
      <t xml:space="preserve">ステップ3：
</t>
    </r>
    <r>
      <rPr>
        <rFont val="メイリオ"/>
        <color rgb="FF000000"/>
        <sz val="10.0"/>
      </rPr>
      <t>Xác nhận response của GET `/api/v1/file-upload` ở tab Network của DevTools</t>
    </r>
  </si>
  <si>
    <t>SCR-007</t>
  </si>
  <si>
    <r>
      <rPr>
        <rFont val="メイリオ"/>
        <b/>
        <color rgb="FF000000"/>
        <sz val="10.0"/>
      </rPr>
      <t xml:space="preserve">ステップ1：
</t>
    </r>
    <r>
      <rPr>
        <rFont val="メイリオ"/>
        <color rgb="FF000000"/>
        <sz val="10.0"/>
      </rPr>
      <t xml:space="preserve">Mục「ファイルアップロード」được hiển thị trên sidebar (do giữ quyền `file.upload`)
</t>
    </r>
    <r>
      <rPr>
        <rFont val="メイリオ"/>
        <b/>
        <color rgb="FF000000"/>
        <sz val="10.0"/>
      </rPr>
      <t xml:space="preserve">ステップ2：
</t>
    </r>
    <r>
      <rPr>
        <rFont val="メイリオ"/>
        <color rgb="FF000000"/>
        <sz val="10.0"/>
      </rPr>
      <t xml:space="preserve">Màn hình được hiển thị, và toast không được hiển thị
</t>
    </r>
    <r>
      <rPr>
        <rFont val="メイリオ"/>
        <b/>
        <color rgb="FF000000"/>
        <sz val="10.0"/>
      </rPr>
      <t xml:space="preserve">ステップ3：
</t>
    </r>
    <r>
      <rPr>
        <rFont val="メイリオ"/>
        <color rgb="FF000000"/>
        <sz val="10.0"/>
      </rPr>
      <t xml:space="preserve">Trả về HTTP 200, và danh sách file của toàn bộ JA được hiển thị (NICHINO_ADMIN có thể xem toàn bộ)
</t>
    </r>
    <r>
      <rPr>
        <rFont val="メイリオ"/>
        <b/>
        <color rgb="FF000000"/>
        <sz val="10.0"/>
      </rPr>
      <t xml:space="preserve">補足：
</t>
    </r>
    <r>
      <rPr>
        <rFont val="メイリオ"/>
        <color rgb="FF000000"/>
        <sz val="10.0"/>
      </rPr>
      <t>・Toàn bộ JA (JA code + JA name) được hiển thị trong select box JA đối tượng</t>
    </r>
  </si>
  <si>
    <t>N</t>
  </si>
  <si>
    <t>VP-D-04</t>
  </si>
  <si>
    <t>監査ログの完全性</t>
  </si>
  <si>
    <t>VP-D-05</t>
  </si>
  <si>
    <t>ファイルアップロード S3</t>
  </si>
  <si>
    <t>SCR-022</t>
  </si>
  <si>
    <t>VP-D-06</t>
  </si>
  <si>
    <t>ACSMS-TC-023-002</t>
  </si>
  <si>
    <t>メール通知</t>
  </si>
  <si>
    <t>NICHINO_STAFF được phép truy cập màn hình Upload file</t>
  </si>
  <si>
    <t>・role: NICHINO_STAFF
・Đã đăng nhập + đã xác thực MFA
・Giữ quyền「file.upload」「file.download」</t>
  </si>
  <si>
    <t>SCR-001／007／お知らせ</t>
  </si>
  <si>
    <r>
      <rPr>
        <rFont val="メイリオ"/>
        <b/>
        <color rgb="FF000000"/>
        <sz val="10.0"/>
      </rPr>
      <t xml:space="preserve">ステップ1：
</t>
    </r>
    <r>
      <rPr>
        <rFont val="メイリオ"/>
        <color rgb="FF000000"/>
        <sz val="10.0"/>
      </rPr>
      <t xml:space="preserve">Xác nhận mục「ファイルアップロード」được hiển thị trên sidebar
</t>
    </r>
    <r>
      <rPr>
        <rFont val="メイリオ"/>
        <b/>
        <color rgb="FF000000"/>
        <sz val="10.0"/>
      </rPr>
      <t xml:space="preserve">ステップ2：
</t>
    </r>
    <r>
      <rPr>
        <rFont val="メイリオ"/>
        <color rgb="FF000000"/>
        <sz val="10.0"/>
      </rPr>
      <t xml:space="preserve">Chuyển sang URL `/file-upload`
</t>
    </r>
    <r>
      <rPr>
        <rFont val="メイリオ"/>
        <b/>
        <color rgb="FF000000"/>
        <sz val="10.0"/>
      </rPr>
      <t xml:space="preserve">ステップ3：
</t>
    </r>
    <r>
      <rPr>
        <rFont val="メイリオ"/>
        <color rgb="FF000000"/>
        <sz val="10.0"/>
      </rPr>
      <t>Xác nhận response của GET `/api/v1/file-upload`</t>
    </r>
  </si>
  <si>
    <t>VP-D-07</t>
  </si>
  <si>
    <t>外部 CSV 形式準拠</t>
  </si>
  <si>
    <r>
      <rPr>
        <rFont val="メイリオ"/>
        <b/>
        <color rgb="FF000000"/>
        <sz val="10.0"/>
      </rPr>
      <t xml:space="preserve">ステップ1：
</t>
    </r>
    <r>
      <rPr>
        <rFont val="メイリオ"/>
        <color rgb="FF000000"/>
        <sz val="10.0"/>
      </rPr>
      <t xml:space="preserve">Mục「ファイルアップロード」được hiển thị trên sidebar
</t>
    </r>
    <r>
      <rPr>
        <rFont val="メイリオ"/>
        <b/>
        <color rgb="FF000000"/>
        <sz val="10.0"/>
      </rPr>
      <t xml:space="preserve">ステップ2：
</t>
    </r>
    <r>
      <rPr>
        <rFont val="メイリオ"/>
        <color rgb="FF000000"/>
        <sz val="10.0"/>
      </rPr>
      <t xml:space="preserve">Màn hình được hiển thị, và toast không được hiển thị
</t>
    </r>
    <r>
      <rPr>
        <rFont val="メイリオ"/>
        <b/>
        <color rgb="FF000000"/>
        <sz val="10.0"/>
      </rPr>
      <t xml:space="preserve">ステップ3：
</t>
    </r>
    <r>
      <rPr>
        <rFont val="メイリオ"/>
        <color rgb="FF000000"/>
        <sz val="10.0"/>
      </rPr>
      <t>Trả về HTTP 200, và danh sách file của toàn bộ JA được hiển thị (NICHINO_STAFF có thể xem toàn bộ)</t>
    </r>
  </si>
  <si>
    <t>SCR-008／009</t>
  </si>
  <si>
    <t>VP-D-08</t>
  </si>
  <si>
    <t>ネットワーク／500／タイムアウト</t>
  </si>
  <si>
    <t>ACSMS-TC-023-003</t>
  </si>
  <si>
    <t>VP-D-09</t>
  </si>
  <si>
    <t>CHUOKAI được phép truy cập màn hình Upload file (scope chuokai của mình)</t>
  </si>
  <si>
    <t>・role: CHUOKAI
・Đã đăng nhập + đã xác thực MFA
・Giữ quyền「file.upload」「file.download」</t>
  </si>
  <si>
    <t>パスワード再発行 旧token無効化＋クールダウン</t>
  </si>
  <si>
    <r>
      <rPr>
        <rFont val="メイリオ"/>
        <b/>
        <color rgb="FF000000"/>
        <sz val="10.0"/>
      </rPr>
      <t xml:space="preserve">ステップ1：
</t>
    </r>
    <r>
      <rPr>
        <rFont val="メイリオ"/>
        <color rgb="FF000000"/>
        <sz val="10.0"/>
      </rPr>
      <t xml:space="preserve">Xác nhận mục「ファイルアップロード」được hiển thị trên sidebar
</t>
    </r>
    <r>
      <rPr>
        <rFont val="メイリオ"/>
        <b/>
        <color rgb="FF000000"/>
        <sz val="10.0"/>
      </rPr>
      <t xml:space="preserve">ステップ2：
</t>
    </r>
    <r>
      <rPr>
        <rFont val="メイリオ"/>
        <color rgb="FF000000"/>
        <sz val="10.0"/>
      </rPr>
      <t xml:space="preserve">Chuyển sang URL `/file-upload`
</t>
    </r>
    <r>
      <rPr>
        <rFont val="メイリオ"/>
        <b/>
        <color rgb="FF000000"/>
        <sz val="10.0"/>
      </rPr>
      <t xml:space="preserve">ステップ3：
</t>
    </r>
    <r>
      <rPr>
        <rFont val="メイリオ"/>
        <color rgb="FF000000"/>
        <sz val="10.0"/>
      </rPr>
      <t>Xác nhận response của GET `/api/v1/file-upload`</t>
    </r>
  </si>
  <si>
    <r>
      <rPr>
        <rFont val="メイリオ"/>
        <b/>
        <color rgb="FF000000"/>
        <sz val="10.0"/>
      </rPr>
      <t xml:space="preserve">ステップ1：
</t>
    </r>
    <r>
      <rPr>
        <rFont val="メイリオ"/>
        <color rgb="FF000000"/>
        <sz val="10.0"/>
      </rPr>
      <t xml:space="preserve">Mục「ファイルアップロード」được hiển thị trên sidebar
</t>
    </r>
    <r>
      <rPr>
        <rFont val="メイリオ"/>
        <b/>
        <color rgb="FF000000"/>
        <sz val="10.0"/>
      </rPr>
      <t xml:space="preserve">ステップ2：
</t>
    </r>
    <r>
      <rPr>
        <rFont val="メイリオ"/>
        <color rgb="FF000000"/>
        <sz val="10.0"/>
      </rPr>
      <t xml:space="preserve">Màn hình được hiển thị, và toast không được hiển thị
</t>
    </r>
    <r>
      <rPr>
        <rFont val="メイリオ"/>
        <b/>
        <color rgb="FF000000"/>
        <sz val="10.0"/>
      </rPr>
      <t xml:space="preserve">ステップ3：
</t>
    </r>
    <r>
      <rPr>
        <rFont val="メイリオ"/>
        <color rgb="FF000000"/>
        <sz val="10.0"/>
      </rPr>
      <t>Trả về HTTP 200, và chỉ file của chuokai mình + JA quản hạt được hiển thị (DataScope: chuokai mình + JA quản hạt)</t>
    </r>
  </si>
  <si>
    <t>VP-E-01</t>
  </si>
  <si>
    <t>E. 非機能・ユーザビリティ</t>
  </si>
  <si>
    <t>レイアウト／デザイントークン</t>
  </si>
  <si>
    <t>低</t>
  </si>
  <si>
    <t>全画面</t>
  </si>
  <si>
    <t>VP-E-02</t>
  </si>
  <si>
    <t>ACSMS-TC-023-004</t>
  </si>
  <si>
    <t>レスポンシブ（モバイル／タブレット）</t>
  </si>
  <si>
    <t>JA_HONTEN được phép truy cập màn hình Upload file (scope JA của mình)</t>
  </si>
  <si>
    <t>・role: JA_HONTEN
・Đã đăng nhập + đã xác thực MFA
・Giữ quyền「file.upload」「file.download」</t>
  </si>
  <si>
    <r>
      <rPr>
        <rFont val="メイリオ"/>
        <b/>
        <color rgb="FF000000"/>
        <sz val="10.0"/>
      </rPr>
      <t xml:space="preserve">ステップ1：
</t>
    </r>
    <r>
      <rPr>
        <rFont val="メイリオ"/>
        <color rgb="FF000000"/>
        <sz val="10.0"/>
      </rPr>
      <t xml:space="preserve">Xác nhận mục「ファイルアップロード」được hiển thị trên sidebar
</t>
    </r>
    <r>
      <rPr>
        <rFont val="メイリオ"/>
        <b/>
        <color rgb="FF000000"/>
        <sz val="10.0"/>
      </rPr>
      <t xml:space="preserve">ステップ2：
</t>
    </r>
    <r>
      <rPr>
        <rFont val="メイリオ"/>
        <color rgb="FF000000"/>
        <sz val="10.0"/>
      </rPr>
      <t xml:space="preserve">Chuyển sang URL `/file-upload`
</t>
    </r>
    <r>
      <rPr>
        <rFont val="メイリオ"/>
        <b/>
        <color rgb="FF000000"/>
        <sz val="10.0"/>
      </rPr>
      <t xml:space="preserve">ステップ3：
</t>
    </r>
    <r>
      <rPr>
        <rFont val="メイリオ"/>
        <color rgb="FF000000"/>
        <sz val="10.0"/>
      </rPr>
      <t>Xác nhận response của GET `/api/v1/file-upload`</t>
    </r>
  </si>
  <si>
    <t>VP-E-03</t>
  </si>
  <si>
    <r>
      <rPr>
        <rFont val="メイリオ"/>
        <b/>
        <color rgb="FF000000"/>
        <sz val="10.0"/>
      </rPr>
      <t xml:space="preserve">ステップ1：
</t>
    </r>
    <r>
      <rPr>
        <rFont val="メイリオ"/>
        <color rgb="FF000000"/>
        <sz val="10.0"/>
      </rPr>
      <t xml:space="preserve">Mục「ファイルアップロード」được hiển thị trên sidebar
</t>
    </r>
    <r>
      <rPr>
        <rFont val="メイリオ"/>
        <b/>
        <color rgb="FF000000"/>
        <sz val="10.0"/>
      </rPr>
      <t xml:space="preserve">ステップ2：
</t>
    </r>
    <r>
      <rPr>
        <rFont val="メイリオ"/>
        <color rgb="FF000000"/>
        <sz val="10.0"/>
      </rPr>
      <t xml:space="preserve">Màn hình được hiển thị, và toast không được hiển thị
</t>
    </r>
    <r>
      <rPr>
        <rFont val="メイリオ"/>
        <b/>
        <color rgb="FF000000"/>
        <sz val="10.0"/>
      </rPr>
      <t xml:space="preserve">ステップ3：
</t>
    </r>
    <r>
      <rPr>
        <rFont val="メイリオ"/>
        <color rgb="FF000000"/>
        <sz val="10.0"/>
      </rPr>
      <t>Trả về HTTP 200, và chỉ file của JA mình được hiển thị (DataScope: `ja_id = user.ja_id`)</t>
    </r>
  </si>
  <si>
    <t>キーボード操作</t>
  </si>
  <si>
    <t>VP-E-04</t>
  </si>
  <si>
    <t>ブラウザ互換性</t>
  </si>
  <si>
    <t>VP-E-05</t>
  </si>
  <si>
    <t>ACSMS-TC-023-005</t>
  </si>
  <si>
    <t>JA_KANRI_SHITEN được phép truy cập màn hình Upload file (scope JA của mình)</t>
  </si>
  <si>
    <t>・role: JA_KANRI_SHITEN
・Đã đăng nhập + đã xác thực MFA
・Giữ quyền「file.upload」「file.download」</t>
  </si>
  <si>
    <t>マルチタブセッション同期</t>
  </si>
  <si>
    <r>
      <rPr>
        <rFont val="メイリオ"/>
        <b/>
        <color rgb="FF000000"/>
        <sz val="10.0"/>
      </rPr>
      <t xml:space="preserve">ステップ1：
</t>
    </r>
    <r>
      <rPr>
        <rFont val="メイリオ"/>
        <color rgb="FF000000"/>
        <sz val="10.0"/>
      </rPr>
      <t xml:space="preserve">Xác nhận mục「ファイルアップロード」được hiển thị trên sidebar
</t>
    </r>
    <r>
      <rPr>
        <rFont val="メイリオ"/>
        <b/>
        <color rgb="FF000000"/>
        <sz val="10.0"/>
      </rPr>
      <t xml:space="preserve">ステップ2：
</t>
    </r>
    <r>
      <rPr>
        <rFont val="メイリオ"/>
        <color rgb="FF000000"/>
        <sz val="10.0"/>
      </rPr>
      <t xml:space="preserve">Chuyển sang URL `/file-upload`
</t>
    </r>
    <r>
      <rPr>
        <rFont val="メイリオ"/>
        <b/>
        <color rgb="FF000000"/>
        <sz val="10.0"/>
      </rPr>
      <t xml:space="preserve">ステップ3：
</t>
    </r>
    <r>
      <rPr>
        <rFont val="メイリオ"/>
        <color rgb="FF000000"/>
        <sz val="10.0"/>
      </rPr>
      <t>Xác nhận response của GET `/api/v1/file-upload`</t>
    </r>
  </si>
  <si>
    <t>VP-E-07</t>
  </si>
  <si>
    <r>
      <rPr>
        <rFont val="メイリオ"/>
        <b/>
        <color rgb="FF000000"/>
        <sz val="10.0"/>
      </rPr>
      <t xml:space="preserve">ステップ1：
</t>
    </r>
    <r>
      <rPr>
        <rFont val="メイリオ"/>
        <color rgb="FF000000"/>
        <sz val="10.0"/>
      </rPr>
      <t xml:space="preserve">Mục「ファイルアップロード」được hiển thị trên sidebar
</t>
    </r>
    <r>
      <rPr>
        <rFont val="メイリオ"/>
        <b/>
        <color rgb="FF000000"/>
        <sz val="10.0"/>
      </rPr>
      <t xml:space="preserve">ステップ2：
</t>
    </r>
    <r>
      <rPr>
        <rFont val="メイリオ"/>
        <color rgb="FF000000"/>
        <sz val="10.0"/>
      </rPr>
      <t xml:space="preserve">Màn hình được hiển thị, và toast không được hiển thị
</t>
    </r>
    <r>
      <rPr>
        <rFont val="メイリオ"/>
        <b/>
        <color rgb="FF000000"/>
        <sz val="10.0"/>
      </rPr>
      <t xml:space="preserve">ステップ3：
</t>
    </r>
    <r>
      <rPr>
        <rFont val="メイリオ"/>
        <color rgb="FF000000"/>
        <sz val="10.0"/>
      </rPr>
      <t>Trả về HTTP 200, và chỉ file của JA mình được hiển thị (DataScope: `ja_id = user.ja_id`)</t>
    </r>
  </si>
  <si>
    <t>未保存変更ガード・ブラウザ離脱</t>
  </si>
  <si>
    <t>全 CRUD 編集フォーム</t>
  </si>
  <si>
    <t>VP-F-01</t>
  </si>
  <si>
    <t>F. 性能</t>
  </si>
  <si>
    <t>性能ベンチマーク</t>
  </si>
  <si>
    <t>全画面パフォーマンス計測対象</t>
  </si>
  <si>
    <t>VP-F-02</t>
  </si>
  <si>
    <t>ACSMS-TC-023-006</t>
  </si>
  <si>
    <t>Vi phạm DataScope: JA_HONTEN download file của JA khác</t>
  </si>
  <si>
    <t>大量データ表示性能</t>
  </si>
  <si>
    <t>・role: JA_HONTEN（ja_id = 12345）
・Đã đăng nhập + đã xác thực MFA
・Tồn tại file của JA khác（ja_id = 67890）（`file_upload_id = 202`）</t>
  </si>
  <si>
    <t>一覧／レポート画面</t>
  </si>
  <si>
    <r>
      <rPr>
        <rFont val="メイリオ"/>
        <b/>
        <color rgb="FF000000"/>
        <sz val="10.0"/>
      </rPr>
      <t xml:space="preserve">ステップ1：
</t>
    </r>
    <r>
      <rPr>
        <rFont val="メイリオ"/>
        <color rgb="FF000000"/>
        <sz val="10.0"/>
      </rPr>
      <t xml:space="preserve">Gửi trực tiếp GET `/api/v1/file-upload/202/download` bằng DevTools (file ngoài scope JA của mình)
</t>
    </r>
    <r>
      <rPr>
        <rFont val="メイリオ"/>
        <b/>
        <color rgb="FF000000"/>
        <sz val="10.0"/>
      </rPr>
      <t xml:space="preserve">ステップ2：
</t>
    </r>
    <r>
      <rPr>
        <rFont val="メイリオ"/>
        <color rgb="FF000000"/>
        <sz val="10.0"/>
      </rPr>
      <t>Xác nhận DB: `SELECT * FROM t_log WHERE result_status = 2 AND target_table = 't_file_upload' ORDER BY log_datetime DESC LIMIT 1`</t>
    </r>
  </si>
  <si>
    <r>
      <rPr>
        <rFont val="メイリオ"/>
        <b/>
        <color rgb="FF000000"/>
        <sz val="10.0"/>
      </rPr>
      <t xml:space="preserve">ステップ1：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ステップ2：
</t>
    </r>
    <r>
      <rPr>
        <rFont val="メイリオ"/>
        <color rgb="FF000000"/>
        <sz val="10.0"/>
      </rPr>
      <t xml:space="preserve">・Có từ 1 error log trở lên được record
</t>
    </r>
    <r>
      <rPr>
        <rFont val="メイリオ"/>
        <color rgb="FF000000"/>
        <sz val="10.0"/>
      </rPr>
      <t xml:space="preserve">・Binary của file không được trả về trong response
</t>
    </r>
    <r>
      <rPr>
        <rFont val="メイリオ"/>
        <b/>
        <color rgb="FF000000"/>
        <sz val="10.0"/>
      </rPr>
      <t xml:space="preserve">補足：
</t>
    </r>
    <r>
      <rPr>
        <rFont val="メイリオ"/>
        <color rgb="FF000000"/>
        <sz val="10.0"/>
      </rPr>
      <t>・Truy cập dữ liệu ngoài scope bị chặn bởi guard của BE API</t>
    </r>
  </si>
  <si>
    <t>A</t>
  </si>
  <si>
    <t>2. 観点ID 命名規約・グループ凡例</t>
  </si>
  <si>
    <t>Critical — khi fail nghĩa là rò rỉ dữ liệu JA khác, xử lý như sự cố bảo mật.</t>
  </si>
  <si>
    <t>グループ</t>
  </si>
  <si>
    <t>接頭辞</t>
  </si>
  <si>
    <t>ACSMS-TC-023-007</t>
  </si>
  <si>
    <t>名称</t>
  </si>
  <si>
    <t>Tấn công trực tiếp URL: JA_HONTEN chỉ định ID của JA khác để upload</t>
  </si>
  <si>
    <t>観点数</t>
  </si>
  <si>
    <t>・role: JA_HONTEN（ja_id = 12345）
・Đã đăng nhập + đã xác thực MFA</t>
  </si>
  <si>
    <t>リスク傾向</t>
  </si>
  <si>
    <t>代表的なテスト観点</t>
  </si>
  <si>
    <r>
      <rPr>
        <rFont val="メイリオ"/>
        <b/>
        <color rgb="FF000000"/>
        <sz val="10.0"/>
      </rPr>
      <t xml:space="preserve">ステップ1：
</t>
    </r>
    <r>
      <rPr>
        <rFont val="メイリオ"/>
        <color rgb="FF000000"/>
        <sz val="10.0"/>
      </rPr>
      <t xml:space="preserve">Gửi trực tiếp POST `/api/v1/file-upload` bằng multipart/form-data qua DevTools. Chỉ định `ja_ids[]=67890`（ngoài scope JA của mình）+ 1 file hợp lệ
</t>
    </r>
    <r>
      <rPr>
        <rFont val="メイリオ"/>
        <b/>
        <color rgb="FF000000"/>
        <sz val="10.0"/>
      </rPr>
      <t xml:space="preserve">ステップ2：
</t>
    </r>
    <r>
      <rPr>
        <rFont val="メイリオ"/>
        <color rgb="FF000000"/>
        <sz val="10.0"/>
      </rPr>
      <t>Xác nhận DB: `SELECT COUNT(*) FROM t_file_upload WHERE ja_id = 67890 AND deleted_at IS NULL`（so sánh số lượng trước và sau khi gửi）</t>
    </r>
  </si>
  <si>
    <r>
      <rPr>
        <rFont val="メイリオ"/>
        <b/>
        <color rgb="FF000000"/>
        <sz val="10.0"/>
      </rPr>
      <t xml:space="preserve">ステップ1：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ステップ2：
</t>
    </r>
    <r>
      <rPr>
        <rFont val="メイリオ"/>
        <color rgb="FF000000"/>
        <sz val="10.0"/>
      </rPr>
      <t xml:space="preserve">・Record mới hướng tới JA khác（ja_id=67890）không được đăng ký vào `t_file_upload`
</t>
    </r>
    <r>
      <rPr>
        <rFont val="メイリオ"/>
        <color rgb="FF000000"/>
        <sz val="10.0"/>
      </rPr>
      <t xml:space="preserve">・File vật lý không được lưu vào storage
</t>
    </r>
    <r>
      <rPr>
        <rFont val="メイリオ"/>
        <b/>
        <color rgb="FF000000"/>
        <sz val="10.0"/>
      </rPr>
      <t xml:space="preserve">補足：
</t>
    </r>
    <r>
      <rPr>
        <rFont val="メイリオ"/>
        <color rgb="FF000000"/>
        <sz val="10.0"/>
      </rPr>
      <t>・ja_ids trong request body được validate bằng DataScope phía server, và ID ngoài scope bị từ chối</t>
    </r>
  </si>
  <si>
    <t>VP-A-NN</t>
  </si>
  <si>
    <t>セキュリティ・権限</t>
  </si>
  <si>
    <t>RBAC、DataScope、項目レベル制限、URL直接攻撃、セッション失効、XSS、CSRF、レート制限、アカウントロック、SQL注入</t>
  </si>
  <si>
    <t>Critical — khi fail nghĩa là ghi dữ liệu trái phép vào JA khác.
---</t>
  </si>
  <si>
    <t>Hiển thị màn hình &amp; Responsive (Layout &amp; Responsive)</t>
  </si>
  <si>
    <t>B</t>
  </si>
  <si>
    <t>VP-B-NN</t>
  </si>
  <si>
    <t>データバリデーション</t>
  </si>
  <si>
    <t>必須／長さ／形式／半角全角／日付／通貨／m_code／重複キー／IME・貼付ハンドリング</t>
  </si>
  <si>
    <t>C</t>
  </si>
  <si>
    <t>VP-C-NN</t>
  </si>
  <si>
    <t>ACSMS-TC-023-008</t>
  </si>
  <si>
    <t>業務ロジック</t>
  </si>
  <si>
    <t>Hiển thị màn hình ban đầu (toàn bộ mục trống)</t>
  </si>
  <si>
    <t>・role: NICHINO_ADMIN
・Đã đăng nhập + đã xác thực MFA</t>
  </si>
  <si>
    <t>CRUD 永続化、同時編集競合、論理削除＋FK、税計算、購読者ルール、Excel 取込、レポート集計</t>
  </si>
  <si>
    <r>
      <rPr>
        <rFont val="メイリオ"/>
        <b/>
        <color rgb="FF000000"/>
        <sz val="10.0"/>
      </rPr>
      <t xml:space="preserve">ステップ1：
</t>
    </r>
    <r>
      <rPr>
        <rFont val="メイリオ"/>
        <color rgb="FF000000"/>
        <sz val="10.0"/>
      </rPr>
      <t>Chuyển sang URL `/file-upload` và hiển thị màn hình</t>
    </r>
  </si>
  <si>
    <r>
      <rPr>
        <rFont val="メイリオ"/>
        <b/>
        <color rgb="FF000000"/>
        <sz val="10.0"/>
      </rPr>
      <t xml:space="preserve">ステップ1：
</t>
    </r>
    <r>
      <rPr>
        <rFont val="メイリオ"/>
        <color rgb="FF000000"/>
        <sz val="10.0"/>
      </rPr>
      <t xml:space="preserve">・Màn hình được hiển thị
</t>
    </r>
    <r>
      <rPr>
        <rFont val="メイリオ"/>
        <color rgb="FF000000"/>
        <sz val="10.0"/>
      </rPr>
      <t xml:space="preserve">・Các mục nhập JA đối tượng, chọn file, ngày dự định xóa được hiển thị ở trạng thái ban đầu (trống/chưa chọn)
</t>
    </r>
    <r>
      <rPr>
        <rFont val="メイリオ"/>
        <color rgb="FF000000"/>
        <sz val="10.0"/>
      </rPr>
      <t>・Không vỡ layout</t>
    </r>
  </si>
  <si>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</si>
  <si>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</si>
  <si>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</si>
  <si>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</si>
  <si>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</si>
  <si>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</si>
  <si>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</si>
  <si>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</si>
  <si>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</si>
  <si>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ACSMS-TC-023-009</t>
  </si>
  <si>
    <t>Hiển thị khu vực chọn JA đối tượng</t>
  </si>
  <si>
    <t>F</t>
  </si>
  <si>
    <t>VP-F-NN</t>
  </si>
  <si>
    <t>性能</t>
  </si>
  <si>
    <r>
      <rPr>
        <rFont val="メイリオ"/>
        <b/>
        <color rgb="FF000000"/>
        <sz val="10.0"/>
      </rPr>
      <t xml:space="preserve">ステップ1：
</t>
    </r>
    <r>
      <rPr>
        <rFont val="メイリオ"/>
        <color rgb="FF000000"/>
        <sz val="10.0"/>
      </rPr>
      <t xml:space="preserve">Xác nhận khu vực「対象JA選択」trên màn hình
</t>
    </r>
    <r>
      <rPr>
        <rFont val="メイリオ"/>
        <b/>
        <color rgb="FF000000"/>
        <sz val="10.0"/>
      </rPr>
      <t xml:space="preserve">ステップ2：
</t>
    </r>
    <r>
      <rPr>
        <rFont val="メイリオ"/>
        <color rgb="FF000000"/>
        <sz val="10.0"/>
      </rPr>
      <t>Click select box「都道府県コード」, tiếp theo xác nhận select box「対象JA」</t>
    </r>
  </si>
  <si>
    <t>性能ベンチマーク、大量データ表示性能</t>
  </si>
  <si>
    <r>
      <rPr>
        <rFont val="メイリオ"/>
        <b/>
        <color rgb="FF000000"/>
        <sz val="10.0"/>
      </rPr>
      <t xml:space="preserve">ステップ1：
</t>
    </r>
    <r>
      <rPr>
        <rFont val="メイリオ"/>
        <color rgb="FF000000"/>
        <sz val="10.0"/>
      </rPr>
      <t xml:space="preserve">・Các select box「都道府県コード」「都道府県名」「対象JA」, button「追加」, button「削除」được hiển thị
</t>
    </r>
    <r>
      <rPr>
        <rFont val="メイリオ"/>
        <color rgb="FF000000"/>
        <sz val="10.0"/>
      </rPr>
      <t xml:space="preserve">・「都道府県名」được hiển thị ở dạng read-only
</t>
    </r>
    <r>
      <rPr>
        <rFont val="メイリオ"/>
        <b/>
        <color rgb="FF000000"/>
        <sz val="10.0"/>
      </rPr>
      <t xml:space="preserve">ステップ2：
</t>
    </r>
    <r>
      <rPr>
        <rFont val="メイリオ"/>
        <color rgb="FF000000"/>
        <sz val="10.0"/>
      </rPr>
      <t xml:space="preserve">・Danh sách JA code + JA name được hiển thị trong select box「対象JA」
</t>
    </r>
    <r>
      <rPr>
        <rFont val="メイリオ"/>
        <color rgb="FF000000"/>
        <sz val="10.0"/>
      </rPr>
      <t>・Có thể tìm kiếm trong select box「対象JA」</t>
    </r>
  </si>
  <si>
    <t>命名規約：VP-{グループ記号}-{NN} 形式（NN はグループ内の2桁連番）。新規観点は同グループの末尾に追加する（例：VP-A-11）。グループ記号はリスク軸による分類で、JSTQB FL の品質特性区分に準拠する。</t>
  </si>
  <si>
    <t>ACSMS-TC-023-010</t>
  </si>
  <si>
    <t>Hiển thị khu vực chọn file</t>
  </si>
  <si>
    <r>
      <rPr>
        <rFont val="メイリオ"/>
        <b/>
        <color rgb="FF000000"/>
        <sz val="10.0"/>
      </rPr>
      <t xml:space="preserve">ステップ1：
</t>
    </r>
    <r>
      <rPr>
        <rFont val="メイリオ"/>
        <color rgb="FF000000"/>
        <sz val="10.0"/>
      </rPr>
      <t xml:space="preserve">Xác nhận khu vực「ファイル選択」trên màn hình
</t>
    </r>
    <r>
      <rPr>
        <rFont val="メイリオ"/>
        <b/>
        <color rgb="FF000000"/>
        <sz val="10.0"/>
      </rPr>
      <t xml:space="preserve">ステップ2：
</t>
    </r>
    <r>
      <rPr>
        <rFont val="メイリオ"/>
        <color rgb="FF000000"/>
        <sz val="10.0"/>
      </rPr>
      <t>Sau khi chọn 1 file, xác nhận mục「削除予定日」</t>
    </r>
  </si>
  <si>
    <r>
      <rPr>
        <rFont val="メイリオ"/>
        <b/>
        <color rgb="FF000000"/>
        <sz val="10.0"/>
      </rPr>
      <t xml:space="preserve">ステップ1：
</t>
    </r>
    <r>
      <rPr>
        <rFont val="メイリオ"/>
        <color rgb="FF000000"/>
        <sz val="10.0"/>
      </rPr>
      <t xml:space="preserve">・Khu vực chọn file hỗ trợ drag and drop và button「参照」được hiển thị
</t>
    </r>
    <r>
      <rPr>
        <rFont val="メイリオ"/>
        <b/>
        <color rgb="FF000000"/>
        <sz val="10.0"/>
      </rPr>
      <t xml:space="preserve">ステップ2：
</t>
    </r>
    <r>
      <rPr>
        <rFont val="メイリオ"/>
        <color rgb="FF000000"/>
        <sz val="10.0"/>
      </rPr>
      <t xml:space="preserve">・「削除予定日」được hiển thị dưới dạng mục nhập calendar
</t>
    </r>
    <r>
      <rPr>
        <rFont val="メイリオ"/>
        <color rgb="FF000000"/>
        <sz val="10.0"/>
      </rPr>
      <t>・File đã chọn được hiển thị trong danh sách theo định dạng「tên file + size」</t>
    </r>
  </si>
  <si>
    <t>ACSMS-TC-023-011</t>
  </si>
  <si>
    <t>Hiển thị action button</t>
  </si>
  <si>
    <r>
      <rPr>
        <rFont val="メイリオ"/>
        <b/>
        <color rgb="FF000000"/>
        <sz val="10.0"/>
      </rPr>
      <t xml:space="preserve">ステップ1：
</t>
    </r>
    <r>
      <rPr>
        <rFont val="メイリオ"/>
        <color rgb="FF000000"/>
        <sz val="10.0"/>
      </rPr>
      <t>Xác nhận khu vực action button ở phía dưới màn hình</t>
    </r>
  </si>
  <si>
    <r>
      <rPr>
        <rFont val="メイリオ"/>
        <b/>
        <color rgb="FF000000"/>
        <sz val="10.0"/>
      </rPr>
      <t xml:space="preserve">ステップ1：
</t>
    </r>
    <r>
      <rPr>
        <rFont val="メイリオ"/>
        <color rgb="FF000000"/>
        <sz val="10.0"/>
      </rPr>
      <t>・Button「アップロード実行」và button「クリア」được hiển thị</t>
    </r>
  </si>
  <si>
    <t>ACSMS-TC-023-012</t>
  </si>
  <si>
    <t>Hiển thị bảng danh sách file đã upload</t>
  </si>
  <si>
    <t>・role: NICHINO_ADMIN
・Đã đăng nhập + đã xác thực MFA
・Tồn tại nhiều file đã upload (mỗi loại từ 1 row trở lên: row có `deleted_at` NULL và row có `deleted_at` NOT NULL)</t>
  </si>
  <si>
    <r>
      <rPr>
        <rFont val="メイリオ"/>
        <b/>
        <color rgb="FF000000"/>
        <sz val="10.0"/>
      </rPr>
      <t xml:space="preserve">ステップ1：
</t>
    </r>
    <r>
      <rPr>
        <rFont val="メイリオ"/>
        <color rgb="FF000000"/>
        <sz val="10.0"/>
      </rPr>
      <t xml:space="preserve">Xác nhận bảng「アップロードされたファイルリスト」ở phía dưới màn hình
</t>
    </r>
    <r>
      <rPr>
        <rFont val="メイリオ"/>
        <b/>
        <color rgb="FF000000"/>
        <sz val="10.0"/>
      </rPr>
      <t xml:space="preserve">ステップ2：
</t>
    </r>
    <r>
      <rPr>
        <rFont val="メイリオ"/>
        <color rgb="FF000000"/>
        <sz val="10.0"/>
      </rPr>
      <t>Xác nhận trạng thái của cột「通知ステータス」và button「削除」của từng row</t>
    </r>
  </si>
  <si>
    <r>
      <rPr>
        <rFont val="メイリオ"/>
        <b/>
        <color rgb="FF000000"/>
        <sz val="10.0"/>
      </rPr>
      <t xml:space="preserve">ステップ1：
</t>
    </r>
    <r>
      <rPr>
        <rFont val="メイリオ"/>
        <color rgb="FF000000"/>
        <sz val="10.0"/>
      </rPr>
      <t xml:space="preserve">・Các cột「ファイル名」「サイズ」「通知ステータス」「削除予定日」「削除日」「操作（削除ボタン）」được hiển thị
</t>
    </r>
    <r>
      <rPr>
        <rFont val="メイリオ"/>
        <color rgb="FF000000"/>
        <sz val="10.0"/>
      </rPr>
      <t xml:space="preserve">・Cột「削除日」hiển thị「-」khi `deleted_at` là NULL, hiển thị theo định dạng yyyymmdd khi NOT NULL
</t>
    </r>
    <r>
      <rPr>
        <rFont val="メイリオ"/>
        <b/>
        <color rgb="FF000000"/>
        <sz val="10.0"/>
      </rPr>
      <t xml:space="preserve">ステップ2：
</t>
    </r>
    <r>
      <rPr>
        <rFont val="メイリオ"/>
        <color rgb="FF000000"/>
        <sz val="10.0"/>
      </rPr>
      <t xml:space="preserve">・Một trong các badge「未送信」「送信中」「完了」「一部失敗」được hiển thị ở cột「通知ステータス」
</t>
    </r>
    <r>
      <rPr>
        <rFont val="メイリオ"/>
        <color rgb="FF000000"/>
        <sz val="10.0"/>
      </rPr>
      <t xml:space="preserve">・Row có `deleted_at` NULL thì button「削除」được hiển thị ở trạng thái active
</t>
    </r>
    <r>
      <rPr>
        <rFont val="メイリオ"/>
        <color rgb="FF000000"/>
        <sz val="10.0"/>
      </rPr>
      <t>・Row có `deleted_at` NOT NULL thì button「削除」được hiển thị ở trạng thái disable</t>
    </r>
  </si>
  <si>
    <t>ACSMS-TC-023-013</t>
  </si>
  <si>
    <t>Hiển thị responsive (không vỡ layout)</t>
  </si>
  <si>
    <r>
      <rPr>
        <rFont val="メイリオ"/>
        <b/>
        <color rgb="FF000000"/>
        <sz val="10.0"/>
      </rPr>
      <t xml:space="preserve">ステップ1：
</t>
    </r>
    <r>
      <rPr>
        <rFont val="メイリオ"/>
        <color rgb="FF000000"/>
        <sz val="10.0"/>
      </rPr>
      <t>Thay đổi chiều rộng browser sang các breakpoint 1280px / 768px / 375px và xác nhận màn hình</t>
    </r>
  </si>
  <si>
    <r>
      <rPr>
        <rFont val="メイリオ"/>
        <b/>
        <color rgb="FF000000"/>
        <sz val="10.0"/>
      </rPr>
      <t xml:space="preserve">ステップ1：
</t>
    </r>
    <r>
      <rPr>
        <rFont val="メイリオ"/>
        <color rgb="FF000000"/>
        <sz val="10.0"/>
      </rPr>
      <t xml:space="preserve">・Không vỡ layout ở mỗi breakpoint
</t>
    </r>
    <r>
      <rPr>
        <rFont val="メイリオ"/>
        <color rgb="FF000000"/>
        <sz val="10.0"/>
      </rPr>
      <t>・Không phát sinh scroll ngang ngoài ý muốn</t>
    </r>
  </si>
  <si>
    <t>ACSMS-TC-023-014</t>
  </si>
  <si>
    <t>Thao tác bàn phím (thứ tự Tab)</t>
  </si>
  <si>
    <r>
      <rPr>
        <rFont val="メイリオ"/>
        <b/>
        <color rgb="FF000000"/>
        <sz val="10.0"/>
      </rPr>
      <t xml:space="preserve">ステップ1：
</t>
    </r>
    <r>
      <rPr>
        <rFont val="メイリオ"/>
        <color rgb="FF000000"/>
        <sz val="10.0"/>
      </rPr>
      <t xml:space="preserve">Di chuyển lần lượt qua từng mục nhập・button bằng phím Tab
</t>
    </r>
    <r>
      <rPr>
        <rFont val="メイリオ"/>
        <b/>
        <color rgb="FF000000"/>
        <sz val="10.0"/>
      </rPr>
      <t xml:space="preserve">ステップ2：
</t>
    </r>
    <r>
      <rPr>
        <rFont val="メイリオ"/>
        <color rgb="FF000000"/>
        <sz val="10.0"/>
      </rPr>
      <t>Focus vào button bằng phím Enter và xác nhận thao tác</t>
    </r>
  </si>
  <si>
    <r>
      <rPr>
        <rFont val="メイリオ"/>
        <b/>
        <color rgb="FF000000"/>
        <sz val="10.0"/>
      </rPr>
      <t xml:space="preserve">ステップ1：
</t>
    </r>
    <r>
      <rPr>
        <rFont val="メイリオ"/>
        <color rgb="FF000000"/>
        <sz val="10.0"/>
      </rPr>
      <t xml:space="preserve">・Thứ tự Tab tuân theo thứ tự hiển thị của màn hình (JA đối tượng → chọn file → ngày dự định xóa → action button)
</t>
    </r>
    <r>
      <rPr>
        <rFont val="メイリオ"/>
        <b/>
        <color rgb="FF000000"/>
        <sz val="10.0"/>
      </rPr>
      <t xml:space="preserve">ステップ2：
</t>
    </r>
    <r>
      <rPr>
        <rFont val="メイリオ"/>
        <color rgb="FF000000"/>
        <sz val="10.0"/>
      </rPr>
      <t>・Button được focus có thể thao tác bằng phím Enter</t>
    </r>
  </si>
  <si>
    <t>(なし)
---</t>
  </si>
  <si>
    <t>Header &amp; Breadcrumb (Header &amp; Breadcrumb)</t>
  </si>
  <si>
    <t>ACSMS-TC-023-015</t>
  </si>
  <si>
    <t>Hiển thị breadcrumb</t>
  </si>
  <si>
    <r>
      <rPr>
        <rFont val="メイリオ"/>
        <b/>
        <color rgb="FF000000"/>
        <sz val="10.0"/>
      </rPr>
      <t xml:space="preserve">ステップ1：
</t>
    </r>
    <r>
      <rPr>
        <rFont val="メイリオ"/>
        <color rgb="FF000000"/>
        <sz val="10.0"/>
      </rPr>
      <t>Chuyển sang URL `/file-upload` và xác nhận breadcrumb ở phía trên màn hình</t>
    </r>
  </si>
  <si>
    <r>
      <rPr>
        <rFont val="メイリオ"/>
        <b/>
        <color rgb="FF000000"/>
        <sz val="10.0"/>
      </rPr>
      <t xml:space="preserve">ステップ1：
</t>
    </r>
    <r>
      <rPr>
        <rFont val="メイリオ"/>
        <color rgb="FF000000"/>
        <sz val="10.0"/>
      </rPr>
      <t>・Breadcrumb hiển thị「ホーム ＞ ファイルアップロード」</t>
    </r>
  </si>
  <si>
    <t>ACSMS-TC-023-016</t>
  </si>
  <si>
    <t>Click「ホーム」trên breadcrumb để chuyển về dashboard</t>
  </si>
  <si>
    <r>
      <rPr>
        <rFont val="メイリオ"/>
        <b/>
        <color rgb="FF000000"/>
        <sz val="10.0"/>
      </rPr>
      <t xml:space="preserve">ステップ1：
</t>
    </r>
    <r>
      <rPr>
        <rFont val="メイリオ"/>
        <color rgb="FF000000"/>
        <sz val="10.0"/>
      </rPr>
      <t>Click「ホーム」trên breadcrumb</t>
    </r>
  </si>
  <si>
    <r>
      <rPr>
        <rFont val="メイリオ"/>
        <b/>
        <color rgb="FF000000"/>
        <sz val="10.0"/>
      </rPr>
      <t xml:space="preserve">ステップ1：
</t>
    </r>
    <r>
      <rPr>
        <rFont val="メイリオ"/>
        <color rgb="FF000000"/>
        <sz val="10.0"/>
      </rPr>
      <t>・Chuyển sang `/dashboard`</t>
    </r>
  </si>
  <si>
    <t>ACSMS-TC-023-017</t>
  </si>
  <si>
    <t>Hiển thị tiêu đề trang</t>
  </si>
  <si>
    <r>
      <rPr>
        <rFont val="メイリオ"/>
        <b/>
        <color rgb="FF000000"/>
        <sz val="10.0"/>
      </rPr>
      <t xml:space="preserve">ステップ1：
</t>
    </r>
    <r>
      <rPr>
        <rFont val="メイリオ"/>
        <color rgb="FF000000"/>
        <sz val="10.0"/>
      </rPr>
      <t>Chuyển sang URL `/file-upload` và xác nhận tiêu đề trang</t>
    </r>
  </si>
  <si>
    <r>
      <rPr>
        <rFont val="メイリオ"/>
        <b/>
        <color rgb="FF000000"/>
        <sz val="10.0"/>
      </rPr>
      <t xml:space="preserve">ステップ1：
</t>
    </r>
    <r>
      <rPr>
        <rFont val="メイリオ"/>
        <color rgb="FF000000"/>
        <sz val="10.0"/>
      </rPr>
      <t>・Tiêu đề trang hiển thị「ファイルアップロード画面」</t>
    </r>
  </si>
  <si>
    <t>ACSMS-TC-023-018</t>
  </si>
  <si>
    <t>Tên người dùng đăng nhập được hiển thị trên header</t>
  </si>
  <si>
    <r>
      <rPr>
        <rFont val="メイリオ"/>
        <b/>
        <color rgb="FF000000"/>
        <sz val="10.0"/>
      </rPr>
      <t xml:space="preserve">ステップ1：
</t>
    </r>
    <r>
      <rPr>
        <rFont val="メイリオ"/>
        <color rgb="FF000000"/>
        <sz val="10.0"/>
      </rPr>
      <t>Xác nhận header ở phía trên màn hình</t>
    </r>
  </si>
  <si>
    <r>
      <rPr>
        <rFont val="メイリオ"/>
        <b/>
        <color rgb="FF000000"/>
        <sz val="10.0"/>
      </rPr>
      <t xml:space="preserve">ステップ1：
</t>
    </r>
    <r>
      <rPr>
        <rFont val="メイリオ"/>
        <color rgb="FF000000"/>
        <sz val="10.0"/>
      </rPr>
      <t>・Tên người dùng đăng nhập được hiển thị</t>
    </r>
  </si>
  <si>
    <t>Kiểm tra dữ liệu nhập (Input Validation)</t>
  </si>
  <si>
    <t>ACSMS-TC-023-019</t>
  </si>
  <si>
    <t>Kiểm tra required khi chưa chọn JA đối tượng</t>
  </si>
  <si>
    <r>
      <rPr>
        <rFont val="メイリオ"/>
        <b/>
        <color rgb="FF000000"/>
        <sz val="10.0"/>
      </rPr>
      <t xml:space="preserve">ステップ1：
</t>
    </r>
    <r>
      <rPr>
        <rFont val="メイリオ"/>
        <color rgb="FF000000"/>
        <sz val="10.0"/>
      </rPr>
      <t xml:space="preserve">Không thêm JA đối tượng nào, chỉ nhập file và ngày dự định xóa rồi click「アップロード実行」
</t>
    </r>
    <r>
      <rPr>
        <rFont val="メイリオ"/>
        <b/>
        <color rgb="FF000000"/>
        <sz val="10.0"/>
      </rPr>
      <t xml:space="preserve">ステップ2：
</t>
    </r>
    <r>
      <rPr>
        <rFont val="メイリオ"/>
        <color rgb="FF000000"/>
        <sz val="10.0"/>
      </rPr>
      <t>Gửi trực tiếp POST `/api/v1/file-upload` ở trạng thái JA đối tượng để trống bằng DevTools</t>
    </r>
  </si>
  <si>
    <r>
      <rPr>
        <rFont val="メイリオ"/>
        <b/>
        <color rgb="FF000000"/>
        <sz val="10.0"/>
      </rPr>
      <t xml:space="preserve">ステップ1：
</t>
    </r>
    <r>
      <rPr>
        <rFont val="メイリオ"/>
        <color rgb="FF000000"/>
        <sz val="10.0"/>
      </rPr>
      <t xml:space="preserve">・Hiển thị lỗi required (message `必須項目です。`, ACSMS-MSG-023-001)
</t>
    </r>
    <r>
      <rPr>
        <rFont val="メイリオ"/>
        <b/>
        <color rgb="FF000000"/>
        <sz val="10.0"/>
      </rPr>
      <t xml:space="preserve">ステップ2：
</t>
    </r>
    <r>
      <rPr>
        <rFont val="メイリオ"/>
        <color rgb="FF000000"/>
        <sz val="10.0"/>
      </rPr>
      <t>Trả về HTTP 400 (`error_code: TARGET_JA_REQUIRED`, message `対象JAを1つ以上選択してください。`)</t>
    </r>
  </si>
  <si>
    <t>ACSMS-TC-023-020</t>
  </si>
  <si>
    <t>Kiểm tra thêm trùng cùng một JA</t>
  </si>
  <si>
    <r>
      <rPr>
        <rFont val="メイリオ"/>
        <b/>
        <color rgb="FF000000"/>
        <sz val="10.0"/>
      </rPr>
      <t xml:space="preserve">ステップ1：
</t>
    </r>
    <r>
      <rPr>
        <rFont val="メイリオ"/>
        <color rgb="FF000000"/>
        <sz val="10.0"/>
      </rPr>
      <t xml:space="preserve">Chọn 1 JA ở JA đối tượng và click button「追加」
</t>
    </r>
    <r>
      <rPr>
        <rFont val="メイリオ"/>
        <b/>
        <color rgb="FF000000"/>
        <sz val="10.0"/>
      </rPr>
      <t xml:space="preserve">ステップ2：
</t>
    </r>
    <r>
      <rPr>
        <rFont val="メイリオ"/>
        <color rgb="FF000000"/>
        <sz val="10.0"/>
      </rPr>
      <t>Chọn lại cùng một JA và click button「追加」</t>
    </r>
  </si>
  <si>
    <r>
      <rPr>
        <rFont val="メイリオ"/>
        <b/>
        <color rgb="FF000000"/>
        <sz val="10.0"/>
      </rPr>
      <t xml:space="preserve">ステップ1：
</t>
    </r>
    <r>
      <rPr>
        <rFont val="メイリオ"/>
        <color rgb="FF000000"/>
        <sz val="10.0"/>
      </rPr>
      <t xml:space="preserve">・JA đã chọn được thêm vào danh sách JA (JA code + JA name)
</t>
    </r>
    <r>
      <rPr>
        <rFont val="メイリオ"/>
        <b/>
        <color rgb="FF000000"/>
        <sz val="10.0"/>
      </rPr>
      <t xml:space="preserve">ステップ2：
</t>
    </r>
    <r>
      <rPr>
        <rFont val="メイリオ"/>
        <color rgb="FF000000"/>
        <sz val="10.0"/>
      </rPr>
      <t xml:space="preserve">・Error message `このJAは既に選択されています。`（ACSMS-MSG-023-004）được hiển thị
</t>
    </r>
    <r>
      <rPr>
        <rFont val="メイリオ"/>
        <color rgb="FF000000"/>
        <sz val="10.0"/>
      </rPr>
      <t>・Dữ liệu trùng không được thêm vào danh sách JA</t>
    </r>
  </si>
  <si>
    <t>ACSMS-TC-023-021</t>
  </si>
  <si>
    <t>Kiểm tra required khi chưa chọn file</t>
  </si>
  <si>
    <r>
      <rPr>
        <rFont val="メイリオ"/>
        <b/>
        <color rgb="FF000000"/>
        <sz val="10.0"/>
      </rPr>
      <t xml:space="preserve">ステップ1：
</t>
    </r>
    <r>
      <rPr>
        <rFont val="メイリオ"/>
        <color rgb="FF000000"/>
        <sz val="10.0"/>
      </rPr>
      <t>Chỉ nhập JA đối tượng và ngày dự định xóa, không chọn file nào rồi click「アップロード実行」</t>
    </r>
  </si>
  <si>
    <r>
      <rPr>
        <rFont val="メイリオ"/>
        <b/>
        <color rgb="FF000000"/>
        <sz val="10.0"/>
      </rPr>
      <t xml:space="preserve">ステップ1：
</t>
    </r>
    <r>
      <rPr>
        <rFont val="メイリオ"/>
        <color rgb="FF000000"/>
        <sz val="10.0"/>
      </rPr>
      <t xml:space="preserve">・Hiển thị lỗi required (message `必須項目です。`, ACSMS-MSG-023-001)
</t>
    </r>
    <r>
      <rPr>
        <rFont val="メイリオ"/>
        <color rgb="FF000000"/>
        <sz val="10.0"/>
      </rPr>
      <t>・Xử lý upload không được thực thi</t>
    </r>
  </si>
  <si>
    <t>ACSMS-TC-023-022</t>
  </si>
  <si>
    <t>Kiểm tra required khi chưa nhập ngày dự định xóa</t>
  </si>
  <si>
    <r>
      <rPr>
        <rFont val="メイリオ"/>
        <b/>
        <color rgb="FF000000"/>
        <sz val="10.0"/>
      </rPr>
      <t xml:space="preserve">ステップ1：
</t>
    </r>
    <r>
      <rPr>
        <rFont val="メイリオ"/>
        <color rgb="FF000000"/>
        <sz val="10.0"/>
      </rPr>
      <t>Chỉ nhập JA đối tượng và file, để trống ngày dự định xóa rồi click「アップロード実行」</t>
    </r>
  </si>
  <si>
    <r>
      <rPr>
        <rFont val="メイリオ"/>
        <b/>
        <color rgb="FF000000"/>
        <sz val="10.0"/>
      </rPr>
      <t xml:space="preserve">ステップ1：
</t>
    </r>
    <r>
      <rPr>
        <rFont val="メイリオ"/>
        <color rgb="FF000000"/>
        <sz val="10.0"/>
      </rPr>
      <t xml:space="preserve">・Hiển thị lỗi required (message `必須項目です。`, ACSMS-MSG-023-001)
</t>
    </r>
    <r>
      <rPr>
        <rFont val="メイリオ"/>
        <color rgb="FF000000"/>
        <sz val="10.0"/>
      </rPr>
      <t>・Xử lý upload không được thực thi</t>
    </r>
  </si>
  <si>
    <t>ACSMS-TC-023-023</t>
  </si>
  <si>
    <t>Chọn ngày quá khứ cho ngày dự định xóa (không cho phép)</t>
  </si>
  <si>
    <r>
      <rPr>
        <rFont val="メイリオ"/>
        <b/>
        <color rgb="FF000000"/>
        <sz val="10.0"/>
      </rPr>
      <t xml:space="preserve">ステップ1：
</t>
    </r>
    <r>
      <rPr>
        <rFont val="メイリオ"/>
        <color rgb="FF000000"/>
        <sz val="10.0"/>
      </rPr>
      <t>Chọn ngày quá khứ (ngày hôm trước) trên calendar ngày dự định xóa</t>
    </r>
  </si>
  <si>
    <r>
      <rPr>
        <rFont val="メイリオ"/>
        <b/>
        <color rgb="FF000000"/>
        <sz val="10.0"/>
      </rPr>
      <t xml:space="preserve">ステップ1：
</t>
    </r>
    <r>
      <rPr>
        <rFont val="メイリオ"/>
        <color rgb="FF000000"/>
        <sz val="10.0"/>
      </rPr>
      <t>・Không thể chọn ngày quá khứ (ngày quá khứ ở trạng thái disable trên calendar, hoặc phát sinh lỗi khi chọn)</t>
    </r>
  </si>
  <si>
    <t>ACSMS-TC-023-024</t>
  </si>
  <si>
    <t>Chọn ngày hôm nay cho ngày dự định xóa (giá trị biên・cho phép)</t>
  </si>
  <si>
    <r>
      <rPr>
        <rFont val="メイリオ"/>
        <b/>
        <color rgb="FF000000"/>
        <sz val="10.0"/>
      </rPr>
      <t xml:space="preserve">ステップ1：
</t>
    </r>
    <r>
      <rPr>
        <rFont val="メイリオ"/>
        <color rgb="FF000000"/>
        <sz val="10.0"/>
      </rPr>
      <t>Chọn ngày hôm nay trên calendar ngày dự định xóa</t>
    </r>
  </si>
  <si>
    <r>
      <rPr>
        <rFont val="メイリオ"/>
        <b/>
        <color rgb="FF000000"/>
        <sz val="10.0"/>
      </rPr>
      <t xml:space="preserve">ステップ1：
</t>
    </r>
    <r>
      <rPr>
        <rFont val="メイリオ"/>
        <color rgb="FF000000"/>
        <sz val="10.0"/>
      </rPr>
      <t>・Có thể chọn ngày hôm nay (được cho phép như giá trị biên)</t>
    </r>
  </si>
  <si>
    <t>Giá trị biên của không cho phép ngày quá khứ (ngày hôm nay được cho phép). Cần xác nhận với khách hàng về việc xử lý ngày hôm nay để kiểm tra giá trị biên theo spec.</t>
  </si>
  <si>
    <t>ACSMS-TC-023-025</t>
  </si>
  <si>
    <t>File size vượt quá 30MB</t>
  </si>
  <si>
    <t>・role: NICHINO_ADMIN
・Đã đăng nhập + đã xác thực MFA
・Chuẩn bị file test có size vượt quá 30MB</t>
  </si>
  <si>
    <r>
      <rPr>
        <rFont val="メイリオ"/>
        <b/>
        <color rgb="FF000000"/>
        <sz val="10.0"/>
      </rPr>
      <t xml:space="preserve">ステップ1：
</t>
    </r>
    <r>
      <rPr>
        <rFont val="メイリオ"/>
        <color rgb="FF000000"/>
        <sz val="10.0"/>
      </rPr>
      <t xml:space="preserve">Chọn file vượt quá 30MB
</t>
    </r>
    <r>
      <rPr>
        <rFont val="メイリオ"/>
        <b/>
        <color rgb="FF000000"/>
        <sz val="10.0"/>
      </rPr>
      <t xml:space="preserve">ステップ2：
</t>
    </r>
    <r>
      <rPr>
        <rFont val="メイリオ"/>
        <color rgb="FF000000"/>
        <sz val="10.0"/>
      </rPr>
      <t>Gửi trực tiếp POST `/api/v1/file-upload` có chứa file vượt quá 30MB bằng DevTools</t>
    </r>
  </si>
  <si>
    <r>
      <rPr>
        <rFont val="メイリオ"/>
        <b/>
        <color rgb="FF000000"/>
        <sz val="10.0"/>
      </rPr>
      <t xml:space="preserve">ステップ1：
</t>
    </r>
    <r>
      <rPr>
        <rFont val="メイリオ"/>
        <color rgb="FF000000"/>
        <sz val="10.0"/>
      </rPr>
      <t xml:space="preserve">・Error message `ファイルサイズが30MBを超えています。({fileName})`（ACSMS-MSG-023-002）được hiển thị
</t>
    </r>
    <r>
      <rPr>
        <rFont val="メイリオ"/>
        <color rgb="FF000000"/>
        <sz val="10.0"/>
      </rPr>
      <t xml:space="preserve">・File đó không được thêm vào danh sách file
</t>
    </r>
    <r>
      <rPr>
        <rFont val="メイリオ"/>
        <b/>
        <color rgb="FF000000"/>
        <sz val="10.0"/>
      </rPr>
      <t xml:space="preserve">ステップ2：
</t>
    </r>
    <r>
      <rPr>
        <rFont val="メイリオ"/>
        <color rgb="FF000000"/>
        <sz val="10.0"/>
      </rPr>
      <t>Trả về HTTP 400 (`error_code: FILE_SIZE_EXCEEDED`, message `ファイルサイズが30MBを超えています。`)</t>
    </r>
  </si>
  <si>
    <t>ACSMS-TC-023-026</t>
  </si>
  <si>
    <t>File size đúng 30MB (giá trị biên・cho phép)</t>
  </si>
  <si>
    <t>・role: NICHINO_ADMIN
・Đã đăng nhập + đã xác thực MFA
・Chuẩn bị file test có size đúng 30MB (30×1024×1024 byte)</t>
  </si>
  <si>
    <r>
      <rPr>
        <rFont val="メイリオ"/>
        <b/>
        <color rgb="FF000000"/>
        <sz val="10.0"/>
      </rPr>
      <t xml:space="preserve">ステップ1：
</t>
    </r>
    <r>
      <rPr>
        <rFont val="メイリオ"/>
        <color rgb="FF000000"/>
        <sz val="10.0"/>
      </rPr>
      <t>Chọn file đúng 30MB</t>
    </r>
  </si>
  <si>
    <r>
      <rPr>
        <rFont val="メイリオ"/>
        <b/>
        <color rgb="FF000000"/>
        <sz val="10.0"/>
      </rPr>
      <t xml:space="preserve">ステップ1：
</t>
    </r>
    <r>
      <rPr>
        <rFont val="メイリオ"/>
        <color rgb="FF000000"/>
        <sz val="10.0"/>
      </rPr>
      <t>・File được thêm vào danh sách file (được cho phép như giá trị biên)</t>
    </r>
  </si>
  <si>
    <t>ACSMS-TC-023-027</t>
  </si>
  <si>
    <t>Chấp nhận file định dạng được cho phép</t>
  </si>
  <si>
    <t>・role: NICHINO_ADMIN
・Đã đăng nhập + đã xác thực MFA
・Chuẩn bị file test của mỗi extension được cho phép (.xlsx, .xls, .pdf, .jpg, .jpeg, .png, .doc, .docx, .pptx, .ppt, .csv, .txt, .zip)</t>
  </si>
  <si>
    <r>
      <rPr>
        <rFont val="メイリオ"/>
        <b/>
        <color rgb="FF000000"/>
        <sz val="10.0"/>
      </rPr>
      <t xml:space="preserve">ステップ1：
</t>
    </r>
    <r>
      <rPr>
        <rFont val="メイリオ"/>
        <color rgb="FF000000"/>
        <sz val="10.0"/>
      </rPr>
      <t>Chọn lần lượt các file có extension được cho phép</t>
    </r>
  </si>
  <si>
    <r>
      <rPr>
        <rFont val="メイリオ"/>
        <b/>
        <color rgb="FF000000"/>
        <sz val="10.0"/>
      </rPr>
      <t xml:space="preserve">ステップ1：
</t>
    </r>
    <r>
      <rPr>
        <rFont val="メイリオ"/>
        <color rgb="FF000000"/>
        <sz val="10.0"/>
      </rPr>
      <t>・File có extension được cho phép (Excel／PDF／hình ảnh／Word／PowerPoint／CSV／text／nén) được thêm vào danh sách file</t>
    </r>
  </si>
  <si>
    <t>ACSMS-TC-023-028</t>
  </si>
  <si>
    <t>Từ chối file định dạng không được cho phép</t>
  </si>
  <si>
    <t>・role: NICHINO_ADMIN
・Đã đăng nhập + đã xác thực MFA
・Chuẩn bị file test có extension không được cho phép (.exe)</t>
  </si>
  <si>
    <r>
      <rPr>
        <rFont val="メイリオ"/>
        <b/>
        <color rgb="FF000000"/>
        <sz val="10.0"/>
      </rPr>
      <t xml:space="preserve">ステップ1：
</t>
    </r>
    <r>
      <rPr>
        <rFont val="メイリオ"/>
        <color rgb="FF000000"/>
        <sz val="10.0"/>
      </rPr>
      <t xml:space="preserve">Chọn file có extension không được cho phép (.exe)
</t>
    </r>
    <r>
      <rPr>
        <rFont val="メイリオ"/>
        <b/>
        <color rgb="FF000000"/>
        <sz val="10.0"/>
      </rPr>
      <t xml:space="preserve">ステップ2：
</t>
    </r>
    <r>
      <rPr>
        <rFont val="メイリオ"/>
        <color rgb="FF000000"/>
        <sz val="10.0"/>
      </rPr>
      <t>Gửi trực tiếp POST `/api/v1/file-upload` có chứa file extension không được cho phép bằng DevTools</t>
    </r>
  </si>
  <si>
    <r>
      <rPr>
        <rFont val="メイリオ"/>
        <b/>
        <color rgb="FF000000"/>
        <sz val="10.0"/>
      </rPr>
      <t xml:space="preserve">ステップ1：
</t>
    </r>
    <r>
      <rPr>
        <rFont val="メイリオ"/>
        <color rgb="FF000000"/>
        <sz val="10.0"/>
      </rPr>
      <t xml:space="preserve">・Error message `許可されていないファイル形式です。({fileName})`（ACSMS-MSG-023-010）được hiển thị
</t>
    </r>
    <r>
      <rPr>
        <rFont val="メイリオ"/>
        <color rgb="FF000000"/>
        <sz val="10.0"/>
      </rPr>
      <t xml:space="preserve">・File đó không được thêm vào danh sách file
</t>
    </r>
    <r>
      <rPr>
        <rFont val="メイリオ"/>
        <b/>
        <color rgb="FF000000"/>
        <sz val="10.0"/>
      </rPr>
      <t xml:space="preserve">ステップ2：
</t>
    </r>
    <r>
      <rPr>
        <rFont val="メイリオ"/>
        <color rgb="FF000000"/>
        <sz val="10.0"/>
      </rPr>
      <t>Trả về HTTP 400 (`error_code: FILE_FORMAT_ERROR`, message `許可されていないファイル形式です。`)</t>
    </r>
  </si>
  <si>
    <t>ACSMS-TC-023-029</t>
  </si>
  <si>
    <t>Chấp nhận extension chữ hoa (phán định bằng chuyển thành chữ thường)</t>
  </si>
  <si>
    <t>・role: NICHINO_ADMIN
・Đã đăng nhập + đã xác thực MFA
・Chuẩn bị file test có extension chữ hoa (`IMG.JPG`)</t>
  </si>
  <si>
    <r>
      <rPr>
        <rFont val="メイリオ"/>
        <b/>
        <color rgb="FF000000"/>
        <sz val="10.0"/>
      </rPr>
      <t xml:space="preserve">ステップ1：
</t>
    </r>
    <r>
      <rPr>
        <rFont val="メイリオ"/>
        <color rgb="FF000000"/>
        <sz val="10.0"/>
      </rPr>
      <t>Chọn file có extension chữ hoa (`IMG.JPG`)</t>
    </r>
  </si>
  <si>
    <r>
      <rPr>
        <rFont val="メイリオ"/>
        <b/>
        <color rgb="FF000000"/>
        <sz val="10.0"/>
      </rPr>
      <t xml:space="preserve">ステップ1：
</t>
    </r>
    <r>
      <rPr>
        <rFont val="メイリオ"/>
        <color rgb="FF000000"/>
        <sz val="10.0"/>
      </rPr>
      <t>・File được thêm vào danh sách file (do extension được phán định sau khi chuyển thành chữ thường, nên `.JPG` cũng được cho phép)</t>
    </r>
  </si>
  <si>
    <t>ACSMS-TC-023-030</t>
  </si>
  <si>
    <t>Chọn nhiều file và hiển thị định dạng tên file</t>
  </si>
  <si>
    <r>
      <rPr>
        <rFont val="メイリオ"/>
        <b/>
        <color rgb="FF000000"/>
        <sz val="10.0"/>
      </rPr>
      <t xml:space="preserve">ステップ1：
</t>
    </r>
    <r>
      <rPr>
        <rFont val="メイリオ"/>
        <color rgb="FF000000"/>
        <sz val="10.0"/>
      </rPr>
      <t xml:space="preserve">Chọn đồng thời nhiều file
</t>
    </r>
    <r>
      <rPr>
        <rFont val="メイリオ"/>
        <b/>
        <color rgb="FF000000"/>
        <sz val="10.0"/>
      </rPr>
      <t xml:space="preserve">ステップ2：
</t>
    </r>
    <r>
      <rPr>
        <rFont val="メイリオ"/>
        <color rgb="FF000000"/>
        <sz val="10.0"/>
      </rPr>
      <t>Sau khi upload, xác nhận định dạng hiển thị tên file của「アップロードされたファイルリスト」</t>
    </r>
  </si>
  <si>
    <r>
      <rPr>
        <rFont val="メイリオ"/>
        <b/>
        <color rgb="FF000000"/>
        <sz val="10.0"/>
      </rPr>
      <t xml:space="preserve">ステップ1：
</t>
    </r>
    <r>
      <rPr>
        <rFont val="メイリオ"/>
        <color rgb="FF000000"/>
        <sz val="10.0"/>
      </rPr>
      <t xml:space="preserve">・Tất cả nhiều file đều được thêm vào danh sách file (tên file + size)
</t>
    </r>
    <r>
      <rPr>
        <rFont val="メイリオ"/>
        <b/>
        <color rgb="FF000000"/>
        <sz val="10.0"/>
      </rPr>
      <t xml:space="preserve">ステップ2：
</t>
    </r>
    <r>
      <rPr>
        <rFont val="メイリオ"/>
        <color rgb="FF000000"/>
        <sz val="10.0"/>
      </rPr>
      <t>・Tên file được hiển thị theo định dạng「yyyymmddJaIDRole_tên file」</t>
    </r>
  </si>
  <si>
    <t>Nghiệp vụ — Upload (Function — Upload)</t>
  </si>
  <si>
    <t>ACSMS-TC-023-031</t>
  </si>
  <si>
    <t>Upload luồng bình thường (1 JA × 1 file)</t>
  </si>
  <si>
    <r>
      <rPr>
        <rFont val="メイリオ"/>
        <b/>
        <color rgb="FF000000"/>
        <sz val="10.0"/>
      </rPr>
      <t xml:space="preserve">ステップ1：
</t>
    </r>
    <r>
      <rPr>
        <rFont val="メイリオ"/>
        <color rgb="FF000000"/>
        <sz val="10.0"/>
      </rPr>
      <t xml:space="preserve">Thêm 1 JA đối tượng, chọn 1 file định dạng được cho phép, nhập ngày dự định xóa từ hôm nay trở đi
</t>
    </r>
    <r>
      <rPr>
        <rFont val="メイリオ"/>
        <b/>
        <color rgb="FF000000"/>
        <sz val="10.0"/>
      </rPr>
      <t xml:space="preserve">ステップ2：
</t>
    </r>
    <r>
      <rPr>
        <rFont val="メイリオ"/>
        <color rgb="FF000000"/>
        <sz val="10.0"/>
      </rPr>
      <t xml:space="preserve">Click「アップロード実行」
</t>
    </r>
    <r>
      <rPr>
        <rFont val="メイリオ"/>
        <b/>
        <color rgb="FF000000"/>
        <sz val="10.0"/>
      </rPr>
      <t xml:space="preserve">ステップ3：
</t>
    </r>
    <r>
      <rPr>
        <rFont val="メイリオ"/>
        <color rgb="FF000000"/>
        <sz val="10.0"/>
      </rPr>
      <t>Click「OK」trên dialog xác nhận</t>
    </r>
  </si>
  <si>
    <r>
      <rPr>
        <rFont val="メイリオ"/>
        <b/>
        <color rgb="FF000000"/>
        <sz val="10.0"/>
      </rPr>
      <t xml:space="preserve">ステップ1：
</t>
    </r>
    <r>
      <rPr>
        <rFont val="メイリオ"/>
        <color rgb="FF000000"/>
        <sz val="10.0"/>
      </rPr>
      <t xml:space="preserve">・JA đối tượng và file được hiển thị trong danh sách
</t>
    </r>
    <r>
      <rPr>
        <rFont val="メイリオ"/>
        <b/>
        <color rgb="FF000000"/>
        <sz val="10.0"/>
      </rPr>
      <t xml:space="preserve">ステップ2：
</t>
    </r>
    <r>
      <rPr>
        <rFont val="メイリオ"/>
        <color rgb="FF000000"/>
        <sz val="10.0"/>
      </rPr>
      <t xml:space="preserve">・Dialog xác nhận được hiển thị (message `このファイルをアップロードしますか？`, ACSMS-MSG-023-008)
</t>
    </r>
    <r>
      <rPr>
        <rFont val="メイリオ"/>
        <b/>
        <color rgb="FF000000"/>
        <sz val="10.0"/>
      </rPr>
      <t xml:space="preserve">ステップ3：
</t>
    </r>
    <r>
      <rPr>
        <rFont val="メイリオ"/>
        <color rgb="FF000000"/>
        <sz val="10.0"/>
      </rPr>
      <t xml:space="preserve">・Trả về HTTP 202
</t>
    </r>
    <r>
      <rPr>
        <rFont val="メイリオ"/>
        <color rgb="FF000000"/>
        <sz val="10.0"/>
      </rPr>
      <t xml:space="preserve">・Success message `ファイルのアップロードが完了しました。`（ACSMS-MSG-023-006）được hiển thị
</t>
    </r>
    <r>
      <rPr>
        <rFont val="メイリオ"/>
        <color rgb="FF000000"/>
        <sz val="10.0"/>
      </rPr>
      <t xml:space="preserve">・Form (JA đối tượng・file・ngày dự định xóa) được clear
</t>
    </r>
    <r>
      <rPr>
        <rFont val="メイリオ"/>
        <b/>
        <color rgb="FF000000"/>
        <sz val="10.0"/>
      </rPr>
      <t xml:space="preserve">補足：
</t>
    </r>
    <r>
      <rPr>
        <rFont val="メイリオ"/>
        <color rgb="FF000000"/>
        <sz val="10.0"/>
      </rPr>
      <t xml:space="preserve">・「アップロードされたファイルリスト」được fetch lại, và row mới được hiển thị
</t>
    </r>
    <r>
      <rPr>
        <rFont val="メイリオ"/>
        <color rgb="FF000000"/>
        <sz val="10.0"/>
      </rPr>
      <t>・Badge「未送信」hoặc「送信中」được hiển thị ở cột「通知ステータス」của row mới</t>
    </r>
  </si>
  <si>
    <t>ACSMS-TC-023-032</t>
  </si>
  <si>
    <t>Tạo N×M record (nhiều JA × nhiều file)</t>
  </si>
  <si>
    <r>
      <rPr>
        <rFont val="メイリオ"/>
        <b/>
        <color rgb="FF000000"/>
        <sz val="10.0"/>
      </rPr>
      <t xml:space="preserve">ステップ1：
</t>
    </r>
    <r>
      <rPr>
        <rFont val="メイリオ"/>
        <color rgb="FF000000"/>
        <sz val="10.0"/>
      </rPr>
      <t xml:space="preserve">Thêm 2 JA đối tượng, chọn 2 file định dạng được cho phép, nhập ngày dự định xóa rồi click「アップロード実行」→「OK」
</t>
    </r>
    <r>
      <rPr>
        <rFont val="メイリオ"/>
        <b/>
        <color rgb="FF000000"/>
        <sz val="10.0"/>
      </rPr>
      <t xml:space="preserve">ステップ2：
</t>
    </r>
    <r>
      <rPr>
        <rFont val="メイリオ"/>
        <color rgb="FF000000"/>
        <sz val="10.0"/>
      </rPr>
      <t>Xác nhận DB: `SELECT ja_id, file_name FROM t_file_upload WHERE created_by = :account_id ORDER BY file_upload_id DESC LIMIT 4`</t>
    </r>
  </si>
  <si>
    <r>
      <rPr>
        <rFont val="メイリオ"/>
        <b/>
        <color rgb="FF000000"/>
        <sz val="10.0"/>
      </rPr>
      <t xml:space="preserve">ステップ1：
</t>
    </r>
    <r>
      <rPr>
        <rFont val="メイリオ"/>
        <color rgb="FF000000"/>
        <sz val="10.0"/>
      </rPr>
      <t xml:space="preserve">・Trả về HTTP 202
</t>
    </r>
    <r>
      <rPr>
        <rFont val="メイリオ"/>
        <color rgb="FF000000"/>
        <sz val="10.0"/>
      </rPr>
      <t xml:space="preserve">・Success message `ファイルのアップロードが完了しました。`（ACSMS-MSG-023-006）được hiển thị
</t>
    </r>
    <r>
      <rPr>
        <rFont val="メイリオ"/>
        <b/>
        <color rgb="FF000000"/>
        <sz val="10.0"/>
      </rPr>
      <t xml:space="preserve">ステップ2：
</t>
    </r>
    <r>
      <rPr>
        <rFont val="メイリオ"/>
        <color rgb="FF000000"/>
        <sz val="10.0"/>
      </rPr>
      <t>・N×M = 2×2 = 4 record được đăng ký vào `t_file_upload` (tổ hợp của mỗi JA × mỗi file)</t>
    </r>
  </si>
  <si>
    <t>ACSMS-TC-023-033</t>
  </si>
  <si>
    <t>Chọn toàn bộ JA (record có ja_id=NULL)</t>
  </si>
  <si>
    <r>
      <rPr>
        <rFont val="メイリオ"/>
        <b/>
        <color rgb="FF000000"/>
        <sz val="10.0"/>
      </rPr>
      <t xml:space="preserve">ステップ1：
</t>
    </r>
    <r>
      <rPr>
        <rFont val="メイリオ"/>
        <color rgb="FF000000"/>
        <sz val="10.0"/>
      </rPr>
      <t xml:space="preserve">Chọn「全JA」ở JA đối tượng và thêm vào, chọn 1 file, nhập ngày dự định xóa rồi click「アップロード実行」→「OK」
</t>
    </r>
    <r>
      <rPr>
        <rFont val="メイリオ"/>
        <b/>
        <color rgb="FF000000"/>
        <sz val="10.0"/>
      </rPr>
      <t xml:space="preserve">ステップ2：
</t>
    </r>
    <r>
      <rPr>
        <rFont val="メイリオ"/>
        <color rgb="FF000000"/>
        <sz val="10.0"/>
      </rPr>
      <t>Xác nhận DB: `SELECT ja_id FROM t_file_upload WHERE created_by = :account_id ORDER BY file_upload_id DESC LIMIT 1`</t>
    </r>
  </si>
  <si>
    <r>
      <rPr>
        <rFont val="メイリオ"/>
        <b/>
        <color rgb="FF000000"/>
        <sz val="10.0"/>
      </rPr>
      <t xml:space="preserve">ステップ1：
</t>
    </r>
    <r>
      <rPr>
        <rFont val="メイリオ"/>
        <color rgb="FF000000"/>
        <sz val="10.0"/>
      </rPr>
      <t xml:space="preserve">・Trả về HTTP 202
</t>
    </r>
    <r>
      <rPr>
        <rFont val="メイリオ"/>
        <b/>
        <color rgb="FF000000"/>
        <sz val="10.0"/>
      </rPr>
      <t xml:space="preserve">ステップ2：
</t>
    </r>
    <r>
      <rPr>
        <rFont val="メイリオ"/>
        <color rgb="FF000000"/>
        <sz val="10.0"/>
      </rPr>
      <t>・1 record có `ja_id` là NULL được đăng ký vào `t_file_upload`</t>
    </r>
  </si>
  <si>
    <t>ACSMS-TC-023-034</t>
  </si>
  <si>
    <t>Xác nhận persistence DB và status ban đầu</t>
  </si>
  <si>
    <r>
      <rPr>
        <rFont val="メイリオ"/>
        <b/>
        <color rgb="FF000000"/>
        <sz val="10.0"/>
      </rPr>
      <t xml:space="preserve">ステップ1：
</t>
    </r>
    <r>
      <rPr>
        <rFont val="メイリオ"/>
        <color rgb="FF000000"/>
        <sz val="10.0"/>
      </rPr>
      <t xml:space="preserve">Thực hiện upload (1 JA × 1 file)
</t>
    </r>
    <r>
      <rPr>
        <rFont val="メイリオ"/>
        <b/>
        <color rgb="FF000000"/>
        <sz val="10.0"/>
      </rPr>
      <t xml:space="preserve">ステップ2：
</t>
    </r>
    <r>
      <rPr>
        <rFont val="メイリオ"/>
        <color rgb="FF000000"/>
        <sz val="10.0"/>
      </rPr>
      <t>Xác nhận DB: `SELECT status, notification_status, scheduled_delete_date, error_file_path FROM t_file_upload WHERE file_upload_id = :new_id`</t>
    </r>
  </si>
  <si>
    <r>
      <rPr>
        <rFont val="メイリオ"/>
        <b/>
        <color rgb="FF000000"/>
        <sz val="10.0"/>
      </rPr>
      <t xml:space="preserve">ステップ1：
</t>
    </r>
    <r>
      <rPr>
        <rFont val="メイリオ"/>
        <color rgb="FF000000"/>
        <sz val="10.0"/>
      </rPr>
      <t xml:space="preserve">・Trả về HTTP 202
</t>
    </r>
    <r>
      <rPr>
        <rFont val="メイリオ"/>
        <b/>
        <color rgb="FF000000"/>
        <sz val="10.0"/>
      </rPr>
      <t xml:space="preserve">ステップ2：
</t>
    </r>
    <r>
      <rPr>
        <rFont val="メイリオ"/>
        <color rgb="FF000000"/>
        <sz val="10.0"/>
      </rPr>
      <t xml:space="preserve">・Dữ liệu được đăng ký (`status = 1`（đang xử lý）, `notification_status = 1`（chưa gửi）, `error_file_path = ""`)
</t>
    </r>
    <r>
      <rPr>
        <rFont val="メイリオ"/>
        <color rgb="FF000000"/>
        <sz val="10.0"/>
      </rPr>
      <t>・`scheduled_delete_date` được đăng ký theo ngày dự định xóa đã chỉ định trên màn hình</t>
    </r>
  </si>
  <si>
    <t>ACSMS-TC-023-035</t>
  </si>
  <si>
    <t>Record audit log (upload)</t>
  </si>
  <si>
    <r>
      <rPr>
        <rFont val="メイリオ"/>
        <b/>
        <color rgb="FF000000"/>
        <sz val="10.0"/>
      </rPr>
      <t xml:space="preserve">ステップ1：
</t>
    </r>
    <r>
      <rPr>
        <rFont val="メイリオ"/>
        <color rgb="FF000000"/>
        <sz val="10.0"/>
      </rPr>
      <t xml:space="preserve">Thực hiện upload
</t>
    </r>
    <r>
      <rPr>
        <rFont val="メイリオ"/>
        <b/>
        <color rgb="FF000000"/>
        <sz val="10.0"/>
      </rPr>
      <t xml:space="preserve">ステップ2：
</t>
    </r>
    <r>
      <rPr>
        <rFont val="メイリオ"/>
        <color rgb="FF000000"/>
        <sz val="10.0"/>
      </rPr>
      <t>Xác nhận DB: `SELECT log_type, operation, result_status, target_table, account_id FROM t_log WHERE target_table = 't_file_upload' ORDER BY log_datetime DESC LIMIT 1`</t>
    </r>
  </si>
  <si>
    <r>
      <rPr>
        <rFont val="メイリオ"/>
        <b/>
        <color rgb="FF000000"/>
        <sz val="10.0"/>
      </rPr>
      <t xml:space="preserve">ステップ1：
</t>
    </r>
    <r>
      <rPr>
        <rFont val="メイリオ"/>
        <color rgb="FF000000"/>
        <sz val="10.0"/>
      </rPr>
      <t xml:space="preserve">・Trả về HTTP 202
</t>
    </r>
    <r>
      <rPr>
        <rFont val="メイリオ"/>
        <b/>
        <color rgb="FF000000"/>
        <sz val="10.0"/>
      </rPr>
      <t xml:space="preserve">ステップ2：
</t>
    </r>
    <r>
      <rPr>
        <rFont val="メイリオ"/>
        <color rgb="FF000000"/>
        <sz val="10.0"/>
      </rPr>
      <t xml:space="preserve">・Audit log được record (`log_type = 4`（thao tác file）, `operation = 'CREATE'`, `result_status = 1`, `target_table = 't_file_upload'`)
</t>
    </r>
    <r>
      <rPr>
        <rFont val="メイリオ"/>
        <color rgb="FF000000"/>
        <sz val="10.0"/>
      </rPr>
      <t>・`account_id` khớp với account test</t>
    </r>
  </si>
  <si>
    <t>ACSMS-TC-023-036</t>
  </si>
  <si>
    <t>Chuyển đổi badge trạng thái thông báo (bất đồng bộ)</t>
  </si>
  <si>
    <t>・role: NICHINO_ADMIN
・Đã đăng nhập + đã xác thực MFA
・Địa chỉ email nhận thông báo (`m_account.email` v.v.) đã được thiết lập cho JA đối tượng</t>
  </si>
  <si>
    <r>
      <rPr>
        <rFont val="メイリオ"/>
        <b/>
        <color rgb="FF000000"/>
        <sz val="10.0"/>
      </rPr>
      <t xml:space="preserve">ステップ1：
</t>
    </r>
    <r>
      <rPr>
        <rFont val="メイリオ"/>
        <color rgb="FF000000"/>
        <sz val="10.0"/>
      </rPr>
      <t xml:space="preserve">Thực hiện upload và xác nhận cột「通知ステータス」của「アップロードされたファイルリスト」
</t>
    </r>
    <r>
      <rPr>
        <rFont val="メイリオ"/>
        <b/>
        <color rgb="FF000000"/>
        <sz val="10.0"/>
      </rPr>
      <t xml:space="preserve">ステップ2：
</t>
    </r>
    <r>
      <rPr>
        <rFont val="メイリオ"/>
        <color rgb="FF000000"/>
        <sz val="10.0"/>
      </rPr>
      <t>Sau một khoảng thời gian (sau khi background worker xử lý), reload màn hình và xác nhận lại cột「通知ステータス」</t>
    </r>
  </si>
  <si>
    <r>
      <rPr>
        <rFont val="メイリオ"/>
        <b/>
        <color rgb="FF000000"/>
        <sz val="10.0"/>
      </rPr>
      <t xml:space="preserve">ステップ1：
</t>
    </r>
    <r>
      <rPr>
        <rFont val="メイリオ"/>
        <color rgb="FF000000"/>
        <sz val="10.0"/>
      </rPr>
      <t xml:space="preserve">・Badge「未送信」hoặc「送信中」được hiển thị ở cột「通知ステータス」
</t>
    </r>
    <r>
      <rPr>
        <rFont val="メイリオ"/>
        <b/>
        <color rgb="FF000000"/>
        <sz val="10.0"/>
      </rPr>
      <t xml:space="preserve">ステップ2：
</t>
    </r>
    <r>
      <rPr>
        <rFont val="メイリオ"/>
        <color rgb="FF000000"/>
        <sz val="10.0"/>
      </rPr>
      <t xml:space="preserve">・Sau khi gửi thành công tới toàn bộ địa chỉ,「通知ステータス」được cập nhật thành badge「完了」(`notification_status = 3`, `notified_at` được record)
</t>
    </r>
    <r>
      <rPr>
        <rFont val="メイリオ"/>
        <b/>
        <color rgb="FF000000"/>
        <sz val="10.0"/>
      </rPr>
      <t xml:space="preserve">補足：
</t>
    </r>
    <r>
      <rPr>
        <rFont val="メイリオ"/>
        <color rgb="FF000000"/>
        <sz val="10.0"/>
      </rPr>
      <t>・Do việc gửi email được background worker thực thi bất đồng bộ, nên API trả về HTTP 202 ngay lập tức</t>
    </r>
  </si>
  <si>
    <t>ACSMS-TC-023-037</t>
  </si>
  <si>
    <t>Gửi email thông báo thất bại tới một phần JA</t>
  </si>
  <si>
    <t>・role: NICHINO_ADMIN
・Đã đăng nhập + đã xác thực MFA
・Chuẩn bị trạng thái trong nhiều JA có 1 JA có địa chỉ email không hợp lệ</t>
  </si>
  <si>
    <r>
      <rPr>
        <rFont val="メイリオ"/>
        <b/>
        <color rgb="FF000000"/>
        <sz val="10.0"/>
      </rPr>
      <t xml:space="preserve">ステップ1：
</t>
    </r>
    <r>
      <rPr>
        <rFont val="メイリオ"/>
        <color rgb="FF000000"/>
        <sz val="10.0"/>
      </rPr>
      <t xml:space="preserve">Thực hiện upload nhắm tới nhiều JA (1 JA ở trạng thái gửi thất bại)
</t>
    </r>
    <r>
      <rPr>
        <rFont val="メイリオ"/>
        <b/>
        <color rgb="FF000000"/>
        <sz val="10.0"/>
      </rPr>
      <t xml:space="preserve">ステップ2：
</t>
    </r>
    <r>
      <rPr>
        <rFont val="メイリオ"/>
        <color rgb="FF000000"/>
        <sz val="10.0"/>
      </rPr>
      <t>Sau khi background worker xử lý, reload màn hình và xác nhận cột「通知ステータス」</t>
    </r>
  </si>
  <si>
    <r>
      <rPr>
        <rFont val="メイリオ"/>
        <b/>
        <color rgb="FF000000"/>
        <sz val="10.0"/>
      </rPr>
      <t xml:space="preserve">ステップ1：
</t>
    </r>
    <r>
      <rPr>
        <rFont val="メイリオ"/>
        <color rgb="FF000000"/>
        <sz val="10.0"/>
      </rPr>
      <t xml:space="preserve">・Trả về HTTP 202
</t>
    </r>
    <r>
      <rPr>
        <rFont val="メイリオ"/>
        <b/>
        <color rgb="FF000000"/>
        <sz val="10.0"/>
      </rPr>
      <t xml:space="preserve">ステップ2：
</t>
    </r>
    <r>
      <rPr>
        <rFont val="メイリオ"/>
        <color rgb="FF000000"/>
        <sz val="10.0"/>
      </rPr>
      <t xml:space="preserve">・「通知ステータス」của row JA bị thất bại được hiển thị bằng badge「一部失敗」(`notification_status = 4`)
</t>
    </r>
    <r>
      <rPr>
        <rFont val="メイリオ"/>
        <color rgb="FF000000"/>
        <sz val="10.0"/>
      </rPr>
      <t xml:space="preserve">・Có thể xác nhận message `一部のJAへの通知メール送信に失敗しました。「通知ステータス」が「一部失敗」の行をご確認ください。`（ACSMS-MSG-023-007）
</t>
    </r>
    <r>
      <rPr>
        <rFont val="メイリオ"/>
        <color rgb="FF000000"/>
        <sz val="10.0"/>
      </rPr>
      <t>・Chi tiết thất bại được record vào error log (`t_log`, `log_type = 3`)</t>
    </r>
  </si>
  <si>
    <t>ACSMS-TC-023-038</t>
  </si>
  <si>
    <t>Cancel dialog xác nhận</t>
  </si>
  <si>
    <r>
      <rPr>
        <rFont val="メイリオ"/>
        <b/>
        <color rgb="FF000000"/>
        <sz val="10.0"/>
      </rPr>
      <t xml:space="preserve">ステップ1：
</t>
    </r>
    <r>
      <rPr>
        <rFont val="メイリオ"/>
        <color rgb="FF000000"/>
        <sz val="10.0"/>
      </rPr>
      <t xml:space="preserve">Nhập JA đối tượng, file và ngày dự định xóa rồi click「アップロード実行」
</t>
    </r>
    <r>
      <rPr>
        <rFont val="メイリオ"/>
        <b/>
        <color rgb="FF000000"/>
        <sz val="10.0"/>
      </rPr>
      <t xml:space="preserve">ステップ2：
</t>
    </r>
    <r>
      <rPr>
        <rFont val="メイリオ"/>
        <color rgb="FF000000"/>
        <sz val="10.0"/>
      </rPr>
      <t xml:space="preserve">Click「キャンセル」trên dialog xác nhận (ACSMS-MSG-023-008)
</t>
    </r>
    <r>
      <rPr>
        <rFont val="メイリオ"/>
        <b/>
        <color rgb="FF000000"/>
        <sz val="10.0"/>
      </rPr>
      <t xml:space="preserve">ステップ3：
</t>
    </r>
    <r>
      <rPr>
        <rFont val="メイリオ"/>
        <color rgb="FF000000"/>
        <sz val="10.0"/>
      </rPr>
      <t>Xác nhận DB: `SELECT COUNT(*) FROM t_file_upload WHERE created_by = :account_id`（so sánh số lượng trước và sau khi click）</t>
    </r>
  </si>
  <si>
    <r>
      <rPr>
        <rFont val="メイリオ"/>
        <b/>
        <color rgb="FF000000"/>
        <sz val="10.0"/>
      </rPr>
      <t xml:space="preserve">ステップ1：
</t>
    </r>
    <r>
      <rPr>
        <rFont val="メイリオ"/>
        <color rgb="FF000000"/>
        <sz val="10.0"/>
      </rPr>
      <t xml:space="preserve">・Dialog xác nhận được hiển thị (message `このファイルをアップロードしますか？`)
</t>
    </r>
    <r>
      <rPr>
        <rFont val="メイリオ"/>
        <b/>
        <color rgb="FF000000"/>
        <sz val="10.0"/>
      </rPr>
      <t xml:space="preserve">ステップ2：
</t>
    </r>
    <r>
      <rPr>
        <rFont val="メイリオ"/>
        <color rgb="FF000000"/>
        <sz val="10.0"/>
      </rPr>
      <t xml:space="preserve">・Màn hình hiện tại được giữ nguyên (nội dung nhập được giữ lại)
</t>
    </r>
    <r>
      <rPr>
        <rFont val="メイリオ"/>
        <b/>
        <color rgb="FF000000"/>
        <sz val="10.0"/>
      </rPr>
      <t xml:space="preserve">ステップ3：
</t>
    </r>
    <r>
      <rPr>
        <rFont val="メイリオ"/>
        <color rgb="FF000000"/>
        <sz val="10.0"/>
      </rPr>
      <t>・Dữ liệu mới không được đăng ký vào `t_file_upload`</t>
    </r>
  </si>
  <si>
    <t>ACSMS-TC-023-039</t>
  </si>
  <si>
    <t>Hủy chọn bằng button clear</t>
  </si>
  <si>
    <r>
      <rPr>
        <rFont val="メイリオ"/>
        <b/>
        <color rgb="FF000000"/>
        <sz val="10.0"/>
      </rPr>
      <t xml:space="preserve">ステップ1：
</t>
    </r>
    <r>
      <rPr>
        <rFont val="メイリオ"/>
        <color rgb="FF000000"/>
        <sz val="10.0"/>
      </rPr>
      <t xml:space="preserve">Click button「クリア」ở trạng thái đã chọn JA đối tượng và file
</t>
    </r>
    <r>
      <rPr>
        <rFont val="メイリオ"/>
        <b/>
        <color rgb="FF000000"/>
        <sz val="10.0"/>
      </rPr>
      <t xml:space="preserve">ステップ2：
</t>
    </r>
    <r>
      <rPr>
        <rFont val="メイリオ"/>
        <color rgb="FF000000"/>
        <sz val="10.0"/>
      </rPr>
      <t>Click「OK」trên dialog xác nhận</t>
    </r>
  </si>
  <si>
    <r>
      <rPr>
        <rFont val="メイリオ"/>
        <b/>
        <color rgb="FF000000"/>
        <sz val="10.0"/>
      </rPr>
      <t xml:space="preserve">ステップ1：
</t>
    </r>
    <r>
      <rPr>
        <rFont val="メイリオ"/>
        <color rgb="FF000000"/>
        <sz val="10.0"/>
      </rPr>
      <t xml:space="preserve">・Dialog xác nhận được hiển thị (message `全てのJAとファイルを削除します。よろしいでしょうか。`, ACSMS-MSG-023-003)
</t>
    </r>
    <r>
      <rPr>
        <rFont val="メイリオ"/>
        <b/>
        <color rgb="FF000000"/>
        <sz val="10.0"/>
      </rPr>
      <t xml:space="preserve">ステップ2：
</t>
    </r>
    <r>
      <rPr>
        <rFont val="メイリオ"/>
        <color rgb="FF000000"/>
        <sz val="10.0"/>
      </rPr>
      <t>・Danh sách JA đã chọn và danh sách file được clear</t>
    </r>
  </si>
  <si>
    <t>Khi chọn「キャンセル」thì không thực hiện xử lý gì.
---</t>
  </si>
  <si>
    <t>Nghiệp vụ — Download &amp; Xóa (Function — Download &amp; Delete)</t>
  </si>
  <si>
    <t>ACSMS-TC-023-040</t>
  </si>
  <si>
    <t>Download file luồng bình thường</t>
  </si>
  <si>
    <t>・role: NICHINO_ADMIN
・Đã đăng nhập + đã xác thực MFA
・Tồn tại file đối tượng download (`file_upload_id = 201`)</t>
  </si>
  <si>
    <r>
      <rPr>
        <rFont val="メイリオ"/>
        <b/>
        <color rgb="FF000000"/>
        <sz val="10.0"/>
      </rPr>
      <t xml:space="preserve">ステップ1：
</t>
    </r>
    <r>
      <rPr>
        <rFont val="メイリオ"/>
        <color rgb="FF000000"/>
        <sz val="10.0"/>
      </rPr>
      <t xml:space="preserve">Thực hiện thao tác download file đối tượng ở「アップロードされたファイルリスト」
</t>
    </r>
    <r>
      <rPr>
        <rFont val="メイリオ"/>
        <b/>
        <color rgb="FF000000"/>
        <sz val="10.0"/>
      </rPr>
      <t xml:space="preserve">ステップ2：
</t>
    </r>
    <r>
      <rPr>
        <rFont val="メイリオ"/>
        <color rgb="FF000000"/>
        <sz val="10.0"/>
      </rPr>
      <t>Xác nhận DB: `SELECT download_type FROM t_file_download ORDER BY created_at DESC LIMIT 1` và `SELECT operation FROM t_log WHERE target_table = 't_file_upload' AND operation = 'DOWNLOAD' ORDER BY log_datetime DESC LIMIT 1`</t>
    </r>
  </si>
  <si>
    <r>
      <rPr>
        <rFont val="メイリオ"/>
        <b/>
        <color rgb="FF000000"/>
        <sz val="10.0"/>
      </rPr>
      <t xml:space="preserve">ステップ1：
</t>
    </r>
    <r>
      <rPr>
        <rFont val="メイリオ"/>
        <color rgb="FF000000"/>
        <sz val="10.0"/>
      </rPr>
      <t xml:space="preserve">・Trả về HTTP 200 (Content-Disposition: `attachment; filename="..."`, binary của file được download)
</t>
    </r>
    <r>
      <rPr>
        <rFont val="メイリオ"/>
        <b/>
        <color rgb="FF000000"/>
        <sz val="10.0"/>
      </rPr>
      <t xml:space="preserve">ステップ2：
</t>
    </r>
    <r>
      <rPr>
        <rFont val="メイリオ"/>
        <color rgb="FF000000"/>
        <sz val="10.0"/>
      </rPr>
      <t xml:space="preserve">・Lịch sử download được record vào `t_file_download` (`download_type = 2`)
</t>
    </r>
    <r>
      <rPr>
        <rFont val="メイリオ"/>
        <color rgb="FF000000"/>
        <sz val="10.0"/>
      </rPr>
      <t>・Audit log được record (`operation = 'DOWNLOAD'`, `log_type = 4`)</t>
    </r>
  </si>
  <si>
    <t>ACSMS-TC-023-041</t>
  </si>
  <si>
    <t>Xóa file luồng bình thường (xóa logical + xóa vật lý)</t>
  </si>
  <si>
    <t>・role: NICHINO_ADMIN
・Đã đăng nhập + đã xác thực MFA
・Tồn tại file đối tượng xóa (`deleted_at` là NULL)</t>
  </si>
  <si>
    <r>
      <rPr>
        <rFont val="メイリオ"/>
        <b/>
        <color rgb="FF000000"/>
        <sz val="10.0"/>
      </rPr>
      <t xml:space="preserve">ステップ1：
</t>
    </r>
    <r>
      <rPr>
        <rFont val="メイリオ"/>
        <color rgb="FF000000"/>
        <sz val="10.0"/>
      </rPr>
      <t xml:space="preserve">Click button「削除」của row đối tượng ở「アップロードされたファイルリスト」
</t>
    </r>
    <r>
      <rPr>
        <rFont val="メイリオ"/>
        <b/>
        <color rgb="FF000000"/>
        <sz val="10.0"/>
      </rPr>
      <t xml:space="preserve">ステップ2：
</t>
    </r>
    <r>
      <rPr>
        <rFont val="メイリオ"/>
        <color rgb="FF000000"/>
        <sz val="10.0"/>
      </rPr>
      <t xml:space="preserve">Xác định xóa trên dialog xác nhận
</t>
    </r>
    <r>
      <rPr>
        <rFont val="メイリオ"/>
        <b/>
        <color rgb="FF000000"/>
        <sz val="10.0"/>
      </rPr>
      <t xml:space="preserve">ステップ3：
</t>
    </r>
    <r>
      <rPr>
        <rFont val="メイリオ"/>
        <color rgb="FF000000"/>
        <sz val="10.0"/>
      </rPr>
      <t>Xác nhận DB: `SELECT deleted_at FROM t_file_upload WHERE file_upload_id = :id`</t>
    </r>
  </si>
  <si>
    <r>
      <rPr>
        <rFont val="メイリオ"/>
        <b/>
        <color rgb="FF000000"/>
        <sz val="10.0"/>
      </rPr>
      <t xml:space="preserve">ステップ1：
</t>
    </r>
    <r>
      <rPr>
        <rFont val="メイリオ"/>
        <color rgb="FF000000"/>
        <sz val="10.0"/>
      </rPr>
      <t xml:space="preserve">・Dialog xác nhận được hiển thị (message `このファイルを削除しますか？`, ACSMS-MSG-023-009)
</t>
    </r>
    <r>
      <rPr>
        <rFont val="メイリオ"/>
        <b/>
        <color rgb="FF000000"/>
        <sz val="10.0"/>
      </rPr>
      <t xml:space="preserve">ステップ2：
</t>
    </r>
    <r>
      <rPr>
        <rFont val="メイリオ"/>
        <color rgb="FF000000"/>
        <sz val="10.0"/>
      </rPr>
      <t xml:space="preserve">・Dữ liệu bị xóa (message `削除しました。`)
</t>
    </r>
    <r>
      <rPr>
        <rFont val="メイリオ"/>
        <color rgb="FF000000"/>
        <sz val="10.0"/>
      </rPr>
      <t xml:space="preserve">・Bảng được cập nhật, và ngày xóa được hiển thị ở cột「削除日」của row đã xóa
</t>
    </r>
    <r>
      <rPr>
        <rFont val="メイリオ"/>
        <b/>
        <color rgb="FF000000"/>
        <sz val="10.0"/>
      </rPr>
      <t xml:space="preserve">ステップ3：
</t>
    </r>
    <r>
      <rPr>
        <rFont val="メイリオ"/>
        <color rgb="FF000000"/>
        <sz val="10.0"/>
      </rPr>
      <t>・Bị xóa logical (`deleted_at IS NOT NULL`), và file vật lý bị xóa khỏi storage</t>
    </r>
  </si>
  <si>
    <t>ACSMS-TC-023-042</t>
  </si>
  <si>
    <t>Record audit log (xóa)</t>
  </si>
  <si>
    <t>・role: NICHINO_ADMIN
・Đã đăng nhập + đã xác thực MFA
・Tồn tại file đối tượng xóa</t>
  </si>
  <si>
    <r>
      <rPr>
        <rFont val="メイリオ"/>
        <b/>
        <color rgb="FF000000"/>
        <sz val="10.0"/>
      </rPr>
      <t xml:space="preserve">ステップ1：
</t>
    </r>
    <r>
      <rPr>
        <rFont val="メイリオ"/>
        <color rgb="FF000000"/>
        <sz val="10.0"/>
      </rPr>
      <t xml:space="preserve">Xóa file
</t>
    </r>
    <r>
      <rPr>
        <rFont val="メイリオ"/>
        <b/>
        <color rgb="FF000000"/>
        <sz val="10.0"/>
      </rPr>
      <t xml:space="preserve">ステップ2：
</t>
    </r>
    <r>
      <rPr>
        <rFont val="メイリオ"/>
        <color rgb="FF000000"/>
        <sz val="10.0"/>
      </rPr>
      <t>Xác nhận DB: `SELECT log_type, operation, result_status, before_value FROM t_log WHERE target_table = 't_file_upload' AND operation = 'DELETE' ORDER BY log_datetime DESC LIMIT 1`</t>
    </r>
  </si>
  <si>
    <r>
      <rPr>
        <rFont val="メイリオ"/>
        <b/>
        <color rgb="FF000000"/>
        <sz val="10.0"/>
      </rPr>
      <t xml:space="preserve">ステップ1：
</t>
    </r>
    <r>
      <rPr>
        <rFont val="メイリオ"/>
        <color rgb="FF000000"/>
        <sz val="10.0"/>
      </rPr>
      <t xml:space="preserve">・Dữ liệu bị xóa (message `削除しました。`)
</t>
    </r>
    <r>
      <rPr>
        <rFont val="メイリオ"/>
        <b/>
        <color rgb="FF000000"/>
        <sz val="10.0"/>
      </rPr>
      <t xml:space="preserve">ステップ2：
</t>
    </r>
    <r>
      <rPr>
        <rFont val="メイリオ"/>
        <color rgb="FF000000"/>
        <sz val="10.0"/>
      </rPr>
      <t xml:space="preserve">・Audit log được record (`log_type = 4`, `operation = 'DELETE'`, `result_status = 1`)
</t>
    </r>
    <r>
      <rPr>
        <rFont val="メイリオ"/>
        <color rgb="FF000000"/>
        <sz val="10.0"/>
      </rPr>
      <t>・Dữ liệu trước khi xóa được record dưới dạng JSON ở `before_value`</t>
    </r>
  </si>
  <si>
    <t>ACSMS-TC-023-043</t>
  </si>
  <si>
    <t>Điều khiển active／disable của button xóa</t>
  </si>
  <si>
    <t>・role: NICHINO_ADMIN
・Đã đăng nhập + đã xác thực MFA
・Tồn tại từ 1 row trở lên cho mỗi loại: row có `deleted_at` NULL và row có `deleted_at` NOT NULL</t>
  </si>
  <si>
    <r>
      <rPr>
        <rFont val="メイリオ"/>
        <b/>
        <color rgb="FF000000"/>
        <sz val="10.0"/>
      </rPr>
      <t xml:space="preserve">ステップ1：
</t>
    </r>
    <r>
      <rPr>
        <rFont val="メイリオ"/>
        <color rgb="FF000000"/>
        <sz val="10.0"/>
      </rPr>
      <t>Xác nhận trạng thái của button「削除」từng row ở「アップロードされたファイルリスト」</t>
    </r>
  </si>
  <si>
    <r>
      <rPr>
        <rFont val="メイリオ"/>
        <b/>
        <color rgb="FF000000"/>
        <sz val="10.0"/>
      </rPr>
      <t xml:space="preserve">ステップ1：
</t>
    </r>
    <r>
      <rPr>
        <rFont val="メイリオ"/>
        <color rgb="FF000000"/>
        <sz val="10.0"/>
      </rPr>
      <t xml:space="preserve">・Row có `deleted_at` NULL thì button「削除」được hiển thị ở trạng thái active
</t>
    </r>
    <r>
      <rPr>
        <rFont val="メイリオ"/>
        <color rgb="FF000000"/>
        <sz val="10.0"/>
      </rPr>
      <t>・Row có `deleted_at` NOT NULL thì button「削除」được hiển thị ở trạng thái disable</t>
    </r>
  </si>
  <si>
    <t>ACSMS-TC-023-044</t>
  </si>
  <si>
    <t>Cancel dialog xác nhận xóa</t>
  </si>
  <si>
    <r>
      <rPr>
        <rFont val="メイリオ"/>
        <b/>
        <color rgb="FF000000"/>
        <sz val="10.0"/>
      </rPr>
      <t xml:space="preserve">ステップ1：
</t>
    </r>
    <r>
      <rPr>
        <rFont val="メイリオ"/>
        <color rgb="FF000000"/>
        <sz val="10.0"/>
      </rPr>
      <t xml:space="preserve">Click button「削除」của row đối tượng
</t>
    </r>
    <r>
      <rPr>
        <rFont val="メイリオ"/>
        <b/>
        <color rgb="FF000000"/>
        <sz val="10.0"/>
      </rPr>
      <t xml:space="preserve">ステップ2：
</t>
    </r>
    <r>
      <rPr>
        <rFont val="メイリオ"/>
        <color rgb="FF000000"/>
        <sz val="10.0"/>
      </rPr>
      <t xml:space="preserve">Click「キャンセル」trên dialog xác nhận (ACSMS-MSG-023-009)
</t>
    </r>
    <r>
      <rPr>
        <rFont val="メイリオ"/>
        <b/>
        <color rgb="FF000000"/>
        <sz val="10.0"/>
      </rPr>
      <t xml:space="preserve">ステップ3：
</t>
    </r>
    <r>
      <rPr>
        <rFont val="メイリオ"/>
        <color rgb="FF000000"/>
        <sz val="10.0"/>
      </rPr>
      <t>Xác nhận DB: `SELECT deleted_at FROM t_file_upload WHERE file_upload_id = :id`</t>
    </r>
  </si>
  <si>
    <r>
      <rPr>
        <rFont val="メイリオ"/>
        <b/>
        <color rgb="FF000000"/>
        <sz val="10.0"/>
      </rPr>
      <t xml:space="preserve">ステップ1：
</t>
    </r>
    <r>
      <rPr>
        <rFont val="メイリオ"/>
        <color rgb="FF000000"/>
        <sz val="10.0"/>
      </rPr>
      <t xml:space="preserve">・Dialog xác nhận được hiển thị (message `このファイルを削除しますか？`)
</t>
    </r>
    <r>
      <rPr>
        <rFont val="メイリオ"/>
        <b/>
        <color rgb="FF000000"/>
        <sz val="10.0"/>
      </rPr>
      <t xml:space="preserve">ステップ2：
</t>
    </r>
    <r>
      <rPr>
        <rFont val="メイリオ"/>
        <color rgb="FF000000"/>
        <sz val="10.0"/>
      </rPr>
      <t xml:space="preserve">・Màn hình hiện tại được giữ nguyên
</t>
    </r>
    <r>
      <rPr>
        <rFont val="メイリオ"/>
        <b/>
        <color rgb="FF000000"/>
        <sz val="10.0"/>
      </rPr>
      <t xml:space="preserve">ステップ3：
</t>
    </r>
    <r>
      <rPr>
        <rFont val="メイリオ"/>
        <color rgb="FF000000"/>
        <sz val="10.0"/>
      </rPr>
      <t>・Dữ liệu không bị xóa (vẫn ở `deleted_at IS NULL`)</t>
    </r>
  </si>
  <si>
    <t>ACSMS-TC-023-045</t>
  </si>
  <si>
    <t>Download file đã xóa (NOT_FOUND)</t>
  </si>
  <si>
    <t>・role: NICHINO_ADMIN
・Đã đăng nhập + đã xác thực MFA
・Tồn tại file đã xóa logical (`deleted_at IS NOT NULL`) (`file_upload_id = 301`)</t>
  </si>
  <si>
    <r>
      <rPr>
        <rFont val="メイリオ"/>
        <b/>
        <color rgb="FF000000"/>
        <sz val="10.0"/>
      </rPr>
      <t xml:space="preserve">ステップ1：
</t>
    </r>
    <r>
      <rPr>
        <rFont val="メイリオ"/>
        <color rgb="FF000000"/>
        <sz val="10.0"/>
      </rPr>
      <t>Gửi trực tiếp GET `/api/v1/file-upload/301/download` bằng DevTools</t>
    </r>
  </si>
  <si>
    <r>
      <rPr>
        <rFont val="メイリオ"/>
        <b/>
        <color rgb="FF000000"/>
        <sz val="10.0"/>
      </rPr>
      <t xml:space="preserve">ステップ1：
</t>
    </r>
    <r>
      <rPr>
        <rFont val="メイリオ"/>
        <color rgb="FF000000"/>
        <sz val="10.0"/>
      </rPr>
      <t xml:space="preserve">Trả về HTTP 404 (`error_code: NOT_FOUND`, message `指定されたファイルが見つかりません。`)
</t>
    </r>
    <r>
      <rPr>
        <rFont val="メイリオ"/>
        <b/>
        <color rgb="FF000000"/>
        <sz val="10.0"/>
      </rPr>
      <t xml:space="preserve">補足：
</t>
    </r>
    <r>
      <rPr>
        <rFont val="メイリオ"/>
        <color rgb="FF000000"/>
        <sz val="10.0"/>
      </rPr>
      <t>・Record đã xóa logical không phải là đối tượng download (bị loại trừ bằng điều kiện `deleted_at IS NULL`)</t>
    </r>
  </si>
  <si>
    <t>Xử lý lỗi chung (Common Error Handling)</t>
  </si>
  <si>
    <t>ACSMS-TC-023-046</t>
  </si>
  <si>
    <t>Xử lý 401 khi session hết hạn</t>
  </si>
  <si>
    <t>・role: NICHINO_ADMIN
・Đã đăng nhập + đã xác thực MFA
・Trạng thái session đã bị làm hết hạn cưỡng chế</t>
  </si>
  <si>
    <r>
      <rPr>
        <rFont val="メイリオ"/>
        <b/>
        <color rgb="FF000000"/>
        <sz val="10.0"/>
      </rPr>
      <t xml:space="preserve">ステップ1：
</t>
    </r>
    <r>
      <rPr>
        <rFont val="メイリオ"/>
        <color rgb="FF000000"/>
        <sz val="10.0"/>
      </rPr>
      <t>Sau khi session hết hạn, thực hiện thao tác bất kỳ trên màn hình (fetch lại danh sách file v.v.)</t>
    </r>
  </si>
  <si>
    <r>
      <rPr>
        <rFont val="メイリオ"/>
        <b/>
        <color rgb="FF000000"/>
        <sz val="10.0"/>
      </rPr>
      <t xml:space="preserve">ステップ1：
</t>
    </r>
    <r>
      <rPr>
        <rFont val="メイリオ"/>
        <color rgb="FF000000"/>
        <sz val="10.0"/>
      </rPr>
      <t xml:space="preserve">・Trả về HTTP 401 (`error_code: UNAUTHORIZED`, message `セッションが切れました。再度ログインしてください。`)
</t>
    </r>
    <r>
      <rPr>
        <rFont val="メイリオ"/>
        <color rgb="FF000000"/>
        <sz val="10.0"/>
      </rPr>
      <t>・Khi session hết hạn, chuyển sang màn hình đăng nhập (`/login?redirect=...`)</t>
    </r>
  </si>
  <si>
    <t>ACSMS-TC-023-047</t>
  </si>
  <si>
    <t>Gửi request parameter không hợp lệ (BAD_REQUEST)</t>
  </si>
  <si>
    <r>
      <rPr>
        <rFont val="メイリオ"/>
        <b/>
        <color rgb="FF000000"/>
        <sz val="10.0"/>
      </rPr>
      <t xml:space="preserve">ステップ1：
</t>
    </r>
    <r>
      <rPr>
        <rFont val="メイリオ"/>
        <color rgb="FF000000"/>
        <sz val="10.0"/>
      </rPr>
      <t>Gửi query parameter không hợp lệ như GET `/api/v1/file-upload?status=abc&amp;page=-1` bằng DevTools</t>
    </r>
  </si>
  <si>
    <r>
      <rPr>
        <rFont val="メイリオ"/>
        <b/>
        <color rgb="FF000000"/>
        <sz val="10.0"/>
      </rPr>
      <t xml:space="preserve">ステップ1：
</t>
    </r>
    <r>
      <rPr>
        <rFont val="メイリオ"/>
        <color rgb="FF000000"/>
        <sz val="10.0"/>
      </rPr>
      <t>Trả về HTTP 400 (`error_code: BAD_REQUEST`, message `リクエストパラメータが不正です。`)</t>
    </r>
  </si>
  <si>
    <t>ACSMS-TC-023-048</t>
  </si>
  <si>
    <t>Lỗi validation (hình dạng mảng errors)</t>
  </si>
  <si>
    <r>
      <rPr>
        <rFont val="メイリオ"/>
        <b/>
        <color rgb="FF000000"/>
        <sz val="10.0"/>
      </rPr>
      <t xml:space="preserve">ステップ1：
</t>
    </r>
    <r>
      <rPr>
        <rFont val="メイリオ"/>
        <color rgb="FF000000"/>
        <sz val="10.0"/>
      </rPr>
      <t>Gửi POST `/api/v1/file-upload` ở trạng thái chưa chỉ định JA đối tượng (`ja_ids` trống) bằng DevTools</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</si>
  <si>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t>
    </r>
    <r>
      <rPr>
        <rFont val="メイリオ"/>
        <color rgb="FF000000"/>
        <sz val="10.0"/>
      </rPr>
      <t>・Response chứa mảng `errors`, có hình dạng `{ field, message }` (ví dụ: `field: "ja_ids"`, `message: "対象JAを1つ以上選択してください。"`)</t>
    </r>
  </si>
  <si>
    <t>ACSMS-TC-023-049</t>
  </si>
  <si>
    <t>Vượt quá rate limit (TOO_MANY_REQUESTS)</t>
  </si>
  <si>
    <r>
      <rPr>
        <rFont val="メイリオ"/>
        <b/>
        <color rgb="FF000000"/>
        <sz val="10.0"/>
      </rPr>
      <t xml:space="preserve">ステップ1：
</t>
    </r>
    <r>
      <rPr>
        <rFont val="メイリオ"/>
        <color rgb="FF000000"/>
        <sz val="10.0"/>
      </rPr>
      <t>Gửi liên tục số lần request vượt quá giới hạn trong thời gian ngắn</t>
    </r>
  </si>
  <si>
    <r>
      <rPr>
        <rFont val="メイリオ"/>
        <b/>
        <color rgb="FF000000"/>
        <sz val="10.0"/>
      </rPr>
      <t xml:space="preserve">ステップ1：
</t>
    </r>
    <r>
      <rPr>
        <rFont val="メイリオ"/>
        <color rgb="FF000000"/>
        <sz val="10.0"/>
      </rPr>
      <t>Trả về HTTP 429 (`error_code: TOO_MANY_REQUESTS`, message `リクエスト回数が上限を超えました。しばらくしてから再度お試しください。`)</t>
    </r>
  </si>
  <si>
    <t>ACSMS-TC-023-050</t>
  </si>
  <si>
    <t>Lỗi server (INTERNAL_SERVER_ERROR)</t>
  </si>
  <si>
    <t>・role: NICHINO_ADMIN
・Đã đăng nhập + đã xác thực MFA
・Trạng thái có thể giả lập ghi storage thất bại</t>
  </si>
  <si>
    <r>
      <rPr>
        <rFont val="メイリオ"/>
        <b/>
        <color rgb="FF000000"/>
        <sz val="10.0"/>
      </rPr>
      <t xml:space="preserve">ステップ1：
</t>
    </r>
    <r>
      <rPr>
        <rFont val="メイリオ"/>
        <color rgb="FF000000"/>
        <sz val="10.0"/>
      </rPr>
      <t xml:space="preserve">Thực hiện upload ở trạng thái giả lập ghi storage thất bại
</t>
    </r>
    <r>
      <rPr>
        <rFont val="メイリオ"/>
        <b/>
        <color rgb="FF000000"/>
        <sz val="10.0"/>
      </rPr>
      <t xml:space="preserve">ステップ2：
</t>
    </r>
    <r>
      <rPr>
        <rFont val="メイリオ"/>
        <color rgb="FF000000"/>
        <sz val="10.0"/>
      </rPr>
      <t>Xác nhận DB: `SELECT COUNT(*) FROM t_file_upload WHERE created_by = :account_id`（so sánh số lượng trước và sau khi thực hiện）</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</si>
  <si>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color rgb="FF000000"/>
        <sz val="10.0"/>
      </rPr>
      <t xml:space="preserve">・Message upload thất bại `アップロードに失敗しました。しばらくしてから再度お試しください。`（ACSMS-MSG-023-005）được hiển thị trên màn hình
</t>
    </r>
    <r>
      <rPr>
        <rFont val="メイリオ"/>
        <b/>
        <color rgb="FF000000"/>
        <sz val="10.0"/>
      </rPr>
      <t xml:space="preserve">ステップ2：
</t>
    </r>
    <r>
      <rPr>
        <rFont val="メイリオ"/>
        <color rgb="FF000000"/>
        <sz val="10.0"/>
      </rPr>
      <t xml:space="preserve">・Transaction được rollback, và dữ liệu mới không được đăng ký vào `t_file_upload`
</t>
    </r>
    <r>
      <rPr>
        <rFont val="メイリオ"/>
        <color rgb="FF000000"/>
        <sz val="10.0"/>
      </rPr>
      <t>・File vật lý đã được lưu được xóa bù trừ (compensating delete)</t>
    </r>
  </si>
  <si>
    <t>ACSMS-TC-023-051</t>
  </si>
  <si>
    <t>Lấy resource đã xóa (NOT_FOUND)</t>
  </si>
  <si>
    <t>・role: NICHINO_ADMIN
・Đã đăng nhập + đã xác thực MFA
・Tồn tại file đã xóa logical (`file_upload_id = 301`)</t>
  </si>
  <si>
    <r>
      <rPr>
        <rFont val="メイリオ"/>
        <b/>
        <color rgb="FF000000"/>
        <sz val="10.0"/>
      </rPr>
      <t xml:space="preserve">ステップ1：
</t>
    </r>
    <r>
      <rPr>
        <rFont val="メイリオ"/>
        <color rgb="FF000000"/>
        <sz val="10.0"/>
      </rPr>
      <t>Gửi trực tiếp DELETE `/api/v1/file-upload/301` bằng DevTools (record đã bị xóa)</t>
    </r>
  </si>
  <si>
    <r>
      <rPr>
        <rFont val="メイリオ"/>
        <b/>
        <color rgb="FF000000"/>
        <sz val="10.0"/>
      </rPr>
      <t xml:space="preserve">ステップ1：
</t>
    </r>
    <r>
      <rPr>
        <rFont val="メイリオ"/>
        <color rgb="FF000000"/>
        <sz val="10.0"/>
      </rPr>
      <t>Trả về HTTP 404 (`error_code: NOT_FOUND`, message `指定されたファイルが見つかりません。`)</t>
    </r>
  </si>
  <si>
    <t>ACSMS-TC-023-052</t>
  </si>
  <si>
    <t>Xử lý khi mất kết nối mạng</t>
  </si>
  <si>
    <r>
      <rPr>
        <rFont val="メイリオ"/>
        <b/>
        <color rgb="FF000000"/>
        <sz val="10.0"/>
      </rPr>
      <t xml:space="preserve">ステップ1：
</t>
    </r>
    <r>
      <rPr>
        <rFont val="メイリオ"/>
        <color rgb="FF000000"/>
        <sz val="10.0"/>
      </rPr>
      <t>Click「アップロード実行」ở trạng thái giả lập mất kết nối mạng ở tab Network của DevTools</t>
    </r>
  </si>
  <si>
    <r>
      <rPr>
        <rFont val="メイリオ"/>
        <b/>
        <color rgb="FF000000"/>
        <sz val="10.0"/>
      </rPr>
      <t xml:space="preserve">ステップ1：
</t>
    </r>
    <r>
      <rPr>
        <rFont val="メイリオ"/>
        <color rgb="FF000000"/>
        <sz val="10.0"/>
      </rPr>
      <t xml:space="preserve">・Toast lỗi mạng được hiển thị ở phía frontend
</t>
    </r>
    <r>
      <rPr>
        <rFont val="メイリオ"/>
        <color rgb="FF000000"/>
        <sz val="10.0"/>
      </rPr>
      <t>・Không phát sinh lỗi ngoài dự kiến (màn hình không bị terminate bất thường)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</si>
</sst>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11">
    <font>
      <sz val="11.0"/>
      <color theme="1"/>
      <name val="Calibri"/>
      <scheme val="minor"/>
    </font>
    <font>
      <b/>
      <sz val="11.0"/>
      <color rgb="FF000000"/>
      <name val="游ゴシック"/>
    </font>
    <font>
      <b/>
      <sz val="14.0"/>
      <color rgb="FF000000"/>
      <name val="游ゴシック"/>
    </font>
    <font/>
    <font>
      <sz val="11.0"/>
      <color theme="1"/>
      <name val="Calibri"/>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DEEAF6"/>
        <bgColor rgb="FFDEEAF6"/>
      </patternFill>
    </fill>
    <fill>
      <patternFill patternType="solid">
        <fgColor rgb="FFFFFF99"/>
        <bgColor rgb="FFFFFF99"/>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0" fontId="3" numFmtId="0" xfId="0" applyBorder="1" applyFont="1"/>
    <xf borderId="4" fillId="0" fontId="4" numFmtId="0" xfId="0" applyBorder="1" applyFont="1"/>
    <xf borderId="5" fillId="0" fontId="4" numFmtId="0" xfId="0" applyBorder="1" applyFont="1"/>
    <xf borderId="6" fillId="0" fontId="3" numFmtId="0" xfId="0" applyBorder="1" applyFont="1"/>
    <xf borderId="2" fillId="3" fontId="1" numFmtId="0" xfId="0" applyAlignment="1" applyBorder="1" applyFill="1" applyFont="1">
      <alignment horizontal="left" shrinkToFit="0" vertical="center" wrapText="1"/>
    </xf>
    <xf borderId="7" fillId="0" fontId="4" numFmtId="0" xfId="0" applyBorder="1" applyFont="1"/>
    <xf borderId="1" fillId="0" fontId="5" numFmtId="0" xfId="0" applyAlignment="1" applyBorder="1" applyFont="1">
      <alignment horizontal="center" shrinkToFit="0" vertical="center" wrapText="1"/>
    </xf>
    <xf borderId="8" fillId="0" fontId="4" numFmtId="0" xfId="0" applyBorder="1" applyFont="1"/>
    <xf borderId="2" fillId="0" fontId="5" numFmtId="0" xfId="0" applyAlignment="1" applyBorder="1" applyFont="1">
      <alignment horizontal="left" shrinkToFit="0" vertical="center" wrapText="1"/>
    </xf>
    <xf borderId="2" fillId="0" fontId="5" numFmtId="0" xfId="0" applyAlignment="1" applyBorder="1" applyFont="1">
      <alignment horizontal="center" shrinkToFit="0" vertical="center" wrapText="1"/>
    </xf>
    <xf borderId="9" fillId="0" fontId="4" numFmtId="0" xfId="0" applyBorder="1" applyFont="1"/>
    <xf borderId="4" fillId="0" fontId="5" numFmtId="0" xfId="0" applyAlignment="1" applyBorder="1" applyFont="1">
      <alignment horizontal="center" shrinkToFit="0" vertical="center" wrapText="1"/>
    </xf>
    <xf borderId="5" fillId="0" fontId="3" numFmtId="0" xfId="0" applyBorder="1" applyFont="1"/>
    <xf borderId="7" fillId="0" fontId="3" numFmtId="0" xfId="0" applyBorder="1" applyFont="1"/>
    <xf borderId="8" fillId="0" fontId="6" numFmtId="0" xfId="0" applyAlignment="1" applyBorder="1" applyFont="1">
      <alignment horizontal="center" shrinkToFit="0" vertical="center" wrapText="1"/>
    </xf>
    <xf borderId="9" fillId="0" fontId="3" numFmtId="0" xfId="0" applyBorder="1" applyFont="1"/>
    <xf borderId="2" fillId="0" fontId="5" numFmtId="49" xfId="0" applyAlignment="1" applyBorder="1" applyFont="1" applyNumberFormat="1">
      <alignment horizontal="left" shrinkToFit="0" vertical="center" wrapText="1"/>
    </xf>
    <xf borderId="8" fillId="0" fontId="7" numFmtId="0" xfId="0" applyAlignment="1" applyBorder="1" applyFont="1">
      <alignment horizontal="center" shrinkToFit="0" vertical="center" wrapText="1"/>
    </xf>
    <xf borderId="4" fillId="0" fontId="5" numFmtId="49" xfId="0" applyAlignment="1" applyBorder="1" applyFont="1" applyNumberFormat="1">
      <alignment horizontal="center" shrinkToFit="0" vertical="center" wrapText="1"/>
    </xf>
    <xf borderId="10" fillId="3" fontId="1"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4" fillId="3" fontId="1" numFmtId="0" xfId="0" applyAlignment="1" applyBorder="1" applyFont="1">
      <alignment horizontal="center" shrinkToFit="0" vertical="center" wrapText="1"/>
    </xf>
    <xf borderId="11" fillId="0" fontId="3" numFmtId="0" xfId="0" applyBorder="1" applyFont="1"/>
    <xf borderId="12" fillId="0" fontId="3" numFmtId="0" xfId="0" applyBorder="1" applyFont="1"/>
    <xf borderId="2" fillId="4" fontId="9" numFmtId="0" xfId="0" applyAlignment="1" applyBorder="1" applyFill="1" applyFont="1">
      <alignment horizontal="center" shrinkToFit="0" vertical="center" wrapText="1"/>
    </xf>
    <xf borderId="2" fillId="3" fontId="1" numFmtId="0" xfId="0" applyAlignment="1" applyBorder="1" applyFont="1">
      <alignment horizontal="center" shrinkToFit="0" vertical="center" wrapText="1"/>
    </xf>
    <xf borderId="13" fillId="0" fontId="3" numFmtId="0" xfId="0" applyBorder="1" applyFont="1"/>
    <xf borderId="14" fillId="0" fontId="3" numFmtId="0" xfId="0" applyBorder="1" applyFont="1"/>
    <xf borderId="2" fillId="4" fontId="9" numFmtId="49" xfId="0" applyAlignment="1" applyBorder="1" applyFont="1" applyNumberFormat="1">
      <alignment horizontal="center" shrinkToFit="0" vertical="center" wrapText="1"/>
    </xf>
    <xf borderId="0" fillId="0" fontId="1" numFmtId="0" xfId="0" applyAlignment="1" applyFont="1">
      <alignment horizontal="left" shrinkToFit="0" vertical="center" wrapText="1"/>
    </xf>
    <xf borderId="0" fillId="0" fontId="5" numFmtId="0" xfId="0" applyAlignment="1" applyFont="1">
      <alignment horizontal="left" shrinkToFit="0" vertical="center" wrapText="1"/>
    </xf>
    <xf borderId="11" fillId="0" fontId="4" numFmtId="0" xfId="0" applyBorder="1" applyFont="1"/>
    <xf borderId="1" fillId="5" fontId="1" numFmtId="0" xfId="0" applyAlignment="1" applyBorder="1" applyFill="1" applyFont="1">
      <alignment horizontal="left" shrinkToFit="0" vertical="center" wrapText="1"/>
    </xf>
    <xf borderId="12" fillId="0" fontId="4" numFmtId="0" xfId="0" applyBorder="1" applyFont="1"/>
    <xf borderId="15" fillId="6" fontId="1" numFmtId="0" xfId="0" applyAlignment="1" applyBorder="1" applyFill="1" applyFont="1">
      <alignment horizontal="left" shrinkToFit="0" vertical="center" wrapText="1"/>
    </xf>
    <xf borderId="16" fillId="0" fontId="3" numFmtId="0" xfId="0" applyBorder="1" applyFont="1"/>
    <xf borderId="13" fillId="0" fontId="4" numFmtId="0" xfId="0" applyBorder="1" applyFont="1"/>
    <xf borderId="17" fillId="0" fontId="3" numFmtId="0" xfId="0" applyBorder="1" applyFont="1"/>
    <xf borderId="2" fillId="0" fontId="5"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2" fillId="5"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10" fillId="5" fontId="1" numFmtId="0" xfId="0" applyAlignment="1" applyBorder="1" applyFont="1">
      <alignment horizontal="center" shrinkToFit="0" vertical="center" wrapText="1"/>
    </xf>
    <xf borderId="4" fillId="5" fontId="1" numFmtId="0" xfId="0" applyAlignment="1" applyBorder="1" applyFont="1">
      <alignment horizontal="center" shrinkToFit="0" vertical="center" wrapText="1"/>
    </xf>
    <xf borderId="2" fillId="0" fontId="5" numFmtId="0" xfId="0" applyAlignment="1" applyBorder="1" applyFont="1">
      <alignment horizontal="center" readingOrder="0" shrinkToFit="0" vertical="top" wrapText="1"/>
    </xf>
    <xf borderId="2" fillId="0" fontId="5" numFmtId="165" xfId="0" applyAlignment="1" applyBorder="1" applyFont="1" applyNumberFormat="1">
      <alignment horizontal="center" readingOrder="0" shrinkToFit="0" vertical="top" wrapText="1"/>
    </xf>
    <xf borderId="2" fillId="9" fontId="1" numFmtId="0" xfId="0" applyAlignment="1" applyBorder="1" applyFill="1" applyFont="1">
      <alignment horizontal="center" shrinkToFit="0" vertical="top" wrapText="1"/>
    </xf>
    <xf borderId="2" fillId="3" fontId="1" numFmtId="0" xfId="0" applyAlignment="1" applyBorder="1" applyFont="1">
      <alignment horizontal="right" shrinkToFit="0" vertical="center" wrapText="1"/>
    </xf>
    <xf borderId="2" fillId="0" fontId="1" numFmtId="0" xfId="0" applyAlignment="1" applyBorder="1" applyFont="1">
      <alignment horizontal="center" shrinkToFit="0" vertical="top" wrapText="1"/>
    </xf>
    <xf borderId="2" fillId="0" fontId="10"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5"/>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9"/>
    </row>
    <row r="3" ht="12.75" customHeight="1">
      <c r="B3" s="11"/>
      <c r="AK3" s="14"/>
    </row>
    <row r="4" ht="12.75" customHeight="1">
      <c r="B4" s="11"/>
      <c r="AK4" s="14"/>
    </row>
    <row r="5" ht="12.75" customHeight="1">
      <c r="B5" s="11"/>
      <c r="AK5" s="14"/>
    </row>
    <row r="6" ht="12.75" customHeight="1">
      <c r="B6" s="11"/>
      <c r="AK6" s="14"/>
    </row>
    <row r="7" ht="12.75" customHeight="1">
      <c r="B7" s="11"/>
      <c r="AK7" s="14"/>
    </row>
    <row r="8" ht="12.75" customHeight="1">
      <c r="B8" s="11"/>
      <c r="AK8" s="14"/>
    </row>
    <row r="9" ht="12.75" customHeight="1">
      <c r="B9" s="11"/>
      <c r="AK9" s="14"/>
    </row>
    <row r="10" ht="29.25" customHeight="1">
      <c r="B10" s="18" t="s">
        <v>14</v>
      </c>
      <c r="AK10" s="19"/>
    </row>
    <row r="11" ht="12.75" customHeight="1">
      <c r="B11" s="11"/>
      <c r="AK11" s="14"/>
    </row>
    <row r="12" ht="39.0" customHeight="1">
      <c r="B12" s="21" t="s">
        <v>26</v>
      </c>
      <c r="AK12" s="19"/>
    </row>
    <row r="13" ht="12.75" customHeight="1">
      <c r="B13" s="11"/>
      <c r="AK13" s="14"/>
    </row>
    <row r="14" ht="12.75" customHeight="1">
      <c r="B14" s="11"/>
      <c r="AK14" s="14"/>
    </row>
    <row r="15" ht="12.75" customHeight="1">
      <c r="B15" s="24" t="s">
        <v>28</v>
      </c>
      <c r="AK15" s="19"/>
    </row>
    <row r="16" ht="12.75" customHeight="1">
      <c r="B16" s="11"/>
      <c r="AK16" s="14"/>
    </row>
    <row r="17" ht="12.75" customHeight="1">
      <c r="B17" s="11"/>
      <c r="AK17" s="14"/>
    </row>
    <row r="18" ht="12.75" customHeight="1">
      <c r="B18" s="11"/>
      <c r="N18" s="28" t="s">
        <v>31</v>
      </c>
      <c r="O18" s="4"/>
      <c r="P18" s="4"/>
      <c r="Q18" s="4"/>
      <c r="R18" s="7"/>
      <c r="S18" s="28" t="s">
        <v>32</v>
      </c>
      <c r="T18" s="4"/>
      <c r="U18" s="4"/>
      <c r="V18" s="4"/>
      <c r="W18" s="7"/>
      <c r="AK18" s="14"/>
    </row>
    <row r="19" ht="12.75" customHeight="1">
      <c r="B19" s="11"/>
      <c r="N19" s="28" t="s">
        <v>33</v>
      </c>
      <c r="O19" s="4"/>
      <c r="P19" s="4"/>
      <c r="Q19" s="4"/>
      <c r="R19" s="7"/>
      <c r="S19" s="28" t="s">
        <v>19</v>
      </c>
      <c r="T19" s="4"/>
      <c r="U19" s="4"/>
      <c r="V19" s="4"/>
      <c r="W19" s="7"/>
      <c r="AK19" s="14"/>
    </row>
    <row r="20" ht="12.75" customHeight="1">
      <c r="B20" s="11"/>
      <c r="N20" s="28" t="s">
        <v>3</v>
      </c>
      <c r="O20" s="4"/>
      <c r="P20" s="4"/>
      <c r="Q20" s="4"/>
      <c r="R20" s="7"/>
      <c r="S20" s="32" t="s">
        <v>25</v>
      </c>
      <c r="T20" s="4"/>
      <c r="U20" s="4"/>
      <c r="V20" s="4"/>
      <c r="W20" s="7"/>
      <c r="AK20" s="14"/>
    </row>
    <row r="21" ht="12.75" customHeight="1">
      <c r="B21" s="11"/>
      <c r="AK21" s="14"/>
    </row>
    <row r="22" ht="12.75" customHeight="1">
      <c r="B22" s="11"/>
      <c r="AK22" s="14"/>
    </row>
    <row r="23" ht="12.75" customHeight="1">
      <c r="B23" s="11"/>
      <c r="AK23" s="14"/>
    </row>
    <row r="24" ht="12.75" customHeight="1">
      <c r="B24" s="11"/>
      <c r="AK24" s="14"/>
    </row>
    <row r="25" ht="12.75" customHeight="1">
      <c r="B25" s="11"/>
      <c r="AK25" s="14"/>
    </row>
    <row r="26" ht="12.75" customHeight="1">
      <c r="B26" s="11"/>
      <c r="AK26" s="14"/>
    </row>
    <row r="27" ht="12.75" customHeight="1">
      <c r="B27" s="11"/>
      <c r="AK27" s="14"/>
    </row>
    <row r="28" ht="12.75" customHeight="1">
      <c r="B28" s="11"/>
      <c r="AK28" s="14"/>
    </row>
    <row r="29" ht="12.75" customHeight="1">
      <c r="B29" s="11"/>
      <c r="AK29" s="14"/>
    </row>
    <row r="30" ht="12.75" customHeight="1">
      <c r="B30" s="11"/>
      <c r="AK30" s="14"/>
    </row>
    <row r="31" ht="12.75" customHeight="1">
      <c r="B31" s="11"/>
      <c r="AK31" s="14"/>
    </row>
    <row r="32" ht="12.75" customHeight="1">
      <c r="B32" s="11"/>
      <c r="AK32" s="14"/>
    </row>
    <row r="33" ht="12.75" customHeight="1">
      <c r="B33" s="11"/>
      <c r="AK33" s="14"/>
    </row>
    <row r="34" ht="12.75" customHeight="1">
      <c r="B34" s="35"/>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40"/>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3" t="s">
        <v>3</v>
      </c>
      <c r="C1" s="4"/>
      <c r="D1" s="4"/>
      <c r="E1" s="7"/>
      <c r="F1" s="3" t="s">
        <v>5</v>
      </c>
      <c r="G1" s="4"/>
      <c r="H1" s="7"/>
      <c r="I1" s="3" t="s">
        <v>6</v>
      </c>
      <c r="J1" s="4"/>
      <c r="K1" s="4"/>
      <c r="L1" s="4"/>
      <c r="M1" s="4"/>
      <c r="N1" s="7"/>
      <c r="O1" s="3" t="s">
        <v>8</v>
      </c>
      <c r="P1" s="4"/>
      <c r="Q1" s="4"/>
      <c r="R1" s="4"/>
      <c r="S1" s="4"/>
      <c r="T1" s="4"/>
      <c r="U1" s="4"/>
      <c r="V1" s="7"/>
      <c r="W1" s="3" t="s">
        <v>11</v>
      </c>
      <c r="X1" s="4"/>
      <c r="Y1" s="4"/>
      <c r="Z1" s="4"/>
      <c r="AA1" s="4"/>
      <c r="AB1" s="7"/>
      <c r="AC1" s="3" t="s">
        <v>12</v>
      </c>
      <c r="AD1" s="4"/>
      <c r="AE1" s="4"/>
      <c r="AF1" s="4"/>
      <c r="AG1" s="4"/>
      <c r="AH1" s="7"/>
    </row>
    <row r="2" ht="22.5" customHeight="1">
      <c r="A2" s="10">
        <v>1.0</v>
      </c>
      <c r="B2" s="13" t="s">
        <v>17</v>
      </c>
      <c r="C2" s="4"/>
      <c r="D2" s="4"/>
      <c r="E2" s="7"/>
      <c r="F2" s="13" t="s">
        <v>19</v>
      </c>
      <c r="G2" s="4"/>
      <c r="H2" s="7"/>
      <c r="I2" s="13" t="s">
        <v>21</v>
      </c>
      <c r="J2" s="4"/>
      <c r="K2" s="4"/>
      <c r="L2" s="4"/>
      <c r="M2" s="4"/>
      <c r="N2" s="7"/>
      <c r="O2" s="12" t="s">
        <v>22</v>
      </c>
      <c r="P2" s="4"/>
      <c r="Q2" s="4"/>
      <c r="R2" s="4"/>
      <c r="S2" s="4"/>
      <c r="T2" s="4"/>
      <c r="U2" s="4"/>
      <c r="V2" s="7"/>
      <c r="W2" s="13" t="s">
        <v>20</v>
      </c>
      <c r="X2" s="4"/>
      <c r="Y2" s="4"/>
      <c r="Z2" s="4"/>
      <c r="AA2" s="4"/>
      <c r="AB2" s="7"/>
      <c r="AC2" s="13"/>
      <c r="AD2" s="4"/>
      <c r="AE2" s="4"/>
      <c r="AF2" s="4"/>
      <c r="AG2" s="4"/>
      <c r="AH2"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3" t="s">
        <v>2</v>
      </c>
      <c r="B1" s="4"/>
      <c r="C1" s="4"/>
      <c r="D1" s="4"/>
      <c r="E1" s="4"/>
      <c r="F1" s="4"/>
      <c r="G1" s="4"/>
      <c r="H1" s="4"/>
      <c r="I1" s="7"/>
      <c r="J1" s="3" t="s">
        <v>4</v>
      </c>
      <c r="K1" s="4"/>
      <c r="L1" s="4"/>
      <c r="M1" s="4"/>
      <c r="N1" s="4"/>
      <c r="O1" s="4"/>
      <c r="P1" s="7"/>
      <c r="Q1" s="3" t="s">
        <v>7</v>
      </c>
      <c r="R1" s="4"/>
      <c r="S1" s="4"/>
      <c r="T1" s="4"/>
      <c r="U1" s="7"/>
      <c r="V1" s="3" t="s">
        <v>10</v>
      </c>
      <c r="W1" s="4"/>
      <c r="X1" s="4"/>
      <c r="Y1" s="7"/>
      <c r="Z1" s="3" t="s">
        <v>13</v>
      </c>
      <c r="AA1" s="4"/>
      <c r="AB1" s="4"/>
      <c r="AC1" s="7"/>
      <c r="AD1" s="3" t="s">
        <v>15</v>
      </c>
      <c r="AE1" s="4"/>
      <c r="AF1" s="4"/>
      <c r="AG1" s="7"/>
      <c r="AH1" s="3" t="s">
        <v>16</v>
      </c>
      <c r="AI1" s="4"/>
      <c r="AJ1" s="4"/>
      <c r="AK1" s="7"/>
    </row>
    <row r="2" ht="19.5" customHeight="1">
      <c r="A2" s="15" t="s">
        <v>14</v>
      </c>
      <c r="B2" s="16"/>
      <c r="C2" s="16"/>
      <c r="D2" s="16"/>
      <c r="E2" s="16"/>
      <c r="F2" s="16"/>
      <c r="G2" s="16"/>
      <c r="H2" s="16"/>
      <c r="I2" s="17"/>
      <c r="J2" s="15" t="s">
        <v>23</v>
      </c>
      <c r="K2" s="16"/>
      <c r="L2" s="16"/>
      <c r="M2" s="16"/>
      <c r="N2" s="16"/>
      <c r="O2" s="16"/>
      <c r="P2" s="17"/>
      <c r="Q2" s="15" t="s">
        <v>24</v>
      </c>
      <c r="R2" s="16"/>
      <c r="S2" s="16"/>
      <c r="T2" s="16"/>
      <c r="U2" s="17"/>
      <c r="V2" s="22" t="s">
        <v>25</v>
      </c>
      <c r="W2" s="16"/>
      <c r="X2" s="16"/>
      <c r="Y2" s="17"/>
      <c r="Z2" s="15" t="s">
        <v>21</v>
      </c>
      <c r="AA2" s="16"/>
      <c r="AB2" s="16"/>
      <c r="AC2" s="17"/>
      <c r="AD2" s="22" t="s">
        <v>25</v>
      </c>
      <c r="AE2" s="16"/>
      <c r="AF2" s="16"/>
      <c r="AG2" s="17"/>
      <c r="AH2" s="15" t="s">
        <v>21</v>
      </c>
      <c r="AI2" s="16"/>
      <c r="AJ2" s="16"/>
      <c r="AK2" s="17"/>
    </row>
    <row r="3" ht="19.5" customHeight="1">
      <c r="A3" s="26"/>
      <c r="B3" s="27"/>
      <c r="C3" s="27"/>
      <c r="D3" s="27"/>
      <c r="E3" s="27"/>
      <c r="F3" s="27"/>
      <c r="G3" s="27"/>
      <c r="H3" s="27"/>
      <c r="I3" s="30"/>
      <c r="J3" s="26"/>
      <c r="K3" s="27"/>
      <c r="L3" s="27"/>
      <c r="M3" s="27"/>
      <c r="N3" s="27"/>
      <c r="O3" s="27"/>
      <c r="P3" s="30"/>
      <c r="Q3" s="26"/>
      <c r="R3" s="27"/>
      <c r="S3" s="27"/>
      <c r="T3" s="27"/>
      <c r="U3" s="30"/>
      <c r="V3" s="26"/>
      <c r="W3" s="27"/>
      <c r="X3" s="27"/>
      <c r="Y3" s="30"/>
      <c r="Z3" s="26"/>
      <c r="AA3" s="27"/>
      <c r="AB3" s="27"/>
      <c r="AC3" s="30"/>
      <c r="AD3" s="26"/>
      <c r="AE3" s="27"/>
      <c r="AF3" s="27"/>
      <c r="AG3" s="30"/>
      <c r="AH3" s="26"/>
      <c r="AI3" s="27"/>
      <c r="AJ3" s="27"/>
      <c r="AK3" s="30"/>
    </row>
    <row r="4" ht="15.0" customHeight="1"/>
    <row r="5" ht="19.5" customHeight="1">
      <c r="B5" s="33" t="s">
        <v>38</v>
      </c>
    </row>
    <row r="6" ht="19.5" customHeight="1">
      <c r="C6" s="34" t="s">
        <v>40</v>
      </c>
    </row>
    <row r="7" ht="19.5" customHeight="1">
      <c r="C7" s="34" t="s">
        <v>43</v>
      </c>
    </row>
    <row r="8" ht="19.5" customHeight="1">
      <c r="C8" s="34" t="s">
        <v>45</v>
      </c>
    </row>
    <row r="9" ht="19.5" customHeight="1">
      <c r="C9" s="34" t="s">
        <v>46</v>
      </c>
    </row>
    <row r="10" ht="19.5" customHeight="1">
      <c r="C10" s="34" t="s">
        <v>47</v>
      </c>
    </row>
    <row r="11" ht="19.5" customHeight="1">
      <c r="C11" s="34" t="s">
        <v>49</v>
      </c>
    </row>
    <row r="12" ht="19.5" customHeight="1">
      <c r="C12" s="34" t="s">
        <v>51</v>
      </c>
    </row>
    <row r="13" ht="15.0" customHeight="1"/>
    <row r="14" ht="19.5" customHeight="1">
      <c r="B14" s="33" t="s">
        <v>53</v>
      </c>
    </row>
    <row r="15" ht="19.5" customHeight="1">
      <c r="C15" s="38" t="s">
        <v>54</v>
      </c>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41"/>
    </row>
    <row r="16" ht="19.5" customHeight="1">
      <c r="C16" s="38" t="s">
        <v>56</v>
      </c>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41"/>
    </row>
    <row r="17" ht="19.5" customHeight="1">
      <c r="C17" s="38" t="s">
        <v>57</v>
      </c>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41"/>
    </row>
    <row r="18" ht="19.5" customHeight="1">
      <c r="C18" s="38" t="s">
        <v>58</v>
      </c>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41"/>
    </row>
    <row r="19" ht="19.5" customHeight="1">
      <c r="C19" s="38" t="s">
        <v>59</v>
      </c>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41"/>
    </row>
    <row r="20" ht="15.0" customHeight="1"/>
    <row r="21" ht="19.5" customHeight="1">
      <c r="B21" s="33" t="s">
        <v>60</v>
      </c>
    </row>
    <row r="22" ht="15.0" customHeight="1"/>
    <row r="23" ht="22.5" customHeight="1">
      <c r="C23" s="1" t="s">
        <v>61</v>
      </c>
      <c r="D23" s="3" t="s">
        <v>62</v>
      </c>
      <c r="E23" s="4"/>
      <c r="F23" s="4"/>
      <c r="G23" s="4"/>
      <c r="H23" s="4"/>
      <c r="I23" s="4"/>
      <c r="J23" s="4"/>
      <c r="K23" s="4"/>
      <c r="L23" s="4"/>
      <c r="M23" s="4"/>
      <c r="N23" s="7"/>
      <c r="O23" s="3" t="s">
        <v>63</v>
      </c>
      <c r="P23" s="4"/>
      <c r="Q23" s="4"/>
      <c r="R23" s="4"/>
      <c r="S23" s="4"/>
      <c r="T23" s="4"/>
      <c r="U23" s="4"/>
      <c r="V23" s="4"/>
      <c r="W23" s="4"/>
      <c r="X23" s="4"/>
      <c r="Y23" s="4"/>
      <c r="Z23" s="4"/>
      <c r="AA23" s="4"/>
      <c r="AB23" s="4"/>
      <c r="AC23" s="4"/>
      <c r="AD23" s="4"/>
      <c r="AE23" s="4"/>
      <c r="AF23" s="4"/>
      <c r="AG23" s="7"/>
    </row>
    <row r="24" ht="22.5" customHeight="1">
      <c r="C24" s="10">
        <v>1.0</v>
      </c>
      <c r="D24" s="12" t="s">
        <v>64</v>
      </c>
      <c r="E24" s="4"/>
      <c r="F24" s="4"/>
      <c r="G24" s="4"/>
      <c r="H24" s="4"/>
      <c r="I24" s="4"/>
      <c r="J24" s="4"/>
      <c r="K24" s="4"/>
      <c r="L24" s="4"/>
      <c r="M24" s="4"/>
      <c r="N24" s="7"/>
      <c r="O24" s="12" t="s">
        <v>65</v>
      </c>
      <c r="P24" s="4"/>
      <c r="Q24" s="4"/>
      <c r="R24" s="4"/>
      <c r="S24" s="4"/>
      <c r="T24" s="4"/>
      <c r="U24" s="4"/>
      <c r="V24" s="4"/>
      <c r="W24" s="4"/>
      <c r="X24" s="4"/>
      <c r="Y24" s="4"/>
      <c r="Z24" s="4"/>
      <c r="AA24" s="4"/>
      <c r="AB24" s="4"/>
      <c r="AC24" s="4"/>
      <c r="AD24" s="4"/>
      <c r="AE24" s="4"/>
      <c r="AF24" s="4"/>
      <c r="AG24" s="7"/>
    </row>
    <row r="25" ht="22.5" customHeight="1">
      <c r="C25" s="10">
        <v>2.0</v>
      </c>
      <c r="D25" s="12" t="s">
        <v>66</v>
      </c>
      <c r="E25" s="4"/>
      <c r="F25" s="4"/>
      <c r="G25" s="4"/>
      <c r="H25" s="4"/>
      <c r="I25" s="4"/>
      <c r="J25" s="4"/>
      <c r="K25" s="4"/>
      <c r="L25" s="4"/>
      <c r="M25" s="4"/>
      <c r="N25" s="7"/>
      <c r="O25" s="12" t="s">
        <v>67</v>
      </c>
      <c r="P25" s="4"/>
      <c r="Q25" s="4"/>
      <c r="R25" s="4"/>
      <c r="S25" s="4"/>
      <c r="T25" s="4"/>
      <c r="U25" s="4"/>
      <c r="V25" s="4"/>
      <c r="W25" s="4"/>
      <c r="X25" s="4"/>
      <c r="Y25" s="4"/>
      <c r="Z25" s="4"/>
      <c r="AA25" s="4"/>
      <c r="AB25" s="4"/>
      <c r="AC25" s="4"/>
      <c r="AD25" s="4"/>
      <c r="AE25" s="4"/>
      <c r="AF25" s="4"/>
      <c r="AG25" s="7"/>
    </row>
    <row r="26" ht="22.5" customHeight="1">
      <c r="C26" s="10">
        <v>3.0</v>
      </c>
      <c r="D26" s="12" t="s">
        <v>68</v>
      </c>
      <c r="E26" s="4"/>
      <c r="F26" s="4"/>
      <c r="G26" s="4"/>
      <c r="H26" s="4"/>
      <c r="I26" s="4"/>
      <c r="J26" s="4"/>
      <c r="K26" s="4"/>
      <c r="L26" s="4"/>
      <c r="M26" s="4"/>
      <c r="N26" s="7"/>
      <c r="O26" s="12" t="s">
        <v>69</v>
      </c>
      <c r="P26" s="4"/>
      <c r="Q26" s="4"/>
      <c r="R26" s="4"/>
      <c r="S26" s="4"/>
      <c r="T26" s="4"/>
      <c r="U26" s="4"/>
      <c r="V26" s="4"/>
      <c r="W26" s="4"/>
      <c r="X26" s="4"/>
      <c r="Y26" s="4"/>
      <c r="Z26" s="4"/>
      <c r="AA26" s="4"/>
      <c r="AB26" s="4"/>
      <c r="AC26" s="4"/>
      <c r="AD26" s="4"/>
      <c r="AE26" s="4"/>
      <c r="AF26" s="4"/>
      <c r="AG26" s="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D26:N26"/>
    <mergeCell ref="O26:AG26"/>
    <mergeCell ref="B21:AK21"/>
    <mergeCell ref="D23:N23"/>
    <mergeCell ref="O23:AG23"/>
    <mergeCell ref="D24:N24"/>
    <mergeCell ref="O24:AG24"/>
    <mergeCell ref="D25:N25"/>
    <mergeCell ref="O25:AG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2" t="s">
        <v>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7"/>
    </row>
    <row r="3" ht="22.5" customHeight="1">
      <c r="A3" s="8" t="s">
        <v>9</v>
      </c>
      <c r="B3" s="4"/>
      <c r="C3" s="4"/>
      <c r="D3" s="4"/>
      <c r="E3" s="4"/>
      <c r="F3" s="7"/>
      <c r="G3" s="12" t="s">
        <v>14</v>
      </c>
      <c r="H3" s="4"/>
      <c r="I3" s="4"/>
      <c r="J3" s="4"/>
      <c r="K3" s="4"/>
      <c r="L3" s="4"/>
      <c r="M3" s="4"/>
      <c r="N3" s="4"/>
      <c r="O3" s="7"/>
      <c r="P3" s="8" t="s">
        <v>18</v>
      </c>
      <c r="Q3" s="4"/>
      <c r="R3" s="4"/>
      <c r="S3" s="4"/>
      <c r="T3" s="4"/>
      <c r="U3" s="4"/>
      <c r="V3" s="4"/>
      <c r="W3" s="7"/>
      <c r="X3" s="12" t="s">
        <v>20</v>
      </c>
      <c r="Y3" s="4"/>
      <c r="Z3" s="4"/>
      <c r="AA3" s="4"/>
      <c r="AB3" s="4"/>
      <c r="AC3" s="4"/>
      <c r="AD3" s="4"/>
      <c r="AE3" s="4"/>
      <c r="AF3" s="4"/>
      <c r="AG3" s="4"/>
      <c r="AH3" s="7"/>
    </row>
    <row r="4" ht="22.5" customHeight="1">
      <c r="A4" s="8" t="s">
        <v>6</v>
      </c>
      <c r="B4" s="4"/>
      <c r="C4" s="4"/>
      <c r="D4" s="4"/>
      <c r="E4" s="4"/>
      <c r="F4" s="7"/>
      <c r="G4" s="12" t="s">
        <v>21</v>
      </c>
      <c r="H4" s="4"/>
      <c r="I4" s="4"/>
      <c r="J4" s="4"/>
      <c r="K4" s="4"/>
      <c r="L4" s="4"/>
      <c r="M4" s="4"/>
      <c r="N4" s="4"/>
      <c r="O4" s="7"/>
      <c r="P4" s="8" t="s">
        <v>10</v>
      </c>
      <c r="Q4" s="4"/>
      <c r="R4" s="4"/>
      <c r="S4" s="4"/>
      <c r="T4" s="4"/>
      <c r="U4" s="4"/>
      <c r="V4" s="4"/>
      <c r="W4" s="7"/>
      <c r="X4" s="20" t="s">
        <v>25</v>
      </c>
      <c r="Y4" s="4"/>
      <c r="Z4" s="4"/>
      <c r="AA4" s="4"/>
      <c r="AB4" s="4"/>
      <c r="AC4" s="4"/>
      <c r="AD4" s="4"/>
      <c r="AE4" s="4"/>
      <c r="AF4" s="4"/>
      <c r="AG4" s="4"/>
      <c r="AH4" s="7"/>
    </row>
    <row r="6" ht="22.5" customHeight="1">
      <c r="A6" s="23" t="s">
        <v>27</v>
      </c>
      <c r="B6" s="25" t="s">
        <v>29</v>
      </c>
      <c r="C6" s="16"/>
      <c r="D6" s="16"/>
      <c r="E6" s="16"/>
      <c r="F6" s="16"/>
      <c r="G6" s="17"/>
      <c r="H6" s="29" t="s">
        <v>30</v>
      </c>
      <c r="I6" s="4"/>
      <c r="J6" s="4"/>
      <c r="K6" s="4"/>
      <c r="L6" s="4"/>
      <c r="M6" s="4"/>
      <c r="N6" s="4"/>
      <c r="O6" s="4"/>
      <c r="P6" s="7"/>
      <c r="Q6" s="25" t="s">
        <v>34</v>
      </c>
      <c r="R6" s="16"/>
      <c r="S6" s="17"/>
      <c r="T6" s="29" t="s">
        <v>35</v>
      </c>
      <c r="U6" s="4"/>
      <c r="V6" s="4"/>
      <c r="W6" s="4"/>
      <c r="X6" s="4"/>
      <c r="Y6" s="4"/>
      <c r="Z6" s="4"/>
      <c r="AA6" s="4"/>
      <c r="AB6" s="4"/>
      <c r="AC6" s="4"/>
      <c r="AD6" s="4"/>
      <c r="AE6" s="4"/>
      <c r="AF6" s="4"/>
      <c r="AG6" s="4"/>
      <c r="AH6" s="7"/>
    </row>
    <row r="7" ht="22.5" customHeight="1">
      <c r="A7" s="31"/>
      <c r="B7" s="26"/>
      <c r="C7" s="27"/>
      <c r="D7" s="27"/>
      <c r="E7" s="27"/>
      <c r="F7" s="27"/>
      <c r="G7" s="30"/>
      <c r="H7" s="29" t="s">
        <v>36</v>
      </c>
      <c r="I7" s="4"/>
      <c r="J7" s="7"/>
      <c r="K7" s="29" t="s">
        <v>37</v>
      </c>
      <c r="L7" s="4"/>
      <c r="M7" s="7"/>
      <c r="N7" s="29" t="s">
        <v>39</v>
      </c>
      <c r="O7" s="4"/>
      <c r="P7" s="7"/>
      <c r="Q7" s="26"/>
      <c r="R7" s="27"/>
      <c r="S7" s="30"/>
      <c r="T7" s="29" t="s">
        <v>41</v>
      </c>
      <c r="U7" s="4"/>
      <c r="V7" s="7"/>
      <c r="W7" s="29" t="s">
        <v>42</v>
      </c>
      <c r="X7" s="4"/>
      <c r="Y7" s="7"/>
      <c r="Z7" s="29" t="s">
        <v>44</v>
      </c>
      <c r="AA7" s="4"/>
      <c r="AB7" s="7"/>
      <c r="AC7" s="29" t="s">
        <v>48</v>
      </c>
      <c r="AD7" s="4"/>
      <c r="AE7" s="7"/>
      <c r="AF7" s="29" t="s">
        <v>50</v>
      </c>
      <c r="AG7" s="4"/>
      <c r="AH7" s="7"/>
    </row>
    <row r="8" ht="22.5" customHeight="1">
      <c r="A8" s="36" t="s">
        <v>52</v>
      </c>
    </row>
    <row r="9" ht="22.5" customHeight="1">
      <c r="A9" s="10">
        <v>1.0</v>
      </c>
      <c r="B9" s="12" t="s">
        <v>55</v>
      </c>
      <c r="C9" s="4"/>
      <c r="D9" s="4"/>
      <c r="E9" s="4"/>
      <c r="F9" s="4"/>
      <c r="G9" s="7"/>
      <c r="H9" s="13">
        <f t="array" ref="H9">INDIRECT("'"&amp;$B9&amp;"'!H7",TRUE)</f>
        <v>29</v>
      </c>
      <c r="I9" s="4"/>
      <c r="J9" s="7"/>
      <c r="K9" s="13">
        <f t="array" ref="K9">INDIRECT("'"&amp;$B9&amp;"'!K7",TRUE)</f>
        <v>20</v>
      </c>
      <c r="L9" s="4"/>
      <c r="M9" s="7"/>
      <c r="N9" s="13">
        <f t="array" ref="N9">INDIRECT("'"&amp;$B9&amp;"'!N7",TRUE)</f>
        <v>3</v>
      </c>
      <c r="O9" s="4"/>
      <c r="P9" s="7"/>
      <c r="Q9" s="13">
        <f t="array" ref="Q9">INDIRECT("'"&amp;$B9&amp;"'!Q7",TRUE)</f>
        <v>52</v>
      </c>
      <c r="R9" s="4"/>
      <c r="S9" s="7"/>
      <c r="T9" s="13">
        <f t="array" ref="T9">INDIRECT("'"&amp;$B9&amp;"'!T7",TRUE)</f>
        <v>0</v>
      </c>
      <c r="U9" s="4"/>
      <c r="V9" s="7"/>
      <c r="W9" s="13">
        <f t="array" ref="W9">INDIRECT("'"&amp;$B9&amp;"'!W7",TRUE)</f>
        <v>0</v>
      </c>
      <c r="X9" s="4"/>
      <c r="Y9" s="7"/>
      <c r="Z9" s="13">
        <f t="array" ref="Z9">INDIRECT("'"&amp;$B9&amp;"'!Z7",TRUE)</f>
        <v>0</v>
      </c>
      <c r="AA9" s="4"/>
      <c r="AB9" s="7"/>
      <c r="AC9" s="13">
        <f t="array" ref="AC9">INDIRECT("'"&amp;$B9&amp;"'!AC7",TRUE)</f>
        <v>0</v>
      </c>
      <c r="AD9" s="4"/>
      <c r="AE9" s="7"/>
      <c r="AF9" s="42">
        <f>IFERROR((T9+W9+AC9)/Q9,0)</f>
        <v>0</v>
      </c>
      <c r="AG9" s="4"/>
      <c r="AH9" s="7"/>
    </row>
    <row r="10" ht="22.5" customHeight="1">
      <c r="A10" s="10">
        <v>2.0</v>
      </c>
      <c r="B10" s="12"/>
      <c r="C10" s="4"/>
      <c r="D10" s="4"/>
      <c r="E10" s="4"/>
      <c r="F10" s="4"/>
      <c r="G10" s="7"/>
      <c r="H10" s="13"/>
      <c r="I10" s="4"/>
      <c r="J10" s="7"/>
      <c r="K10" s="13"/>
      <c r="L10" s="4"/>
      <c r="M10" s="7"/>
      <c r="N10" s="13"/>
      <c r="O10" s="4"/>
      <c r="P10" s="7"/>
      <c r="Q10" s="13"/>
      <c r="R10" s="4"/>
      <c r="S10" s="7"/>
      <c r="T10" s="13"/>
      <c r="U10" s="4"/>
      <c r="V10" s="7"/>
      <c r="W10" s="13"/>
      <c r="X10" s="4"/>
      <c r="Y10" s="7"/>
      <c r="Z10" s="13"/>
      <c r="AA10" s="4"/>
      <c r="AB10" s="7"/>
      <c r="AC10" s="13"/>
      <c r="AD10" s="4"/>
      <c r="AE10" s="7"/>
      <c r="AF10" s="42"/>
      <c r="AG10" s="4"/>
      <c r="AH10" s="7"/>
    </row>
    <row r="11" ht="22.5" customHeight="1">
      <c r="A11" s="10"/>
      <c r="B11" s="29" t="s">
        <v>34</v>
      </c>
      <c r="C11" s="4"/>
      <c r="D11" s="4"/>
      <c r="E11" s="4"/>
      <c r="F11" s="4"/>
      <c r="G11" s="7"/>
      <c r="H11" s="43">
        <f>SUM(H9:J10)</f>
        <v>29</v>
      </c>
      <c r="I11" s="4"/>
      <c r="J11" s="7"/>
      <c r="K11" s="43">
        <f>SUM(K9:M10)</f>
        <v>20</v>
      </c>
      <c r="L11" s="4"/>
      <c r="M11" s="7"/>
      <c r="N11" s="43">
        <f>SUM(N9:P10)</f>
        <v>3</v>
      </c>
      <c r="O11" s="4"/>
      <c r="P11" s="7"/>
      <c r="Q11" s="43">
        <f>SUM(Q9:S10)</f>
        <v>52</v>
      </c>
      <c r="R11" s="4"/>
      <c r="S11" s="7"/>
      <c r="T11" s="43">
        <f>SUM(T9:V10)</f>
        <v>0</v>
      </c>
      <c r="U11" s="4"/>
      <c r="V11" s="7"/>
      <c r="W11" s="43">
        <f>SUM(W9:Y10)</f>
        <v>0</v>
      </c>
      <c r="X11" s="4"/>
      <c r="Y11" s="7"/>
      <c r="Z11" s="43">
        <f>SUM(Z9:AB10)</f>
        <v>0</v>
      </c>
      <c r="AA11" s="4"/>
      <c r="AB11" s="7"/>
      <c r="AC11" s="43">
        <f>SUM(AC9:AE10)</f>
        <v>0</v>
      </c>
      <c r="AD11" s="4"/>
      <c r="AE11" s="7"/>
      <c r="AF11" s="44">
        <f>IFERROR((T11+W11+AC11)/Q11,0)</f>
        <v>0</v>
      </c>
      <c r="AG11" s="4"/>
      <c r="AH11" s="7"/>
    </row>
    <row r="12" ht="22.5" customHeight="1">
      <c r="A12" s="36" t="s">
        <v>70</v>
      </c>
    </row>
    <row r="13" ht="22.5" customHeight="1">
      <c r="A13" s="10">
        <v>1.0</v>
      </c>
      <c r="B13" s="12" t="s">
        <v>55</v>
      </c>
      <c r="C13" s="4"/>
      <c r="D13" s="4"/>
      <c r="E13" s="4"/>
      <c r="F13" s="4"/>
      <c r="G13" s="7"/>
      <c r="H13" s="13">
        <f t="array" ref="H13">INDIRECT("'"&amp;$B13&amp;"'!H8",TRUE)</f>
        <v>29</v>
      </c>
      <c r="I13" s="4"/>
      <c r="J13" s="7"/>
      <c r="K13" s="13">
        <f t="array" ref="K13">INDIRECT("'"&amp;$B13&amp;"'!K8",TRUE)</f>
        <v>20</v>
      </c>
      <c r="L13" s="4"/>
      <c r="M13" s="7"/>
      <c r="N13" s="13">
        <f t="array" ref="N13">INDIRECT("'"&amp;$B13&amp;"'!N8",TRUE)</f>
        <v>3</v>
      </c>
      <c r="O13" s="4"/>
      <c r="P13" s="7"/>
      <c r="Q13" s="13">
        <f t="array" ref="Q13">INDIRECT("'"&amp;$B13&amp;"'!Q8",TRUE)</f>
        <v>52</v>
      </c>
      <c r="R13" s="4"/>
      <c r="S13" s="7"/>
      <c r="T13" s="13">
        <f t="array" ref="T13">INDIRECT("'"&amp;$B13&amp;"'!T8",TRUE)</f>
        <v>0</v>
      </c>
      <c r="U13" s="4"/>
      <c r="V13" s="7"/>
      <c r="W13" s="13">
        <f t="array" ref="W13">INDIRECT("'"&amp;$B13&amp;"'!W8",TRUE)</f>
        <v>0</v>
      </c>
      <c r="X13" s="4"/>
      <c r="Y13" s="7"/>
      <c r="Z13" s="13">
        <f t="array" ref="Z13">INDIRECT("'"&amp;$B13&amp;"'!Z8",TRUE)</f>
        <v>0</v>
      </c>
      <c r="AA13" s="4"/>
      <c r="AB13" s="7"/>
      <c r="AC13" s="13">
        <f t="array" ref="AC13">INDIRECT("'"&amp;$B13&amp;"'!AC8",TRUE)</f>
        <v>0</v>
      </c>
      <c r="AD13" s="4"/>
      <c r="AE13" s="7"/>
      <c r="AF13" s="42">
        <f>IFERROR((T13+W13+AC13)/Q13,0)</f>
        <v>0</v>
      </c>
      <c r="AG13" s="4"/>
      <c r="AH13" s="7"/>
    </row>
    <row r="14" ht="22.5" customHeight="1">
      <c r="A14" s="10">
        <v>2.0</v>
      </c>
      <c r="B14" s="12"/>
      <c r="C14" s="4"/>
      <c r="D14" s="4"/>
      <c r="E14" s="4"/>
      <c r="F14" s="4"/>
      <c r="G14" s="7"/>
      <c r="H14" s="13"/>
      <c r="I14" s="4"/>
      <c r="J14" s="7"/>
      <c r="K14" s="13"/>
      <c r="L14" s="4"/>
      <c r="M14" s="7"/>
      <c r="N14" s="13"/>
      <c r="O14" s="4"/>
      <c r="P14" s="7"/>
      <c r="Q14" s="13"/>
      <c r="R14" s="4"/>
      <c r="S14" s="7"/>
      <c r="T14" s="13"/>
      <c r="U14" s="4"/>
      <c r="V14" s="7"/>
      <c r="W14" s="13"/>
      <c r="X14" s="4"/>
      <c r="Y14" s="7"/>
      <c r="Z14" s="13"/>
      <c r="AA14" s="4"/>
      <c r="AB14" s="7"/>
      <c r="AC14" s="13"/>
      <c r="AD14" s="4"/>
      <c r="AE14" s="7"/>
      <c r="AF14" s="42"/>
      <c r="AG14" s="4"/>
      <c r="AH14" s="7"/>
    </row>
    <row r="15" ht="22.5" customHeight="1">
      <c r="A15" s="10"/>
      <c r="B15" s="29" t="s">
        <v>34</v>
      </c>
      <c r="C15" s="4"/>
      <c r="D15" s="4"/>
      <c r="E15" s="4"/>
      <c r="F15" s="4"/>
      <c r="G15" s="7"/>
      <c r="H15" s="43">
        <f>SUM(H13:J14)</f>
        <v>29</v>
      </c>
      <c r="I15" s="4"/>
      <c r="J15" s="7"/>
      <c r="K15" s="43">
        <f>SUM(K13:M14)</f>
        <v>20</v>
      </c>
      <c r="L15" s="4"/>
      <c r="M15" s="7"/>
      <c r="N15" s="43">
        <f>SUM(N13:P14)</f>
        <v>3</v>
      </c>
      <c r="O15" s="4"/>
      <c r="P15" s="7"/>
      <c r="Q15" s="43">
        <f>SUM(Q13:S14)</f>
        <v>52</v>
      </c>
      <c r="R15" s="4"/>
      <c r="S15" s="7"/>
      <c r="T15" s="43">
        <f>SUM(T13:V14)</f>
        <v>0</v>
      </c>
      <c r="U15" s="4"/>
      <c r="V15" s="7"/>
      <c r="W15" s="43">
        <f>SUM(W13:Y14)</f>
        <v>0</v>
      </c>
      <c r="X15" s="4"/>
      <c r="Y15" s="7"/>
      <c r="Z15" s="43">
        <f>SUM(Z13:AB14)</f>
        <v>0</v>
      </c>
      <c r="AA15" s="4"/>
      <c r="AB15" s="7"/>
      <c r="AC15" s="43">
        <f>SUM(AC13:AE14)</f>
        <v>0</v>
      </c>
      <c r="AD15" s="4"/>
      <c r="AE15" s="7"/>
      <c r="AF15" s="44">
        <f>IFERROR((T15+W15+AC15)/Q15,0)</f>
        <v>0</v>
      </c>
      <c r="AG15" s="4"/>
      <c r="AH15"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3" t="s">
        <v>2</v>
      </c>
      <c r="B1" s="4"/>
      <c r="C1" s="4"/>
      <c r="D1" s="4"/>
      <c r="E1" s="4"/>
      <c r="F1" s="4"/>
      <c r="G1" s="4"/>
      <c r="H1" s="4"/>
      <c r="I1" s="7"/>
      <c r="J1" s="3" t="s">
        <v>4</v>
      </c>
      <c r="K1" s="4"/>
      <c r="L1" s="4"/>
      <c r="M1" s="4"/>
      <c r="N1" s="4"/>
      <c r="O1" s="4"/>
      <c r="P1" s="7"/>
      <c r="Q1" s="3" t="s">
        <v>7</v>
      </c>
      <c r="R1" s="4"/>
      <c r="S1" s="4"/>
      <c r="T1" s="4"/>
      <c r="U1" s="7"/>
      <c r="V1" s="3" t="s">
        <v>10</v>
      </c>
      <c r="W1" s="4"/>
      <c r="X1" s="4"/>
      <c r="Y1" s="7"/>
      <c r="Z1" s="3" t="s">
        <v>13</v>
      </c>
      <c r="AA1" s="4"/>
      <c r="AB1" s="4"/>
      <c r="AC1" s="7"/>
      <c r="AD1" s="3" t="s">
        <v>15</v>
      </c>
      <c r="AE1" s="4"/>
      <c r="AF1" s="4"/>
      <c r="AG1" s="7"/>
      <c r="AH1" s="3" t="s">
        <v>16</v>
      </c>
      <c r="AI1" s="4"/>
      <c r="AJ1" s="4"/>
      <c r="AK1" s="7"/>
    </row>
    <row r="2" ht="19.5" customHeight="1">
      <c r="A2" s="15" t="s">
        <v>14</v>
      </c>
      <c r="B2" s="16"/>
      <c r="C2" s="16"/>
      <c r="D2" s="16"/>
      <c r="E2" s="16"/>
      <c r="F2" s="16"/>
      <c r="G2" s="16"/>
      <c r="H2" s="16"/>
      <c r="I2" s="17"/>
      <c r="J2" s="15" t="s">
        <v>23</v>
      </c>
      <c r="K2" s="16"/>
      <c r="L2" s="16"/>
      <c r="M2" s="16"/>
      <c r="N2" s="16"/>
      <c r="O2" s="16"/>
      <c r="P2" s="17"/>
      <c r="Q2" s="15" t="s">
        <v>71</v>
      </c>
      <c r="R2" s="16"/>
      <c r="S2" s="16"/>
      <c r="T2" s="16"/>
      <c r="U2" s="17"/>
      <c r="V2" s="22" t="s">
        <v>25</v>
      </c>
      <c r="W2" s="16"/>
      <c r="X2" s="16"/>
      <c r="Y2" s="17"/>
      <c r="Z2" s="15" t="s">
        <v>21</v>
      </c>
      <c r="AA2" s="16"/>
      <c r="AB2" s="16"/>
      <c r="AC2" s="17"/>
      <c r="AD2" s="22" t="s">
        <v>25</v>
      </c>
      <c r="AE2" s="16"/>
      <c r="AF2" s="16"/>
      <c r="AG2" s="17"/>
      <c r="AH2" s="15" t="s">
        <v>21</v>
      </c>
      <c r="AI2" s="16"/>
      <c r="AJ2" s="16"/>
      <c r="AK2" s="17"/>
    </row>
    <row r="3" ht="19.5" customHeight="1">
      <c r="A3" s="26"/>
      <c r="B3" s="27"/>
      <c r="C3" s="27"/>
      <c r="D3" s="27"/>
      <c r="E3" s="27"/>
      <c r="F3" s="27"/>
      <c r="G3" s="27"/>
      <c r="H3" s="27"/>
      <c r="I3" s="30"/>
      <c r="J3" s="26"/>
      <c r="K3" s="27"/>
      <c r="L3" s="27"/>
      <c r="M3" s="27"/>
      <c r="N3" s="27"/>
      <c r="O3" s="27"/>
      <c r="P3" s="30"/>
      <c r="Q3" s="26"/>
      <c r="R3" s="27"/>
      <c r="S3" s="27"/>
      <c r="T3" s="27"/>
      <c r="U3" s="30"/>
      <c r="V3" s="26"/>
      <c r="W3" s="27"/>
      <c r="X3" s="27"/>
      <c r="Y3" s="30"/>
      <c r="Z3" s="26"/>
      <c r="AA3" s="27"/>
      <c r="AB3" s="27"/>
      <c r="AC3" s="30"/>
      <c r="AD3" s="26"/>
      <c r="AE3" s="27"/>
      <c r="AF3" s="27"/>
      <c r="AG3" s="30"/>
      <c r="AH3" s="26"/>
      <c r="AI3" s="27"/>
      <c r="AJ3" s="27"/>
      <c r="AK3" s="30"/>
    </row>
    <row r="5" ht="19.5" customHeight="1">
      <c r="B5" s="33" t="s">
        <v>72</v>
      </c>
    </row>
    <row r="7" ht="28.5" customHeight="1">
      <c r="B7" s="45" t="s">
        <v>27</v>
      </c>
      <c r="C7" s="46" t="s">
        <v>73</v>
      </c>
      <c r="D7" s="4"/>
      <c r="E7" s="7"/>
      <c r="F7" s="46" t="s">
        <v>74</v>
      </c>
      <c r="G7" s="4"/>
      <c r="H7" s="4"/>
      <c r="I7" s="4"/>
      <c r="J7" s="4"/>
      <c r="K7" s="4"/>
      <c r="L7" s="7"/>
      <c r="M7" s="46" t="s">
        <v>75</v>
      </c>
      <c r="N7" s="4"/>
      <c r="O7" s="4"/>
      <c r="P7" s="4"/>
      <c r="Q7" s="4"/>
      <c r="R7" s="4"/>
      <c r="S7" s="4"/>
      <c r="T7" s="7"/>
      <c r="U7" s="46" t="s">
        <v>76</v>
      </c>
      <c r="V7" s="7"/>
      <c r="W7" s="46" t="s">
        <v>77</v>
      </c>
      <c r="X7" s="4"/>
      <c r="Y7" s="4"/>
      <c r="Z7" s="4"/>
      <c r="AA7" s="4"/>
      <c r="AB7" s="4"/>
      <c r="AC7" s="7"/>
      <c r="AD7" s="46" t="s">
        <v>78</v>
      </c>
      <c r="AE7" s="4"/>
      <c r="AF7" s="7"/>
    </row>
    <row r="8" ht="30.0" customHeight="1">
      <c r="B8" s="47">
        <v>1.0</v>
      </c>
      <c r="C8" s="48" t="s">
        <v>79</v>
      </c>
      <c r="D8" s="4"/>
      <c r="E8" s="7"/>
      <c r="F8" s="49" t="s">
        <v>80</v>
      </c>
      <c r="G8" s="4"/>
      <c r="H8" s="4"/>
      <c r="I8" s="4"/>
      <c r="J8" s="4"/>
      <c r="K8" s="4"/>
      <c r="L8" s="7"/>
      <c r="M8" s="49" t="s">
        <v>81</v>
      </c>
      <c r="N8" s="4"/>
      <c r="O8" s="4"/>
      <c r="P8" s="4"/>
      <c r="Q8" s="4"/>
      <c r="R8" s="4"/>
      <c r="S8" s="4"/>
      <c r="T8" s="7"/>
      <c r="U8" s="50" t="s">
        <v>82</v>
      </c>
      <c r="V8" s="7"/>
      <c r="W8" s="49" t="s">
        <v>83</v>
      </c>
      <c r="X8" s="4"/>
      <c r="Y8" s="4"/>
      <c r="Z8" s="4"/>
      <c r="AA8" s="4"/>
      <c r="AB8" s="4"/>
      <c r="AC8" s="7"/>
      <c r="AD8" s="48">
        <v>265.0</v>
      </c>
      <c r="AE8" s="4"/>
      <c r="AF8" s="7"/>
    </row>
    <row r="9" ht="30.0" customHeight="1">
      <c r="B9" s="47">
        <v>2.0</v>
      </c>
      <c r="C9" s="48" t="s">
        <v>84</v>
      </c>
      <c r="D9" s="4"/>
      <c r="E9" s="7"/>
      <c r="F9" s="49" t="s">
        <v>80</v>
      </c>
      <c r="G9" s="4"/>
      <c r="H9" s="4"/>
      <c r="I9" s="4"/>
      <c r="J9" s="4"/>
      <c r="K9" s="4"/>
      <c r="L9" s="7"/>
      <c r="M9" s="49" t="s">
        <v>85</v>
      </c>
      <c r="N9" s="4"/>
      <c r="O9" s="4"/>
      <c r="P9" s="4"/>
      <c r="Q9" s="4"/>
      <c r="R9" s="4"/>
      <c r="S9" s="4"/>
      <c r="T9" s="7"/>
      <c r="U9" s="50" t="s">
        <v>82</v>
      </c>
      <c r="V9" s="7"/>
      <c r="W9" s="49" t="s">
        <v>86</v>
      </c>
      <c r="X9" s="4"/>
      <c r="Y9" s="4"/>
      <c r="Z9" s="4"/>
      <c r="AA9" s="4"/>
      <c r="AB9" s="4"/>
      <c r="AC9" s="7"/>
      <c r="AD9" s="48">
        <v>200.0</v>
      </c>
      <c r="AE9" s="4"/>
      <c r="AF9" s="7"/>
    </row>
    <row r="10" ht="36.0" customHeight="1">
      <c r="B10" s="47">
        <v>3.0</v>
      </c>
      <c r="C10" s="48" t="s">
        <v>87</v>
      </c>
      <c r="D10" s="4"/>
      <c r="E10" s="7"/>
      <c r="F10" s="49" t="s">
        <v>80</v>
      </c>
      <c r="G10" s="4"/>
      <c r="H10" s="4"/>
      <c r="I10" s="4"/>
      <c r="J10" s="4"/>
      <c r="K10" s="4"/>
      <c r="L10" s="7"/>
      <c r="M10" s="49" t="s">
        <v>88</v>
      </c>
      <c r="N10" s="4"/>
      <c r="O10" s="4"/>
      <c r="P10" s="4"/>
      <c r="Q10" s="4"/>
      <c r="R10" s="4"/>
      <c r="S10" s="4"/>
      <c r="T10" s="7"/>
      <c r="U10" s="50" t="s">
        <v>82</v>
      </c>
      <c r="V10" s="7"/>
      <c r="W10" s="49" t="s">
        <v>89</v>
      </c>
      <c r="X10" s="4"/>
      <c r="Y10" s="4"/>
      <c r="Z10" s="4"/>
      <c r="AA10" s="4"/>
      <c r="AB10" s="4"/>
      <c r="AC10" s="7"/>
      <c r="AD10" s="48">
        <v>50.0</v>
      </c>
      <c r="AE10" s="4"/>
      <c r="AF10" s="7"/>
    </row>
    <row r="11" ht="30.0" customHeight="1">
      <c r="B11" s="47">
        <v>4.0</v>
      </c>
      <c r="C11" s="48" t="s">
        <v>90</v>
      </c>
      <c r="D11" s="4"/>
      <c r="E11" s="7"/>
      <c r="F11" s="49" t="s">
        <v>80</v>
      </c>
      <c r="G11" s="4"/>
      <c r="H11" s="4"/>
      <c r="I11" s="4"/>
      <c r="J11" s="4"/>
      <c r="K11" s="4"/>
      <c r="L11" s="7"/>
      <c r="M11" s="49" t="s">
        <v>91</v>
      </c>
      <c r="N11" s="4"/>
      <c r="O11" s="4"/>
      <c r="P11" s="4"/>
      <c r="Q11" s="4"/>
      <c r="R11" s="4"/>
      <c r="S11" s="4"/>
      <c r="T11" s="7"/>
      <c r="U11" s="50" t="s">
        <v>82</v>
      </c>
      <c r="V11" s="7"/>
      <c r="W11" s="49" t="s">
        <v>83</v>
      </c>
      <c r="X11" s="4"/>
      <c r="Y11" s="4"/>
      <c r="Z11" s="4"/>
      <c r="AA11" s="4"/>
      <c r="AB11" s="4"/>
      <c r="AC11" s="7"/>
      <c r="AD11" s="48">
        <v>75.0</v>
      </c>
      <c r="AE11" s="4"/>
      <c r="AF11" s="7"/>
    </row>
    <row r="12" ht="30.0" customHeight="1">
      <c r="B12" s="47">
        <v>5.0</v>
      </c>
      <c r="C12" s="48" t="s">
        <v>92</v>
      </c>
      <c r="D12" s="4"/>
      <c r="E12" s="7"/>
      <c r="F12" s="49" t="s">
        <v>80</v>
      </c>
      <c r="G12" s="4"/>
      <c r="H12" s="4"/>
      <c r="I12" s="4"/>
      <c r="J12" s="4"/>
      <c r="K12" s="4"/>
      <c r="L12" s="7"/>
      <c r="M12" s="49" t="s">
        <v>93</v>
      </c>
      <c r="N12" s="4"/>
      <c r="O12" s="4"/>
      <c r="P12" s="4"/>
      <c r="Q12" s="4"/>
      <c r="R12" s="4"/>
      <c r="S12" s="4"/>
      <c r="T12" s="7"/>
      <c r="U12" s="50" t="s">
        <v>82</v>
      </c>
      <c r="V12" s="7"/>
      <c r="W12" s="49" t="s">
        <v>94</v>
      </c>
      <c r="X12" s="4"/>
      <c r="Y12" s="4"/>
      <c r="Z12" s="4"/>
      <c r="AA12" s="4"/>
      <c r="AB12" s="4"/>
      <c r="AC12" s="7"/>
      <c r="AD12" s="48">
        <v>30.0</v>
      </c>
      <c r="AE12" s="4"/>
      <c r="AF12" s="7"/>
    </row>
    <row r="13" ht="30.0" customHeight="1">
      <c r="B13" s="47">
        <v>6.0</v>
      </c>
      <c r="C13" s="48" t="s">
        <v>95</v>
      </c>
      <c r="D13" s="4"/>
      <c r="E13" s="7"/>
      <c r="F13" s="49" t="s">
        <v>80</v>
      </c>
      <c r="G13" s="4"/>
      <c r="H13" s="4"/>
      <c r="I13" s="4"/>
      <c r="J13" s="4"/>
      <c r="K13" s="4"/>
      <c r="L13" s="7"/>
      <c r="M13" s="49" t="s">
        <v>96</v>
      </c>
      <c r="N13" s="4"/>
      <c r="O13" s="4"/>
      <c r="P13" s="4"/>
      <c r="Q13" s="4"/>
      <c r="R13" s="4"/>
      <c r="S13" s="4"/>
      <c r="T13" s="7"/>
      <c r="U13" s="50" t="s">
        <v>82</v>
      </c>
      <c r="V13" s="7"/>
      <c r="W13" s="49" t="s">
        <v>97</v>
      </c>
      <c r="X13" s="4"/>
      <c r="Y13" s="4"/>
      <c r="Z13" s="4"/>
      <c r="AA13" s="4"/>
      <c r="AB13" s="4"/>
      <c r="AC13" s="7"/>
      <c r="AD13" s="48">
        <v>50.0</v>
      </c>
      <c r="AE13" s="4"/>
      <c r="AF13" s="7"/>
    </row>
    <row r="14" ht="30.0" customHeight="1">
      <c r="B14" s="47">
        <v>7.0</v>
      </c>
      <c r="C14" s="48" t="s">
        <v>98</v>
      </c>
      <c r="D14" s="4"/>
      <c r="E14" s="7"/>
      <c r="F14" s="49" t="s">
        <v>80</v>
      </c>
      <c r="G14" s="4"/>
      <c r="H14" s="4"/>
      <c r="I14" s="4"/>
      <c r="J14" s="4"/>
      <c r="K14" s="4"/>
      <c r="L14" s="7"/>
      <c r="M14" s="49" t="s">
        <v>99</v>
      </c>
      <c r="N14" s="4"/>
      <c r="O14" s="4"/>
      <c r="P14" s="4"/>
      <c r="Q14" s="4"/>
      <c r="R14" s="4"/>
      <c r="S14" s="4"/>
      <c r="T14" s="7"/>
      <c r="U14" s="50" t="s">
        <v>82</v>
      </c>
      <c r="V14" s="7"/>
      <c r="W14" s="49" t="s">
        <v>94</v>
      </c>
      <c r="X14" s="4"/>
      <c r="Y14" s="4"/>
      <c r="Z14" s="4"/>
      <c r="AA14" s="4"/>
      <c r="AB14" s="4"/>
      <c r="AC14" s="7"/>
      <c r="AD14" s="48">
        <v>10.0</v>
      </c>
      <c r="AE14" s="4"/>
      <c r="AF14" s="7"/>
    </row>
    <row r="15" ht="30.0" customHeight="1">
      <c r="B15" s="47">
        <v>8.0</v>
      </c>
      <c r="C15" s="48" t="s">
        <v>100</v>
      </c>
      <c r="D15" s="4"/>
      <c r="E15" s="7"/>
      <c r="F15" s="49" t="s">
        <v>80</v>
      </c>
      <c r="G15" s="4"/>
      <c r="H15" s="4"/>
      <c r="I15" s="4"/>
      <c r="J15" s="4"/>
      <c r="K15" s="4"/>
      <c r="L15" s="7"/>
      <c r="M15" s="49" t="s">
        <v>101</v>
      </c>
      <c r="N15" s="4"/>
      <c r="O15" s="4"/>
      <c r="P15" s="4"/>
      <c r="Q15" s="4"/>
      <c r="R15" s="4"/>
      <c r="S15" s="4"/>
      <c r="T15" s="7"/>
      <c r="U15" s="51" t="s">
        <v>102</v>
      </c>
      <c r="V15" s="7"/>
      <c r="W15" s="49" t="s">
        <v>103</v>
      </c>
      <c r="X15" s="4"/>
      <c r="Y15" s="4"/>
      <c r="Z15" s="4"/>
      <c r="AA15" s="4"/>
      <c r="AB15" s="4"/>
      <c r="AC15" s="7"/>
      <c r="AD15" s="48">
        <v>20.0</v>
      </c>
      <c r="AE15" s="4"/>
      <c r="AF15" s="7"/>
    </row>
    <row r="16" ht="30.0" customHeight="1">
      <c r="B16" s="47">
        <v>9.0</v>
      </c>
      <c r="C16" s="48" t="s">
        <v>104</v>
      </c>
      <c r="D16" s="4"/>
      <c r="E16" s="7"/>
      <c r="F16" s="49" t="s">
        <v>80</v>
      </c>
      <c r="G16" s="4"/>
      <c r="H16" s="4"/>
      <c r="I16" s="4"/>
      <c r="J16" s="4"/>
      <c r="K16" s="4"/>
      <c r="L16" s="7"/>
      <c r="M16" s="49" t="s">
        <v>105</v>
      </c>
      <c r="N16" s="4"/>
      <c r="O16" s="4"/>
      <c r="P16" s="4"/>
      <c r="Q16" s="4"/>
      <c r="R16" s="4"/>
      <c r="S16" s="4"/>
      <c r="T16" s="7"/>
      <c r="U16" s="50" t="s">
        <v>82</v>
      </c>
      <c r="V16" s="7"/>
      <c r="W16" s="49" t="s">
        <v>106</v>
      </c>
      <c r="X16" s="4"/>
      <c r="Y16" s="4"/>
      <c r="Z16" s="4"/>
      <c r="AA16" s="4"/>
      <c r="AB16" s="4"/>
      <c r="AC16" s="7"/>
      <c r="AD16" s="48">
        <v>8.0</v>
      </c>
      <c r="AE16" s="4"/>
      <c r="AF16" s="7"/>
    </row>
    <row r="17" ht="30.0" customHeight="1">
      <c r="B17" s="47">
        <v>10.0</v>
      </c>
      <c r="C17" s="48" t="s">
        <v>107</v>
      </c>
      <c r="D17" s="4"/>
      <c r="E17" s="7"/>
      <c r="F17" s="49" t="s">
        <v>80</v>
      </c>
      <c r="G17" s="4"/>
      <c r="H17" s="4"/>
      <c r="I17" s="4"/>
      <c r="J17" s="4"/>
      <c r="K17" s="4"/>
      <c r="L17" s="7"/>
      <c r="M17" s="49" t="s">
        <v>108</v>
      </c>
      <c r="N17" s="4"/>
      <c r="O17" s="4"/>
      <c r="P17" s="4"/>
      <c r="Q17" s="4"/>
      <c r="R17" s="4"/>
      <c r="S17" s="4"/>
      <c r="T17" s="7"/>
      <c r="U17" s="50" t="s">
        <v>82</v>
      </c>
      <c r="V17" s="7"/>
      <c r="W17" s="49" t="s">
        <v>109</v>
      </c>
      <c r="X17" s="4"/>
      <c r="Y17" s="4"/>
      <c r="Z17" s="4"/>
      <c r="AA17" s="4"/>
      <c r="AB17" s="4"/>
      <c r="AC17" s="7"/>
      <c r="AD17" s="48">
        <v>30.0</v>
      </c>
      <c r="AE17" s="4"/>
      <c r="AF17" s="7"/>
    </row>
    <row r="18" ht="30.0" customHeight="1">
      <c r="B18" s="47">
        <v>11.0</v>
      </c>
      <c r="C18" s="48" t="s">
        <v>110</v>
      </c>
      <c r="D18" s="4"/>
      <c r="E18" s="7"/>
      <c r="F18" s="49" t="s">
        <v>111</v>
      </c>
      <c r="G18" s="4"/>
      <c r="H18" s="4"/>
      <c r="I18" s="4"/>
      <c r="J18" s="4"/>
      <c r="K18" s="4"/>
      <c r="L18" s="7"/>
      <c r="M18" s="49" t="s">
        <v>112</v>
      </c>
      <c r="N18" s="4"/>
      <c r="O18" s="4"/>
      <c r="P18" s="4"/>
      <c r="Q18" s="4"/>
      <c r="R18" s="4"/>
      <c r="S18" s="4"/>
      <c r="T18" s="7"/>
      <c r="U18" s="51" t="s">
        <v>102</v>
      </c>
      <c r="V18" s="7"/>
      <c r="W18" s="49" t="s">
        <v>113</v>
      </c>
      <c r="X18" s="4"/>
      <c r="Y18" s="4"/>
      <c r="Z18" s="4"/>
      <c r="AA18" s="4"/>
      <c r="AB18" s="4"/>
      <c r="AC18" s="7"/>
      <c r="AD18" s="48">
        <v>100.0</v>
      </c>
      <c r="AE18" s="4"/>
      <c r="AF18" s="7"/>
    </row>
    <row r="19" ht="30.0" customHeight="1">
      <c r="B19" s="47">
        <v>12.0</v>
      </c>
      <c r="C19" s="48" t="s">
        <v>114</v>
      </c>
      <c r="D19" s="4"/>
      <c r="E19" s="7"/>
      <c r="F19" s="49" t="s">
        <v>111</v>
      </c>
      <c r="G19" s="4"/>
      <c r="H19" s="4"/>
      <c r="I19" s="4"/>
      <c r="J19" s="4"/>
      <c r="K19" s="4"/>
      <c r="L19" s="7"/>
      <c r="M19" s="49" t="s">
        <v>115</v>
      </c>
      <c r="N19" s="4"/>
      <c r="O19" s="4"/>
      <c r="P19" s="4"/>
      <c r="Q19" s="4"/>
      <c r="R19" s="4"/>
      <c r="S19" s="4"/>
      <c r="T19" s="7"/>
      <c r="U19" s="51" t="s">
        <v>102</v>
      </c>
      <c r="V19" s="7"/>
      <c r="W19" s="49" t="s">
        <v>113</v>
      </c>
      <c r="X19" s="4"/>
      <c r="Y19" s="4"/>
      <c r="Z19" s="4"/>
      <c r="AA19" s="4"/>
      <c r="AB19" s="4"/>
      <c r="AC19" s="7"/>
      <c r="AD19" s="48">
        <v>80.0</v>
      </c>
      <c r="AE19" s="4"/>
      <c r="AF19" s="7"/>
    </row>
    <row r="20" ht="30.0" customHeight="1">
      <c r="B20" s="47">
        <v>13.0</v>
      </c>
      <c r="C20" s="48" t="s">
        <v>118</v>
      </c>
      <c r="D20" s="4"/>
      <c r="E20" s="7"/>
      <c r="F20" s="49" t="s">
        <v>111</v>
      </c>
      <c r="G20" s="4"/>
      <c r="H20" s="4"/>
      <c r="I20" s="4"/>
      <c r="J20" s="4"/>
      <c r="K20" s="4"/>
      <c r="L20" s="7"/>
      <c r="M20" s="49" t="s">
        <v>120</v>
      </c>
      <c r="N20" s="4"/>
      <c r="O20" s="4"/>
      <c r="P20" s="4"/>
      <c r="Q20" s="4"/>
      <c r="R20" s="4"/>
      <c r="S20" s="4"/>
      <c r="T20" s="7"/>
      <c r="U20" s="51" t="s">
        <v>102</v>
      </c>
      <c r="V20" s="7"/>
      <c r="W20" s="49" t="s">
        <v>97</v>
      </c>
      <c r="X20" s="4"/>
      <c r="Y20" s="4"/>
      <c r="Z20" s="4"/>
      <c r="AA20" s="4"/>
      <c r="AB20" s="4"/>
      <c r="AC20" s="7"/>
      <c r="AD20" s="48">
        <v>60.0</v>
      </c>
      <c r="AE20" s="4"/>
      <c r="AF20" s="7"/>
    </row>
    <row r="21" ht="30.0" customHeight="1">
      <c r="B21" s="47">
        <v>14.0</v>
      </c>
      <c r="C21" s="48" t="s">
        <v>122</v>
      </c>
      <c r="D21" s="4"/>
      <c r="E21" s="7"/>
      <c r="F21" s="49" t="s">
        <v>111</v>
      </c>
      <c r="G21" s="4"/>
      <c r="H21" s="4"/>
      <c r="I21" s="4"/>
      <c r="J21" s="4"/>
      <c r="K21" s="4"/>
      <c r="L21" s="7"/>
      <c r="M21" s="49" t="s">
        <v>123</v>
      </c>
      <c r="N21" s="4"/>
      <c r="O21" s="4"/>
      <c r="P21" s="4"/>
      <c r="Q21" s="4"/>
      <c r="R21" s="4"/>
      <c r="S21" s="4"/>
      <c r="T21" s="7"/>
      <c r="U21" s="51" t="s">
        <v>102</v>
      </c>
      <c r="V21" s="7"/>
      <c r="W21" s="49" t="s">
        <v>113</v>
      </c>
      <c r="X21" s="4"/>
      <c r="Y21" s="4"/>
      <c r="Z21" s="4"/>
      <c r="AA21" s="4"/>
      <c r="AB21" s="4"/>
      <c r="AC21" s="7"/>
      <c r="AD21" s="48">
        <v>50.0</v>
      </c>
      <c r="AE21" s="4"/>
      <c r="AF21" s="7"/>
    </row>
    <row r="22" ht="30.0" customHeight="1">
      <c r="B22" s="47">
        <v>15.0</v>
      </c>
      <c r="C22" s="48" t="s">
        <v>124</v>
      </c>
      <c r="D22" s="4"/>
      <c r="E22" s="7"/>
      <c r="F22" s="49" t="s">
        <v>111</v>
      </c>
      <c r="G22" s="4"/>
      <c r="H22" s="4"/>
      <c r="I22" s="4"/>
      <c r="J22" s="4"/>
      <c r="K22" s="4"/>
      <c r="L22" s="7"/>
      <c r="M22" s="49" t="s">
        <v>125</v>
      </c>
      <c r="N22" s="4"/>
      <c r="O22" s="4"/>
      <c r="P22" s="4"/>
      <c r="Q22" s="4"/>
      <c r="R22" s="4"/>
      <c r="S22" s="4"/>
      <c r="T22" s="7"/>
      <c r="U22" s="51" t="s">
        <v>102</v>
      </c>
      <c r="V22" s="7"/>
      <c r="W22" s="49" t="s">
        <v>126</v>
      </c>
      <c r="X22" s="4"/>
      <c r="Y22" s="4"/>
      <c r="Z22" s="4"/>
      <c r="AA22" s="4"/>
      <c r="AB22" s="4"/>
      <c r="AC22" s="7"/>
      <c r="AD22" s="48">
        <v>30.0</v>
      </c>
      <c r="AE22" s="4"/>
      <c r="AF22" s="7"/>
    </row>
    <row r="23" ht="30.0" customHeight="1">
      <c r="B23" s="47">
        <v>16.0</v>
      </c>
      <c r="C23" s="48" t="s">
        <v>128</v>
      </c>
      <c r="D23" s="4"/>
      <c r="E23" s="7"/>
      <c r="F23" s="49" t="s">
        <v>111</v>
      </c>
      <c r="G23" s="4"/>
      <c r="H23" s="4"/>
      <c r="I23" s="4"/>
      <c r="J23" s="4"/>
      <c r="K23" s="4"/>
      <c r="L23" s="7"/>
      <c r="M23" s="49" t="s">
        <v>129</v>
      </c>
      <c r="N23" s="4"/>
      <c r="O23" s="4"/>
      <c r="P23" s="4"/>
      <c r="Q23" s="4"/>
      <c r="R23" s="4"/>
      <c r="S23" s="4"/>
      <c r="T23" s="7"/>
      <c r="U23" s="50" t="s">
        <v>82</v>
      </c>
      <c r="V23" s="7"/>
      <c r="W23" s="49" t="s">
        <v>132</v>
      </c>
      <c r="X23" s="4"/>
      <c r="Y23" s="4"/>
      <c r="Z23" s="4"/>
      <c r="AA23" s="4"/>
      <c r="AB23" s="4"/>
      <c r="AC23" s="7"/>
      <c r="AD23" s="48">
        <v>15.0</v>
      </c>
      <c r="AE23" s="4"/>
      <c r="AF23" s="7"/>
    </row>
    <row r="24" ht="36.0" customHeight="1">
      <c r="B24" s="47">
        <v>17.0</v>
      </c>
      <c r="C24" s="48" t="s">
        <v>133</v>
      </c>
      <c r="D24" s="4"/>
      <c r="E24" s="7"/>
      <c r="F24" s="49" t="s">
        <v>111</v>
      </c>
      <c r="G24" s="4"/>
      <c r="H24" s="4"/>
      <c r="I24" s="4"/>
      <c r="J24" s="4"/>
      <c r="K24" s="4"/>
      <c r="L24" s="7"/>
      <c r="M24" s="49" t="s">
        <v>135</v>
      </c>
      <c r="N24" s="4"/>
      <c r="O24" s="4"/>
      <c r="P24" s="4"/>
      <c r="Q24" s="4"/>
      <c r="R24" s="4"/>
      <c r="S24" s="4"/>
      <c r="T24" s="7"/>
      <c r="U24" s="51" t="s">
        <v>102</v>
      </c>
      <c r="V24" s="7"/>
      <c r="W24" s="49" t="s">
        <v>136</v>
      </c>
      <c r="X24" s="4"/>
      <c r="Y24" s="4"/>
      <c r="Z24" s="4"/>
      <c r="AA24" s="4"/>
      <c r="AB24" s="4"/>
      <c r="AC24" s="7"/>
      <c r="AD24" s="48">
        <v>45.0</v>
      </c>
      <c r="AE24" s="4"/>
      <c r="AF24" s="7"/>
    </row>
    <row r="25" ht="30.0" customHeight="1">
      <c r="B25" s="47">
        <v>18.0</v>
      </c>
      <c r="C25" s="48" t="s">
        <v>138</v>
      </c>
      <c r="D25" s="4"/>
      <c r="E25" s="7"/>
      <c r="F25" s="49" t="s">
        <v>111</v>
      </c>
      <c r="G25" s="4"/>
      <c r="H25" s="4"/>
      <c r="I25" s="4"/>
      <c r="J25" s="4"/>
      <c r="K25" s="4"/>
      <c r="L25" s="7"/>
      <c r="M25" s="49" t="s">
        <v>139</v>
      </c>
      <c r="N25" s="4"/>
      <c r="O25" s="4"/>
      <c r="P25" s="4"/>
      <c r="Q25" s="4"/>
      <c r="R25" s="4"/>
      <c r="S25" s="4"/>
      <c r="T25" s="7"/>
      <c r="U25" s="51" t="s">
        <v>102</v>
      </c>
      <c r="V25" s="7"/>
      <c r="W25" s="49" t="s">
        <v>141</v>
      </c>
      <c r="X25" s="4"/>
      <c r="Y25" s="4"/>
      <c r="Z25" s="4"/>
      <c r="AA25" s="4"/>
      <c r="AB25" s="4"/>
      <c r="AC25" s="7"/>
      <c r="AD25" s="48">
        <v>30.0</v>
      </c>
      <c r="AE25" s="4"/>
      <c r="AF25" s="7"/>
    </row>
    <row r="26" ht="36.0" customHeight="1">
      <c r="B26" s="47">
        <v>19.0</v>
      </c>
      <c r="C26" s="48" t="s">
        <v>142</v>
      </c>
      <c r="D26" s="4"/>
      <c r="E26" s="7"/>
      <c r="F26" s="49" t="s">
        <v>111</v>
      </c>
      <c r="G26" s="4"/>
      <c r="H26" s="4"/>
      <c r="I26" s="4"/>
      <c r="J26" s="4"/>
      <c r="K26" s="4"/>
      <c r="L26" s="7"/>
      <c r="M26" s="49" t="s">
        <v>143</v>
      </c>
      <c r="N26" s="4"/>
      <c r="O26" s="4"/>
      <c r="P26" s="4"/>
      <c r="Q26" s="4"/>
      <c r="R26" s="4"/>
      <c r="S26" s="4"/>
      <c r="T26" s="7"/>
      <c r="U26" s="51" t="s">
        <v>102</v>
      </c>
      <c r="V26" s="7"/>
      <c r="W26" s="49" t="s">
        <v>145</v>
      </c>
      <c r="X26" s="4"/>
      <c r="Y26" s="4"/>
      <c r="Z26" s="4"/>
      <c r="AA26" s="4"/>
      <c r="AB26" s="4"/>
      <c r="AC26" s="7"/>
      <c r="AD26" s="48">
        <v>25.0</v>
      </c>
      <c r="AE26" s="4"/>
      <c r="AF26" s="7"/>
    </row>
    <row r="27" ht="30.0" customHeight="1">
      <c r="B27" s="47">
        <v>20.0</v>
      </c>
      <c r="C27" s="48" t="s">
        <v>146</v>
      </c>
      <c r="D27" s="4"/>
      <c r="E27" s="7"/>
      <c r="F27" s="49" t="s">
        <v>147</v>
      </c>
      <c r="G27" s="4"/>
      <c r="H27" s="4"/>
      <c r="I27" s="4"/>
      <c r="J27" s="4"/>
      <c r="K27" s="4"/>
      <c r="L27" s="7"/>
      <c r="M27" s="49" t="s">
        <v>148</v>
      </c>
      <c r="N27" s="4"/>
      <c r="O27" s="4"/>
      <c r="P27" s="4"/>
      <c r="Q27" s="4"/>
      <c r="R27" s="4"/>
      <c r="S27" s="4"/>
      <c r="T27" s="7"/>
      <c r="U27" s="50" t="s">
        <v>82</v>
      </c>
      <c r="V27" s="7"/>
      <c r="W27" s="49" t="s">
        <v>141</v>
      </c>
      <c r="X27" s="4"/>
      <c r="Y27" s="4"/>
      <c r="Z27" s="4"/>
      <c r="AA27" s="4"/>
      <c r="AB27" s="4"/>
      <c r="AC27" s="7"/>
      <c r="AD27" s="48">
        <v>60.0</v>
      </c>
      <c r="AE27" s="4"/>
      <c r="AF27" s="7"/>
    </row>
    <row r="28" ht="30.0" customHeight="1">
      <c r="B28" s="47">
        <v>21.0</v>
      </c>
      <c r="C28" s="48" t="s">
        <v>149</v>
      </c>
      <c r="D28" s="4"/>
      <c r="E28" s="7"/>
      <c r="F28" s="49" t="s">
        <v>147</v>
      </c>
      <c r="G28" s="4"/>
      <c r="H28" s="4"/>
      <c r="I28" s="4"/>
      <c r="J28" s="4"/>
      <c r="K28" s="4"/>
      <c r="L28" s="7"/>
      <c r="M28" s="49" t="s">
        <v>150</v>
      </c>
      <c r="N28" s="4"/>
      <c r="O28" s="4"/>
      <c r="P28" s="4"/>
      <c r="Q28" s="4"/>
      <c r="R28" s="4"/>
      <c r="S28" s="4"/>
      <c r="T28" s="7"/>
      <c r="U28" s="51" t="s">
        <v>102</v>
      </c>
      <c r="V28" s="7"/>
      <c r="W28" s="49" t="s">
        <v>151</v>
      </c>
      <c r="X28" s="4"/>
      <c r="Y28" s="4"/>
      <c r="Z28" s="4"/>
      <c r="AA28" s="4"/>
      <c r="AB28" s="4"/>
      <c r="AC28" s="7"/>
      <c r="AD28" s="48">
        <v>16.0</v>
      </c>
      <c r="AE28" s="4"/>
      <c r="AF28" s="7"/>
    </row>
    <row r="29" ht="30.0" customHeight="1">
      <c r="B29" s="47">
        <v>22.0</v>
      </c>
      <c r="C29" s="48" t="s">
        <v>153</v>
      </c>
      <c r="D29" s="4"/>
      <c r="E29" s="7"/>
      <c r="F29" s="49" t="s">
        <v>147</v>
      </c>
      <c r="G29" s="4"/>
      <c r="H29" s="4"/>
      <c r="I29" s="4"/>
      <c r="J29" s="4"/>
      <c r="K29" s="4"/>
      <c r="L29" s="7"/>
      <c r="M29" s="49" t="s">
        <v>154</v>
      </c>
      <c r="N29" s="4"/>
      <c r="O29" s="4"/>
      <c r="P29" s="4"/>
      <c r="Q29" s="4"/>
      <c r="R29" s="4"/>
      <c r="S29" s="4"/>
      <c r="T29" s="7"/>
      <c r="U29" s="50" t="s">
        <v>82</v>
      </c>
      <c r="V29" s="7"/>
      <c r="W29" s="49" t="s">
        <v>155</v>
      </c>
      <c r="X29" s="4"/>
      <c r="Y29" s="4"/>
      <c r="Z29" s="4"/>
      <c r="AA29" s="4"/>
      <c r="AB29" s="4"/>
      <c r="AC29" s="7"/>
      <c r="AD29" s="48">
        <v>18.0</v>
      </c>
      <c r="AE29" s="4"/>
      <c r="AF29" s="7"/>
    </row>
    <row r="30" ht="30.0" customHeight="1">
      <c r="B30" s="47">
        <v>23.0</v>
      </c>
      <c r="C30" s="48" t="s">
        <v>156</v>
      </c>
      <c r="D30" s="4"/>
      <c r="E30" s="7"/>
      <c r="F30" s="49" t="s">
        <v>147</v>
      </c>
      <c r="G30" s="4"/>
      <c r="H30" s="4"/>
      <c r="I30" s="4"/>
      <c r="J30" s="4"/>
      <c r="K30" s="4"/>
      <c r="L30" s="7"/>
      <c r="M30" s="49" t="s">
        <v>157</v>
      </c>
      <c r="N30" s="4"/>
      <c r="O30" s="4"/>
      <c r="P30" s="4"/>
      <c r="Q30" s="4"/>
      <c r="R30" s="4"/>
      <c r="S30" s="4"/>
      <c r="T30" s="7"/>
      <c r="U30" s="51" t="s">
        <v>102</v>
      </c>
      <c r="V30" s="7"/>
      <c r="W30" s="49" t="s">
        <v>158</v>
      </c>
      <c r="X30" s="4"/>
      <c r="Y30" s="4"/>
      <c r="Z30" s="4"/>
      <c r="AA30" s="4"/>
      <c r="AB30" s="4"/>
      <c r="AC30" s="7"/>
      <c r="AD30" s="48">
        <v>8.0</v>
      </c>
      <c r="AE30" s="4"/>
      <c r="AF30" s="7"/>
    </row>
    <row r="31" ht="30.0" customHeight="1">
      <c r="B31" s="47">
        <v>24.0</v>
      </c>
      <c r="C31" s="48" t="s">
        <v>159</v>
      </c>
      <c r="D31" s="4"/>
      <c r="E31" s="7"/>
      <c r="F31" s="49" t="s">
        <v>147</v>
      </c>
      <c r="G31" s="4"/>
      <c r="H31" s="4"/>
      <c r="I31" s="4"/>
      <c r="J31" s="4"/>
      <c r="K31" s="4"/>
      <c r="L31" s="7"/>
      <c r="M31" s="49" t="s">
        <v>161</v>
      </c>
      <c r="N31" s="4"/>
      <c r="O31" s="4"/>
      <c r="P31" s="4"/>
      <c r="Q31" s="4"/>
      <c r="R31" s="4"/>
      <c r="S31" s="4"/>
      <c r="T31" s="7"/>
      <c r="U31" s="50" t="s">
        <v>82</v>
      </c>
      <c r="V31" s="7"/>
      <c r="W31" s="49" t="s">
        <v>163</v>
      </c>
      <c r="X31" s="4"/>
      <c r="Y31" s="4"/>
      <c r="Z31" s="4"/>
      <c r="AA31" s="4"/>
      <c r="AB31" s="4"/>
      <c r="AC31" s="7"/>
      <c r="AD31" s="48">
        <v>10.0</v>
      </c>
      <c r="AE31" s="4"/>
      <c r="AF31" s="7"/>
    </row>
    <row r="32" ht="30.0" customHeight="1">
      <c r="B32" s="47">
        <v>25.0</v>
      </c>
      <c r="C32" s="48" t="s">
        <v>166</v>
      </c>
      <c r="D32" s="4"/>
      <c r="E32" s="7"/>
      <c r="F32" s="49" t="s">
        <v>147</v>
      </c>
      <c r="G32" s="4"/>
      <c r="H32" s="4"/>
      <c r="I32" s="4"/>
      <c r="J32" s="4"/>
      <c r="K32" s="4"/>
      <c r="L32" s="7"/>
      <c r="M32" s="49" t="s">
        <v>169</v>
      </c>
      <c r="N32" s="4"/>
      <c r="O32" s="4"/>
      <c r="P32" s="4"/>
      <c r="Q32" s="4"/>
      <c r="R32" s="4"/>
      <c r="S32" s="4"/>
      <c r="T32" s="7"/>
      <c r="U32" s="51" t="s">
        <v>102</v>
      </c>
      <c r="V32" s="7"/>
      <c r="W32" s="49" t="s">
        <v>171</v>
      </c>
      <c r="X32" s="4"/>
      <c r="Y32" s="4"/>
      <c r="Z32" s="4"/>
      <c r="AA32" s="4"/>
      <c r="AB32" s="4"/>
      <c r="AC32" s="7"/>
      <c r="AD32" s="48">
        <v>30.0</v>
      </c>
      <c r="AE32" s="4"/>
      <c r="AF32" s="7"/>
    </row>
    <row r="33" ht="30.0" customHeight="1">
      <c r="B33" s="47">
        <v>26.0</v>
      </c>
      <c r="C33" s="48" t="s">
        <v>174</v>
      </c>
      <c r="D33" s="4"/>
      <c r="E33" s="7"/>
      <c r="F33" s="49" t="s">
        <v>147</v>
      </c>
      <c r="G33" s="4"/>
      <c r="H33" s="4"/>
      <c r="I33" s="4"/>
      <c r="J33" s="4"/>
      <c r="K33" s="4"/>
      <c r="L33" s="7"/>
      <c r="M33" s="49" t="s">
        <v>175</v>
      </c>
      <c r="N33" s="4"/>
      <c r="O33" s="4"/>
      <c r="P33" s="4"/>
      <c r="Q33" s="4"/>
      <c r="R33" s="4"/>
      <c r="S33" s="4"/>
      <c r="T33" s="7"/>
      <c r="U33" s="50" t="s">
        <v>82</v>
      </c>
      <c r="V33" s="7"/>
      <c r="W33" s="49" t="s">
        <v>177</v>
      </c>
      <c r="X33" s="4"/>
      <c r="Y33" s="4"/>
      <c r="Z33" s="4"/>
      <c r="AA33" s="4"/>
      <c r="AB33" s="4"/>
      <c r="AC33" s="7"/>
      <c r="AD33" s="48">
        <v>15.0</v>
      </c>
      <c r="AE33" s="4"/>
      <c r="AF33" s="7"/>
    </row>
    <row r="34" ht="30.0" customHeight="1">
      <c r="B34" s="47">
        <v>27.0</v>
      </c>
      <c r="C34" s="48" t="s">
        <v>179</v>
      </c>
      <c r="D34" s="4"/>
      <c r="E34" s="7"/>
      <c r="F34" s="49" t="s">
        <v>147</v>
      </c>
      <c r="G34" s="4"/>
      <c r="H34" s="4"/>
      <c r="I34" s="4"/>
      <c r="J34" s="4"/>
      <c r="K34" s="4"/>
      <c r="L34" s="7"/>
      <c r="M34" s="49" t="s">
        <v>182</v>
      </c>
      <c r="N34" s="4"/>
      <c r="O34" s="4"/>
      <c r="P34" s="4"/>
      <c r="Q34" s="4"/>
      <c r="R34" s="4"/>
      <c r="S34" s="4"/>
      <c r="T34" s="7"/>
      <c r="U34" s="50" t="s">
        <v>82</v>
      </c>
      <c r="V34" s="7"/>
      <c r="W34" s="49" t="s">
        <v>183</v>
      </c>
      <c r="X34" s="4"/>
      <c r="Y34" s="4"/>
      <c r="Z34" s="4"/>
      <c r="AA34" s="4"/>
      <c r="AB34" s="4"/>
      <c r="AC34" s="7"/>
      <c r="AD34" s="48">
        <v>18.0</v>
      </c>
      <c r="AE34" s="4"/>
      <c r="AF34" s="7"/>
    </row>
    <row r="35" ht="30.0" customHeight="1">
      <c r="B35" s="47">
        <v>28.0</v>
      </c>
      <c r="C35" s="48" t="s">
        <v>184</v>
      </c>
      <c r="D35" s="4"/>
      <c r="E35" s="7"/>
      <c r="F35" s="49" t="s">
        <v>185</v>
      </c>
      <c r="G35" s="4"/>
      <c r="H35" s="4"/>
      <c r="I35" s="4"/>
      <c r="J35" s="4"/>
      <c r="K35" s="4"/>
      <c r="L35" s="7"/>
      <c r="M35" s="49" t="s">
        <v>187</v>
      </c>
      <c r="N35" s="4"/>
      <c r="O35" s="4"/>
      <c r="P35" s="4"/>
      <c r="Q35" s="4"/>
      <c r="R35" s="4"/>
      <c r="S35" s="4"/>
      <c r="T35" s="7"/>
      <c r="U35" s="50" t="s">
        <v>82</v>
      </c>
      <c r="V35" s="7"/>
      <c r="W35" s="49" t="s">
        <v>188</v>
      </c>
      <c r="X35" s="4"/>
      <c r="Y35" s="4"/>
      <c r="Z35" s="4"/>
      <c r="AA35" s="4"/>
      <c r="AB35" s="4"/>
      <c r="AC35" s="7"/>
      <c r="AD35" s="48">
        <v>25.0</v>
      </c>
      <c r="AE35" s="4"/>
      <c r="AF35" s="7"/>
    </row>
    <row r="36" ht="30.0" customHeight="1">
      <c r="B36" s="47">
        <v>29.0</v>
      </c>
      <c r="C36" s="48" t="s">
        <v>189</v>
      </c>
      <c r="D36" s="4"/>
      <c r="E36" s="7"/>
      <c r="F36" s="49" t="s">
        <v>185</v>
      </c>
      <c r="G36" s="4"/>
      <c r="H36" s="4"/>
      <c r="I36" s="4"/>
      <c r="J36" s="4"/>
      <c r="K36" s="4"/>
      <c r="L36" s="7"/>
      <c r="M36" s="49" t="s">
        <v>190</v>
      </c>
      <c r="N36" s="4"/>
      <c r="O36" s="4"/>
      <c r="P36" s="4"/>
      <c r="Q36" s="4"/>
      <c r="R36" s="4"/>
      <c r="S36" s="4"/>
      <c r="T36" s="7"/>
      <c r="U36" s="50" t="s">
        <v>82</v>
      </c>
      <c r="V36" s="7"/>
      <c r="W36" s="49" t="s">
        <v>94</v>
      </c>
      <c r="X36" s="4"/>
      <c r="Y36" s="4"/>
      <c r="Z36" s="4"/>
      <c r="AA36" s="4"/>
      <c r="AB36" s="4"/>
      <c r="AC36" s="7"/>
      <c r="AD36" s="48">
        <v>8.0</v>
      </c>
      <c r="AE36" s="4"/>
      <c r="AF36" s="7"/>
    </row>
    <row r="37" ht="30.0" customHeight="1">
      <c r="B37" s="47">
        <v>30.0</v>
      </c>
      <c r="C37" s="48" t="s">
        <v>194</v>
      </c>
      <c r="D37" s="4"/>
      <c r="E37" s="7"/>
      <c r="F37" s="49" t="s">
        <v>185</v>
      </c>
      <c r="G37" s="4"/>
      <c r="H37" s="4"/>
      <c r="I37" s="4"/>
      <c r="J37" s="4"/>
      <c r="K37" s="4"/>
      <c r="L37" s="7"/>
      <c r="M37" s="49" t="s">
        <v>195</v>
      </c>
      <c r="N37" s="4"/>
      <c r="O37" s="4"/>
      <c r="P37" s="4"/>
      <c r="Q37" s="4"/>
      <c r="R37" s="4"/>
      <c r="S37" s="4"/>
      <c r="T37" s="7"/>
      <c r="U37" s="50" t="s">
        <v>82</v>
      </c>
      <c r="V37" s="7"/>
      <c r="W37" s="49" t="s">
        <v>197</v>
      </c>
      <c r="X37" s="4"/>
      <c r="Y37" s="4"/>
      <c r="Z37" s="4"/>
      <c r="AA37" s="4"/>
      <c r="AB37" s="4"/>
      <c r="AC37" s="7"/>
      <c r="AD37" s="48">
        <v>15.0</v>
      </c>
      <c r="AE37" s="4"/>
      <c r="AF37" s="7"/>
    </row>
    <row r="38" ht="30.0" customHeight="1">
      <c r="B38" s="47">
        <v>31.0</v>
      </c>
      <c r="C38" s="48" t="s">
        <v>200</v>
      </c>
      <c r="D38" s="4"/>
      <c r="E38" s="7"/>
      <c r="F38" s="49" t="s">
        <v>185</v>
      </c>
      <c r="G38" s="4"/>
      <c r="H38" s="4"/>
      <c r="I38" s="4"/>
      <c r="J38" s="4"/>
      <c r="K38" s="4"/>
      <c r="L38" s="7"/>
      <c r="M38" s="49" t="s">
        <v>201</v>
      </c>
      <c r="N38" s="4"/>
      <c r="O38" s="4"/>
      <c r="P38" s="4"/>
      <c r="Q38" s="4"/>
      <c r="R38" s="4"/>
      <c r="S38" s="4"/>
      <c r="T38" s="7"/>
      <c r="U38" s="50" t="s">
        <v>82</v>
      </c>
      <c r="V38" s="7"/>
      <c r="W38" s="49" t="s">
        <v>94</v>
      </c>
      <c r="X38" s="4"/>
      <c r="Y38" s="4"/>
      <c r="Z38" s="4"/>
      <c r="AA38" s="4"/>
      <c r="AB38" s="4"/>
      <c r="AC38" s="7"/>
      <c r="AD38" s="48">
        <v>40.0</v>
      </c>
      <c r="AE38" s="4"/>
      <c r="AF38" s="7"/>
    </row>
    <row r="39" ht="30.0" customHeight="1">
      <c r="B39" s="47">
        <v>32.0</v>
      </c>
      <c r="C39" s="48" t="s">
        <v>202</v>
      </c>
      <c r="D39" s="4"/>
      <c r="E39" s="7"/>
      <c r="F39" s="49" t="s">
        <v>185</v>
      </c>
      <c r="G39" s="4"/>
      <c r="H39" s="4"/>
      <c r="I39" s="4"/>
      <c r="J39" s="4"/>
      <c r="K39" s="4"/>
      <c r="L39" s="7"/>
      <c r="M39" s="49" t="s">
        <v>203</v>
      </c>
      <c r="N39" s="4"/>
      <c r="O39" s="4"/>
      <c r="P39" s="4"/>
      <c r="Q39" s="4"/>
      <c r="R39" s="4"/>
      <c r="S39" s="4"/>
      <c r="T39" s="7"/>
      <c r="U39" s="51" t="s">
        <v>102</v>
      </c>
      <c r="V39" s="7"/>
      <c r="W39" s="49" t="s">
        <v>204</v>
      </c>
      <c r="X39" s="4"/>
      <c r="Y39" s="4"/>
      <c r="Z39" s="4"/>
      <c r="AA39" s="4"/>
      <c r="AB39" s="4"/>
      <c r="AC39" s="7"/>
      <c r="AD39" s="48">
        <v>20.0</v>
      </c>
      <c r="AE39" s="4"/>
      <c r="AF39" s="7"/>
    </row>
    <row r="40" ht="30.0" customHeight="1">
      <c r="B40" s="47">
        <v>33.0</v>
      </c>
      <c r="C40" s="48" t="s">
        <v>205</v>
      </c>
      <c r="D40" s="4"/>
      <c r="E40" s="7"/>
      <c r="F40" s="49" t="s">
        <v>185</v>
      </c>
      <c r="G40" s="4"/>
      <c r="H40" s="4"/>
      <c r="I40" s="4"/>
      <c r="J40" s="4"/>
      <c r="K40" s="4"/>
      <c r="L40" s="7"/>
      <c r="M40" s="49" t="s">
        <v>207</v>
      </c>
      <c r="N40" s="4"/>
      <c r="O40" s="4"/>
      <c r="P40" s="4"/>
      <c r="Q40" s="4"/>
      <c r="R40" s="4"/>
      <c r="S40" s="4"/>
      <c r="T40" s="7"/>
      <c r="U40" s="51" t="s">
        <v>102</v>
      </c>
      <c r="V40" s="7"/>
      <c r="W40" s="49" t="s">
        <v>210</v>
      </c>
      <c r="X40" s="4"/>
      <c r="Y40" s="4"/>
      <c r="Z40" s="4"/>
      <c r="AA40" s="4"/>
      <c r="AB40" s="4"/>
      <c r="AC40" s="7"/>
      <c r="AD40" s="48">
        <v>12.0</v>
      </c>
      <c r="AE40" s="4"/>
      <c r="AF40" s="7"/>
    </row>
    <row r="41" ht="30.0" customHeight="1">
      <c r="B41" s="47">
        <v>34.0</v>
      </c>
      <c r="C41" s="48" t="s">
        <v>212</v>
      </c>
      <c r="D41" s="4"/>
      <c r="E41" s="7"/>
      <c r="F41" s="49" t="s">
        <v>185</v>
      </c>
      <c r="G41" s="4"/>
      <c r="H41" s="4"/>
      <c r="I41" s="4"/>
      <c r="J41" s="4"/>
      <c r="K41" s="4"/>
      <c r="L41" s="7"/>
      <c r="M41" s="49" t="s">
        <v>213</v>
      </c>
      <c r="N41" s="4"/>
      <c r="O41" s="4"/>
      <c r="P41" s="4"/>
      <c r="Q41" s="4"/>
      <c r="R41" s="4"/>
      <c r="S41" s="4"/>
      <c r="T41" s="7"/>
      <c r="U41" s="50" t="s">
        <v>82</v>
      </c>
      <c r="V41" s="7"/>
      <c r="W41" s="49" t="s">
        <v>215</v>
      </c>
      <c r="X41" s="4"/>
      <c r="Y41" s="4"/>
      <c r="Z41" s="4"/>
      <c r="AA41" s="4"/>
      <c r="AB41" s="4"/>
      <c r="AC41" s="7"/>
      <c r="AD41" s="48">
        <v>15.0</v>
      </c>
      <c r="AE41" s="4"/>
      <c r="AF41" s="7"/>
    </row>
    <row r="42" ht="30.0" customHeight="1">
      <c r="B42" s="47">
        <v>35.0</v>
      </c>
      <c r="C42" s="48" t="s">
        <v>216</v>
      </c>
      <c r="D42" s="4"/>
      <c r="E42" s="7"/>
      <c r="F42" s="49" t="s">
        <v>185</v>
      </c>
      <c r="G42" s="4"/>
      <c r="H42" s="4"/>
      <c r="I42" s="4"/>
      <c r="J42" s="4"/>
      <c r="K42" s="4"/>
      <c r="L42" s="7"/>
      <c r="M42" s="49" t="s">
        <v>217</v>
      </c>
      <c r="N42" s="4"/>
      <c r="O42" s="4"/>
      <c r="P42" s="4"/>
      <c r="Q42" s="4"/>
      <c r="R42" s="4"/>
      <c r="S42" s="4"/>
      <c r="T42" s="7"/>
      <c r="U42" s="51" t="s">
        <v>102</v>
      </c>
      <c r="V42" s="7"/>
      <c r="W42" s="49" t="s">
        <v>94</v>
      </c>
      <c r="X42" s="4"/>
      <c r="Y42" s="4"/>
      <c r="Z42" s="4"/>
      <c r="AA42" s="4"/>
      <c r="AB42" s="4"/>
      <c r="AC42" s="7"/>
      <c r="AD42" s="48">
        <v>30.0</v>
      </c>
      <c r="AE42" s="4"/>
      <c r="AF42" s="7"/>
    </row>
    <row r="43" ht="36.0" customHeight="1">
      <c r="B43" s="47">
        <v>36.0</v>
      </c>
      <c r="C43" s="48" t="s">
        <v>219</v>
      </c>
      <c r="D43" s="4"/>
      <c r="E43" s="7"/>
      <c r="F43" s="49" t="s">
        <v>185</v>
      </c>
      <c r="G43" s="4"/>
      <c r="H43" s="4"/>
      <c r="I43" s="4"/>
      <c r="J43" s="4"/>
      <c r="K43" s="4"/>
      <c r="L43" s="7"/>
      <c r="M43" s="49" t="s">
        <v>222</v>
      </c>
      <c r="N43" s="4"/>
      <c r="O43" s="4"/>
      <c r="P43" s="4"/>
      <c r="Q43" s="4"/>
      <c r="R43" s="4"/>
      <c r="S43" s="4"/>
      <c r="T43" s="7"/>
      <c r="U43" s="50" t="s">
        <v>82</v>
      </c>
      <c r="V43" s="7"/>
      <c r="W43" s="49" t="s">
        <v>197</v>
      </c>
      <c r="X43" s="4"/>
      <c r="Y43" s="4"/>
      <c r="Z43" s="4"/>
      <c r="AA43" s="4"/>
      <c r="AB43" s="4"/>
      <c r="AC43" s="7"/>
      <c r="AD43" s="48">
        <v>6.0</v>
      </c>
      <c r="AE43" s="4"/>
      <c r="AF43" s="7"/>
    </row>
    <row r="44" ht="30.0" customHeight="1">
      <c r="B44" s="47">
        <v>37.0</v>
      </c>
      <c r="C44" s="48" t="s">
        <v>225</v>
      </c>
      <c r="D44" s="4"/>
      <c r="E44" s="7"/>
      <c r="F44" s="49" t="s">
        <v>226</v>
      </c>
      <c r="G44" s="4"/>
      <c r="H44" s="4"/>
      <c r="I44" s="4"/>
      <c r="J44" s="4"/>
      <c r="K44" s="4"/>
      <c r="L44" s="7"/>
      <c r="M44" s="49" t="s">
        <v>227</v>
      </c>
      <c r="N44" s="4"/>
      <c r="O44" s="4"/>
      <c r="P44" s="4"/>
      <c r="Q44" s="4"/>
      <c r="R44" s="4"/>
      <c r="S44" s="4"/>
      <c r="T44" s="7"/>
      <c r="U44" s="56" t="s">
        <v>228</v>
      </c>
      <c r="V44" s="7"/>
      <c r="W44" s="49" t="s">
        <v>229</v>
      </c>
      <c r="X44" s="4"/>
      <c r="Y44" s="4"/>
      <c r="Z44" s="4"/>
      <c r="AA44" s="4"/>
      <c r="AB44" s="4"/>
      <c r="AC44" s="7"/>
      <c r="AD44" s="48">
        <v>60.0</v>
      </c>
      <c r="AE44" s="4"/>
      <c r="AF44" s="7"/>
    </row>
    <row r="45" ht="36.0" customHeight="1">
      <c r="B45" s="47">
        <v>38.0</v>
      </c>
      <c r="C45" s="48" t="s">
        <v>230</v>
      </c>
      <c r="D45" s="4"/>
      <c r="E45" s="7"/>
      <c r="F45" s="49" t="s">
        <v>226</v>
      </c>
      <c r="G45" s="4"/>
      <c r="H45" s="4"/>
      <c r="I45" s="4"/>
      <c r="J45" s="4"/>
      <c r="K45" s="4"/>
      <c r="L45" s="7"/>
      <c r="M45" s="49" t="s">
        <v>232</v>
      </c>
      <c r="N45" s="4"/>
      <c r="O45" s="4"/>
      <c r="P45" s="4"/>
      <c r="Q45" s="4"/>
      <c r="R45" s="4"/>
      <c r="S45" s="4"/>
      <c r="T45" s="7"/>
      <c r="U45" s="56" t="s">
        <v>228</v>
      </c>
      <c r="V45" s="7"/>
      <c r="W45" s="49" t="s">
        <v>229</v>
      </c>
      <c r="X45" s="4"/>
      <c r="Y45" s="4"/>
      <c r="Z45" s="4"/>
      <c r="AA45" s="4"/>
      <c r="AB45" s="4"/>
      <c r="AC45" s="7"/>
      <c r="AD45" s="48">
        <v>40.0</v>
      </c>
      <c r="AE45" s="4"/>
      <c r="AF45" s="7"/>
    </row>
    <row r="46" ht="30.0" customHeight="1">
      <c r="B46" s="47">
        <v>39.0</v>
      </c>
      <c r="C46" s="48" t="s">
        <v>236</v>
      </c>
      <c r="D46" s="4"/>
      <c r="E46" s="7"/>
      <c r="F46" s="49" t="s">
        <v>226</v>
      </c>
      <c r="G46" s="4"/>
      <c r="H46" s="4"/>
      <c r="I46" s="4"/>
      <c r="J46" s="4"/>
      <c r="K46" s="4"/>
      <c r="L46" s="7"/>
      <c r="M46" s="49" t="s">
        <v>238</v>
      </c>
      <c r="N46" s="4"/>
      <c r="O46" s="4"/>
      <c r="P46" s="4"/>
      <c r="Q46" s="4"/>
      <c r="R46" s="4"/>
      <c r="S46" s="4"/>
      <c r="T46" s="7"/>
      <c r="U46" s="56" t="s">
        <v>228</v>
      </c>
      <c r="V46" s="7"/>
      <c r="W46" s="49" t="s">
        <v>113</v>
      </c>
      <c r="X46" s="4"/>
      <c r="Y46" s="4"/>
      <c r="Z46" s="4"/>
      <c r="AA46" s="4"/>
      <c r="AB46" s="4"/>
      <c r="AC46" s="7"/>
      <c r="AD46" s="48">
        <v>25.0</v>
      </c>
      <c r="AE46" s="4"/>
      <c r="AF46" s="7"/>
    </row>
    <row r="47" ht="30.0" customHeight="1">
      <c r="B47" s="47">
        <v>40.0</v>
      </c>
      <c r="C47" s="48" t="s">
        <v>239</v>
      </c>
      <c r="D47" s="4"/>
      <c r="E47" s="7"/>
      <c r="F47" s="49" t="s">
        <v>226</v>
      </c>
      <c r="G47" s="4"/>
      <c r="H47" s="4"/>
      <c r="I47" s="4"/>
      <c r="J47" s="4"/>
      <c r="K47" s="4"/>
      <c r="L47" s="7"/>
      <c r="M47" s="49" t="s">
        <v>240</v>
      </c>
      <c r="N47" s="4"/>
      <c r="O47" s="4"/>
      <c r="P47" s="4"/>
      <c r="Q47" s="4"/>
      <c r="R47" s="4"/>
      <c r="S47" s="4"/>
      <c r="T47" s="7"/>
      <c r="U47" s="56" t="s">
        <v>228</v>
      </c>
      <c r="V47" s="7"/>
      <c r="W47" s="49" t="s">
        <v>94</v>
      </c>
      <c r="X47" s="4"/>
      <c r="Y47" s="4"/>
      <c r="Z47" s="4"/>
      <c r="AA47" s="4"/>
      <c r="AB47" s="4"/>
      <c r="AC47" s="7"/>
      <c r="AD47" s="48">
        <v>5.0</v>
      </c>
      <c r="AE47" s="4"/>
      <c r="AF47" s="7"/>
    </row>
    <row r="48" ht="30.0" customHeight="1">
      <c r="B48" s="47">
        <v>41.0</v>
      </c>
      <c r="C48" s="48" t="s">
        <v>241</v>
      </c>
      <c r="D48" s="4"/>
      <c r="E48" s="7"/>
      <c r="F48" s="49" t="s">
        <v>226</v>
      </c>
      <c r="G48" s="4"/>
      <c r="H48" s="4"/>
      <c r="I48" s="4"/>
      <c r="J48" s="4"/>
      <c r="K48" s="4"/>
      <c r="L48" s="7"/>
      <c r="M48" s="49" t="s">
        <v>245</v>
      </c>
      <c r="N48" s="4"/>
      <c r="O48" s="4"/>
      <c r="P48" s="4"/>
      <c r="Q48" s="4"/>
      <c r="R48" s="4"/>
      <c r="S48" s="4"/>
      <c r="T48" s="7"/>
      <c r="U48" s="50" t="s">
        <v>82</v>
      </c>
      <c r="V48" s="7"/>
      <c r="W48" s="49" t="s">
        <v>94</v>
      </c>
      <c r="X48" s="4"/>
      <c r="Y48" s="4"/>
      <c r="Z48" s="4"/>
      <c r="AA48" s="4"/>
      <c r="AB48" s="4"/>
      <c r="AC48" s="7"/>
      <c r="AD48" s="48">
        <v>5.0</v>
      </c>
      <c r="AE48" s="4"/>
      <c r="AF48" s="7"/>
    </row>
    <row r="49" ht="30.0" customHeight="1">
      <c r="B49" s="47">
        <v>42.0</v>
      </c>
      <c r="C49" s="48" t="s">
        <v>247</v>
      </c>
      <c r="D49" s="4"/>
      <c r="E49" s="7"/>
      <c r="F49" s="49" t="s">
        <v>226</v>
      </c>
      <c r="G49" s="4"/>
      <c r="H49" s="4"/>
      <c r="I49" s="4"/>
      <c r="J49" s="4"/>
      <c r="K49" s="4"/>
      <c r="L49" s="7"/>
      <c r="M49" s="49" t="s">
        <v>249</v>
      </c>
      <c r="N49" s="4"/>
      <c r="O49" s="4"/>
      <c r="P49" s="4"/>
      <c r="Q49" s="4"/>
      <c r="R49" s="4"/>
      <c r="S49" s="4"/>
      <c r="T49" s="7"/>
      <c r="U49" s="51" t="s">
        <v>102</v>
      </c>
      <c r="V49" s="7"/>
      <c r="W49" s="49" t="s">
        <v>250</v>
      </c>
      <c r="X49" s="4"/>
      <c r="Y49" s="4"/>
      <c r="Z49" s="4"/>
      <c r="AA49" s="4"/>
      <c r="AB49" s="4"/>
      <c r="AC49" s="7"/>
      <c r="AD49" s="48">
        <v>8.0</v>
      </c>
      <c r="AE49" s="4"/>
      <c r="AF49" s="7"/>
    </row>
    <row r="50" ht="30.0" customHeight="1">
      <c r="B50" s="47">
        <v>43.0</v>
      </c>
      <c r="C50" s="48" t="s">
        <v>251</v>
      </c>
      <c r="D50" s="4"/>
      <c r="E50" s="7"/>
      <c r="F50" s="49" t="s">
        <v>252</v>
      </c>
      <c r="G50" s="4"/>
      <c r="H50" s="4"/>
      <c r="I50" s="4"/>
      <c r="J50" s="4"/>
      <c r="K50" s="4"/>
      <c r="L50" s="7"/>
      <c r="M50" s="49" t="s">
        <v>253</v>
      </c>
      <c r="N50" s="4"/>
      <c r="O50" s="4"/>
      <c r="P50" s="4"/>
      <c r="Q50" s="4"/>
      <c r="R50" s="4"/>
      <c r="S50" s="4"/>
      <c r="T50" s="7"/>
      <c r="U50" s="51" t="s">
        <v>102</v>
      </c>
      <c r="V50" s="7"/>
      <c r="W50" s="49" t="s">
        <v>254</v>
      </c>
      <c r="X50" s="4"/>
      <c r="Y50" s="4"/>
      <c r="Z50" s="4"/>
      <c r="AA50" s="4"/>
      <c r="AB50" s="4"/>
      <c r="AC50" s="7"/>
      <c r="AD50" s="48">
        <v>12.0</v>
      </c>
      <c r="AE50" s="4"/>
      <c r="AF50" s="7"/>
    </row>
    <row r="51" ht="30.0" customHeight="1">
      <c r="B51" s="47">
        <v>44.0</v>
      </c>
      <c r="C51" s="48" t="s">
        <v>255</v>
      </c>
      <c r="D51" s="4"/>
      <c r="E51" s="7"/>
      <c r="F51" s="49" t="s">
        <v>252</v>
      </c>
      <c r="G51" s="4"/>
      <c r="H51" s="4"/>
      <c r="I51" s="4"/>
      <c r="J51" s="4"/>
      <c r="K51" s="4"/>
      <c r="L51" s="7"/>
      <c r="M51" s="49" t="s">
        <v>258</v>
      </c>
      <c r="N51" s="4"/>
      <c r="O51" s="4"/>
      <c r="P51" s="4"/>
      <c r="Q51" s="4"/>
      <c r="R51" s="4"/>
      <c r="S51" s="4"/>
      <c r="T51" s="7"/>
      <c r="U51" s="51" t="s">
        <v>102</v>
      </c>
      <c r="V51" s="7"/>
      <c r="W51" s="49" t="s">
        <v>260</v>
      </c>
      <c r="X51" s="4"/>
      <c r="Y51" s="4"/>
      <c r="Z51" s="4"/>
      <c r="AA51" s="4"/>
      <c r="AB51" s="4"/>
      <c r="AC51" s="7"/>
      <c r="AD51" s="48">
        <v>8.0</v>
      </c>
      <c r="AE51" s="4"/>
      <c r="AF51" s="7"/>
    </row>
    <row r="52" ht="22.5" customHeight="1">
      <c r="B52" s="57" t="s">
        <v>34</v>
      </c>
      <c r="C52" s="4"/>
      <c r="D52" s="4"/>
      <c r="E52" s="4"/>
      <c r="F52" s="4"/>
      <c r="G52" s="4"/>
      <c r="H52" s="4"/>
      <c r="I52" s="4"/>
      <c r="J52" s="4"/>
      <c r="K52" s="4"/>
      <c r="L52" s="4"/>
      <c r="M52" s="4"/>
      <c r="N52" s="4"/>
      <c r="O52" s="4"/>
      <c r="P52" s="4"/>
      <c r="Q52" s="4"/>
      <c r="R52" s="4"/>
      <c r="S52" s="4"/>
      <c r="T52" s="7"/>
      <c r="U52" s="29"/>
      <c r="V52" s="7"/>
      <c r="W52" s="29"/>
      <c r="X52" s="4"/>
      <c r="Y52" s="4"/>
      <c r="Z52" s="4"/>
      <c r="AA52" s="4"/>
      <c r="AB52" s="4"/>
      <c r="AC52" s="7"/>
      <c r="AD52" s="29">
        <f>SUM(AD8:AD51)</f>
        <v>1682</v>
      </c>
      <c r="AE52" s="4"/>
      <c r="AF52" s="7"/>
    </row>
    <row r="53" ht="15.75" customHeight="1"/>
    <row r="54" ht="19.5" customHeight="1">
      <c r="B54" s="33" t="s">
        <v>264</v>
      </c>
    </row>
    <row r="55" ht="15.75" customHeight="1"/>
    <row r="56" ht="28.5" customHeight="1">
      <c r="B56" s="46" t="s">
        <v>266</v>
      </c>
      <c r="C56" s="7"/>
      <c r="D56" s="46" t="s">
        <v>267</v>
      </c>
      <c r="E56" s="4"/>
      <c r="F56" s="7"/>
      <c r="G56" s="46" t="s">
        <v>269</v>
      </c>
      <c r="H56" s="4"/>
      <c r="I56" s="4"/>
      <c r="J56" s="4"/>
      <c r="K56" s="4"/>
      <c r="L56" s="7"/>
      <c r="M56" s="46" t="s">
        <v>271</v>
      </c>
      <c r="N56" s="7"/>
      <c r="O56" s="46" t="s">
        <v>273</v>
      </c>
      <c r="P56" s="4"/>
      <c r="Q56" s="7"/>
      <c r="R56" s="46" t="s">
        <v>274</v>
      </c>
      <c r="S56" s="4"/>
      <c r="T56" s="4"/>
      <c r="U56" s="4"/>
      <c r="V56" s="4"/>
      <c r="W56" s="4"/>
      <c r="X56" s="4"/>
      <c r="Y56" s="4"/>
      <c r="Z56" s="4"/>
      <c r="AA56" s="4"/>
      <c r="AB56" s="4"/>
      <c r="AC56" s="4"/>
      <c r="AD56" s="4"/>
      <c r="AE56" s="4"/>
      <c r="AF56" s="4"/>
      <c r="AG56" s="4"/>
      <c r="AH56" s="4"/>
      <c r="AI56" s="4"/>
      <c r="AJ56" s="4"/>
      <c r="AK56" s="7"/>
    </row>
    <row r="57" ht="36.0" customHeight="1">
      <c r="B57" s="58" t="s">
        <v>263</v>
      </c>
      <c r="C57" s="7"/>
      <c r="D57" s="48" t="s">
        <v>277</v>
      </c>
      <c r="E57" s="4"/>
      <c r="F57" s="7"/>
      <c r="G57" s="49" t="s">
        <v>278</v>
      </c>
      <c r="H57" s="4"/>
      <c r="I57" s="4"/>
      <c r="J57" s="4"/>
      <c r="K57" s="4"/>
      <c r="L57" s="7"/>
      <c r="M57" s="48">
        <v>10.0</v>
      </c>
      <c r="N57" s="7"/>
      <c r="O57" s="48" t="s">
        <v>82</v>
      </c>
      <c r="P57" s="4"/>
      <c r="Q57" s="7"/>
      <c r="R57" s="49" t="s">
        <v>279</v>
      </c>
      <c r="S57" s="4"/>
      <c r="T57" s="4"/>
      <c r="U57" s="4"/>
      <c r="V57" s="4"/>
      <c r="W57" s="4"/>
      <c r="X57" s="4"/>
      <c r="Y57" s="4"/>
      <c r="Z57" s="4"/>
      <c r="AA57" s="4"/>
      <c r="AB57" s="4"/>
      <c r="AC57" s="4"/>
      <c r="AD57" s="4"/>
      <c r="AE57" s="4"/>
      <c r="AF57" s="4"/>
      <c r="AG57" s="4"/>
      <c r="AH57" s="4"/>
      <c r="AI57" s="4"/>
      <c r="AJ57" s="4"/>
      <c r="AK57" s="7"/>
    </row>
    <row r="58" ht="30.0" customHeight="1">
      <c r="B58" s="58" t="s">
        <v>282</v>
      </c>
      <c r="C58" s="7"/>
      <c r="D58" s="48" t="s">
        <v>283</v>
      </c>
      <c r="E58" s="4"/>
      <c r="F58" s="7"/>
      <c r="G58" s="49" t="s">
        <v>284</v>
      </c>
      <c r="H58" s="4"/>
      <c r="I58" s="4"/>
      <c r="J58" s="4"/>
      <c r="K58" s="4"/>
      <c r="L58" s="7"/>
      <c r="M58" s="48">
        <v>9.0</v>
      </c>
      <c r="N58" s="7"/>
      <c r="O58" s="48" t="s">
        <v>102</v>
      </c>
      <c r="P58" s="4"/>
      <c r="Q58" s="7"/>
      <c r="R58" s="49" t="s">
        <v>285</v>
      </c>
      <c r="S58" s="4"/>
      <c r="T58" s="4"/>
      <c r="U58" s="4"/>
      <c r="V58" s="4"/>
      <c r="W58" s="4"/>
      <c r="X58" s="4"/>
      <c r="Y58" s="4"/>
      <c r="Z58" s="4"/>
      <c r="AA58" s="4"/>
      <c r="AB58" s="4"/>
      <c r="AC58" s="4"/>
      <c r="AD58" s="4"/>
      <c r="AE58" s="4"/>
      <c r="AF58" s="4"/>
      <c r="AG58" s="4"/>
      <c r="AH58" s="4"/>
      <c r="AI58" s="4"/>
      <c r="AJ58" s="4"/>
      <c r="AK58" s="7"/>
    </row>
    <row r="59" ht="36.0" customHeight="1">
      <c r="B59" s="58" t="s">
        <v>286</v>
      </c>
      <c r="C59" s="7"/>
      <c r="D59" s="48" t="s">
        <v>287</v>
      </c>
      <c r="E59" s="4"/>
      <c r="F59" s="7"/>
      <c r="G59" s="49" t="s">
        <v>289</v>
      </c>
      <c r="H59" s="4"/>
      <c r="I59" s="4"/>
      <c r="J59" s="4"/>
      <c r="K59" s="4"/>
      <c r="L59" s="7"/>
      <c r="M59" s="48">
        <v>8.0</v>
      </c>
      <c r="N59" s="7"/>
      <c r="O59" s="48" t="s">
        <v>82</v>
      </c>
      <c r="P59" s="4"/>
      <c r="Q59" s="7"/>
      <c r="R59" s="49" t="s">
        <v>292</v>
      </c>
      <c r="S59" s="4"/>
      <c r="T59" s="4"/>
      <c r="U59" s="4"/>
      <c r="V59" s="4"/>
      <c r="W59" s="4"/>
      <c r="X59" s="4"/>
      <c r="Y59" s="4"/>
      <c r="Z59" s="4"/>
      <c r="AA59" s="4"/>
      <c r="AB59" s="4"/>
      <c r="AC59" s="4"/>
      <c r="AD59" s="4"/>
      <c r="AE59" s="4"/>
      <c r="AF59" s="4"/>
      <c r="AG59" s="4"/>
      <c r="AH59" s="4"/>
      <c r="AI59" s="4"/>
      <c r="AJ59" s="4"/>
      <c r="AK59" s="7"/>
    </row>
    <row r="60" ht="36.0" customHeight="1">
      <c r="B60" s="58" t="s">
        <v>295</v>
      </c>
      <c r="C60" s="7"/>
      <c r="D60" s="48" t="s">
        <v>296</v>
      </c>
      <c r="E60" s="4"/>
      <c r="F60" s="7"/>
      <c r="G60" s="49" t="s">
        <v>297</v>
      </c>
      <c r="H60" s="4"/>
      <c r="I60" s="4"/>
      <c r="J60" s="4"/>
      <c r="K60" s="4"/>
      <c r="L60" s="7"/>
      <c r="M60" s="48">
        <v>9.0</v>
      </c>
      <c r="N60" s="7"/>
      <c r="O60" s="48" t="s">
        <v>82</v>
      </c>
      <c r="P60" s="4"/>
      <c r="Q60" s="7"/>
      <c r="R60" s="49" t="s">
        <v>298</v>
      </c>
      <c r="S60" s="4"/>
      <c r="T60" s="4"/>
      <c r="U60" s="4"/>
      <c r="V60" s="4"/>
      <c r="W60" s="4"/>
      <c r="X60" s="4"/>
      <c r="Y60" s="4"/>
      <c r="Z60" s="4"/>
      <c r="AA60" s="4"/>
      <c r="AB60" s="4"/>
      <c r="AC60" s="4"/>
      <c r="AD60" s="4"/>
      <c r="AE60" s="4"/>
      <c r="AF60" s="4"/>
      <c r="AG60" s="4"/>
      <c r="AH60" s="4"/>
      <c r="AI60" s="4"/>
      <c r="AJ60" s="4"/>
      <c r="AK60" s="7"/>
    </row>
    <row r="61" ht="36.0" customHeight="1">
      <c r="B61" s="58" t="s">
        <v>299</v>
      </c>
      <c r="C61" s="7"/>
      <c r="D61" s="48" t="s">
        <v>300</v>
      </c>
      <c r="E61" s="4"/>
      <c r="F61" s="7"/>
      <c r="G61" s="49" t="s">
        <v>301</v>
      </c>
      <c r="H61" s="4"/>
      <c r="I61" s="4"/>
      <c r="J61" s="4"/>
      <c r="K61" s="4"/>
      <c r="L61" s="7"/>
      <c r="M61" s="48">
        <v>6.0</v>
      </c>
      <c r="N61" s="7"/>
      <c r="O61" s="48" t="s">
        <v>302</v>
      </c>
      <c r="P61" s="4"/>
      <c r="Q61" s="7"/>
      <c r="R61" s="49" t="s">
        <v>303</v>
      </c>
      <c r="S61" s="4"/>
      <c r="T61" s="4"/>
      <c r="U61" s="4"/>
      <c r="V61" s="4"/>
      <c r="W61" s="4"/>
      <c r="X61" s="4"/>
      <c r="Y61" s="4"/>
      <c r="Z61" s="4"/>
      <c r="AA61" s="4"/>
      <c r="AB61" s="4"/>
      <c r="AC61" s="4"/>
      <c r="AD61" s="4"/>
      <c r="AE61" s="4"/>
      <c r="AF61" s="4"/>
      <c r="AG61" s="4"/>
      <c r="AH61" s="4"/>
      <c r="AI61" s="4"/>
      <c r="AJ61" s="4"/>
      <c r="AK61" s="7"/>
    </row>
    <row r="62" ht="30.0" customHeight="1">
      <c r="B62" s="58" t="s">
        <v>306</v>
      </c>
      <c r="C62" s="7"/>
      <c r="D62" s="48" t="s">
        <v>307</v>
      </c>
      <c r="E62" s="4"/>
      <c r="F62" s="7"/>
      <c r="G62" s="49" t="s">
        <v>308</v>
      </c>
      <c r="H62" s="4"/>
      <c r="I62" s="4"/>
      <c r="J62" s="4"/>
      <c r="K62" s="4"/>
      <c r="L62" s="7"/>
      <c r="M62" s="48">
        <v>2.0</v>
      </c>
      <c r="N62" s="7"/>
      <c r="O62" s="48" t="s">
        <v>102</v>
      </c>
      <c r="P62" s="4"/>
      <c r="Q62" s="7"/>
      <c r="R62" s="49" t="s">
        <v>310</v>
      </c>
      <c r="S62" s="4"/>
      <c r="T62" s="4"/>
      <c r="U62" s="4"/>
      <c r="V62" s="4"/>
      <c r="W62" s="4"/>
      <c r="X62" s="4"/>
      <c r="Y62" s="4"/>
      <c r="Z62" s="4"/>
      <c r="AA62" s="4"/>
      <c r="AB62" s="4"/>
      <c r="AC62" s="4"/>
      <c r="AD62" s="4"/>
      <c r="AE62" s="4"/>
      <c r="AF62" s="4"/>
      <c r="AG62" s="4"/>
      <c r="AH62" s="4"/>
      <c r="AI62" s="4"/>
      <c r="AJ62" s="4"/>
      <c r="AK62" s="7"/>
    </row>
    <row r="63" ht="15.75" customHeight="1"/>
    <row r="64" ht="30.0" customHeight="1">
      <c r="B64" s="59" t="s">
        <v>312</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7"/>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116</v>
      </c>
      <c r="B1" s="4"/>
      <c r="C1" s="4"/>
      <c r="D1" s="4"/>
      <c r="E1" s="7"/>
      <c r="F1" s="12" t="s">
        <v>117</v>
      </c>
      <c r="G1" s="4"/>
      <c r="H1" s="4"/>
      <c r="I1" s="4"/>
      <c r="J1" s="4"/>
      <c r="K1" s="4"/>
      <c r="L1" s="4"/>
      <c r="M1" s="4"/>
      <c r="N1" s="4"/>
      <c r="O1" s="4"/>
      <c r="P1" s="4"/>
      <c r="Q1" s="7"/>
      <c r="R1" s="46" t="s">
        <v>119</v>
      </c>
      <c r="S1" s="4"/>
      <c r="T1" s="4"/>
      <c r="U1" s="4"/>
      <c r="V1" s="7"/>
      <c r="W1" s="12" t="s">
        <v>121</v>
      </c>
      <c r="X1" s="4"/>
      <c r="Y1" s="4"/>
      <c r="Z1" s="4"/>
      <c r="AA1" s="4"/>
      <c r="AB1" s="4"/>
      <c r="AC1" s="4"/>
      <c r="AD1" s="4"/>
      <c r="AE1" s="4"/>
      <c r="AF1" s="4"/>
      <c r="AG1" s="4"/>
      <c r="AH1" s="7"/>
    </row>
    <row r="2" ht="22.5" customHeight="1">
      <c r="A2" s="46" t="s">
        <v>13</v>
      </c>
      <c r="B2" s="4"/>
      <c r="C2" s="4"/>
      <c r="D2" s="4"/>
      <c r="E2" s="7"/>
      <c r="F2" s="12" t="s">
        <v>21</v>
      </c>
      <c r="G2" s="4"/>
      <c r="H2" s="4"/>
      <c r="I2" s="4"/>
      <c r="J2" s="4"/>
      <c r="K2" s="4"/>
      <c r="L2" s="4"/>
      <c r="M2" s="4"/>
      <c r="N2" s="4"/>
      <c r="O2" s="4"/>
      <c r="P2" s="4"/>
      <c r="Q2" s="7"/>
      <c r="R2" s="46" t="s">
        <v>10</v>
      </c>
      <c r="S2" s="4"/>
      <c r="T2" s="4"/>
      <c r="U2" s="4"/>
      <c r="V2" s="7"/>
      <c r="W2" s="20" t="s">
        <v>25</v>
      </c>
      <c r="X2" s="4"/>
      <c r="Y2" s="4"/>
      <c r="Z2" s="4"/>
      <c r="AA2" s="4"/>
      <c r="AB2" s="4"/>
      <c r="AC2" s="4"/>
      <c r="AD2" s="4"/>
      <c r="AE2" s="4"/>
      <c r="AF2" s="4"/>
      <c r="AG2" s="4"/>
      <c r="AH2" s="7"/>
    </row>
    <row r="3" ht="22.5" customHeight="1">
      <c r="A3" s="46" t="s">
        <v>11</v>
      </c>
      <c r="B3" s="4"/>
      <c r="C3" s="4"/>
      <c r="D3" s="4"/>
      <c r="E3" s="7"/>
      <c r="F3" s="12" t="s">
        <v>20</v>
      </c>
      <c r="G3" s="4"/>
      <c r="H3" s="4"/>
      <c r="I3" s="4"/>
      <c r="J3" s="4"/>
      <c r="K3" s="4"/>
      <c r="L3" s="4"/>
      <c r="M3" s="4"/>
      <c r="N3" s="4"/>
      <c r="O3" s="4"/>
      <c r="P3" s="4"/>
      <c r="Q3" s="7"/>
      <c r="R3" s="46" t="s">
        <v>127</v>
      </c>
      <c r="S3" s="4"/>
      <c r="T3" s="4"/>
      <c r="U3" s="4"/>
      <c r="V3" s="7"/>
      <c r="W3" s="20"/>
      <c r="X3" s="4"/>
      <c r="Y3" s="4"/>
      <c r="Z3" s="4"/>
      <c r="AA3" s="4"/>
      <c r="AB3" s="4"/>
      <c r="AC3" s="4"/>
      <c r="AD3" s="4"/>
      <c r="AE3" s="4"/>
      <c r="AF3" s="4"/>
      <c r="AG3" s="4"/>
      <c r="AH3" s="7"/>
    </row>
    <row r="4" ht="22.5" customHeight="1">
      <c r="A4" s="46" t="s">
        <v>130</v>
      </c>
      <c r="B4" s="4"/>
      <c r="C4" s="4"/>
      <c r="D4" s="4"/>
      <c r="E4" s="7"/>
      <c r="F4" s="12" t="s">
        <v>131</v>
      </c>
      <c r="G4" s="4"/>
      <c r="H4" s="4"/>
      <c r="I4" s="4"/>
      <c r="J4" s="4"/>
      <c r="K4" s="4"/>
      <c r="L4" s="4"/>
      <c r="M4" s="4"/>
      <c r="N4" s="4"/>
      <c r="O4" s="4"/>
      <c r="P4" s="4"/>
      <c r="Q4" s="4"/>
      <c r="R4" s="4"/>
      <c r="S4" s="4"/>
      <c r="T4" s="4"/>
      <c r="U4" s="4"/>
      <c r="V4" s="4"/>
      <c r="W4" s="4"/>
      <c r="X4" s="4"/>
      <c r="Y4" s="4"/>
      <c r="Z4" s="4"/>
      <c r="AA4" s="4"/>
      <c r="AB4" s="4"/>
      <c r="AC4" s="4"/>
      <c r="AD4" s="4"/>
      <c r="AE4" s="4"/>
      <c r="AF4" s="4"/>
      <c r="AG4" s="4"/>
      <c r="AH4" s="7"/>
    </row>
    <row r="5" ht="22.5" customHeight="1">
      <c r="A5" s="46" t="s">
        <v>134</v>
      </c>
      <c r="B5" s="4"/>
      <c r="C5" s="4"/>
      <c r="D5" s="4"/>
      <c r="E5" s="4"/>
      <c r="F5" s="4"/>
      <c r="G5" s="4"/>
      <c r="H5" s="4"/>
      <c r="I5" s="4"/>
      <c r="J5" s="4"/>
      <c r="K5" s="4"/>
      <c r="L5" s="4"/>
      <c r="M5" s="4"/>
      <c r="N5" s="4"/>
      <c r="O5" s="4"/>
      <c r="P5" s="4"/>
      <c r="Q5" s="4"/>
      <c r="R5" s="4"/>
      <c r="S5" s="7"/>
      <c r="T5" s="46" t="s">
        <v>35</v>
      </c>
      <c r="U5" s="4"/>
      <c r="V5" s="4"/>
      <c r="W5" s="4"/>
      <c r="X5" s="4"/>
      <c r="Y5" s="4"/>
      <c r="Z5" s="4"/>
      <c r="AA5" s="4"/>
      <c r="AB5" s="4"/>
      <c r="AC5" s="4"/>
      <c r="AD5" s="4"/>
      <c r="AE5" s="4"/>
      <c r="AF5" s="4"/>
      <c r="AG5" s="4"/>
      <c r="AH5" s="7"/>
    </row>
    <row r="6" ht="22.5" customHeight="1">
      <c r="A6" s="46" t="s">
        <v>137</v>
      </c>
      <c r="B6" s="4"/>
      <c r="C6" s="4"/>
      <c r="D6" s="4"/>
      <c r="E6" s="4"/>
      <c r="F6" s="4"/>
      <c r="G6" s="7"/>
      <c r="H6" s="46" t="s">
        <v>36</v>
      </c>
      <c r="I6" s="4"/>
      <c r="J6" s="7"/>
      <c r="K6" s="46" t="s">
        <v>37</v>
      </c>
      <c r="L6" s="4"/>
      <c r="M6" s="7"/>
      <c r="N6" s="46" t="s">
        <v>140</v>
      </c>
      <c r="O6" s="4"/>
      <c r="P6" s="7"/>
      <c r="Q6" s="46" t="s">
        <v>34</v>
      </c>
      <c r="R6" s="4"/>
      <c r="S6" s="7"/>
      <c r="T6" s="46" t="s">
        <v>41</v>
      </c>
      <c r="U6" s="4"/>
      <c r="V6" s="7"/>
      <c r="W6" s="46" t="s">
        <v>42</v>
      </c>
      <c r="X6" s="4"/>
      <c r="Y6" s="7"/>
      <c r="Z6" s="46" t="s">
        <v>44</v>
      </c>
      <c r="AA6" s="4"/>
      <c r="AB6" s="7"/>
      <c r="AC6" s="46" t="s">
        <v>48</v>
      </c>
      <c r="AD6" s="4"/>
      <c r="AE6" s="7"/>
      <c r="AF6" s="46" t="s">
        <v>34</v>
      </c>
      <c r="AG6" s="4"/>
      <c r="AH6" s="7"/>
    </row>
    <row r="7" ht="22.5" customHeight="1">
      <c r="A7" s="46" t="s">
        <v>144</v>
      </c>
      <c r="B7" s="4"/>
      <c r="C7" s="4"/>
      <c r="D7" s="4"/>
      <c r="E7" s="4"/>
      <c r="F7" s="4"/>
      <c r="G7" s="7"/>
      <c r="H7" s="13">
        <f t="shared" ref="H7:H8" si="1">COUNTIF($AE$12:$AF$1049,"N")</f>
        <v>29</v>
      </c>
      <c r="I7" s="4"/>
      <c r="J7" s="7"/>
      <c r="K7" s="13">
        <f t="shared" ref="K7:K8" si="2">COUNTIF($AE$12:$AF$1049,"A")</f>
        <v>20</v>
      </c>
      <c r="L7" s="4"/>
      <c r="M7" s="7"/>
      <c r="N7" s="13">
        <f t="shared" ref="N7:N8" si="3">COUNTIF($AE$12:$AF$1049,"B")</f>
        <v>3</v>
      </c>
      <c r="O7" s="4"/>
      <c r="P7" s="7"/>
      <c r="Q7" s="43">
        <f t="shared" ref="Q7:Q8" si="4">SUM(H7:P7)</f>
        <v>52</v>
      </c>
      <c r="R7" s="4"/>
      <c r="S7" s="7"/>
      <c r="T7" s="13">
        <f>COUNTIF($AG$12:$AI$1049,T$6)</f>
        <v>0</v>
      </c>
      <c r="U7" s="4"/>
      <c r="V7" s="7"/>
      <c r="W7" s="13">
        <f>COUNTIF($AG$12:$AI$1049,W$6)</f>
        <v>0</v>
      </c>
      <c r="X7" s="4"/>
      <c r="Y7" s="7"/>
      <c r="Z7" s="13">
        <f>COUNTIF($AG$12:$AI$1049,Z$6)</f>
        <v>0</v>
      </c>
      <c r="AA7" s="4"/>
      <c r="AB7" s="7"/>
      <c r="AC7" s="13">
        <f>COUNTIF($AG$12:$AI$1049,AC$6)</f>
        <v>0</v>
      </c>
      <c r="AD7" s="4"/>
      <c r="AE7" s="7"/>
      <c r="AF7" s="43">
        <f t="shared" ref="AF7:AF8" si="5">SUM(T7:AE7)</f>
        <v>0</v>
      </c>
      <c r="AG7" s="4"/>
      <c r="AH7" s="7"/>
    </row>
    <row r="8" ht="22.5" customHeight="1">
      <c r="A8" s="46" t="s">
        <v>152</v>
      </c>
      <c r="B8" s="4"/>
      <c r="C8" s="4"/>
      <c r="D8" s="4"/>
      <c r="E8" s="4"/>
      <c r="F8" s="4"/>
      <c r="G8" s="7"/>
      <c r="H8" s="13">
        <f t="shared" si="1"/>
        <v>29</v>
      </c>
      <c r="I8" s="4"/>
      <c r="J8" s="7"/>
      <c r="K8" s="13">
        <f t="shared" si="2"/>
        <v>20</v>
      </c>
      <c r="L8" s="4"/>
      <c r="M8" s="7"/>
      <c r="N8" s="13">
        <f t="shared" si="3"/>
        <v>3</v>
      </c>
      <c r="O8" s="4"/>
      <c r="P8" s="7"/>
      <c r="Q8" s="43">
        <f t="shared" si="4"/>
        <v>52</v>
      </c>
      <c r="R8" s="4"/>
      <c r="S8" s="7"/>
      <c r="T8" s="13">
        <f>COUNTIF($AV$12:$AX$1049,T$6)</f>
        <v>0</v>
      </c>
      <c r="U8" s="4"/>
      <c r="V8" s="7"/>
      <c r="W8" s="13">
        <f>COUNTIF($AV$12:$AX$1049,W$6)</f>
        <v>0</v>
      </c>
      <c r="X8" s="4"/>
      <c r="Y8" s="7"/>
      <c r="Z8" s="13">
        <f>COUNTIF($AV$12:$AX$1049,Z$6)</f>
        <v>0</v>
      </c>
      <c r="AA8" s="4"/>
      <c r="AB8" s="7"/>
      <c r="AC8" s="13">
        <f>COUNTIF($AV$12:$AX$1049,AC$6)</f>
        <v>0</v>
      </c>
      <c r="AD8" s="4"/>
      <c r="AE8" s="7"/>
      <c r="AF8" s="43">
        <f t="shared" si="5"/>
        <v>0</v>
      </c>
      <c r="AG8" s="4"/>
      <c r="AH8" s="7"/>
    </row>
    <row r="9" ht="12.75" customHeight="1"/>
    <row r="10" ht="36.0" customHeight="1">
      <c r="A10" s="52" t="s">
        <v>27</v>
      </c>
      <c r="B10" s="53" t="s">
        <v>160</v>
      </c>
      <c r="C10" s="16"/>
      <c r="D10" s="17"/>
      <c r="E10" s="53" t="s">
        <v>162</v>
      </c>
      <c r="F10" s="16"/>
      <c r="G10" s="16"/>
      <c r="H10" s="16"/>
      <c r="I10" s="17"/>
      <c r="J10" s="53" t="s">
        <v>164</v>
      </c>
      <c r="K10" s="16"/>
      <c r="L10" s="16"/>
      <c r="M10" s="16"/>
      <c r="N10" s="16"/>
      <c r="O10" s="16"/>
      <c r="P10" s="17"/>
      <c r="Q10" s="53" t="s">
        <v>165</v>
      </c>
      <c r="R10" s="16"/>
      <c r="S10" s="16"/>
      <c r="T10" s="16"/>
      <c r="U10" s="16"/>
      <c r="V10" s="16"/>
      <c r="W10" s="17"/>
      <c r="X10" s="53" t="s">
        <v>167</v>
      </c>
      <c r="Y10" s="16"/>
      <c r="Z10" s="16"/>
      <c r="AA10" s="16"/>
      <c r="AB10" s="16"/>
      <c r="AC10" s="16"/>
      <c r="AD10" s="17"/>
      <c r="AE10" s="53" t="s">
        <v>168</v>
      </c>
      <c r="AF10" s="17"/>
      <c r="AG10" s="46" t="s">
        <v>170</v>
      </c>
      <c r="AH10" s="4"/>
      <c r="AI10" s="4"/>
      <c r="AJ10" s="4"/>
      <c r="AK10" s="4"/>
      <c r="AL10" s="4"/>
      <c r="AM10" s="4"/>
      <c r="AN10" s="4"/>
      <c r="AO10" s="4"/>
      <c r="AP10" s="4"/>
      <c r="AQ10" s="4"/>
      <c r="AR10" s="4"/>
      <c r="AS10" s="4"/>
      <c r="AT10" s="4"/>
      <c r="AU10" s="7"/>
      <c r="AV10" s="46" t="s">
        <v>172</v>
      </c>
      <c r="AW10" s="4"/>
      <c r="AX10" s="4"/>
      <c r="AY10" s="4"/>
      <c r="AZ10" s="4"/>
      <c r="BA10" s="4"/>
      <c r="BB10" s="4"/>
      <c r="BC10" s="4"/>
      <c r="BD10" s="4"/>
      <c r="BE10" s="4"/>
      <c r="BF10" s="4"/>
      <c r="BG10" s="4"/>
      <c r="BH10" s="4"/>
      <c r="BI10" s="4"/>
      <c r="BJ10" s="7"/>
      <c r="BK10" s="53" t="s">
        <v>173</v>
      </c>
      <c r="BL10" s="16"/>
      <c r="BM10" s="16"/>
      <c r="BN10" s="16"/>
      <c r="BO10" s="16"/>
      <c r="BP10" s="16"/>
      <c r="BQ10" s="17"/>
    </row>
    <row r="11" ht="36.0" customHeight="1">
      <c r="A11" s="31"/>
      <c r="B11" s="26"/>
      <c r="C11" s="27"/>
      <c r="D11" s="30"/>
      <c r="E11" s="26"/>
      <c r="F11" s="27"/>
      <c r="G11" s="27"/>
      <c r="H11" s="27"/>
      <c r="I11" s="30"/>
      <c r="J11" s="26"/>
      <c r="K11" s="27"/>
      <c r="L11" s="27"/>
      <c r="M11" s="27"/>
      <c r="N11" s="27"/>
      <c r="O11" s="27"/>
      <c r="P11" s="30"/>
      <c r="Q11" s="26"/>
      <c r="R11" s="27"/>
      <c r="S11" s="27"/>
      <c r="T11" s="27"/>
      <c r="U11" s="27"/>
      <c r="V11" s="27"/>
      <c r="W11" s="30"/>
      <c r="X11" s="26"/>
      <c r="Y11" s="27"/>
      <c r="Z11" s="27"/>
      <c r="AA11" s="27"/>
      <c r="AB11" s="27"/>
      <c r="AC11" s="27"/>
      <c r="AD11" s="30"/>
      <c r="AE11" s="26"/>
      <c r="AF11" s="30"/>
      <c r="AG11" s="46" t="s">
        <v>176</v>
      </c>
      <c r="AH11" s="4"/>
      <c r="AI11" s="7"/>
      <c r="AJ11" s="46" t="s">
        <v>178</v>
      </c>
      <c r="AK11" s="4"/>
      <c r="AL11" s="7"/>
      <c r="AM11" s="46" t="s">
        <v>6</v>
      </c>
      <c r="AN11" s="4"/>
      <c r="AO11" s="7"/>
      <c r="AP11" s="46" t="s">
        <v>180</v>
      </c>
      <c r="AQ11" s="4"/>
      <c r="AR11" s="7"/>
      <c r="AS11" s="46" t="s">
        <v>181</v>
      </c>
      <c r="AT11" s="4"/>
      <c r="AU11" s="7"/>
      <c r="AV11" s="46" t="s">
        <v>176</v>
      </c>
      <c r="AW11" s="4"/>
      <c r="AX11" s="7"/>
      <c r="AY11" s="46" t="s">
        <v>178</v>
      </c>
      <c r="AZ11" s="4"/>
      <c r="BA11" s="7"/>
      <c r="BB11" s="46" t="s">
        <v>6</v>
      </c>
      <c r="BC11" s="4"/>
      <c r="BD11" s="7"/>
      <c r="BE11" s="46" t="s">
        <v>180</v>
      </c>
      <c r="BF11" s="4"/>
      <c r="BG11" s="7"/>
      <c r="BH11" s="46" t="s">
        <v>181</v>
      </c>
      <c r="BI11" s="4"/>
      <c r="BJ11" s="7"/>
      <c r="BK11" s="26"/>
      <c r="BL11" s="27"/>
      <c r="BM11" s="27"/>
      <c r="BN11" s="27"/>
      <c r="BO11" s="27"/>
      <c r="BP11" s="27"/>
      <c r="BQ11" s="30"/>
    </row>
    <row r="12" ht="22.5" customHeight="1">
      <c r="A12" s="8" t="s">
        <v>186</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7"/>
    </row>
    <row r="13" ht="303.75" customHeight="1">
      <c r="A13" s="47">
        <v>1.0</v>
      </c>
      <c r="B13" s="49" t="s">
        <v>191</v>
      </c>
      <c r="C13" s="4"/>
      <c r="D13" s="7"/>
      <c r="E13" s="49" t="s">
        <v>192</v>
      </c>
      <c r="F13" s="4"/>
      <c r="G13" s="4"/>
      <c r="H13" s="4"/>
      <c r="I13" s="7"/>
      <c r="J13" s="49" t="s">
        <v>193</v>
      </c>
      <c r="K13" s="4"/>
      <c r="L13" s="4"/>
      <c r="M13" s="4"/>
      <c r="N13" s="4"/>
      <c r="O13" s="4"/>
      <c r="P13" s="7"/>
      <c r="Q13" s="49" t="s">
        <v>196</v>
      </c>
      <c r="R13" s="4"/>
      <c r="S13" s="4"/>
      <c r="T13" s="4"/>
      <c r="U13" s="4"/>
      <c r="V13" s="4"/>
      <c r="W13" s="7"/>
      <c r="X13" s="49" t="s">
        <v>198</v>
      </c>
      <c r="Y13" s="4"/>
      <c r="Z13" s="4"/>
      <c r="AA13" s="4"/>
      <c r="AB13" s="4"/>
      <c r="AC13" s="4"/>
      <c r="AD13" s="7"/>
      <c r="AE13" s="48" t="s">
        <v>199</v>
      </c>
      <c r="AF13" s="7"/>
      <c r="AG13" s="54"/>
      <c r="AH13" s="4"/>
      <c r="AI13" s="7"/>
      <c r="AJ13" s="48"/>
      <c r="AK13" s="4"/>
      <c r="AL13" s="7"/>
      <c r="AM13" s="54"/>
      <c r="AN13" s="4"/>
      <c r="AO13" s="7"/>
      <c r="AP13" s="55"/>
      <c r="AQ13" s="4"/>
      <c r="AR13" s="7"/>
      <c r="AS13" s="48"/>
      <c r="AT13" s="4"/>
      <c r="AU13" s="7"/>
      <c r="AV13" s="48"/>
      <c r="AW13" s="4"/>
      <c r="AX13" s="7"/>
      <c r="AY13" s="48"/>
      <c r="AZ13" s="4"/>
      <c r="BA13" s="7"/>
      <c r="BB13" s="48"/>
      <c r="BC13" s="4"/>
      <c r="BD13" s="7"/>
      <c r="BE13" s="48"/>
      <c r="BF13" s="4"/>
      <c r="BG13" s="7"/>
      <c r="BH13" s="48"/>
      <c r="BI13" s="4"/>
      <c r="BJ13" s="7"/>
      <c r="BK13" s="49"/>
      <c r="BL13" s="4"/>
      <c r="BM13" s="4"/>
      <c r="BN13" s="4"/>
      <c r="BO13" s="4"/>
      <c r="BP13" s="4"/>
      <c r="BQ13" s="7"/>
    </row>
    <row r="14" ht="207.75" customHeight="1">
      <c r="A14" s="47">
        <v>2.0</v>
      </c>
      <c r="B14" s="49" t="s">
        <v>206</v>
      </c>
      <c r="C14" s="4"/>
      <c r="D14" s="7"/>
      <c r="E14" s="49" t="s">
        <v>208</v>
      </c>
      <c r="F14" s="4"/>
      <c r="G14" s="4"/>
      <c r="H14" s="4"/>
      <c r="I14" s="7"/>
      <c r="J14" s="49" t="s">
        <v>209</v>
      </c>
      <c r="K14" s="4"/>
      <c r="L14" s="4"/>
      <c r="M14" s="4"/>
      <c r="N14" s="4"/>
      <c r="O14" s="4"/>
      <c r="P14" s="7"/>
      <c r="Q14" s="49" t="s">
        <v>211</v>
      </c>
      <c r="R14" s="4"/>
      <c r="S14" s="4"/>
      <c r="T14" s="4"/>
      <c r="U14" s="4"/>
      <c r="V14" s="4"/>
      <c r="W14" s="7"/>
      <c r="X14" s="49" t="s">
        <v>214</v>
      </c>
      <c r="Y14" s="4"/>
      <c r="Z14" s="4"/>
      <c r="AA14" s="4"/>
      <c r="AB14" s="4"/>
      <c r="AC14" s="4"/>
      <c r="AD14" s="7"/>
      <c r="AE14" s="48" t="s">
        <v>199</v>
      </c>
      <c r="AF14" s="7"/>
      <c r="AG14" s="54"/>
      <c r="AH14" s="4"/>
      <c r="AI14" s="7"/>
      <c r="AJ14" s="48"/>
      <c r="AK14" s="4"/>
      <c r="AL14" s="7"/>
      <c r="AM14" s="48"/>
      <c r="AN14" s="4"/>
      <c r="AO14" s="7"/>
      <c r="AP14" s="48"/>
      <c r="AQ14" s="4"/>
      <c r="AR14" s="7"/>
      <c r="AS14" s="48"/>
      <c r="AT14" s="4"/>
      <c r="AU14" s="7"/>
      <c r="AV14" s="48"/>
      <c r="AW14" s="4"/>
      <c r="AX14" s="7"/>
      <c r="AY14" s="48"/>
      <c r="AZ14" s="4"/>
      <c r="BA14" s="7"/>
      <c r="BB14" s="48"/>
      <c r="BC14" s="4"/>
      <c r="BD14" s="7"/>
      <c r="BE14" s="48"/>
      <c r="BF14" s="4"/>
      <c r="BG14" s="7"/>
      <c r="BH14" s="48"/>
      <c r="BI14" s="4"/>
      <c r="BJ14" s="7"/>
      <c r="BK14" s="49"/>
      <c r="BL14" s="4"/>
      <c r="BM14" s="4"/>
      <c r="BN14" s="4"/>
      <c r="BO14" s="4"/>
      <c r="BP14" s="4"/>
      <c r="BQ14" s="7"/>
    </row>
    <row r="15" ht="223.5" customHeight="1">
      <c r="A15" s="47">
        <v>3.0</v>
      </c>
      <c r="B15" s="49" t="s">
        <v>218</v>
      </c>
      <c r="C15" s="4"/>
      <c r="D15" s="7"/>
      <c r="E15" s="49" t="s">
        <v>220</v>
      </c>
      <c r="F15" s="4"/>
      <c r="G15" s="4"/>
      <c r="H15" s="4"/>
      <c r="I15" s="7"/>
      <c r="J15" s="49" t="s">
        <v>221</v>
      </c>
      <c r="K15" s="4"/>
      <c r="L15" s="4"/>
      <c r="M15" s="4"/>
      <c r="N15" s="4"/>
      <c r="O15" s="4"/>
      <c r="P15" s="7"/>
      <c r="Q15" s="49" t="s">
        <v>223</v>
      </c>
      <c r="R15" s="4"/>
      <c r="S15" s="4"/>
      <c r="T15" s="4"/>
      <c r="U15" s="4"/>
      <c r="V15" s="4"/>
      <c r="W15" s="7"/>
      <c r="X15" s="49" t="s">
        <v>224</v>
      </c>
      <c r="Y15" s="4"/>
      <c r="Z15" s="4"/>
      <c r="AA15" s="4"/>
      <c r="AB15" s="4"/>
      <c r="AC15" s="4"/>
      <c r="AD15" s="7"/>
      <c r="AE15" s="48" t="s">
        <v>199</v>
      </c>
      <c r="AF15" s="7"/>
      <c r="AG15" s="48"/>
      <c r="AH15" s="4"/>
      <c r="AI15" s="7"/>
      <c r="AJ15" s="48"/>
      <c r="AK15" s="4"/>
      <c r="AL15" s="7"/>
      <c r="AM15" s="48"/>
      <c r="AN15" s="4"/>
      <c r="AO15" s="7"/>
      <c r="AP15" s="48"/>
      <c r="AQ15" s="4"/>
      <c r="AR15" s="7"/>
      <c r="AS15" s="48"/>
      <c r="AT15" s="4"/>
      <c r="AU15" s="7"/>
      <c r="AV15" s="48"/>
      <c r="AW15" s="4"/>
      <c r="AX15" s="7"/>
      <c r="AY15" s="48"/>
      <c r="AZ15" s="4"/>
      <c r="BA15" s="7"/>
      <c r="BB15" s="48"/>
      <c r="BC15" s="4"/>
      <c r="BD15" s="7"/>
      <c r="BE15" s="48"/>
      <c r="BF15" s="4"/>
      <c r="BG15" s="7"/>
      <c r="BH15" s="48"/>
      <c r="BI15" s="4"/>
      <c r="BJ15" s="7"/>
      <c r="BK15" s="49"/>
      <c r="BL15" s="4"/>
      <c r="BM15" s="4"/>
      <c r="BN15" s="4"/>
      <c r="BO15" s="4"/>
      <c r="BP15" s="4"/>
      <c r="BQ15" s="7"/>
    </row>
    <row r="16" ht="207.75" customHeight="1">
      <c r="A16" s="47">
        <v>4.0</v>
      </c>
      <c r="B16" s="49" t="s">
        <v>231</v>
      </c>
      <c r="C16" s="4"/>
      <c r="D16" s="7"/>
      <c r="E16" s="49" t="s">
        <v>233</v>
      </c>
      <c r="F16" s="4"/>
      <c r="G16" s="4"/>
      <c r="H16" s="4"/>
      <c r="I16" s="7"/>
      <c r="J16" s="49" t="s">
        <v>234</v>
      </c>
      <c r="K16" s="4"/>
      <c r="L16" s="4"/>
      <c r="M16" s="4"/>
      <c r="N16" s="4"/>
      <c r="O16" s="4"/>
      <c r="P16" s="7"/>
      <c r="Q16" s="49" t="s">
        <v>235</v>
      </c>
      <c r="R16" s="4"/>
      <c r="S16" s="4"/>
      <c r="T16" s="4"/>
      <c r="U16" s="4"/>
      <c r="V16" s="4"/>
      <c r="W16" s="7"/>
      <c r="X16" s="49" t="s">
        <v>237</v>
      </c>
      <c r="Y16" s="4"/>
      <c r="Z16" s="4"/>
      <c r="AA16" s="4"/>
      <c r="AB16" s="4"/>
      <c r="AC16" s="4"/>
      <c r="AD16" s="7"/>
      <c r="AE16" s="48" t="s">
        <v>199</v>
      </c>
      <c r="AF16" s="7"/>
      <c r="AG16" s="48"/>
      <c r="AH16" s="4"/>
      <c r="AI16" s="7"/>
      <c r="AJ16" s="48"/>
      <c r="AK16" s="4"/>
      <c r="AL16" s="7"/>
      <c r="AM16" s="48"/>
      <c r="AN16" s="4"/>
      <c r="AO16" s="7"/>
      <c r="AP16" s="48"/>
      <c r="AQ16" s="4"/>
      <c r="AR16" s="7"/>
      <c r="AS16" s="48"/>
      <c r="AT16" s="4"/>
      <c r="AU16" s="7"/>
      <c r="AV16" s="48"/>
      <c r="AW16" s="4"/>
      <c r="AX16" s="7"/>
      <c r="AY16" s="48"/>
      <c r="AZ16" s="4"/>
      <c r="BA16" s="7"/>
      <c r="BB16" s="48"/>
      <c r="BC16" s="4"/>
      <c r="BD16" s="7"/>
      <c r="BE16" s="48"/>
      <c r="BF16" s="4"/>
      <c r="BG16" s="7"/>
      <c r="BH16" s="48"/>
      <c r="BI16" s="4"/>
      <c r="BJ16" s="7"/>
      <c r="BK16" s="49"/>
      <c r="BL16" s="4"/>
      <c r="BM16" s="4"/>
      <c r="BN16" s="4"/>
      <c r="BO16" s="4"/>
      <c r="BP16" s="4"/>
      <c r="BQ16" s="7"/>
    </row>
    <row r="17" ht="207.75" customHeight="1">
      <c r="A17" s="47">
        <v>5.0</v>
      </c>
      <c r="B17" s="49" t="s">
        <v>242</v>
      </c>
      <c r="C17" s="4"/>
      <c r="D17" s="7"/>
      <c r="E17" s="49" t="s">
        <v>243</v>
      </c>
      <c r="F17" s="4"/>
      <c r="G17" s="4"/>
      <c r="H17" s="4"/>
      <c r="I17" s="7"/>
      <c r="J17" s="49" t="s">
        <v>244</v>
      </c>
      <c r="K17" s="4"/>
      <c r="L17" s="4"/>
      <c r="M17" s="4"/>
      <c r="N17" s="4"/>
      <c r="O17" s="4"/>
      <c r="P17" s="7"/>
      <c r="Q17" s="49" t="s">
        <v>246</v>
      </c>
      <c r="R17" s="4"/>
      <c r="S17" s="4"/>
      <c r="T17" s="4"/>
      <c r="U17" s="4"/>
      <c r="V17" s="4"/>
      <c r="W17" s="7"/>
      <c r="X17" s="49" t="s">
        <v>248</v>
      </c>
      <c r="Y17" s="4"/>
      <c r="Z17" s="4"/>
      <c r="AA17" s="4"/>
      <c r="AB17" s="4"/>
      <c r="AC17" s="4"/>
      <c r="AD17" s="7"/>
      <c r="AE17" s="48" t="s">
        <v>199</v>
      </c>
      <c r="AF17" s="7"/>
      <c r="AG17" s="48"/>
      <c r="AH17" s="4"/>
      <c r="AI17" s="7"/>
      <c r="AJ17" s="48"/>
      <c r="AK17" s="4"/>
      <c r="AL17" s="7"/>
      <c r="AM17" s="48"/>
      <c r="AN17" s="4"/>
      <c r="AO17" s="7"/>
      <c r="AP17" s="48"/>
      <c r="AQ17" s="4"/>
      <c r="AR17" s="7"/>
      <c r="AS17" s="48"/>
      <c r="AT17" s="4"/>
      <c r="AU17" s="7"/>
      <c r="AV17" s="48"/>
      <c r="AW17" s="4"/>
      <c r="AX17" s="7"/>
      <c r="AY17" s="48"/>
      <c r="AZ17" s="4"/>
      <c r="BA17" s="7"/>
      <c r="BB17" s="48"/>
      <c r="BC17" s="4"/>
      <c r="BD17" s="7"/>
      <c r="BE17" s="48"/>
      <c r="BF17" s="4"/>
      <c r="BG17" s="7"/>
      <c r="BH17" s="48"/>
      <c r="BI17" s="4"/>
      <c r="BJ17" s="7"/>
      <c r="BK17" s="49"/>
      <c r="BL17" s="4"/>
      <c r="BM17" s="4"/>
      <c r="BN17" s="4"/>
      <c r="BO17" s="4"/>
      <c r="BP17" s="4"/>
      <c r="BQ17" s="7"/>
    </row>
    <row r="18" ht="255.75" customHeight="1">
      <c r="A18" s="47">
        <v>6.0</v>
      </c>
      <c r="B18" s="49" t="s">
        <v>256</v>
      </c>
      <c r="C18" s="4"/>
      <c r="D18" s="7"/>
      <c r="E18" s="49" t="s">
        <v>257</v>
      </c>
      <c r="F18" s="4"/>
      <c r="G18" s="4"/>
      <c r="H18" s="4"/>
      <c r="I18" s="7"/>
      <c r="J18" s="49" t="s">
        <v>259</v>
      </c>
      <c r="K18" s="4"/>
      <c r="L18" s="4"/>
      <c r="M18" s="4"/>
      <c r="N18" s="4"/>
      <c r="O18" s="4"/>
      <c r="P18" s="7"/>
      <c r="Q18" s="49" t="s">
        <v>261</v>
      </c>
      <c r="R18" s="4"/>
      <c r="S18" s="4"/>
      <c r="T18" s="4"/>
      <c r="U18" s="4"/>
      <c r="V18" s="4"/>
      <c r="W18" s="7"/>
      <c r="X18" s="49" t="s">
        <v>262</v>
      </c>
      <c r="Y18" s="4"/>
      <c r="Z18" s="4"/>
      <c r="AA18" s="4"/>
      <c r="AB18" s="4"/>
      <c r="AC18" s="4"/>
      <c r="AD18" s="7"/>
      <c r="AE18" s="48" t="s">
        <v>263</v>
      </c>
      <c r="AF18" s="7"/>
      <c r="AG18" s="48"/>
      <c r="AH18" s="4"/>
      <c r="AI18" s="7"/>
      <c r="AJ18" s="48"/>
      <c r="AK18" s="4"/>
      <c r="AL18" s="7"/>
      <c r="AM18" s="48"/>
      <c r="AN18" s="4"/>
      <c r="AO18" s="7"/>
      <c r="AP18" s="48"/>
      <c r="AQ18" s="4"/>
      <c r="AR18" s="7"/>
      <c r="AS18" s="48"/>
      <c r="AT18" s="4"/>
      <c r="AU18" s="7"/>
      <c r="AV18" s="48"/>
      <c r="AW18" s="4"/>
      <c r="AX18" s="7"/>
      <c r="AY18" s="48"/>
      <c r="AZ18" s="4"/>
      <c r="BA18" s="7"/>
      <c r="BB18" s="48"/>
      <c r="BC18" s="4"/>
      <c r="BD18" s="7"/>
      <c r="BE18" s="48"/>
      <c r="BF18" s="4"/>
      <c r="BG18" s="7"/>
      <c r="BH18" s="48"/>
      <c r="BI18" s="4"/>
      <c r="BJ18" s="7"/>
      <c r="BK18" s="49" t="s">
        <v>265</v>
      </c>
      <c r="BL18" s="4"/>
      <c r="BM18" s="4"/>
      <c r="BN18" s="4"/>
      <c r="BO18" s="4"/>
      <c r="BP18" s="4"/>
      <c r="BQ18" s="7"/>
    </row>
    <row r="19" ht="288.0" customHeight="1">
      <c r="A19" s="47">
        <v>7.0</v>
      </c>
      <c r="B19" s="49" t="s">
        <v>268</v>
      </c>
      <c r="C19" s="4"/>
      <c r="D19" s="7"/>
      <c r="E19" s="49" t="s">
        <v>270</v>
      </c>
      <c r="F19" s="4"/>
      <c r="G19" s="4"/>
      <c r="H19" s="4"/>
      <c r="I19" s="7"/>
      <c r="J19" s="49" t="s">
        <v>272</v>
      </c>
      <c r="K19" s="4"/>
      <c r="L19" s="4"/>
      <c r="M19" s="4"/>
      <c r="N19" s="4"/>
      <c r="O19" s="4"/>
      <c r="P19" s="7"/>
      <c r="Q19" s="49" t="s">
        <v>275</v>
      </c>
      <c r="R19" s="4"/>
      <c r="S19" s="4"/>
      <c r="T19" s="4"/>
      <c r="U19" s="4"/>
      <c r="V19" s="4"/>
      <c r="W19" s="7"/>
      <c r="X19" s="49" t="s">
        <v>276</v>
      </c>
      <c r="Y19" s="4"/>
      <c r="Z19" s="4"/>
      <c r="AA19" s="4"/>
      <c r="AB19" s="4"/>
      <c r="AC19" s="4"/>
      <c r="AD19" s="7"/>
      <c r="AE19" s="48" t="s">
        <v>263</v>
      </c>
      <c r="AF19" s="7"/>
      <c r="AG19" s="48"/>
      <c r="AH19" s="4"/>
      <c r="AI19" s="7"/>
      <c r="AJ19" s="48"/>
      <c r="AK19" s="4"/>
      <c r="AL19" s="7"/>
      <c r="AM19" s="48"/>
      <c r="AN19" s="4"/>
      <c r="AO19" s="7"/>
      <c r="AP19" s="48"/>
      <c r="AQ19" s="4"/>
      <c r="AR19" s="7"/>
      <c r="AS19" s="48"/>
      <c r="AT19" s="4"/>
      <c r="AU19" s="7"/>
      <c r="AV19" s="48"/>
      <c r="AW19" s="4"/>
      <c r="AX19" s="7"/>
      <c r="AY19" s="48"/>
      <c r="AZ19" s="4"/>
      <c r="BA19" s="7"/>
      <c r="BB19" s="48"/>
      <c r="BC19" s="4"/>
      <c r="BD19" s="7"/>
      <c r="BE19" s="48"/>
      <c r="BF19" s="4"/>
      <c r="BG19" s="7"/>
      <c r="BH19" s="48"/>
      <c r="BI19" s="4"/>
      <c r="BJ19" s="7"/>
      <c r="BK19" s="49" t="s">
        <v>280</v>
      </c>
      <c r="BL19" s="4"/>
      <c r="BM19" s="4"/>
      <c r="BN19" s="4"/>
      <c r="BO19" s="4"/>
      <c r="BP19" s="4"/>
      <c r="BQ19" s="7"/>
    </row>
    <row r="20" ht="22.5" customHeight="1">
      <c r="A20" s="8" t="s">
        <v>281</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7"/>
    </row>
    <row r="21" ht="111.75" customHeight="1">
      <c r="A21" s="47">
        <v>8.0</v>
      </c>
      <c r="B21" s="49" t="s">
        <v>288</v>
      </c>
      <c r="C21" s="4"/>
      <c r="D21" s="7"/>
      <c r="E21" s="49" t="s">
        <v>290</v>
      </c>
      <c r="F21" s="4"/>
      <c r="G21" s="4"/>
      <c r="H21" s="4"/>
      <c r="I21" s="7"/>
      <c r="J21" s="49" t="s">
        <v>291</v>
      </c>
      <c r="K21" s="4"/>
      <c r="L21" s="4"/>
      <c r="M21" s="4"/>
      <c r="N21" s="4"/>
      <c r="O21" s="4"/>
      <c r="P21" s="7"/>
      <c r="Q21" s="49" t="s">
        <v>293</v>
      </c>
      <c r="R21" s="4"/>
      <c r="S21" s="4"/>
      <c r="T21" s="4"/>
      <c r="U21" s="4"/>
      <c r="V21" s="4"/>
      <c r="W21" s="7"/>
      <c r="X21" s="49" t="s">
        <v>294</v>
      </c>
      <c r="Y21" s="4"/>
      <c r="Z21" s="4"/>
      <c r="AA21" s="4"/>
      <c r="AB21" s="4"/>
      <c r="AC21" s="4"/>
      <c r="AD21" s="7"/>
      <c r="AE21" s="48" t="s">
        <v>199</v>
      </c>
      <c r="AF21" s="7"/>
      <c r="AG21" s="48"/>
      <c r="AH21" s="4"/>
      <c r="AI21" s="7"/>
      <c r="AJ21" s="48"/>
      <c r="AK21" s="4"/>
      <c r="AL21" s="7"/>
      <c r="AM21" s="48"/>
      <c r="AN21" s="4"/>
      <c r="AO21" s="7"/>
      <c r="AP21" s="48"/>
      <c r="AQ21" s="4"/>
      <c r="AR21" s="7"/>
      <c r="AS21" s="48"/>
      <c r="AT21" s="4"/>
      <c r="AU21" s="7"/>
      <c r="AV21" s="48"/>
      <c r="AW21" s="4"/>
      <c r="AX21" s="7"/>
      <c r="AY21" s="48"/>
      <c r="AZ21" s="4"/>
      <c r="BA21" s="7"/>
      <c r="BB21" s="48"/>
      <c r="BC21" s="4"/>
      <c r="BD21" s="7"/>
      <c r="BE21" s="48"/>
      <c r="BF21" s="4"/>
      <c r="BG21" s="7"/>
      <c r="BH21" s="48"/>
      <c r="BI21" s="4"/>
      <c r="BJ21" s="7"/>
      <c r="BK21" s="49"/>
      <c r="BL21" s="4"/>
      <c r="BM21" s="4"/>
      <c r="BN21" s="4"/>
      <c r="BO21" s="4"/>
      <c r="BP21" s="4"/>
      <c r="BQ21" s="7"/>
    </row>
    <row r="22" ht="223.5" customHeight="1">
      <c r="A22" s="47">
        <v>9.0</v>
      </c>
      <c r="B22" s="49" t="s">
        <v>304</v>
      </c>
      <c r="C22" s="4"/>
      <c r="D22" s="7"/>
      <c r="E22" s="49" t="s">
        <v>305</v>
      </c>
      <c r="F22" s="4"/>
      <c r="G22" s="4"/>
      <c r="H22" s="4"/>
      <c r="I22" s="7"/>
      <c r="J22" s="49" t="s">
        <v>291</v>
      </c>
      <c r="K22" s="4"/>
      <c r="L22" s="4"/>
      <c r="M22" s="4"/>
      <c r="N22" s="4"/>
      <c r="O22" s="4"/>
      <c r="P22" s="7"/>
      <c r="Q22" s="49" t="s">
        <v>309</v>
      </c>
      <c r="R22" s="4"/>
      <c r="S22" s="4"/>
      <c r="T22" s="4"/>
      <c r="U22" s="4"/>
      <c r="V22" s="4"/>
      <c r="W22" s="7"/>
      <c r="X22" s="49" t="s">
        <v>311</v>
      </c>
      <c r="Y22" s="4"/>
      <c r="Z22" s="4"/>
      <c r="AA22" s="4"/>
      <c r="AB22" s="4"/>
      <c r="AC22" s="4"/>
      <c r="AD22" s="7"/>
      <c r="AE22" s="48" t="s">
        <v>199</v>
      </c>
      <c r="AF22" s="7"/>
      <c r="AG22" s="48"/>
      <c r="AH22" s="4"/>
      <c r="AI22" s="7"/>
      <c r="AJ22" s="48"/>
      <c r="AK22" s="4"/>
      <c r="AL22" s="7"/>
      <c r="AM22" s="48"/>
      <c r="AN22" s="4"/>
      <c r="AO22" s="7"/>
      <c r="AP22" s="48"/>
      <c r="AQ22" s="4"/>
      <c r="AR22" s="7"/>
      <c r="AS22" s="48"/>
      <c r="AT22" s="4"/>
      <c r="AU22" s="7"/>
      <c r="AV22" s="48"/>
      <c r="AW22" s="4"/>
      <c r="AX22" s="7"/>
      <c r="AY22" s="48"/>
      <c r="AZ22" s="4"/>
      <c r="BA22" s="7"/>
      <c r="BB22" s="48"/>
      <c r="BC22" s="4"/>
      <c r="BD22" s="7"/>
      <c r="BE22" s="48"/>
      <c r="BF22" s="4"/>
      <c r="BG22" s="7"/>
      <c r="BH22" s="48"/>
      <c r="BI22" s="4"/>
      <c r="BJ22" s="7"/>
      <c r="BK22" s="49"/>
      <c r="BL22" s="4"/>
      <c r="BM22" s="4"/>
      <c r="BN22" s="4"/>
      <c r="BO22" s="4"/>
      <c r="BP22" s="4"/>
      <c r="BQ22" s="7"/>
    </row>
    <row r="23" ht="192.0" customHeight="1">
      <c r="A23" s="47">
        <v>10.0</v>
      </c>
      <c r="B23" s="49" t="s">
        <v>313</v>
      </c>
      <c r="C23" s="4"/>
      <c r="D23" s="7"/>
      <c r="E23" s="49" t="s">
        <v>314</v>
      </c>
      <c r="F23" s="4"/>
      <c r="G23" s="4"/>
      <c r="H23" s="4"/>
      <c r="I23" s="7"/>
      <c r="J23" s="49" t="s">
        <v>291</v>
      </c>
      <c r="K23" s="4"/>
      <c r="L23" s="4"/>
      <c r="M23" s="4"/>
      <c r="N23" s="4"/>
      <c r="O23" s="4"/>
      <c r="P23" s="7"/>
      <c r="Q23" s="49" t="s">
        <v>315</v>
      </c>
      <c r="R23" s="4"/>
      <c r="S23" s="4"/>
      <c r="T23" s="4"/>
      <c r="U23" s="4"/>
      <c r="V23" s="4"/>
      <c r="W23" s="7"/>
      <c r="X23" s="49" t="s">
        <v>316</v>
      </c>
      <c r="Y23" s="4"/>
      <c r="Z23" s="4"/>
      <c r="AA23" s="4"/>
      <c r="AB23" s="4"/>
      <c r="AC23" s="4"/>
      <c r="AD23" s="7"/>
      <c r="AE23" s="48" t="s">
        <v>199</v>
      </c>
      <c r="AF23" s="7"/>
      <c r="AG23" s="48"/>
      <c r="AH23" s="4"/>
      <c r="AI23" s="7"/>
      <c r="AJ23" s="48"/>
      <c r="AK23" s="4"/>
      <c r="AL23" s="7"/>
      <c r="AM23" s="48"/>
      <c r="AN23" s="4"/>
      <c r="AO23" s="7"/>
      <c r="AP23" s="48"/>
      <c r="AQ23" s="4"/>
      <c r="AR23" s="7"/>
      <c r="AS23" s="48"/>
      <c r="AT23" s="4"/>
      <c r="AU23" s="7"/>
      <c r="AV23" s="48"/>
      <c r="AW23" s="4"/>
      <c r="AX23" s="7"/>
      <c r="AY23" s="48"/>
      <c r="AZ23" s="4"/>
      <c r="BA23" s="7"/>
      <c r="BB23" s="48"/>
      <c r="BC23" s="4"/>
      <c r="BD23" s="7"/>
      <c r="BE23" s="48"/>
      <c r="BF23" s="4"/>
      <c r="BG23" s="7"/>
      <c r="BH23" s="48"/>
      <c r="BI23" s="4"/>
      <c r="BJ23" s="7"/>
      <c r="BK23" s="49"/>
      <c r="BL23" s="4"/>
      <c r="BM23" s="4"/>
      <c r="BN23" s="4"/>
      <c r="BO23" s="4"/>
      <c r="BP23" s="4"/>
      <c r="BQ23" s="7"/>
    </row>
    <row r="24" ht="63.75" customHeight="1">
      <c r="A24" s="47">
        <v>11.0</v>
      </c>
      <c r="B24" s="49" t="s">
        <v>317</v>
      </c>
      <c r="C24" s="4"/>
      <c r="D24" s="7"/>
      <c r="E24" s="49" t="s">
        <v>318</v>
      </c>
      <c r="F24" s="4"/>
      <c r="G24" s="4"/>
      <c r="H24" s="4"/>
      <c r="I24" s="7"/>
      <c r="J24" s="49" t="s">
        <v>291</v>
      </c>
      <c r="K24" s="4"/>
      <c r="L24" s="4"/>
      <c r="M24" s="4"/>
      <c r="N24" s="4"/>
      <c r="O24" s="4"/>
      <c r="P24" s="7"/>
      <c r="Q24" s="49" t="s">
        <v>319</v>
      </c>
      <c r="R24" s="4"/>
      <c r="S24" s="4"/>
      <c r="T24" s="4"/>
      <c r="U24" s="4"/>
      <c r="V24" s="4"/>
      <c r="W24" s="7"/>
      <c r="X24" s="49" t="s">
        <v>320</v>
      </c>
      <c r="Y24" s="4"/>
      <c r="Z24" s="4"/>
      <c r="AA24" s="4"/>
      <c r="AB24" s="4"/>
      <c r="AC24" s="4"/>
      <c r="AD24" s="7"/>
      <c r="AE24" s="48" t="s">
        <v>199</v>
      </c>
      <c r="AF24" s="7"/>
      <c r="AG24" s="48"/>
      <c r="AH24" s="4"/>
      <c r="AI24" s="7"/>
      <c r="AJ24" s="48"/>
      <c r="AK24" s="4"/>
      <c r="AL24" s="7"/>
      <c r="AM24" s="48"/>
      <c r="AN24" s="4"/>
      <c r="AO24" s="7"/>
      <c r="AP24" s="48"/>
      <c r="AQ24" s="4"/>
      <c r="AR24" s="7"/>
      <c r="AS24" s="48"/>
      <c r="AT24" s="4"/>
      <c r="AU24" s="7"/>
      <c r="AV24" s="48"/>
      <c r="AW24" s="4"/>
      <c r="AX24" s="7"/>
      <c r="AY24" s="48"/>
      <c r="AZ24" s="4"/>
      <c r="BA24" s="7"/>
      <c r="BB24" s="48"/>
      <c r="BC24" s="4"/>
      <c r="BD24" s="7"/>
      <c r="BE24" s="48"/>
      <c r="BF24" s="4"/>
      <c r="BG24" s="7"/>
      <c r="BH24" s="48"/>
      <c r="BI24" s="4"/>
      <c r="BJ24" s="7"/>
      <c r="BK24" s="49"/>
      <c r="BL24" s="4"/>
      <c r="BM24" s="4"/>
      <c r="BN24" s="4"/>
      <c r="BO24" s="4"/>
      <c r="BP24" s="4"/>
      <c r="BQ24" s="7"/>
    </row>
    <row r="25" ht="336.0" customHeight="1">
      <c r="A25" s="47">
        <v>12.0</v>
      </c>
      <c r="B25" s="49" t="s">
        <v>321</v>
      </c>
      <c r="C25" s="4"/>
      <c r="D25" s="7"/>
      <c r="E25" s="49" t="s">
        <v>322</v>
      </c>
      <c r="F25" s="4"/>
      <c r="G25" s="4"/>
      <c r="H25" s="4"/>
      <c r="I25" s="7"/>
      <c r="J25" s="49" t="s">
        <v>323</v>
      </c>
      <c r="K25" s="4"/>
      <c r="L25" s="4"/>
      <c r="M25" s="4"/>
      <c r="N25" s="4"/>
      <c r="O25" s="4"/>
      <c r="P25" s="7"/>
      <c r="Q25" s="49" t="s">
        <v>324</v>
      </c>
      <c r="R25" s="4"/>
      <c r="S25" s="4"/>
      <c r="T25" s="4"/>
      <c r="U25" s="4"/>
      <c r="V25" s="4"/>
      <c r="W25" s="7"/>
      <c r="X25" s="49" t="s">
        <v>325</v>
      </c>
      <c r="Y25" s="4"/>
      <c r="Z25" s="4"/>
      <c r="AA25" s="4"/>
      <c r="AB25" s="4"/>
      <c r="AC25" s="4"/>
      <c r="AD25" s="7"/>
      <c r="AE25" s="48" t="s">
        <v>199</v>
      </c>
      <c r="AF25" s="7"/>
      <c r="AG25" s="48"/>
      <c r="AH25" s="4"/>
      <c r="AI25" s="7"/>
      <c r="AJ25" s="48"/>
      <c r="AK25" s="4"/>
      <c r="AL25" s="7"/>
      <c r="AM25" s="48"/>
      <c r="AN25" s="4"/>
      <c r="AO25" s="7"/>
      <c r="AP25" s="48"/>
      <c r="AQ25" s="4"/>
      <c r="AR25" s="7"/>
      <c r="AS25" s="48"/>
      <c r="AT25" s="4"/>
      <c r="AU25" s="7"/>
      <c r="AV25" s="48"/>
      <c r="AW25" s="4"/>
      <c r="AX25" s="7"/>
      <c r="AY25" s="48"/>
      <c r="AZ25" s="4"/>
      <c r="BA25" s="7"/>
      <c r="BB25" s="48"/>
      <c r="BC25" s="4"/>
      <c r="BD25" s="7"/>
      <c r="BE25" s="48"/>
      <c r="BF25" s="4"/>
      <c r="BG25" s="7"/>
      <c r="BH25" s="48"/>
      <c r="BI25" s="4"/>
      <c r="BJ25" s="7"/>
      <c r="BK25" s="49"/>
      <c r="BL25" s="4"/>
      <c r="BM25" s="4"/>
      <c r="BN25" s="4"/>
      <c r="BO25" s="4"/>
      <c r="BP25" s="4"/>
      <c r="BQ25" s="7"/>
    </row>
    <row r="26" ht="79.5" customHeight="1">
      <c r="A26" s="47">
        <v>13.0</v>
      </c>
      <c r="B26" s="49" t="s">
        <v>326</v>
      </c>
      <c r="C26" s="4"/>
      <c r="D26" s="7"/>
      <c r="E26" s="49" t="s">
        <v>327</v>
      </c>
      <c r="F26" s="4"/>
      <c r="G26" s="4"/>
      <c r="H26" s="4"/>
      <c r="I26" s="7"/>
      <c r="J26" s="49" t="s">
        <v>291</v>
      </c>
      <c r="K26" s="4"/>
      <c r="L26" s="4"/>
      <c r="M26" s="4"/>
      <c r="N26" s="4"/>
      <c r="O26" s="4"/>
      <c r="P26" s="7"/>
      <c r="Q26" s="49" t="s">
        <v>328</v>
      </c>
      <c r="R26" s="4"/>
      <c r="S26" s="4"/>
      <c r="T26" s="4"/>
      <c r="U26" s="4"/>
      <c r="V26" s="4"/>
      <c r="W26" s="7"/>
      <c r="X26" s="49" t="s">
        <v>329</v>
      </c>
      <c r="Y26" s="4"/>
      <c r="Z26" s="4"/>
      <c r="AA26" s="4"/>
      <c r="AB26" s="4"/>
      <c r="AC26" s="4"/>
      <c r="AD26" s="7"/>
      <c r="AE26" s="48" t="s">
        <v>199</v>
      </c>
      <c r="AF26" s="7"/>
      <c r="AG26" s="48"/>
      <c r="AH26" s="4"/>
      <c r="AI26" s="7"/>
      <c r="AJ26" s="48"/>
      <c r="AK26" s="4"/>
      <c r="AL26" s="7"/>
      <c r="AM26" s="48"/>
      <c r="AN26" s="4"/>
      <c r="AO26" s="7"/>
      <c r="AP26" s="48"/>
      <c r="AQ26" s="4"/>
      <c r="AR26" s="7"/>
      <c r="AS26" s="48"/>
      <c r="AT26" s="4"/>
      <c r="AU26" s="7"/>
      <c r="AV26" s="48"/>
      <c r="AW26" s="4"/>
      <c r="AX26" s="7"/>
      <c r="AY26" s="48"/>
      <c r="AZ26" s="4"/>
      <c r="BA26" s="7"/>
      <c r="BB26" s="48"/>
      <c r="BC26" s="4"/>
      <c r="BD26" s="7"/>
      <c r="BE26" s="48"/>
      <c r="BF26" s="4"/>
      <c r="BG26" s="7"/>
      <c r="BH26" s="48"/>
      <c r="BI26" s="4"/>
      <c r="BJ26" s="7"/>
      <c r="BK26" s="49"/>
      <c r="BL26" s="4"/>
      <c r="BM26" s="4"/>
      <c r="BN26" s="4"/>
      <c r="BO26" s="4"/>
      <c r="BP26" s="4"/>
      <c r="BQ26" s="7"/>
    </row>
    <row r="27" ht="159.75" customHeight="1">
      <c r="A27" s="47">
        <v>14.0</v>
      </c>
      <c r="B27" s="49" t="s">
        <v>330</v>
      </c>
      <c r="C27" s="4"/>
      <c r="D27" s="7"/>
      <c r="E27" s="49" t="s">
        <v>331</v>
      </c>
      <c r="F27" s="4"/>
      <c r="G27" s="4"/>
      <c r="H27" s="4"/>
      <c r="I27" s="7"/>
      <c r="J27" s="49" t="s">
        <v>291</v>
      </c>
      <c r="K27" s="4"/>
      <c r="L27" s="4"/>
      <c r="M27" s="4"/>
      <c r="N27" s="4"/>
      <c r="O27" s="4"/>
      <c r="P27" s="7"/>
      <c r="Q27" s="49" t="s">
        <v>332</v>
      </c>
      <c r="R27" s="4"/>
      <c r="S27" s="4"/>
      <c r="T27" s="4"/>
      <c r="U27" s="4"/>
      <c r="V27" s="4"/>
      <c r="W27" s="7"/>
      <c r="X27" s="49" t="s">
        <v>333</v>
      </c>
      <c r="Y27" s="4"/>
      <c r="Z27" s="4"/>
      <c r="AA27" s="4"/>
      <c r="AB27" s="4"/>
      <c r="AC27" s="4"/>
      <c r="AD27" s="7"/>
      <c r="AE27" s="48" t="s">
        <v>199</v>
      </c>
      <c r="AF27" s="7"/>
      <c r="AG27" s="48"/>
      <c r="AH27" s="4"/>
      <c r="AI27" s="7"/>
      <c r="AJ27" s="48"/>
      <c r="AK27" s="4"/>
      <c r="AL27" s="7"/>
      <c r="AM27" s="48"/>
      <c r="AN27" s="4"/>
      <c r="AO27" s="7"/>
      <c r="AP27" s="48"/>
      <c r="AQ27" s="4"/>
      <c r="AR27" s="7"/>
      <c r="AS27" s="48"/>
      <c r="AT27" s="4"/>
      <c r="AU27" s="7"/>
      <c r="AV27" s="48"/>
      <c r="AW27" s="4"/>
      <c r="AX27" s="7"/>
      <c r="AY27" s="48"/>
      <c r="AZ27" s="4"/>
      <c r="BA27" s="7"/>
      <c r="BB27" s="48"/>
      <c r="BC27" s="4"/>
      <c r="BD27" s="7"/>
      <c r="BE27" s="48"/>
      <c r="BF27" s="4"/>
      <c r="BG27" s="7"/>
      <c r="BH27" s="48"/>
      <c r="BI27" s="4"/>
      <c r="BJ27" s="7"/>
      <c r="BK27" s="49" t="s">
        <v>334</v>
      </c>
      <c r="BL27" s="4"/>
      <c r="BM27" s="4"/>
      <c r="BN27" s="4"/>
      <c r="BO27" s="4"/>
      <c r="BP27" s="4"/>
      <c r="BQ27" s="7"/>
    </row>
    <row r="28" ht="22.5" customHeight="1">
      <c r="A28" s="8" t="s">
        <v>335</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7"/>
    </row>
    <row r="29" ht="63.75" customHeight="1">
      <c r="A29" s="47">
        <v>15.0</v>
      </c>
      <c r="B29" s="49" t="s">
        <v>336</v>
      </c>
      <c r="C29" s="4"/>
      <c r="D29" s="7"/>
      <c r="E29" s="49" t="s">
        <v>337</v>
      </c>
      <c r="F29" s="4"/>
      <c r="G29" s="4"/>
      <c r="H29" s="4"/>
      <c r="I29" s="7"/>
      <c r="J29" s="49" t="s">
        <v>291</v>
      </c>
      <c r="K29" s="4"/>
      <c r="L29" s="4"/>
      <c r="M29" s="4"/>
      <c r="N29" s="4"/>
      <c r="O29" s="4"/>
      <c r="P29" s="7"/>
      <c r="Q29" s="49" t="s">
        <v>338</v>
      </c>
      <c r="R29" s="4"/>
      <c r="S29" s="4"/>
      <c r="T29" s="4"/>
      <c r="U29" s="4"/>
      <c r="V29" s="4"/>
      <c r="W29" s="7"/>
      <c r="X29" s="49" t="s">
        <v>339</v>
      </c>
      <c r="Y29" s="4"/>
      <c r="Z29" s="4"/>
      <c r="AA29" s="4"/>
      <c r="AB29" s="4"/>
      <c r="AC29" s="4"/>
      <c r="AD29" s="7"/>
      <c r="AE29" s="48" t="s">
        <v>199</v>
      </c>
      <c r="AF29" s="7"/>
      <c r="AG29" s="48"/>
      <c r="AH29" s="4"/>
      <c r="AI29" s="7"/>
      <c r="AJ29" s="48"/>
      <c r="AK29" s="4"/>
      <c r="AL29" s="7"/>
      <c r="AM29" s="48"/>
      <c r="AN29" s="4"/>
      <c r="AO29" s="7"/>
      <c r="AP29" s="48"/>
      <c r="AQ29" s="4"/>
      <c r="AR29" s="7"/>
      <c r="AS29" s="48"/>
      <c r="AT29" s="4"/>
      <c r="AU29" s="7"/>
      <c r="AV29" s="48"/>
      <c r="AW29" s="4"/>
      <c r="AX29" s="7"/>
      <c r="AY29" s="48"/>
      <c r="AZ29" s="4"/>
      <c r="BA29" s="7"/>
      <c r="BB29" s="48"/>
      <c r="BC29" s="4"/>
      <c r="BD29" s="7"/>
      <c r="BE29" s="48"/>
      <c r="BF29" s="4"/>
      <c r="BG29" s="7"/>
      <c r="BH29" s="48"/>
      <c r="BI29" s="4"/>
      <c r="BJ29" s="7"/>
      <c r="BK29" s="49"/>
      <c r="BL29" s="4"/>
      <c r="BM29" s="4"/>
      <c r="BN29" s="4"/>
      <c r="BO29" s="4"/>
      <c r="BP29" s="4"/>
      <c r="BQ29" s="7"/>
    </row>
    <row r="30" ht="48.0" customHeight="1">
      <c r="A30" s="47">
        <v>16.0</v>
      </c>
      <c r="B30" s="49" t="s">
        <v>340</v>
      </c>
      <c r="C30" s="4"/>
      <c r="D30" s="7"/>
      <c r="E30" s="49" t="s">
        <v>341</v>
      </c>
      <c r="F30" s="4"/>
      <c r="G30" s="4"/>
      <c r="H30" s="4"/>
      <c r="I30" s="7"/>
      <c r="J30" s="49" t="s">
        <v>291</v>
      </c>
      <c r="K30" s="4"/>
      <c r="L30" s="4"/>
      <c r="M30" s="4"/>
      <c r="N30" s="4"/>
      <c r="O30" s="4"/>
      <c r="P30" s="7"/>
      <c r="Q30" s="49" t="s">
        <v>342</v>
      </c>
      <c r="R30" s="4"/>
      <c r="S30" s="4"/>
      <c r="T30" s="4"/>
      <c r="U30" s="4"/>
      <c r="V30" s="4"/>
      <c r="W30" s="7"/>
      <c r="X30" s="49" t="s">
        <v>343</v>
      </c>
      <c r="Y30" s="4"/>
      <c r="Z30" s="4"/>
      <c r="AA30" s="4"/>
      <c r="AB30" s="4"/>
      <c r="AC30" s="4"/>
      <c r="AD30" s="7"/>
      <c r="AE30" s="48" t="s">
        <v>199</v>
      </c>
      <c r="AF30" s="7"/>
      <c r="AG30" s="48"/>
      <c r="AH30" s="4"/>
      <c r="AI30" s="7"/>
      <c r="AJ30" s="48"/>
      <c r="AK30" s="4"/>
      <c r="AL30" s="7"/>
      <c r="AM30" s="48"/>
      <c r="AN30" s="4"/>
      <c r="AO30" s="7"/>
      <c r="AP30" s="48"/>
      <c r="AQ30" s="4"/>
      <c r="AR30" s="7"/>
      <c r="AS30" s="48"/>
      <c r="AT30" s="4"/>
      <c r="AU30" s="7"/>
      <c r="AV30" s="48"/>
      <c r="AW30" s="4"/>
      <c r="AX30" s="7"/>
      <c r="AY30" s="48"/>
      <c r="AZ30" s="4"/>
      <c r="BA30" s="7"/>
      <c r="BB30" s="48"/>
      <c r="BC30" s="4"/>
      <c r="BD30" s="7"/>
      <c r="BE30" s="48"/>
      <c r="BF30" s="4"/>
      <c r="BG30" s="7"/>
      <c r="BH30" s="48"/>
      <c r="BI30" s="4"/>
      <c r="BJ30" s="7"/>
      <c r="BK30" s="49"/>
      <c r="BL30" s="4"/>
      <c r="BM30" s="4"/>
      <c r="BN30" s="4"/>
      <c r="BO30" s="4"/>
      <c r="BP30" s="4"/>
      <c r="BQ30" s="7"/>
    </row>
    <row r="31" ht="48.0" customHeight="1">
      <c r="A31" s="47">
        <v>17.0</v>
      </c>
      <c r="B31" s="49" t="s">
        <v>344</v>
      </c>
      <c r="C31" s="4"/>
      <c r="D31" s="7"/>
      <c r="E31" s="49" t="s">
        <v>345</v>
      </c>
      <c r="F31" s="4"/>
      <c r="G31" s="4"/>
      <c r="H31" s="4"/>
      <c r="I31" s="7"/>
      <c r="J31" s="49" t="s">
        <v>291</v>
      </c>
      <c r="K31" s="4"/>
      <c r="L31" s="4"/>
      <c r="M31" s="4"/>
      <c r="N31" s="4"/>
      <c r="O31" s="4"/>
      <c r="P31" s="7"/>
      <c r="Q31" s="49" t="s">
        <v>346</v>
      </c>
      <c r="R31" s="4"/>
      <c r="S31" s="4"/>
      <c r="T31" s="4"/>
      <c r="U31" s="4"/>
      <c r="V31" s="4"/>
      <c r="W31" s="7"/>
      <c r="X31" s="49" t="s">
        <v>347</v>
      </c>
      <c r="Y31" s="4"/>
      <c r="Z31" s="4"/>
      <c r="AA31" s="4"/>
      <c r="AB31" s="4"/>
      <c r="AC31" s="4"/>
      <c r="AD31" s="7"/>
      <c r="AE31" s="48" t="s">
        <v>199</v>
      </c>
      <c r="AF31" s="7"/>
      <c r="AG31" s="48"/>
      <c r="AH31" s="4"/>
      <c r="AI31" s="7"/>
      <c r="AJ31" s="48"/>
      <c r="AK31" s="4"/>
      <c r="AL31" s="7"/>
      <c r="AM31" s="48"/>
      <c r="AN31" s="4"/>
      <c r="AO31" s="7"/>
      <c r="AP31" s="48"/>
      <c r="AQ31" s="4"/>
      <c r="AR31" s="7"/>
      <c r="AS31" s="48"/>
      <c r="AT31" s="4"/>
      <c r="AU31" s="7"/>
      <c r="AV31" s="48"/>
      <c r="AW31" s="4"/>
      <c r="AX31" s="7"/>
      <c r="AY31" s="48"/>
      <c r="AZ31" s="4"/>
      <c r="BA31" s="7"/>
      <c r="BB31" s="48"/>
      <c r="BC31" s="4"/>
      <c r="BD31" s="7"/>
      <c r="BE31" s="48"/>
      <c r="BF31" s="4"/>
      <c r="BG31" s="7"/>
      <c r="BH31" s="48"/>
      <c r="BI31" s="4"/>
      <c r="BJ31" s="7"/>
      <c r="BK31" s="49"/>
      <c r="BL31" s="4"/>
      <c r="BM31" s="4"/>
      <c r="BN31" s="4"/>
      <c r="BO31" s="4"/>
      <c r="BP31" s="4"/>
      <c r="BQ31" s="7"/>
    </row>
    <row r="32" ht="48.0" customHeight="1">
      <c r="A32" s="47">
        <v>18.0</v>
      </c>
      <c r="B32" s="49" t="s">
        <v>348</v>
      </c>
      <c r="C32" s="4"/>
      <c r="D32" s="7"/>
      <c r="E32" s="49" t="s">
        <v>349</v>
      </c>
      <c r="F32" s="4"/>
      <c r="G32" s="4"/>
      <c r="H32" s="4"/>
      <c r="I32" s="7"/>
      <c r="J32" s="49" t="s">
        <v>291</v>
      </c>
      <c r="K32" s="4"/>
      <c r="L32" s="4"/>
      <c r="M32" s="4"/>
      <c r="N32" s="4"/>
      <c r="O32" s="4"/>
      <c r="P32" s="7"/>
      <c r="Q32" s="49" t="s">
        <v>350</v>
      </c>
      <c r="R32" s="4"/>
      <c r="S32" s="4"/>
      <c r="T32" s="4"/>
      <c r="U32" s="4"/>
      <c r="V32" s="4"/>
      <c r="W32" s="7"/>
      <c r="X32" s="49" t="s">
        <v>351</v>
      </c>
      <c r="Y32" s="4"/>
      <c r="Z32" s="4"/>
      <c r="AA32" s="4"/>
      <c r="AB32" s="4"/>
      <c r="AC32" s="4"/>
      <c r="AD32" s="7"/>
      <c r="AE32" s="48" t="s">
        <v>199</v>
      </c>
      <c r="AF32" s="7"/>
      <c r="AG32" s="48"/>
      <c r="AH32" s="4"/>
      <c r="AI32" s="7"/>
      <c r="AJ32" s="48"/>
      <c r="AK32" s="4"/>
      <c r="AL32" s="7"/>
      <c r="AM32" s="48"/>
      <c r="AN32" s="4"/>
      <c r="AO32" s="7"/>
      <c r="AP32" s="48"/>
      <c r="AQ32" s="4"/>
      <c r="AR32" s="7"/>
      <c r="AS32" s="48"/>
      <c r="AT32" s="4"/>
      <c r="AU32" s="7"/>
      <c r="AV32" s="48"/>
      <c r="AW32" s="4"/>
      <c r="AX32" s="7"/>
      <c r="AY32" s="48"/>
      <c r="AZ32" s="4"/>
      <c r="BA32" s="7"/>
      <c r="BB32" s="48"/>
      <c r="BC32" s="4"/>
      <c r="BD32" s="7"/>
      <c r="BE32" s="48"/>
      <c r="BF32" s="4"/>
      <c r="BG32" s="7"/>
      <c r="BH32" s="48"/>
      <c r="BI32" s="4"/>
      <c r="BJ32" s="7"/>
      <c r="BK32" s="49" t="s">
        <v>334</v>
      </c>
      <c r="BL32" s="4"/>
      <c r="BM32" s="4"/>
      <c r="BN32" s="4"/>
      <c r="BO32" s="4"/>
      <c r="BP32" s="4"/>
      <c r="BQ32" s="7"/>
    </row>
    <row r="33" ht="22.5" customHeight="1">
      <c r="A33" s="8" t="s">
        <v>352</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7"/>
    </row>
    <row r="34" ht="175.5" customHeight="1">
      <c r="A34" s="47">
        <v>19.0</v>
      </c>
      <c r="B34" s="49" t="s">
        <v>353</v>
      </c>
      <c r="C34" s="4"/>
      <c r="D34" s="7"/>
      <c r="E34" s="49" t="s">
        <v>354</v>
      </c>
      <c r="F34" s="4"/>
      <c r="G34" s="4"/>
      <c r="H34" s="4"/>
      <c r="I34" s="7"/>
      <c r="J34" s="49" t="s">
        <v>291</v>
      </c>
      <c r="K34" s="4"/>
      <c r="L34" s="4"/>
      <c r="M34" s="4"/>
      <c r="N34" s="4"/>
      <c r="O34" s="4"/>
      <c r="P34" s="7"/>
      <c r="Q34" s="49" t="s">
        <v>355</v>
      </c>
      <c r="R34" s="4"/>
      <c r="S34" s="4"/>
      <c r="T34" s="4"/>
      <c r="U34" s="4"/>
      <c r="V34" s="4"/>
      <c r="W34" s="7"/>
      <c r="X34" s="49" t="s">
        <v>356</v>
      </c>
      <c r="Y34" s="4"/>
      <c r="Z34" s="4"/>
      <c r="AA34" s="4"/>
      <c r="AB34" s="4"/>
      <c r="AC34" s="4"/>
      <c r="AD34" s="7"/>
      <c r="AE34" s="48" t="s">
        <v>263</v>
      </c>
      <c r="AF34" s="7"/>
      <c r="AG34" s="48"/>
      <c r="AH34" s="4"/>
      <c r="AI34" s="7"/>
      <c r="AJ34" s="48"/>
      <c r="AK34" s="4"/>
      <c r="AL34" s="7"/>
      <c r="AM34" s="48"/>
      <c r="AN34" s="4"/>
      <c r="AO34" s="7"/>
      <c r="AP34" s="48"/>
      <c r="AQ34" s="4"/>
      <c r="AR34" s="7"/>
      <c r="AS34" s="48"/>
      <c r="AT34" s="4"/>
      <c r="AU34" s="7"/>
      <c r="AV34" s="48"/>
      <c r="AW34" s="4"/>
      <c r="AX34" s="7"/>
      <c r="AY34" s="48"/>
      <c r="AZ34" s="4"/>
      <c r="BA34" s="7"/>
      <c r="BB34" s="48"/>
      <c r="BC34" s="4"/>
      <c r="BD34" s="7"/>
      <c r="BE34" s="48"/>
      <c r="BF34" s="4"/>
      <c r="BG34" s="7"/>
      <c r="BH34" s="48"/>
      <c r="BI34" s="4"/>
      <c r="BJ34" s="7"/>
      <c r="BK34" s="49"/>
      <c r="BL34" s="4"/>
      <c r="BM34" s="4"/>
      <c r="BN34" s="4"/>
      <c r="BO34" s="4"/>
      <c r="BP34" s="4"/>
      <c r="BQ34" s="7"/>
    </row>
    <row r="35" ht="175.5" customHeight="1">
      <c r="A35" s="47">
        <v>20.0</v>
      </c>
      <c r="B35" s="49" t="s">
        <v>357</v>
      </c>
      <c r="C35" s="4"/>
      <c r="D35" s="7"/>
      <c r="E35" s="49" t="s">
        <v>358</v>
      </c>
      <c r="F35" s="4"/>
      <c r="G35" s="4"/>
      <c r="H35" s="4"/>
      <c r="I35" s="7"/>
      <c r="J35" s="49" t="s">
        <v>291</v>
      </c>
      <c r="K35" s="4"/>
      <c r="L35" s="4"/>
      <c r="M35" s="4"/>
      <c r="N35" s="4"/>
      <c r="O35" s="4"/>
      <c r="P35" s="7"/>
      <c r="Q35" s="49" t="s">
        <v>359</v>
      </c>
      <c r="R35" s="4"/>
      <c r="S35" s="4"/>
      <c r="T35" s="4"/>
      <c r="U35" s="4"/>
      <c r="V35" s="4"/>
      <c r="W35" s="7"/>
      <c r="X35" s="49" t="s">
        <v>360</v>
      </c>
      <c r="Y35" s="4"/>
      <c r="Z35" s="4"/>
      <c r="AA35" s="4"/>
      <c r="AB35" s="4"/>
      <c r="AC35" s="4"/>
      <c r="AD35" s="7"/>
      <c r="AE35" s="48" t="s">
        <v>263</v>
      </c>
      <c r="AF35" s="7"/>
      <c r="AG35" s="48"/>
      <c r="AH35" s="4"/>
      <c r="AI35" s="7"/>
      <c r="AJ35" s="48"/>
      <c r="AK35" s="4"/>
      <c r="AL35" s="7"/>
      <c r="AM35" s="48"/>
      <c r="AN35" s="4"/>
      <c r="AO35" s="7"/>
      <c r="AP35" s="48"/>
      <c r="AQ35" s="4"/>
      <c r="AR35" s="7"/>
      <c r="AS35" s="48"/>
      <c r="AT35" s="4"/>
      <c r="AU35" s="7"/>
      <c r="AV35" s="48"/>
      <c r="AW35" s="4"/>
      <c r="AX35" s="7"/>
      <c r="AY35" s="48"/>
      <c r="AZ35" s="4"/>
      <c r="BA35" s="7"/>
      <c r="BB35" s="48"/>
      <c r="BC35" s="4"/>
      <c r="BD35" s="7"/>
      <c r="BE35" s="48"/>
      <c r="BF35" s="4"/>
      <c r="BG35" s="7"/>
      <c r="BH35" s="48"/>
      <c r="BI35" s="4"/>
      <c r="BJ35" s="7"/>
      <c r="BK35" s="49"/>
      <c r="BL35" s="4"/>
      <c r="BM35" s="4"/>
      <c r="BN35" s="4"/>
      <c r="BO35" s="4"/>
      <c r="BP35" s="4"/>
      <c r="BQ35" s="7"/>
    </row>
    <row r="36" ht="96.0" customHeight="1">
      <c r="A36" s="47">
        <v>21.0</v>
      </c>
      <c r="B36" s="49" t="s">
        <v>361</v>
      </c>
      <c r="C36" s="4"/>
      <c r="D36" s="7"/>
      <c r="E36" s="49" t="s">
        <v>362</v>
      </c>
      <c r="F36" s="4"/>
      <c r="G36" s="4"/>
      <c r="H36" s="4"/>
      <c r="I36" s="7"/>
      <c r="J36" s="49" t="s">
        <v>291</v>
      </c>
      <c r="K36" s="4"/>
      <c r="L36" s="4"/>
      <c r="M36" s="4"/>
      <c r="N36" s="4"/>
      <c r="O36" s="4"/>
      <c r="P36" s="7"/>
      <c r="Q36" s="49" t="s">
        <v>363</v>
      </c>
      <c r="R36" s="4"/>
      <c r="S36" s="4"/>
      <c r="T36" s="4"/>
      <c r="U36" s="4"/>
      <c r="V36" s="4"/>
      <c r="W36" s="7"/>
      <c r="X36" s="49" t="s">
        <v>364</v>
      </c>
      <c r="Y36" s="4"/>
      <c r="Z36" s="4"/>
      <c r="AA36" s="4"/>
      <c r="AB36" s="4"/>
      <c r="AC36" s="4"/>
      <c r="AD36" s="7"/>
      <c r="AE36" s="48" t="s">
        <v>263</v>
      </c>
      <c r="AF36" s="7"/>
      <c r="AG36" s="48"/>
      <c r="AH36" s="4"/>
      <c r="AI36" s="7"/>
      <c r="AJ36" s="48"/>
      <c r="AK36" s="4"/>
      <c r="AL36" s="7"/>
      <c r="AM36" s="48"/>
      <c r="AN36" s="4"/>
      <c r="AO36" s="7"/>
      <c r="AP36" s="48"/>
      <c r="AQ36" s="4"/>
      <c r="AR36" s="7"/>
      <c r="AS36" s="48"/>
      <c r="AT36" s="4"/>
      <c r="AU36" s="7"/>
      <c r="AV36" s="48"/>
      <c r="AW36" s="4"/>
      <c r="AX36" s="7"/>
      <c r="AY36" s="48"/>
      <c r="AZ36" s="4"/>
      <c r="BA36" s="7"/>
      <c r="BB36" s="48"/>
      <c r="BC36" s="4"/>
      <c r="BD36" s="7"/>
      <c r="BE36" s="48"/>
      <c r="BF36" s="4"/>
      <c r="BG36" s="7"/>
      <c r="BH36" s="48"/>
      <c r="BI36" s="4"/>
      <c r="BJ36" s="7"/>
      <c r="BK36" s="49"/>
      <c r="BL36" s="4"/>
      <c r="BM36" s="4"/>
      <c r="BN36" s="4"/>
      <c r="BO36" s="4"/>
      <c r="BP36" s="4"/>
      <c r="BQ36" s="7"/>
    </row>
    <row r="37" ht="96.0" customHeight="1">
      <c r="A37" s="47">
        <v>22.0</v>
      </c>
      <c r="B37" s="49" t="s">
        <v>365</v>
      </c>
      <c r="C37" s="4"/>
      <c r="D37" s="7"/>
      <c r="E37" s="49" t="s">
        <v>366</v>
      </c>
      <c r="F37" s="4"/>
      <c r="G37" s="4"/>
      <c r="H37" s="4"/>
      <c r="I37" s="7"/>
      <c r="J37" s="49" t="s">
        <v>291</v>
      </c>
      <c r="K37" s="4"/>
      <c r="L37" s="4"/>
      <c r="M37" s="4"/>
      <c r="N37" s="4"/>
      <c r="O37" s="4"/>
      <c r="P37" s="7"/>
      <c r="Q37" s="49" t="s">
        <v>367</v>
      </c>
      <c r="R37" s="4"/>
      <c r="S37" s="4"/>
      <c r="T37" s="4"/>
      <c r="U37" s="4"/>
      <c r="V37" s="4"/>
      <c r="W37" s="7"/>
      <c r="X37" s="49" t="s">
        <v>368</v>
      </c>
      <c r="Y37" s="4"/>
      <c r="Z37" s="4"/>
      <c r="AA37" s="4"/>
      <c r="AB37" s="4"/>
      <c r="AC37" s="4"/>
      <c r="AD37" s="7"/>
      <c r="AE37" s="48" t="s">
        <v>263</v>
      </c>
      <c r="AF37" s="7"/>
      <c r="AG37" s="48"/>
      <c r="AH37" s="4"/>
      <c r="AI37" s="7"/>
      <c r="AJ37" s="48"/>
      <c r="AK37" s="4"/>
      <c r="AL37" s="7"/>
      <c r="AM37" s="48"/>
      <c r="AN37" s="4"/>
      <c r="AO37" s="7"/>
      <c r="AP37" s="48"/>
      <c r="AQ37" s="4"/>
      <c r="AR37" s="7"/>
      <c r="AS37" s="48"/>
      <c r="AT37" s="4"/>
      <c r="AU37" s="7"/>
      <c r="AV37" s="48"/>
      <c r="AW37" s="4"/>
      <c r="AX37" s="7"/>
      <c r="AY37" s="48"/>
      <c r="AZ37" s="4"/>
      <c r="BA37" s="7"/>
      <c r="BB37" s="48"/>
      <c r="BC37" s="4"/>
      <c r="BD37" s="7"/>
      <c r="BE37" s="48"/>
      <c r="BF37" s="4"/>
      <c r="BG37" s="7"/>
      <c r="BH37" s="48"/>
      <c r="BI37" s="4"/>
      <c r="BJ37" s="7"/>
      <c r="BK37" s="49"/>
      <c r="BL37" s="4"/>
      <c r="BM37" s="4"/>
      <c r="BN37" s="4"/>
      <c r="BO37" s="4"/>
      <c r="BP37" s="4"/>
      <c r="BQ37" s="7"/>
    </row>
    <row r="38" ht="79.5" customHeight="1">
      <c r="A38" s="47">
        <v>23.0</v>
      </c>
      <c r="B38" s="49" t="s">
        <v>369</v>
      </c>
      <c r="C38" s="4"/>
      <c r="D38" s="7"/>
      <c r="E38" s="49" t="s">
        <v>370</v>
      </c>
      <c r="F38" s="4"/>
      <c r="G38" s="4"/>
      <c r="H38" s="4"/>
      <c r="I38" s="7"/>
      <c r="J38" s="49" t="s">
        <v>291</v>
      </c>
      <c r="K38" s="4"/>
      <c r="L38" s="4"/>
      <c r="M38" s="4"/>
      <c r="N38" s="4"/>
      <c r="O38" s="4"/>
      <c r="P38" s="7"/>
      <c r="Q38" s="49" t="s">
        <v>371</v>
      </c>
      <c r="R38" s="4"/>
      <c r="S38" s="4"/>
      <c r="T38" s="4"/>
      <c r="U38" s="4"/>
      <c r="V38" s="4"/>
      <c r="W38" s="7"/>
      <c r="X38" s="49" t="s">
        <v>372</v>
      </c>
      <c r="Y38" s="4"/>
      <c r="Z38" s="4"/>
      <c r="AA38" s="4"/>
      <c r="AB38" s="4"/>
      <c r="AC38" s="4"/>
      <c r="AD38" s="7"/>
      <c r="AE38" s="48" t="s">
        <v>263</v>
      </c>
      <c r="AF38" s="7"/>
      <c r="AG38" s="48"/>
      <c r="AH38" s="4"/>
      <c r="AI38" s="7"/>
      <c r="AJ38" s="48"/>
      <c r="AK38" s="4"/>
      <c r="AL38" s="7"/>
      <c r="AM38" s="48"/>
      <c r="AN38" s="4"/>
      <c r="AO38" s="7"/>
      <c r="AP38" s="48"/>
      <c r="AQ38" s="4"/>
      <c r="AR38" s="7"/>
      <c r="AS38" s="48"/>
      <c r="AT38" s="4"/>
      <c r="AU38" s="7"/>
      <c r="AV38" s="48"/>
      <c r="AW38" s="4"/>
      <c r="AX38" s="7"/>
      <c r="AY38" s="48"/>
      <c r="AZ38" s="4"/>
      <c r="BA38" s="7"/>
      <c r="BB38" s="48"/>
      <c r="BC38" s="4"/>
      <c r="BD38" s="7"/>
      <c r="BE38" s="48"/>
      <c r="BF38" s="4"/>
      <c r="BG38" s="7"/>
      <c r="BH38" s="48"/>
      <c r="BI38" s="4"/>
      <c r="BJ38" s="7"/>
      <c r="BK38" s="49"/>
      <c r="BL38" s="4"/>
      <c r="BM38" s="4"/>
      <c r="BN38" s="4"/>
      <c r="BO38" s="4"/>
      <c r="BP38" s="4"/>
      <c r="BQ38" s="7"/>
    </row>
    <row r="39" ht="96.0" customHeight="1">
      <c r="A39" s="47">
        <v>24.0</v>
      </c>
      <c r="B39" s="49" t="s">
        <v>373</v>
      </c>
      <c r="C39" s="4"/>
      <c r="D39" s="7"/>
      <c r="E39" s="49" t="s">
        <v>374</v>
      </c>
      <c r="F39" s="4"/>
      <c r="G39" s="4"/>
      <c r="H39" s="4"/>
      <c r="I39" s="7"/>
      <c r="J39" s="49" t="s">
        <v>291</v>
      </c>
      <c r="K39" s="4"/>
      <c r="L39" s="4"/>
      <c r="M39" s="4"/>
      <c r="N39" s="4"/>
      <c r="O39" s="4"/>
      <c r="P39" s="7"/>
      <c r="Q39" s="49" t="s">
        <v>375</v>
      </c>
      <c r="R39" s="4"/>
      <c r="S39" s="4"/>
      <c r="T39" s="4"/>
      <c r="U39" s="4"/>
      <c r="V39" s="4"/>
      <c r="W39" s="7"/>
      <c r="X39" s="49" t="s">
        <v>376</v>
      </c>
      <c r="Y39" s="4"/>
      <c r="Z39" s="4"/>
      <c r="AA39" s="4"/>
      <c r="AB39" s="4"/>
      <c r="AC39" s="4"/>
      <c r="AD39" s="7"/>
      <c r="AE39" s="48" t="s">
        <v>282</v>
      </c>
      <c r="AF39" s="7"/>
      <c r="AG39" s="48"/>
      <c r="AH39" s="4"/>
      <c r="AI39" s="7"/>
      <c r="AJ39" s="48"/>
      <c r="AK39" s="4"/>
      <c r="AL39" s="7"/>
      <c r="AM39" s="48"/>
      <c r="AN39" s="4"/>
      <c r="AO39" s="7"/>
      <c r="AP39" s="48"/>
      <c r="AQ39" s="4"/>
      <c r="AR39" s="7"/>
      <c r="AS39" s="48"/>
      <c r="AT39" s="4"/>
      <c r="AU39" s="7"/>
      <c r="AV39" s="48"/>
      <c r="AW39" s="4"/>
      <c r="AX39" s="7"/>
      <c r="AY39" s="48"/>
      <c r="AZ39" s="4"/>
      <c r="BA39" s="7"/>
      <c r="BB39" s="48"/>
      <c r="BC39" s="4"/>
      <c r="BD39" s="7"/>
      <c r="BE39" s="48"/>
      <c r="BF39" s="4"/>
      <c r="BG39" s="7"/>
      <c r="BH39" s="48"/>
      <c r="BI39" s="4"/>
      <c r="BJ39" s="7"/>
      <c r="BK39" s="49" t="s">
        <v>377</v>
      </c>
      <c r="BL39" s="4"/>
      <c r="BM39" s="4"/>
      <c r="BN39" s="4"/>
      <c r="BO39" s="4"/>
      <c r="BP39" s="4"/>
      <c r="BQ39" s="7"/>
    </row>
    <row r="40" ht="207.75" customHeight="1">
      <c r="A40" s="47">
        <v>25.0</v>
      </c>
      <c r="B40" s="49" t="s">
        <v>378</v>
      </c>
      <c r="C40" s="4"/>
      <c r="D40" s="7"/>
      <c r="E40" s="49" t="s">
        <v>379</v>
      </c>
      <c r="F40" s="4"/>
      <c r="G40" s="4"/>
      <c r="H40" s="4"/>
      <c r="I40" s="7"/>
      <c r="J40" s="49" t="s">
        <v>380</v>
      </c>
      <c r="K40" s="4"/>
      <c r="L40" s="4"/>
      <c r="M40" s="4"/>
      <c r="N40" s="4"/>
      <c r="O40" s="4"/>
      <c r="P40" s="7"/>
      <c r="Q40" s="49" t="s">
        <v>381</v>
      </c>
      <c r="R40" s="4"/>
      <c r="S40" s="4"/>
      <c r="T40" s="4"/>
      <c r="U40" s="4"/>
      <c r="V40" s="4"/>
      <c r="W40" s="7"/>
      <c r="X40" s="49" t="s">
        <v>382</v>
      </c>
      <c r="Y40" s="4"/>
      <c r="Z40" s="4"/>
      <c r="AA40" s="4"/>
      <c r="AB40" s="4"/>
      <c r="AC40" s="4"/>
      <c r="AD40" s="7"/>
      <c r="AE40" s="48" t="s">
        <v>263</v>
      </c>
      <c r="AF40" s="7"/>
      <c r="AG40" s="48"/>
      <c r="AH40" s="4"/>
      <c r="AI40" s="7"/>
      <c r="AJ40" s="48"/>
      <c r="AK40" s="4"/>
      <c r="AL40" s="7"/>
      <c r="AM40" s="48"/>
      <c r="AN40" s="4"/>
      <c r="AO40" s="7"/>
      <c r="AP40" s="48"/>
      <c r="AQ40" s="4"/>
      <c r="AR40" s="7"/>
      <c r="AS40" s="48"/>
      <c r="AT40" s="4"/>
      <c r="AU40" s="7"/>
      <c r="AV40" s="48"/>
      <c r="AW40" s="4"/>
      <c r="AX40" s="7"/>
      <c r="AY40" s="48"/>
      <c r="AZ40" s="4"/>
      <c r="BA40" s="7"/>
      <c r="BB40" s="48"/>
      <c r="BC40" s="4"/>
      <c r="BD40" s="7"/>
      <c r="BE40" s="48"/>
      <c r="BF40" s="4"/>
      <c r="BG40" s="7"/>
      <c r="BH40" s="48"/>
      <c r="BI40" s="4"/>
      <c r="BJ40" s="7"/>
      <c r="BK40" s="49"/>
      <c r="BL40" s="4"/>
      <c r="BM40" s="4"/>
      <c r="BN40" s="4"/>
      <c r="BO40" s="4"/>
      <c r="BP40" s="4"/>
      <c r="BQ40" s="7"/>
    </row>
    <row r="41" ht="96.0" customHeight="1">
      <c r="A41" s="47">
        <v>26.0</v>
      </c>
      <c r="B41" s="49" t="s">
        <v>383</v>
      </c>
      <c r="C41" s="4"/>
      <c r="D41" s="7"/>
      <c r="E41" s="49" t="s">
        <v>384</v>
      </c>
      <c r="F41" s="4"/>
      <c r="G41" s="4"/>
      <c r="H41" s="4"/>
      <c r="I41" s="7"/>
      <c r="J41" s="49" t="s">
        <v>385</v>
      </c>
      <c r="K41" s="4"/>
      <c r="L41" s="4"/>
      <c r="M41" s="4"/>
      <c r="N41" s="4"/>
      <c r="O41" s="4"/>
      <c r="P41" s="7"/>
      <c r="Q41" s="49" t="s">
        <v>386</v>
      </c>
      <c r="R41" s="4"/>
      <c r="S41" s="4"/>
      <c r="T41" s="4"/>
      <c r="U41" s="4"/>
      <c r="V41" s="4"/>
      <c r="W41" s="7"/>
      <c r="X41" s="49" t="s">
        <v>387</v>
      </c>
      <c r="Y41" s="4"/>
      <c r="Z41" s="4"/>
      <c r="AA41" s="4"/>
      <c r="AB41" s="4"/>
      <c r="AC41" s="4"/>
      <c r="AD41" s="7"/>
      <c r="AE41" s="48" t="s">
        <v>282</v>
      </c>
      <c r="AF41" s="7"/>
      <c r="AG41" s="48"/>
      <c r="AH41" s="4"/>
      <c r="AI41" s="7"/>
      <c r="AJ41" s="48"/>
      <c r="AK41" s="4"/>
      <c r="AL41" s="7"/>
      <c r="AM41" s="48"/>
      <c r="AN41" s="4"/>
      <c r="AO41" s="7"/>
      <c r="AP41" s="48"/>
      <c r="AQ41" s="4"/>
      <c r="AR41" s="7"/>
      <c r="AS41" s="48"/>
      <c r="AT41" s="4"/>
      <c r="AU41" s="7"/>
      <c r="AV41" s="48"/>
      <c r="AW41" s="4"/>
      <c r="AX41" s="7"/>
      <c r="AY41" s="48"/>
      <c r="AZ41" s="4"/>
      <c r="BA41" s="7"/>
      <c r="BB41" s="48"/>
      <c r="BC41" s="4"/>
      <c r="BD41" s="7"/>
      <c r="BE41" s="48"/>
      <c r="BF41" s="4"/>
      <c r="BG41" s="7"/>
      <c r="BH41" s="48"/>
      <c r="BI41" s="4"/>
      <c r="BJ41" s="7"/>
      <c r="BK41" s="49"/>
      <c r="BL41" s="4"/>
      <c r="BM41" s="4"/>
      <c r="BN41" s="4"/>
      <c r="BO41" s="4"/>
      <c r="BP41" s="4"/>
      <c r="BQ41" s="7"/>
    </row>
    <row r="42" ht="127.5" customHeight="1">
      <c r="A42" s="47">
        <v>27.0</v>
      </c>
      <c r="B42" s="49" t="s">
        <v>388</v>
      </c>
      <c r="C42" s="4"/>
      <c r="D42" s="7"/>
      <c r="E42" s="49" t="s">
        <v>389</v>
      </c>
      <c r="F42" s="4"/>
      <c r="G42" s="4"/>
      <c r="H42" s="4"/>
      <c r="I42" s="7"/>
      <c r="J42" s="49" t="s">
        <v>390</v>
      </c>
      <c r="K42" s="4"/>
      <c r="L42" s="4"/>
      <c r="M42" s="4"/>
      <c r="N42" s="4"/>
      <c r="O42" s="4"/>
      <c r="P42" s="7"/>
      <c r="Q42" s="49" t="s">
        <v>391</v>
      </c>
      <c r="R42" s="4"/>
      <c r="S42" s="4"/>
      <c r="T42" s="4"/>
      <c r="U42" s="4"/>
      <c r="V42" s="4"/>
      <c r="W42" s="7"/>
      <c r="X42" s="49" t="s">
        <v>392</v>
      </c>
      <c r="Y42" s="4"/>
      <c r="Z42" s="4"/>
      <c r="AA42" s="4"/>
      <c r="AB42" s="4"/>
      <c r="AC42" s="4"/>
      <c r="AD42" s="7"/>
      <c r="AE42" s="48" t="s">
        <v>199</v>
      </c>
      <c r="AF42" s="7"/>
      <c r="AG42" s="48"/>
      <c r="AH42" s="4"/>
      <c r="AI42" s="7"/>
      <c r="AJ42" s="48"/>
      <c r="AK42" s="4"/>
      <c r="AL42" s="7"/>
      <c r="AM42" s="48"/>
      <c r="AN42" s="4"/>
      <c r="AO42" s="7"/>
      <c r="AP42" s="48"/>
      <c r="AQ42" s="4"/>
      <c r="AR42" s="7"/>
      <c r="AS42" s="48"/>
      <c r="AT42" s="4"/>
      <c r="AU42" s="7"/>
      <c r="AV42" s="48"/>
      <c r="AW42" s="4"/>
      <c r="AX42" s="7"/>
      <c r="AY42" s="48"/>
      <c r="AZ42" s="4"/>
      <c r="BA42" s="7"/>
      <c r="BB42" s="48"/>
      <c r="BC42" s="4"/>
      <c r="BD42" s="7"/>
      <c r="BE42" s="48"/>
      <c r="BF42" s="4"/>
      <c r="BG42" s="7"/>
      <c r="BH42" s="48"/>
      <c r="BI42" s="4"/>
      <c r="BJ42" s="7"/>
      <c r="BK42" s="49"/>
      <c r="BL42" s="4"/>
      <c r="BM42" s="4"/>
      <c r="BN42" s="4"/>
      <c r="BO42" s="4"/>
      <c r="BP42" s="4"/>
      <c r="BQ42" s="7"/>
    </row>
    <row r="43" ht="207.75" customHeight="1">
      <c r="A43" s="47">
        <v>28.0</v>
      </c>
      <c r="B43" s="49" t="s">
        <v>393</v>
      </c>
      <c r="C43" s="4"/>
      <c r="D43" s="7"/>
      <c r="E43" s="49" t="s">
        <v>394</v>
      </c>
      <c r="F43" s="4"/>
      <c r="G43" s="4"/>
      <c r="H43" s="4"/>
      <c r="I43" s="7"/>
      <c r="J43" s="49" t="s">
        <v>395</v>
      </c>
      <c r="K43" s="4"/>
      <c r="L43" s="4"/>
      <c r="M43" s="4"/>
      <c r="N43" s="4"/>
      <c r="O43" s="4"/>
      <c r="P43" s="7"/>
      <c r="Q43" s="49" t="s">
        <v>396</v>
      </c>
      <c r="R43" s="4"/>
      <c r="S43" s="4"/>
      <c r="T43" s="4"/>
      <c r="U43" s="4"/>
      <c r="V43" s="4"/>
      <c r="W43" s="7"/>
      <c r="X43" s="49" t="s">
        <v>397</v>
      </c>
      <c r="Y43" s="4"/>
      <c r="Z43" s="4"/>
      <c r="AA43" s="4"/>
      <c r="AB43" s="4"/>
      <c r="AC43" s="4"/>
      <c r="AD43" s="7"/>
      <c r="AE43" s="48" t="s">
        <v>263</v>
      </c>
      <c r="AF43" s="7"/>
      <c r="AG43" s="48"/>
      <c r="AH43" s="4"/>
      <c r="AI43" s="7"/>
      <c r="AJ43" s="48"/>
      <c r="AK43" s="4"/>
      <c r="AL43" s="7"/>
      <c r="AM43" s="48"/>
      <c r="AN43" s="4"/>
      <c r="AO43" s="7"/>
      <c r="AP43" s="48"/>
      <c r="AQ43" s="4"/>
      <c r="AR43" s="7"/>
      <c r="AS43" s="48"/>
      <c r="AT43" s="4"/>
      <c r="AU43" s="7"/>
      <c r="AV43" s="48"/>
      <c r="AW43" s="4"/>
      <c r="AX43" s="7"/>
      <c r="AY43" s="48"/>
      <c r="AZ43" s="4"/>
      <c r="BA43" s="7"/>
      <c r="BB43" s="48"/>
      <c r="BC43" s="4"/>
      <c r="BD43" s="7"/>
      <c r="BE43" s="48"/>
      <c r="BF43" s="4"/>
      <c r="BG43" s="7"/>
      <c r="BH43" s="48"/>
      <c r="BI43" s="4"/>
      <c r="BJ43" s="7"/>
      <c r="BK43" s="49"/>
      <c r="BL43" s="4"/>
      <c r="BM43" s="4"/>
      <c r="BN43" s="4"/>
      <c r="BO43" s="4"/>
      <c r="BP43" s="4"/>
      <c r="BQ43" s="7"/>
    </row>
    <row r="44" ht="96.0" customHeight="1">
      <c r="A44" s="47">
        <v>29.0</v>
      </c>
      <c r="B44" s="49" t="s">
        <v>398</v>
      </c>
      <c r="C44" s="4"/>
      <c r="D44" s="7"/>
      <c r="E44" s="49" t="s">
        <v>399</v>
      </c>
      <c r="F44" s="4"/>
      <c r="G44" s="4"/>
      <c r="H44" s="4"/>
      <c r="I44" s="7"/>
      <c r="J44" s="49" t="s">
        <v>400</v>
      </c>
      <c r="K44" s="4"/>
      <c r="L44" s="4"/>
      <c r="M44" s="4"/>
      <c r="N44" s="4"/>
      <c r="O44" s="4"/>
      <c r="P44" s="7"/>
      <c r="Q44" s="49" t="s">
        <v>401</v>
      </c>
      <c r="R44" s="4"/>
      <c r="S44" s="4"/>
      <c r="T44" s="4"/>
      <c r="U44" s="4"/>
      <c r="V44" s="4"/>
      <c r="W44" s="7"/>
      <c r="X44" s="49" t="s">
        <v>402</v>
      </c>
      <c r="Y44" s="4"/>
      <c r="Z44" s="4"/>
      <c r="AA44" s="4"/>
      <c r="AB44" s="4"/>
      <c r="AC44" s="4"/>
      <c r="AD44" s="7"/>
      <c r="AE44" s="48" t="s">
        <v>282</v>
      </c>
      <c r="AF44" s="7"/>
      <c r="AG44" s="48"/>
      <c r="AH44" s="4"/>
      <c r="AI44" s="7"/>
      <c r="AJ44" s="48"/>
      <c r="AK44" s="4"/>
      <c r="AL44" s="7"/>
      <c r="AM44" s="48"/>
      <c r="AN44" s="4"/>
      <c r="AO44" s="7"/>
      <c r="AP44" s="48"/>
      <c r="AQ44" s="4"/>
      <c r="AR44" s="7"/>
      <c r="AS44" s="48"/>
      <c r="AT44" s="4"/>
      <c r="AU44" s="7"/>
      <c r="AV44" s="48"/>
      <c r="AW44" s="4"/>
      <c r="AX44" s="7"/>
      <c r="AY44" s="48"/>
      <c r="AZ44" s="4"/>
      <c r="BA44" s="7"/>
      <c r="BB44" s="48"/>
      <c r="BC44" s="4"/>
      <c r="BD44" s="7"/>
      <c r="BE44" s="48"/>
      <c r="BF44" s="4"/>
      <c r="BG44" s="7"/>
      <c r="BH44" s="48"/>
      <c r="BI44" s="4"/>
      <c r="BJ44" s="7"/>
      <c r="BK44" s="49"/>
      <c r="BL44" s="4"/>
      <c r="BM44" s="4"/>
      <c r="BN44" s="4"/>
      <c r="BO44" s="4"/>
      <c r="BP44" s="4"/>
      <c r="BQ44" s="7"/>
    </row>
    <row r="45" ht="144.0" customHeight="1">
      <c r="A45" s="47">
        <v>30.0</v>
      </c>
      <c r="B45" s="49" t="s">
        <v>403</v>
      </c>
      <c r="C45" s="4"/>
      <c r="D45" s="7"/>
      <c r="E45" s="49" t="s">
        <v>404</v>
      </c>
      <c r="F45" s="4"/>
      <c r="G45" s="4"/>
      <c r="H45" s="4"/>
      <c r="I45" s="7"/>
      <c r="J45" s="49" t="s">
        <v>291</v>
      </c>
      <c r="K45" s="4"/>
      <c r="L45" s="4"/>
      <c r="M45" s="4"/>
      <c r="N45" s="4"/>
      <c r="O45" s="4"/>
      <c r="P45" s="7"/>
      <c r="Q45" s="49" t="s">
        <v>405</v>
      </c>
      <c r="R45" s="4"/>
      <c r="S45" s="4"/>
      <c r="T45" s="4"/>
      <c r="U45" s="4"/>
      <c r="V45" s="4"/>
      <c r="W45" s="7"/>
      <c r="X45" s="49" t="s">
        <v>406</v>
      </c>
      <c r="Y45" s="4"/>
      <c r="Z45" s="4"/>
      <c r="AA45" s="4"/>
      <c r="AB45" s="4"/>
      <c r="AC45" s="4"/>
      <c r="AD45" s="7"/>
      <c r="AE45" s="48" t="s">
        <v>199</v>
      </c>
      <c r="AF45" s="7"/>
      <c r="AG45" s="48"/>
      <c r="AH45" s="4"/>
      <c r="AI45" s="7"/>
      <c r="AJ45" s="48"/>
      <c r="AK45" s="4"/>
      <c r="AL45" s="7"/>
      <c r="AM45" s="48"/>
      <c r="AN45" s="4"/>
      <c r="AO45" s="7"/>
      <c r="AP45" s="48"/>
      <c r="AQ45" s="4"/>
      <c r="AR45" s="7"/>
      <c r="AS45" s="48"/>
      <c r="AT45" s="4"/>
      <c r="AU45" s="7"/>
      <c r="AV45" s="48"/>
      <c r="AW45" s="4"/>
      <c r="AX45" s="7"/>
      <c r="AY45" s="48"/>
      <c r="AZ45" s="4"/>
      <c r="BA45" s="7"/>
      <c r="BB45" s="48"/>
      <c r="BC45" s="4"/>
      <c r="BD45" s="7"/>
      <c r="BE45" s="48"/>
      <c r="BF45" s="4"/>
      <c r="BG45" s="7"/>
      <c r="BH45" s="48"/>
      <c r="BI45" s="4"/>
      <c r="BJ45" s="7"/>
      <c r="BK45" s="49" t="s">
        <v>334</v>
      </c>
      <c r="BL45" s="4"/>
      <c r="BM45" s="4"/>
      <c r="BN45" s="4"/>
      <c r="BO45" s="4"/>
      <c r="BP45" s="4"/>
      <c r="BQ45" s="7"/>
    </row>
    <row r="46" ht="22.5" customHeight="1">
      <c r="A46" s="8" t="s">
        <v>407</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7"/>
    </row>
    <row r="47" ht="415.5" customHeight="1">
      <c r="A47" s="47">
        <v>31.0</v>
      </c>
      <c r="B47" s="49" t="s">
        <v>408</v>
      </c>
      <c r="C47" s="4"/>
      <c r="D47" s="7"/>
      <c r="E47" s="49" t="s">
        <v>409</v>
      </c>
      <c r="F47" s="4"/>
      <c r="G47" s="4"/>
      <c r="H47" s="4"/>
      <c r="I47" s="7"/>
      <c r="J47" s="49" t="s">
        <v>291</v>
      </c>
      <c r="K47" s="4"/>
      <c r="L47" s="4"/>
      <c r="M47" s="4"/>
      <c r="N47" s="4"/>
      <c r="O47" s="4"/>
      <c r="P47" s="7"/>
      <c r="Q47" s="49" t="s">
        <v>410</v>
      </c>
      <c r="R47" s="4"/>
      <c r="S47" s="4"/>
      <c r="T47" s="4"/>
      <c r="U47" s="4"/>
      <c r="V47" s="4"/>
      <c r="W47" s="7"/>
      <c r="X47" s="49" t="s">
        <v>411</v>
      </c>
      <c r="Y47" s="4"/>
      <c r="Z47" s="4"/>
      <c r="AA47" s="4"/>
      <c r="AB47" s="4"/>
      <c r="AC47" s="4"/>
      <c r="AD47" s="7"/>
      <c r="AE47" s="48" t="s">
        <v>199</v>
      </c>
      <c r="AF47" s="7"/>
      <c r="AG47" s="48"/>
      <c r="AH47" s="4"/>
      <c r="AI47" s="7"/>
      <c r="AJ47" s="48"/>
      <c r="AK47" s="4"/>
      <c r="AL47" s="7"/>
      <c r="AM47" s="48"/>
      <c r="AN47" s="4"/>
      <c r="AO47" s="7"/>
      <c r="AP47" s="48"/>
      <c r="AQ47" s="4"/>
      <c r="AR47" s="7"/>
      <c r="AS47" s="48"/>
      <c r="AT47" s="4"/>
      <c r="AU47" s="7"/>
      <c r="AV47" s="48"/>
      <c r="AW47" s="4"/>
      <c r="AX47" s="7"/>
      <c r="AY47" s="48"/>
      <c r="AZ47" s="4"/>
      <c r="BA47" s="7"/>
      <c r="BB47" s="48"/>
      <c r="BC47" s="4"/>
      <c r="BD47" s="7"/>
      <c r="BE47" s="48"/>
      <c r="BF47" s="4"/>
      <c r="BG47" s="7"/>
      <c r="BH47" s="48"/>
      <c r="BI47" s="4"/>
      <c r="BJ47" s="7"/>
      <c r="BK47" s="49"/>
      <c r="BL47" s="4"/>
      <c r="BM47" s="4"/>
      <c r="BN47" s="4"/>
      <c r="BO47" s="4"/>
      <c r="BP47" s="4"/>
      <c r="BQ47" s="7"/>
    </row>
    <row r="48" ht="207.75" customHeight="1">
      <c r="A48" s="47">
        <v>32.0</v>
      </c>
      <c r="B48" s="49" t="s">
        <v>412</v>
      </c>
      <c r="C48" s="4"/>
      <c r="D48" s="7"/>
      <c r="E48" s="49" t="s">
        <v>413</v>
      </c>
      <c r="F48" s="4"/>
      <c r="G48" s="4"/>
      <c r="H48" s="4"/>
      <c r="I48" s="7"/>
      <c r="J48" s="49" t="s">
        <v>291</v>
      </c>
      <c r="K48" s="4"/>
      <c r="L48" s="4"/>
      <c r="M48" s="4"/>
      <c r="N48" s="4"/>
      <c r="O48" s="4"/>
      <c r="P48" s="7"/>
      <c r="Q48" s="49" t="s">
        <v>414</v>
      </c>
      <c r="R48" s="4"/>
      <c r="S48" s="4"/>
      <c r="T48" s="4"/>
      <c r="U48" s="4"/>
      <c r="V48" s="4"/>
      <c r="W48" s="7"/>
      <c r="X48" s="49" t="s">
        <v>415</v>
      </c>
      <c r="Y48" s="4"/>
      <c r="Z48" s="4"/>
      <c r="AA48" s="4"/>
      <c r="AB48" s="4"/>
      <c r="AC48" s="4"/>
      <c r="AD48" s="7"/>
      <c r="AE48" s="48" t="s">
        <v>199</v>
      </c>
      <c r="AF48" s="7"/>
      <c r="AG48" s="48"/>
      <c r="AH48" s="4"/>
      <c r="AI48" s="7"/>
      <c r="AJ48" s="48"/>
      <c r="AK48" s="4"/>
      <c r="AL48" s="7"/>
      <c r="AM48" s="48"/>
      <c r="AN48" s="4"/>
      <c r="AO48" s="7"/>
      <c r="AP48" s="48"/>
      <c r="AQ48" s="4"/>
      <c r="AR48" s="7"/>
      <c r="AS48" s="48"/>
      <c r="AT48" s="4"/>
      <c r="AU48" s="7"/>
      <c r="AV48" s="48"/>
      <c r="AW48" s="4"/>
      <c r="AX48" s="7"/>
      <c r="AY48" s="48"/>
      <c r="AZ48" s="4"/>
      <c r="BA48" s="7"/>
      <c r="BB48" s="48"/>
      <c r="BC48" s="4"/>
      <c r="BD48" s="7"/>
      <c r="BE48" s="48"/>
      <c r="BF48" s="4"/>
      <c r="BG48" s="7"/>
      <c r="BH48" s="48"/>
      <c r="BI48" s="4"/>
      <c r="BJ48" s="7"/>
      <c r="BK48" s="49"/>
      <c r="BL48" s="4"/>
      <c r="BM48" s="4"/>
      <c r="BN48" s="4"/>
      <c r="BO48" s="4"/>
      <c r="BP48" s="4"/>
      <c r="BQ48" s="7"/>
    </row>
    <row r="49" ht="192.0" customHeight="1">
      <c r="A49" s="47">
        <v>33.0</v>
      </c>
      <c r="B49" s="49" t="s">
        <v>416</v>
      </c>
      <c r="C49" s="4"/>
      <c r="D49" s="7"/>
      <c r="E49" s="49" t="s">
        <v>417</v>
      </c>
      <c r="F49" s="4"/>
      <c r="G49" s="4"/>
      <c r="H49" s="4"/>
      <c r="I49" s="7"/>
      <c r="J49" s="49" t="s">
        <v>291</v>
      </c>
      <c r="K49" s="4"/>
      <c r="L49" s="4"/>
      <c r="M49" s="4"/>
      <c r="N49" s="4"/>
      <c r="O49" s="4"/>
      <c r="P49" s="7"/>
      <c r="Q49" s="49" t="s">
        <v>418</v>
      </c>
      <c r="R49" s="4"/>
      <c r="S49" s="4"/>
      <c r="T49" s="4"/>
      <c r="U49" s="4"/>
      <c r="V49" s="4"/>
      <c r="W49" s="7"/>
      <c r="X49" s="49" t="s">
        <v>419</v>
      </c>
      <c r="Y49" s="4"/>
      <c r="Z49" s="4"/>
      <c r="AA49" s="4"/>
      <c r="AB49" s="4"/>
      <c r="AC49" s="4"/>
      <c r="AD49" s="7"/>
      <c r="AE49" s="48" t="s">
        <v>199</v>
      </c>
      <c r="AF49" s="7"/>
      <c r="AG49" s="48"/>
      <c r="AH49" s="4"/>
      <c r="AI49" s="7"/>
      <c r="AJ49" s="48"/>
      <c r="AK49" s="4"/>
      <c r="AL49" s="7"/>
      <c r="AM49" s="48"/>
      <c r="AN49" s="4"/>
      <c r="AO49" s="7"/>
      <c r="AP49" s="48"/>
      <c r="AQ49" s="4"/>
      <c r="AR49" s="7"/>
      <c r="AS49" s="48"/>
      <c r="AT49" s="4"/>
      <c r="AU49" s="7"/>
      <c r="AV49" s="48"/>
      <c r="AW49" s="4"/>
      <c r="AX49" s="7"/>
      <c r="AY49" s="48"/>
      <c r="AZ49" s="4"/>
      <c r="BA49" s="7"/>
      <c r="BB49" s="48"/>
      <c r="BC49" s="4"/>
      <c r="BD49" s="7"/>
      <c r="BE49" s="48"/>
      <c r="BF49" s="4"/>
      <c r="BG49" s="7"/>
      <c r="BH49" s="48"/>
      <c r="BI49" s="4"/>
      <c r="BJ49" s="7"/>
      <c r="BK49" s="49"/>
      <c r="BL49" s="4"/>
      <c r="BM49" s="4"/>
      <c r="BN49" s="4"/>
      <c r="BO49" s="4"/>
      <c r="BP49" s="4"/>
      <c r="BQ49" s="7"/>
    </row>
    <row r="50" ht="207.75" customHeight="1">
      <c r="A50" s="47">
        <v>34.0</v>
      </c>
      <c r="B50" s="49" t="s">
        <v>420</v>
      </c>
      <c r="C50" s="4"/>
      <c r="D50" s="7"/>
      <c r="E50" s="49" t="s">
        <v>421</v>
      </c>
      <c r="F50" s="4"/>
      <c r="G50" s="4"/>
      <c r="H50" s="4"/>
      <c r="I50" s="7"/>
      <c r="J50" s="49" t="s">
        <v>291</v>
      </c>
      <c r="K50" s="4"/>
      <c r="L50" s="4"/>
      <c r="M50" s="4"/>
      <c r="N50" s="4"/>
      <c r="O50" s="4"/>
      <c r="P50" s="7"/>
      <c r="Q50" s="49" t="s">
        <v>422</v>
      </c>
      <c r="R50" s="4"/>
      <c r="S50" s="4"/>
      <c r="T50" s="4"/>
      <c r="U50" s="4"/>
      <c r="V50" s="4"/>
      <c r="W50" s="7"/>
      <c r="X50" s="49" t="s">
        <v>423</v>
      </c>
      <c r="Y50" s="4"/>
      <c r="Z50" s="4"/>
      <c r="AA50" s="4"/>
      <c r="AB50" s="4"/>
      <c r="AC50" s="4"/>
      <c r="AD50" s="7"/>
      <c r="AE50" s="48" t="s">
        <v>199</v>
      </c>
      <c r="AF50" s="7"/>
      <c r="AG50" s="48"/>
      <c r="AH50" s="4"/>
      <c r="AI50" s="7"/>
      <c r="AJ50" s="48"/>
      <c r="AK50" s="4"/>
      <c r="AL50" s="7"/>
      <c r="AM50" s="48"/>
      <c r="AN50" s="4"/>
      <c r="AO50" s="7"/>
      <c r="AP50" s="48"/>
      <c r="AQ50" s="4"/>
      <c r="AR50" s="7"/>
      <c r="AS50" s="48"/>
      <c r="AT50" s="4"/>
      <c r="AU50" s="7"/>
      <c r="AV50" s="48"/>
      <c r="AW50" s="4"/>
      <c r="AX50" s="7"/>
      <c r="AY50" s="48"/>
      <c r="AZ50" s="4"/>
      <c r="BA50" s="7"/>
      <c r="BB50" s="48"/>
      <c r="BC50" s="4"/>
      <c r="BD50" s="7"/>
      <c r="BE50" s="48"/>
      <c r="BF50" s="4"/>
      <c r="BG50" s="7"/>
      <c r="BH50" s="48"/>
      <c r="BI50" s="4"/>
      <c r="BJ50" s="7"/>
      <c r="BK50" s="49"/>
      <c r="BL50" s="4"/>
      <c r="BM50" s="4"/>
      <c r="BN50" s="4"/>
      <c r="BO50" s="4"/>
      <c r="BP50" s="4"/>
      <c r="BQ50" s="7"/>
    </row>
    <row r="51" ht="175.5" customHeight="1">
      <c r="A51" s="47">
        <v>35.0</v>
      </c>
      <c r="B51" s="49" t="s">
        <v>424</v>
      </c>
      <c r="C51" s="4"/>
      <c r="D51" s="7"/>
      <c r="E51" s="49" t="s">
        <v>425</v>
      </c>
      <c r="F51" s="4"/>
      <c r="G51" s="4"/>
      <c r="H51" s="4"/>
      <c r="I51" s="7"/>
      <c r="J51" s="49" t="s">
        <v>291</v>
      </c>
      <c r="K51" s="4"/>
      <c r="L51" s="4"/>
      <c r="M51" s="4"/>
      <c r="N51" s="4"/>
      <c r="O51" s="4"/>
      <c r="P51" s="7"/>
      <c r="Q51" s="49" t="s">
        <v>426</v>
      </c>
      <c r="R51" s="4"/>
      <c r="S51" s="4"/>
      <c r="T51" s="4"/>
      <c r="U51" s="4"/>
      <c r="V51" s="4"/>
      <c r="W51" s="7"/>
      <c r="X51" s="49" t="s">
        <v>427</v>
      </c>
      <c r="Y51" s="4"/>
      <c r="Z51" s="4"/>
      <c r="AA51" s="4"/>
      <c r="AB51" s="4"/>
      <c r="AC51" s="4"/>
      <c r="AD51" s="7"/>
      <c r="AE51" s="48" t="s">
        <v>199</v>
      </c>
      <c r="AF51" s="7"/>
      <c r="AG51" s="48"/>
      <c r="AH51" s="4"/>
      <c r="AI51" s="7"/>
      <c r="AJ51" s="48"/>
      <c r="AK51" s="4"/>
      <c r="AL51" s="7"/>
      <c r="AM51" s="48"/>
      <c r="AN51" s="4"/>
      <c r="AO51" s="7"/>
      <c r="AP51" s="48"/>
      <c r="AQ51" s="4"/>
      <c r="AR51" s="7"/>
      <c r="AS51" s="48"/>
      <c r="AT51" s="4"/>
      <c r="AU51" s="7"/>
      <c r="AV51" s="48"/>
      <c r="AW51" s="4"/>
      <c r="AX51" s="7"/>
      <c r="AY51" s="48"/>
      <c r="AZ51" s="4"/>
      <c r="BA51" s="7"/>
      <c r="BB51" s="48"/>
      <c r="BC51" s="4"/>
      <c r="BD51" s="7"/>
      <c r="BE51" s="48"/>
      <c r="BF51" s="4"/>
      <c r="BG51" s="7"/>
      <c r="BH51" s="48"/>
      <c r="BI51" s="4"/>
      <c r="BJ51" s="7"/>
      <c r="BK51" s="49"/>
      <c r="BL51" s="4"/>
      <c r="BM51" s="4"/>
      <c r="BN51" s="4"/>
      <c r="BO51" s="4"/>
      <c r="BP51" s="4"/>
      <c r="BQ51" s="7"/>
    </row>
    <row r="52" ht="288.0" customHeight="1">
      <c r="A52" s="47">
        <v>36.0</v>
      </c>
      <c r="B52" s="49" t="s">
        <v>428</v>
      </c>
      <c r="C52" s="4"/>
      <c r="D52" s="7"/>
      <c r="E52" s="49" t="s">
        <v>429</v>
      </c>
      <c r="F52" s="4"/>
      <c r="G52" s="4"/>
      <c r="H52" s="4"/>
      <c r="I52" s="7"/>
      <c r="J52" s="49" t="s">
        <v>430</v>
      </c>
      <c r="K52" s="4"/>
      <c r="L52" s="4"/>
      <c r="M52" s="4"/>
      <c r="N52" s="4"/>
      <c r="O52" s="4"/>
      <c r="P52" s="7"/>
      <c r="Q52" s="49" t="s">
        <v>431</v>
      </c>
      <c r="R52" s="4"/>
      <c r="S52" s="4"/>
      <c r="T52" s="4"/>
      <c r="U52" s="4"/>
      <c r="V52" s="4"/>
      <c r="W52" s="7"/>
      <c r="X52" s="49" t="s">
        <v>432</v>
      </c>
      <c r="Y52" s="4"/>
      <c r="Z52" s="4"/>
      <c r="AA52" s="4"/>
      <c r="AB52" s="4"/>
      <c r="AC52" s="4"/>
      <c r="AD52" s="7"/>
      <c r="AE52" s="48" t="s">
        <v>199</v>
      </c>
      <c r="AF52" s="7"/>
      <c r="AG52" s="48"/>
      <c r="AH52" s="4"/>
      <c r="AI52" s="7"/>
      <c r="AJ52" s="48"/>
      <c r="AK52" s="4"/>
      <c r="AL52" s="7"/>
      <c r="AM52" s="48"/>
      <c r="AN52" s="4"/>
      <c r="AO52" s="7"/>
      <c r="AP52" s="48"/>
      <c r="AQ52" s="4"/>
      <c r="AR52" s="7"/>
      <c r="AS52" s="48"/>
      <c r="AT52" s="4"/>
      <c r="AU52" s="7"/>
      <c r="AV52" s="48"/>
      <c r="AW52" s="4"/>
      <c r="AX52" s="7"/>
      <c r="AY52" s="48"/>
      <c r="AZ52" s="4"/>
      <c r="BA52" s="7"/>
      <c r="BB52" s="48"/>
      <c r="BC52" s="4"/>
      <c r="BD52" s="7"/>
      <c r="BE52" s="48"/>
      <c r="BF52" s="4"/>
      <c r="BG52" s="7"/>
      <c r="BH52" s="48"/>
      <c r="BI52" s="4"/>
      <c r="BJ52" s="7"/>
      <c r="BK52" s="49"/>
      <c r="BL52" s="4"/>
      <c r="BM52" s="4"/>
      <c r="BN52" s="4"/>
      <c r="BO52" s="4"/>
      <c r="BP52" s="4"/>
      <c r="BQ52" s="7"/>
    </row>
    <row r="53" ht="271.5" customHeight="1">
      <c r="A53" s="47">
        <v>37.0</v>
      </c>
      <c r="B53" s="49" t="s">
        <v>433</v>
      </c>
      <c r="C53" s="4"/>
      <c r="D53" s="7"/>
      <c r="E53" s="49" t="s">
        <v>434</v>
      </c>
      <c r="F53" s="4"/>
      <c r="G53" s="4"/>
      <c r="H53" s="4"/>
      <c r="I53" s="7"/>
      <c r="J53" s="49" t="s">
        <v>435</v>
      </c>
      <c r="K53" s="4"/>
      <c r="L53" s="4"/>
      <c r="M53" s="4"/>
      <c r="N53" s="4"/>
      <c r="O53" s="4"/>
      <c r="P53" s="7"/>
      <c r="Q53" s="49" t="s">
        <v>436</v>
      </c>
      <c r="R53" s="4"/>
      <c r="S53" s="4"/>
      <c r="T53" s="4"/>
      <c r="U53" s="4"/>
      <c r="V53" s="4"/>
      <c r="W53" s="7"/>
      <c r="X53" s="49" t="s">
        <v>437</v>
      </c>
      <c r="Y53" s="4"/>
      <c r="Z53" s="4"/>
      <c r="AA53" s="4"/>
      <c r="AB53" s="4"/>
      <c r="AC53" s="4"/>
      <c r="AD53" s="7"/>
      <c r="AE53" s="48" t="s">
        <v>263</v>
      </c>
      <c r="AF53" s="7"/>
      <c r="AG53" s="48"/>
      <c r="AH53" s="4"/>
      <c r="AI53" s="7"/>
      <c r="AJ53" s="48"/>
      <c r="AK53" s="4"/>
      <c r="AL53" s="7"/>
      <c r="AM53" s="48"/>
      <c r="AN53" s="4"/>
      <c r="AO53" s="7"/>
      <c r="AP53" s="48"/>
      <c r="AQ53" s="4"/>
      <c r="AR53" s="7"/>
      <c r="AS53" s="48"/>
      <c r="AT53" s="4"/>
      <c r="AU53" s="7"/>
      <c r="AV53" s="48"/>
      <c r="AW53" s="4"/>
      <c r="AX53" s="7"/>
      <c r="AY53" s="48"/>
      <c r="AZ53" s="4"/>
      <c r="BA53" s="7"/>
      <c r="BB53" s="48"/>
      <c r="BC53" s="4"/>
      <c r="BD53" s="7"/>
      <c r="BE53" s="48"/>
      <c r="BF53" s="4"/>
      <c r="BG53" s="7"/>
      <c r="BH53" s="48"/>
      <c r="BI53" s="4"/>
      <c r="BJ53" s="7"/>
      <c r="BK53" s="49"/>
      <c r="BL53" s="4"/>
      <c r="BM53" s="4"/>
      <c r="BN53" s="4"/>
      <c r="BO53" s="4"/>
      <c r="BP53" s="4"/>
      <c r="BQ53" s="7"/>
    </row>
    <row r="54" ht="255.75" customHeight="1">
      <c r="A54" s="47">
        <v>38.0</v>
      </c>
      <c r="B54" s="49" t="s">
        <v>438</v>
      </c>
      <c r="C54" s="4"/>
      <c r="D54" s="7"/>
      <c r="E54" s="49" t="s">
        <v>439</v>
      </c>
      <c r="F54" s="4"/>
      <c r="G54" s="4"/>
      <c r="H54" s="4"/>
      <c r="I54" s="7"/>
      <c r="J54" s="49" t="s">
        <v>291</v>
      </c>
      <c r="K54" s="4"/>
      <c r="L54" s="4"/>
      <c r="M54" s="4"/>
      <c r="N54" s="4"/>
      <c r="O54" s="4"/>
      <c r="P54" s="7"/>
      <c r="Q54" s="49" t="s">
        <v>440</v>
      </c>
      <c r="R54" s="4"/>
      <c r="S54" s="4"/>
      <c r="T54" s="4"/>
      <c r="U54" s="4"/>
      <c r="V54" s="4"/>
      <c r="W54" s="7"/>
      <c r="X54" s="49" t="s">
        <v>441</v>
      </c>
      <c r="Y54" s="4"/>
      <c r="Z54" s="4"/>
      <c r="AA54" s="4"/>
      <c r="AB54" s="4"/>
      <c r="AC54" s="4"/>
      <c r="AD54" s="7"/>
      <c r="AE54" s="48" t="s">
        <v>263</v>
      </c>
      <c r="AF54" s="7"/>
      <c r="AG54" s="48"/>
      <c r="AH54" s="4"/>
      <c r="AI54" s="7"/>
      <c r="AJ54" s="48"/>
      <c r="AK54" s="4"/>
      <c r="AL54" s="7"/>
      <c r="AM54" s="48"/>
      <c r="AN54" s="4"/>
      <c r="AO54" s="7"/>
      <c r="AP54" s="48"/>
      <c r="AQ54" s="4"/>
      <c r="AR54" s="7"/>
      <c r="AS54" s="48"/>
      <c r="AT54" s="4"/>
      <c r="AU54" s="7"/>
      <c r="AV54" s="48"/>
      <c r="AW54" s="4"/>
      <c r="AX54" s="7"/>
      <c r="AY54" s="48"/>
      <c r="AZ54" s="4"/>
      <c r="BA54" s="7"/>
      <c r="BB54" s="48"/>
      <c r="BC54" s="4"/>
      <c r="BD54" s="7"/>
      <c r="BE54" s="48"/>
      <c r="BF54" s="4"/>
      <c r="BG54" s="7"/>
      <c r="BH54" s="48"/>
      <c r="BI54" s="4"/>
      <c r="BJ54" s="7"/>
      <c r="BK54" s="49"/>
      <c r="BL54" s="4"/>
      <c r="BM54" s="4"/>
      <c r="BN54" s="4"/>
      <c r="BO54" s="4"/>
      <c r="BP54" s="4"/>
      <c r="BQ54" s="7"/>
    </row>
    <row r="55" ht="159.75" customHeight="1">
      <c r="A55" s="47">
        <v>39.0</v>
      </c>
      <c r="B55" s="49" t="s">
        <v>442</v>
      </c>
      <c r="C55" s="4"/>
      <c r="D55" s="7"/>
      <c r="E55" s="49" t="s">
        <v>443</v>
      </c>
      <c r="F55" s="4"/>
      <c r="G55" s="4"/>
      <c r="H55" s="4"/>
      <c r="I55" s="7"/>
      <c r="J55" s="49" t="s">
        <v>291</v>
      </c>
      <c r="K55" s="4"/>
      <c r="L55" s="4"/>
      <c r="M55" s="4"/>
      <c r="N55" s="4"/>
      <c r="O55" s="4"/>
      <c r="P55" s="7"/>
      <c r="Q55" s="49" t="s">
        <v>444</v>
      </c>
      <c r="R55" s="4"/>
      <c r="S55" s="4"/>
      <c r="T55" s="4"/>
      <c r="U55" s="4"/>
      <c r="V55" s="4"/>
      <c r="W55" s="7"/>
      <c r="X55" s="49" t="s">
        <v>445</v>
      </c>
      <c r="Y55" s="4"/>
      <c r="Z55" s="4"/>
      <c r="AA55" s="4"/>
      <c r="AB55" s="4"/>
      <c r="AC55" s="4"/>
      <c r="AD55" s="7"/>
      <c r="AE55" s="48" t="s">
        <v>199</v>
      </c>
      <c r="AF55" s="7"/>
      <c r="AG55" s="48"/>
      <c r="AH55" s="4"/>
      <c r="AI55" s="7"/>
      <c r="AJ55" s="48"/>
      <c r="AK55" s="4"/>
      <c r="AL55" s="7"/>
      <c r="AM55" s="48"/>
      <c r="AN55" s="4"/>
      <c r="AO55" s="7"/>
      <c r="AP55" s="48"/>
      <c r="AQ55" s="4"/>
      <c r="AR55" s="7"/>
      <c r="AS55" s="48"/>
      <c r="AT55" s="4"/>
      <c r="AU55" s="7"/>
      <c r="AV55" s="48"/>
      <c r="AW55" s="4"/>
      <c r="AX55" s="7"/>
      <c r="AY55" s="48"/>
      <c r="AZ55" s="4"/>
      <c r="BA55" s="7"/>
      <c r="BB55" s="48"/>
      <c r="BC55" s="4"/>
      <c r="BD55" s="7"/>
      <c r="BE55" s="48"/>
      <c r="BF55" s="4"/>
      <c r="BG55" s="7"/>
      <c r="BH55" s="48"/>
      <c r="BI55" s="4"/>
      <c r="BJ55" s="7"/>
      <c r="BK55" s="49" t="s">
        <v>446</v>
      </c>
      <c r="BL55" s="4"/>
      <c r="BM55" s="4"/>
      <c r="BN55" s="4"/>
      <c r="BO55" s="4"/>
      <c r="BP55" s="4"/>
      <c r="BQ55" s="7"/>
    </row>
    <row r="56" ht="22.5" customHeight="1">
      <c r="A56" s="8" t="s">
        <v>447</v>
      </c>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7"/>
    </row>
    <row r="57" ht="223.5" customHeight="1">
      <c r="A57" s="47">
        <v>40.0</v>
      </c>
      <c r="B57" s="49" t="s">
        <v>448</v>
      </c>
      <c r="C57" s="4"/>
      <c r="D57" s="7"/>
      <c r="E57" s="49" t="s">
        <v>449</v>
      </c>
      <c r="F57" s="4"/>
      <c r="G57" s="4"/>
      <c r="H57" s="4"/>
      <c r="I57" s="7"/>
      <c r="J57" s="49" t="s">
        <v>450</v>
      </c>
      <c r="K57" s="4"/>
      <c r="L57" s="4"/>
      <c r="M57" s="4"/>
      <c r="N57" s="4"/>
      <c r="O57" s="4"/>
      <c r="P57" s="7"/>
      <c r="Q57" s="49" t="s">
        <v>451</v>
      </c>
      <c r="R57" s="4"/>
      <c r="S57" s="4"/>
      <c r="T57" s="4"/>
      <c r="U57" s="4"/>
      <c r="V57" s="4"/>
      <c r="W57" s="7"/>
      <c r="X57" s="49" t="s">
        <v>452</v>
      </c>
      <c r="Y57" s="4"/>
      <c r="Z57" s="4"/>
      <c r="AA57" s="4"/>
      <c r="AB57" s="4"/>
      <c r="AC57" s="4"/>
      <c r="AD57" s="7"/>
      <c r="AE57" s="48" t="s">
        <v>199</v>
      </c>
      <c r="AF57" s="7"/>
      <c r="AG57" s="48"/>
      <c r="AH57" s="4"/>
      <c r="AI57" s="7"/>
      <c r="AJ57" s="48"/>
      <c r="AK57" s="4"/>
      <c r="AL57" s="7"/>
      <c r="AM57" s="48"/>
      <c r="AN57" s="4"/>
      <c r="AO57" s="7"/>
      <c r="AP57" s="48"/>
      <c r="AQ57" s="4"/>
      <c r="AR57" s="7"/>
      <c r="AS57" s="48"/>
      <c r="AT57" s="4"/>
      <c r="AU57" s="7"/>
      <c r="AV57" s="48"/>
      <c r="AW57" s="4"/>
      <c r="AX57" s="7"/>
      <c r="AY57" s="48"/>
      <c r="AZ57" s="4"/>
      <c r="BA57" s="7"/>
      <c r="BB57" s="48"/>
      <c r="BC57" s="4"/>
      <c r="BD57" s="7"/>
      <c r="BE57" s="48"/>
      <c r="BF57" s="4"/>
      <c r="BG57" s="7"/>
      <c r="BH57" s="48"/>
      <c r="BI57" s="4"/>
      <c r="BJ57" s="7"/>
      <c r="BK57" s="49"/>
      <c r="BL57" s="4"/>
      <c r="BM57" s="4"/>
      <c r="BN57" s="4"/>
      <c r="BO57" s="4"/>
      <c r="BP57" s="4"/>
      <c r="BQ57" s="7"/>
    </row>
    <row r="58" ht="271.5" customHeight="1">
      <c r="A58" s="47">
        <v>41.0</v>
      </c>
      <c r="B58" s="49" t="s">
        <v>453</v>
      </c>
      <c r="C58" s="4"/>
      <c r="D58" s="7"/>
      <c r="E58" s="49" t="s">
        <v>454</v>
      </c>
      <c r="F58" s="4"/>
      <c r="G58" s="4"/>
      <c r="H58" s="4"/>
      <c r="I58" s="7"/>
      <c r="J58" s="49" t="s">
        <v>455</v>
      </c>
      <c r="K58" s="4"/>
      <c r="L58" s="4"/>
      <c r="M58" s="4"/>
      <c r="N58" s="4"/>
      <c r="O58" s="4"/>
      <c r="P58" s="7"/>
      <c r="Q58" s="49" t="s">
        <v>456</v>
      </c>
      <c r="R58" s="4"/>
      <c r="S58" s="4"/>
      <c r="T58" s="4"/>
      <c r="U58" s="4"/>
      <c r="V58" s="4"/>
      <c r="W58" s="7"/>
      <c r="X58" s="49" t="s">
        <v>457</v>
      </c>
      <c r="Y58" s="4"/>
      <c r="Z58" s="4"/>
      <c r="AA58" s="4"/>
      <c r="AB58" s="4"/>
      <c r="AC58" s="4"/>
      <c r="AD58" s="7"/>
      <c r="AE58" s="48" t="s">
        <v>199</v>
      </c>
      <c r="AF58" s="7"/>
      <c r="AG58" s="48"/>
      <c r="AH58" s="4"/>
      <c r="AI58" s="7"/>
      <c r="AJ58" s="48"/>
      <c r="AK58" s="4"/>
      <c r="AL58" s="7"/>
      <c r="AM58" s="48"/>
      <c r="AN58" s="4"/>
      <c r="AO58" s="7"/>
      <c r="AP58" s="48"/>
      <c r="AQ58" s="4"/>
      <c r="AR58" s="7"/>
      <c r="AS58" s="48"/>
      <c r="AT58" s="4"/>
      <c r="AU58" s="7"/>
      <c r="AV58" s="48"/>
      <c r="AW58" s="4"/>
      <c r="AX58" s="7"/>
      <c r="AY58" s="48"/>
      <c r="AZ58" s="4"/>
      <c r="BA58" s="7"/>
      <c r="BB58" s="48"/>
      <c r="BC58" s="4"/>
      <c r="BD58" s="7"/>
      <c r="BE58" s="48"/>
      <c r="BF58" s="4"/>
      <c r="BG58" s="7"/>
      <c r="BH58" s="48"/>
      <c r="BI58" s="4"/>
      <c r="BJ58" s="7"/>
      <c r="BK58" s="49"/>
      <c r="BL58" s="4"/>
      <c r="BM58" s="4"/>
      <c r="BN58" s="4"/>
      <c r="BO58" s="4"/>
      <c r="BP58" s="4"/>
      <c r="BQ58" s="7"/>
    </row>
    <row r="59" ht="192.0" customHeight="1">
      <c r="A59" s="47">
        <v>42.0</v>
      </c>
      <c r="B59" s="49" t="s">
        <v>458</v>
      </c>
      <c r="C59" s="4"/>
      <c r="D59" s="7"/>
      <c r="E59" s="49" t="s">
        <v>459</v>
      </c>
      <c r="F59" s="4"/>
      <c r="G59" s="4"/>
      <c r="H59" s="4"/>
      <c r="I59" s="7"/>
      <c r="J59" s="49" t="s">
        <v>460</v>
      </c>
      <c r="K59" s="4"/>
      <c r="L59" s="4"/>
      <c r="M59" s="4"/>
      <c r="N59" s="4"/>
      <c r="O59" s="4"/>
      <c r="P59" s="7"/>
      <c r="Q59" s="49" t="s">
        <v>461</v>
      </c>
      <c r="R59" s="4"/>
      <c r="S59" s="4"/>
      <c r="T59" s="4"/>
      <c r="U59" s="4"/>
      <c r="V59" s="4"/>
      <c r="W59" s="7"/>
      <c r="X59" s="49" t="s">
        <v>462</v>
      </c>
      <c r="Y59" s="4"/>
      <c r="Z59" s="4"/>
      <c r="AA59" s="4"/>
      <c r="AB59" s="4"/>
      <c r="AC59" s="4"/>
      <c r="AD59" s="7"/>
      <c r="AE59" s="48" t="s">
        <v>199</v>
      </c>
      <c r="AF59" s="7"/>
      <c r="AG59" s="48"/>
      <c r="AH59" s="4"/>
      <c r="AI59" s="7"/>
      <c r="AJ59" s="48"/>
      <c r="AK59" s="4"/>
      <c r="AL59" s="7"/>
      <c r="AM59" s="48"/>
      <c r="AN59" s="4"/>
      <c r="AO59" s="7"/>
      <c r="AP59" s="48"/>
      <c r="AQ59" s="4"/>
      <c r="AR59" s="7"/>
      <c r="AS59" s="48"/>
      <c r="AT59" s="4"/>
      <c r="AU59" s="7"/>
      <c r="AV59" s="48"/>
      <c r="AW59" s="4"/>
      <c r="AX59" s="7"/>
      <c r="AY59" s="48"/>
      <c r="AZ59" s="4"/>
      <c r="BA59" s="7"/>
      <c r="BB59" s="48"/>
      <c r="BC59" s="4"/>
      <c r="BD59" s="7"/>
      <c r="BE59" s="48"/>
      <c r="BF59" s="4"/>
      <c r="BG59" s="7"/>
      <c r="BH59" s="48"/>
      <c r="BI59" s="4"/>
      <c r="BJ59" s="7"/>
      <c r="BK59" s="49"/>
      <c r="BL59" s="4"/>
      <c r="BM59" s="4"/>
      <c r="BN59" s="4"/>
      <c r="BO59" s="4"/>
      <c r="BP59" s="4"/>
      <c r="BQ59" s="7"/>
    </row>
    <row r="60" ht="111.75" customHeight="1">
      <c r="A60" s="47">
        <v>43.0</v>
      </c>
      <c r="B60" s="49" t="s">
        <v>463</v>
      </c>
      <c r="C60" s="4"/>
      <c r="D60" s="7"/>
      <c r="E60" s="49" t="s">
        <v>464</v>
      </c>
      <c r="F60" s="4"/>
      <c r="G60" s="4"/>
      <c r="H60" s="4"/>
      <c r="I60" s="7"/>
      <c r="J60" s="49" t="s">
        <v>465</v>
      </c>
      <c r="K60" s="4"/>
      <c r="L60" s="4"/>
      <c r="M60" s="4"/>
      <c r="N60" s="4"/>
      <c r="O60" s="4"/>
      <c r="P60" s="7"/>
      <c r="Q60" s="49" t="s">
        <v>466</v>
      </c>
      <c r="R60" s="4"/>
      <c r="S60" s="4"/>
      <c r="T60" s="4"/>
      <c r="U60" s="4"/>
      <c r="V60" s="4"/>
      <c r="W60" s="7"/>
      <c r="X60" s="49" t="s">
        <v>467</v>
      </c>
      <c r="Y60" s="4"/>
      <c r="Z60" s="4"/>
      <c r="AA60" s="4"/>
      <c r="AB60" s="4"/>
      <c r="AC60" s="4"/>
      <c r="AD60" s="7"/>
      <c r="AE60" s="48" t="s">
        <v>199</v>
      </c>
      <c r="AF60" s="7"/>
      <c r="AG60" s="48"/>
      <c r="AH60" s="4"/>
      <c r="AI60" s="7"/>
      <c r="AJ60" s="48"/>
      <c r="AK60" s="4"/>
      <c r="AL60" s="7"/>
      <c r="AM60" s="48"/>
      <c r="AN60" s="4"/>
      <c r="AO60" s="7"/>
      <c r="AP60" s="48"/>
      <c r="AQ60" s="4"/>
      <c r="AR60" s="7"/>
      <c r="AS60" s="48"/>
      <c r="AT60" s="4"/>
      <c r="AU60" s="7"/>
      <c r="AV60" s="48"/>
      <c r="AW60" s="4"/>
      <c r="AX60" s="7"/>
      <c r="AY60" s="48"/>
      <c r="AZ60" s="4"/>
      <c r="BA60" s="7"/>
      <c r="BB60" s="48"/>
      <c r="BC60" s="4"/>
      <c r="BD60" s="7"/>
      <c r="BE60" s="48"/>
      <c r="BF60" s="4"/>
      <c r="BG60" s="7"/>
      <c r="BH60" s="48"/>
      <c r="BI60" s="4"/>
      <c r="BJ60" s="7"/>
      <c r="BK60" s="49"/>
      <c r="BL60" s="4"/>
      <c r="BM60" s="4"/>
      <c r="BN60" s="4"/>
      <c r="BO60" s="4"/>
      <c r="BP60" s="4"/>
      <c r="BQ60" s="7"/>
    </row>
    <row r="61" ht="207.75" customHeight="1">
      <c r="A61" s="47">
        <v>44.0</v>
      </c>
      <c r="B61" s="49" t="s">
        <v>468</v>
      </c>
      <c r="C61" s="4"/>
      <c r="D61" s="7"/>
      <c r="E61" s="49" t="s">
        <v>469</v>
      </c>
      <c r="F61" s="4"/>
      <c r="G61" s="4"/>
      <c r="H61" s="4"/>
      <c r="I61" s="7"/>
      <c r="J61" s="49" t="s">
        <v>455</v>
      </c>
      <c r="K61" s="4"/>
      <c r="L61" s="4"/>
      <c r="M61" s="4"/>
      <c r="N61" s="4"/>
      <c r="O61" s="4"/>
      <c r="P61" s="7"/>
      <c r="Q61" s="49" t="s">
        <v>470</v>
      </c>
      <c r="R61" s="4"/>
      <c r="S61" s="4"/>
      <c r="T61" s="4"/>
      <c r="U61" s="4"/>
      <c r="V61" s="4"/>
      <c r="W61" s="7"/>
      <c r="X61" s="49" t="s">
        <v>471</v>
      </c>
      <c r="Y61" s="4"/>
      <c r="Z61" s="4"/>
      <c r="AA61" s="4"/>
      <c r="AB61" s="4"/>
      <c r="AC61" s="4"/>
      <c r="AD61" s="7"/>
      <c r="AE61" s="48" t="s">
        <v>263</v>
      </c>
      <c r="AF61" s="7"/>
      <c r="AG61" s="48"/>
      <c r="AH61" s="4"/>
      <c r="AI61" s="7"/>
      <c r="AJ61" s="48"/>
      <c r="AK61" s="4"/>
      <c r="AL61" s="7"/>
      <c r="AM61" s="48"/>
      <c r="AN61" s="4"/>
      <c r="AO61" s="7"/>
      <c r="AP61" s="48"/>
      <c r="AQ61" s="4"/>
      <c r="AR61" s="7"/>
      <c r="AS61" s="48"/>
      <c r="AT61" s="4"/>
      <c r="AU61" s="7"/>
      <c r="AV61" s="48"/>
      <c r="AW61" s="4"/>
      <c r="AX61" s="7"/>
      <c r="AY61" s="48"/>
      <c r="AZ61" s="4"/>
      <c r="BA61" s="7"/>
      <c r="BB61" s="48"/>
      <c r="BC61" s="4"/>
      <c r="BD61" s="7"/>
      <c r="BE61" s="48"/>
      <c r="BF61" s="4"/>
      <c r="BG61" s="7"/>
      <c r="BH61" s="48"/>
      <c r="BI61" s="4"/>
      <c r="BJ61" s="7"/>
      <c r="BK61" s="49"/>
      <c r="BL61" s="4"/>
      <c r="BM61" s="4"/>
      <c r="BN61" s="4"/>
      <c r="BO61" s="4"/>
      <c r="BP61" s="4"/>
      <c r="BQ61" s="7"/>
    </row>
    <row r="62" ht="175.5" customHeight="1">
      <c r="A62" s="47">
        <v>45.0</v>
      </c>
      <c r="B62" s="49" t="s">
        <v>472</v>
      </c>
      <c r="C62" s="4"/>
      <c r="D62" s="7"/>
      <c r="E62" s="49" t="s">
        <v>473</v>
      </c>
      <c r="F62" s="4"/>
      <c r="G62" s="4"/>
      <c r="H62" s="4"/>
      <c r="I62" s="7"/>
      <c r="J62" s="49" t="s">
        <v>474</v>
      </c>
      <c r="K62" s="4"/>
      <c r="L62" s="4"/>
      <c r="M62" s="4"/>
      <c r="N62" s="4"/>
      <c r="O62" s="4"/>
      <c r="P62" s="7"/>
      <c r="Q62" s="49" t="s">
        <v>475</v>
      </c>
      <c r="R62" s="4"/>
      <c r="S62" s="4"/>
      <c r="T62" s="4"/>
      <c r="U62" s="4"/>
      <c r="V62" s="4"/>
      <c r="W62" s="7"/>
      <c r="X62" s="49" t="s">
        <v>476</v>
      </c>
      <c r="Y62" s="4"/>
      <c r="Z62" s="4"/>
      <c r="AA62" s="4"/>
      <c r="AB62" s="4"/>
      <c r="AC62" s="4"/>
      <c r="AD62" s="7"/>
      <c r="AE62" s="48" t="s">
        <v>263</v>
      </c>
      <c r="AF62" s="7"/>
      <c r="AG62" s="48"/>
      <c r="AH62" s="4"/>
      <c r="AI62" s="7"/>
      <c r="AJ62" s="48"/>
      <c r="AK62" s="4"/>
      <c r="AL62" s="7"/>
      <c r="AM62" s="48"/>
      <c r="AN62" s="4"/>
      <c r="AO62" s="7"/>
      <c r="AP62" s="48"/>
      <c r="AQ62" s="4"/>
      <c r="AR62" s="7"/>
      <c r="AS62" s="48"/>
      <c r="AT62" s="4"/>
      <c r="AU62" s="7"/>
      <c r="AV62" s="48"/>
      <c r="AW62" s="4"/>
      <c r="AX62" s="7"/>
      <c r="AY62" s="48"/>
      <c r="AZ62" s="4"/>
      <c r="BA62" s="7"/>
      <c r="BB62" s="48"/>
      <c r="BC62" s="4"/>
      <c r="BD62" s="7"/>
      <c r="BE62" s="48"/>
      <c r="BF62" s="4"/>
      <c r="BG62" s="7"/>
      <c r="BH62" s="48"/>
      <c r="BI62" s="4"/>
      <c r="BJ62" s="7"/>
      <c r="BK62" s="49" t="s">
        <v>334</v>
      </c>
      <c r="BL62" s="4"/>
      <c r="BM62" s="4"/>
      <c r="BN62" s="4"/>
      <c r="BO62" s="4"/>
      <c r="BP62" s="4"/>
      <c r="BQ62" s="7"/>
    </row>
    <row r="63" ht="22.5" customHeight="1">
      <c r="A63" s="8" t="s">
        <v>477</v>
      </c>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7"/>
    </row>
    <row r="64" ht="127.5" customHeight="1">
      <c r="A64" s="47">
        <v>46.0</v>
      </c>
      <c r="B64" s="49" t="s">
        <v>478</v>
      </c>
      <c r="C64" s="4"/>
      <c r="D64" s="7"/>
      <c r="E64" s="49" t="s">
        <v>479</v>
      </c>
      <c r="F64" s="4"/>
      <c r="G64" s="4"/>
      <c r="H64" s="4"/>
      <c r="I64" s="7"/>
      <c r="J64" s="49" t="s">
        <v>480</v>
      </c>
      <c r="K64" s="4"/>
      <c r="L64" s="4"/>
      <c r="M64" s="4"/>
      <c r="N64" s="4"/>
      <c r="O64" s="4"/>
      <c r="P64" s="7"/>
      <c r="Q64" s="49" t="s">
        <v>481</v>
      </c>
      <c r="R64" s="4"/>
      <c r="S64" s="4"/>
      <c r="T64" s="4"/>
      <c r="U64" s="4"/>
      <c r="V64" s="4"/>
      <c r="W64" s="7"/>
      <c r="X64" s="49" t="s">
        <v>482</v>
      </c>
      <c r="Y64" s="4"/>
      <c r="Z64" s="4"/>
      <c r="AA64" s="4"/>
      <c r="AB64" s="4"/>
      <c r="AC64" s="4"/>
      <c r="AD64" s="7"/>
      <c r="AE64" s="48" t="s">
        <v>263</v>
      </c>
      <c r="AF64" s="7"/>
      <c r="AG64" s="48"/>
      <c r="AH64" s="4"/>
      <c r="AI64" s="7"/>
      <c r="AJ64" s="48"/>
      <c r="AK64" s="4"/>
      <c r="AL64" s="7"/>
      <c r="AM64" s="48"/>
      <c r="AN64" s="4"/>
      <c r="AO64" s="7"/>
      <c r="AP64" s="48"/>
      <c r="AQ64" s="4"/>
      <c r="AR64" s="7"/>
      <c r="AS64" s="48"/>
      <c r="AT64" s="4"/>
      <c r="AU64" s="7"/>
      <c r="AV64" s="48"/>
      <c r="AW64" s="4"/>
      <c r="AX64" s="7"/>
      <c r="AY64" s="48"/>
      <c r="AZ64" s="4"/>
      <c r="BA64" s="7"/>
      <c r="BB64" s="48"/>
      <c r="BC64" s="4"/>
      <c r="BD64" s="7"/>
      <c r="BE64" s="48"/>
      <c r="BF64" s="4"/>
      <c r="BG64" s="7"/>
      <c r="BH64" s="48"/>
      <c r="BI64" s="4"/>
      <c r="BJ64" s="7"/>
      <c r="BK64" s="49"/>
      <c r="BL64" s="4"/>
      <c r="BM64" s="4"/>
      <c r="BN64" s="4"/>
      <c r="BO64" s="4"/>
      <c r="BP64" s="4"/>
      <c r="BQ64" s="7"/>
    </row>
    <row r="65" ht="79.5" customHeight="1">
      <c r="A65" s="47">
        <v>47.0</v>
      </c>
      <c r="B65" s="49" t="s">
        <v>483</v>
      </c>
      <c r="C65" s="4"/>
      <c r="D65" s="7"/>
      <c r="E65" s="49" t="s">
        <v>484</v>
      </c>
      <c r="F65" s="4"/>
      <c r="G65" s="4"/>
      <c r="H65" s="4"/>
      <c r="I65" s="7"/>
      <c r="J65" s="49" t="s">
        <v>291</v>
      </c>
      <c r="K65" s="4"/>
      <c r="L65" s="4"/>
      <c r="M65" s="4"/>
      <c r="N65" s="4"/>
      <c r="O65" s="4"/>
      <c r="P65" s="7"/>
      <c r="Q65" s="49" t="s">
        <v>485</v>
      </c>
      <c r="R65" s="4"/>
      <c r="S65" s="4"/>
      <c r="T65" s="4"/>
      <c r="U65" s="4"/>
      <c r="V65" s="4"/>
      <c r="W65" s="7"/>
      <c r="X65" s="49" t="s">
        <v>486</v>
      </c>
      <c r="Y65" s="4"/>
      <c r="Z65" s="4"/>
      <c r="AA65" s="4"/>
      <c r="AB65" s="4"/>
      <c r="AC65" s="4"/>
      <c r="AD65" s="7"/>
      <c r="AE65" s="48" t="s">
        <v>263</v>
      </c>
      <c r="AF65" s="7"/>
      <c r="AG65" s="48"/>
      <c r="AH65" s="4"/>
      <c r="AI65" s="7"/>
      <c r="AJ65" s="48"/>
      <c r="AK65" s="4"/>
      <c r="AL65" s="7"/>
      <c r="AM65" s="48"/>
      <c r="AN65" s="4"/>
      <c r="AO65" s="7"/>
      <c r="AP65" s="48"/>
      <c r="AQ65" s="4"/>
      <c r="AR65" s="7"/>
      <c r="AS65" s="48"/>
      <c r="AT65" s="4"/>
      <c r="AU65" s="7"/>
      <c r="AV65" s="48"/>
      <c r="AW65" s="4"/>
      <c r="AX65" s="7"/>
      <c r="AY65" s="48"/>
      <c r="AZ65" s="4"/>
      <c r="BA65" s="7"/>
      <c r="BB65" s="48"/>
      <c r="BC65" s="4"/>
      <c r="BD65" s="7"/>
      <c r="BE65" s="48"/>
      <c r="BF65" s="4"/>
      <c r="BG65" s="7"/>
      <c r="BH65" s="48"/>
      <c r="BI65" s="4"/>
      <c r="BJ65" s="7"/>
      <c r="BK65" s="49"/>
      <c r="BL65" s="4"/>
      <c r="BM65" s="4"/>
      <c r="BN65" s="4"/>
      <c r="BO65" s="4"/>
      <c r="BP65" s="4"/>
      <c r="BQ65" s="7"/>
    </row>
    <row r="66" ht="175.5" customHeight="1">
      <c r="A66" s="47">
        <v>48.0</v>
      </c>
      <c r="B66" s="49" t="s">
        <v>487</v>
      </c>
      <c r="C66" s="4"/>
      <c r="D66" s="7"/>
      <c r="E66" s="49" t="s">
        <v>488</v>
      </c>
      <c r="F66" s="4"/>
      <c r="G66" s="4"/>
      <c r="H66" s="4"/>
      <c r="I66" s="7"/>
      <c r="J66" s="49" t="s">
        <v>291</v>
      </c>
      <c r="K66" s="4"/>
      <c r="L66" s="4"/>
      <c r="M66" s="4"/>
      <c r="N66" s="4"/>
      <c r="O66" s="4"/>
      <c r="P66" s="7"/>
      <c r="Q66" s="49" t="s">
        <v>489</v>
      </c>
      <c r="R66" s="4"/>
      <c r="S66" s="4"/>
      <c r="T66" s="4"/>
      <c r="U66" s="4"/>
      <c r="V66" s="4"/>
      <c r="W66" s="7"/>
      <c r="X66" s="49" t="s">
        <v>490</v>
      </c>
      <c r="Y66" s="4"/>
      <c r="Z66" s="4"/>
      <c r="AA66" s="4"/>
      <c r="AB66" s="4"/>
      <c r="AC66" s="4"/>
      <c r="AD66" s="7"/>
      <c r="AE66" s="48" t="s">
        <v>263</v>
      </c>
      <c r="AF66" s="7"/>
      <c r="AG66" s="48"/>
      <c r="AH66" s="4"/>
      <c r="AI66" s="7"/>
      <c r="AJ66" s="48"/>
      <c r="AK66" s="4"/>
      <c r="AL66" s="7"/>
      <c r="AM66" s="48"/>
      <c r="AN66" s="4"/>
      <c r="AO66" s="7"/>
      <c r="AP66" s="48"/>
      <c r="AQ66" s="4"/>
      <c r="AR66" s="7"/>
      <c r="AS66" s="48"/>
      <c r="AT66" s="4"/>
      <c r="AU66" s="7"/>
      <c r="AV66" s="48"/>
      <c r="AW66" s="4"/>
      <c r="AX66" s="7"/>
      <c r="AY66" s="48"/>
      <c r="AZ66" s="4"/>
      <c r="BA66" s="7"/>
      <c r="BB66" s="48"/>
      <c r="BC66" s="4"/>
      <c r="BD66" s="7"/>
      <c r="BE66" s="48"/>
      <c r="BF66" s="4"/>
      <c r="BG66" s="7"/>
      <c r="BH66" s="48"/>
      <c r="BI66" s="4"/>
      <c r="BJ66" s="7"/>
      <c r="BK66" s="49"/>
      <c r="BL66" s="4"/>
      <c r="BM66" s="4"/>
      <c r="BN66" s="4"/>
      <c r="BO66" s="4"/>
      <c r="BP66" s="4"/>
      <c r="BQ66" s="7"/>
    </row>
    <row r="67" ht="96.0" customHeight="1">
      <c r="A67" s="47">
        <v>49.0</v>
      </c>
      <c r="B67" s="49" t="s">
        <v>491</v>
      </c>
      <c r="C67" s="4"/>
      <c r="D67" s="7"/>
      <c r="E67" s="49" t="s">
        <v>492</v>
      </c>
      <c r="F67" s="4"/>
      <c r="G67" s="4"/>
      <c r="H67" s="4"/>
      <c r="I67" s="7"/>
      <c r="J67" s="49" t="s">
        <v>291</v>
      </c>
      <c r="K67" s="4"/>
      <c r="L67" s="4"/>
      <c r="M67" s="4"/>
      <c r="N67" s="4"/>
      <c r="O67" s="4"/>
      <c r="P67" s="7"/>
      <c r="Q67" s="49" t="s">
        <v>493</v>
      </c>
      <c r="R67" s="4"/>
      <c r="S67" s="4"/>
      <c r="T67" s="4"/>
      <c r="U67" s="4"/>
      <c r="V67" s="4"/>
      <c r="W67" s="7"/>
      <c r="X67" s="49" t="s">
        <v>494</v>
      </c>
      <c r="Y67" s="4"/>
      <c r="Z67" s="4"/>
      <c r="AA67" s="4"/>
      <c r="AB67" s="4"/>
      <c r="AC67" s="4"/>
      <c r="AD67" s="7"/>
      <c r="AE67" s="48" t="s">
        <v>263</v>
      </c>
      <c r="AF67" s="7"/>
      <c r="AG67" s="48"/>
      <c r="AH67" s="4"/>
      <c r="AI67" s="7"/>
      <c r="AJ67" s="48"/>
      <c r="AK67" s="4"/>
      <c r="AL67" s="7"/>
      <c r="AM67" s="48"/>
      <c r="AN67" s="4"/>
      <c r="AO67" s="7"/>
      <c r="AP67" s="48"/>
      <c r="AQ67" s="4"/>
      <c r="AR67" s="7"/>
      <c r="AS67" s="48"/>
      <c r="AT67" s="4"/>
      <c r="AU67" s="7"/>
      <c r="AV67" s="48"/>
      <c r="AW67" s="4"/>
      <c r="AX67" s="7"/>
      <c r="AY67" s="48"/>
      <c r="AZ67" s="4"/>
      <c r="BA67" s="7"/>
      <c r="BB67" s="48"/>
      <c r="BC67" s="4"/>
      <c r="BD67" s="7"/>
      <c r="BE67" s="48"/>
      <c r="BF67" s="4"/>
      <c r="BG67" s="7"/>
      <c r="BH67" s="48"/>
      <c r="BI67" s="4"/>
      <c r="BJ67" s="7"/>
      <c r="BK67" s="49"/>
      <c r="BL67" s="4"/>
      <c r="BM67" s="4"/>
      <c r="BN67" s="4"/>
      <c r="BO67" s="4"/>
      <c r="BP67" s="4"/>
      <c r="BQ67" s="7"/>
    </row>
    <row r="68" ht="303.75" customHeight="1">
      <c r="A68" s="47">
        <v>50.0</v>
      </c>
      <c r="B68" s="49" t="s">
        <v>495</v>
      </c>
      <c r="C68" s="4"/>
      <c r="D68" s="7"/>
      <c r="E68" s="49" t="s">
        <v>496</v>
      </c>
      <c r="F68" s="4"/>
      <c r="G68" s="4"/>
      <c r="H68" s="4"/>
      <c r="I68" s="7"/>
      <c r="J68" s="49" t="s">
        <v>497</v>
      </c>
      <c r="K68" s="4"/>
      <c r="L68" s="4"/>
      <c r="M68" s="4"/>
      <c r="N68" s="4"/>
      <c r="O68" s="4"/>
      <c r="P68" s="7"/>
      <c r="Q68" s="49" t="s">
        <v>498</v>
      </c>
      <c r="R68" s="4"/>
      <c r="S68" s="4"/>
      <c r="T68" s="4"/>
      <c r="U68" s="4"/>
      <c r="V68" s="4"/>
      <c r="W68" s="7"/>
      <c r="X68" s="49" t="s">
        <v>499</v>
      </c>
      <c r="Y68" s="4"/>
      <c r="Z68" s="4"/>
      <c r="AA68" s="4"/>
      <c r="AB68" s="4"/>
      <c r="AC68" s="4"/>
      <c r="AD68" s="7"/>
      <c r="AE68" s="48" t="s">
        <v>263</v>
      </c>
      <c r="AF68" s="7"/>
      <c r="AG68" s="48"/>
      <c r="AH68" s="4"/>
      <c r="AI68" s="7"/>
      <c r="AJ68" s="48"/>
      <c r="AK68" s="4"/>
      <c r="AL68" s="7"/>
      <c r="AM68" s="48"/>
      <c r="AN68" s="4"/>
      <c r="AO68" s="7"/>
      <c r="AP68" s="48"/>
      <c r="AQ68" s="4"/>
      <c r="AR68" s="7"/>
      <c r="AS68" s="48"/>
      <c r="AT68" s="4"/>
      <c r="AU68" s="7"/>
      <c r="AV68" s="48"/>
      <c r="AW68" s="4"/>
      <c r="AX68" s="7"/>
      <c r="AY68" s="48"/>
      <c r="AZ68" s="4"/>
      <c r="BA68" s="7"/>
      <c r="BB68" s="48"/>
      <c r="BC68" s="4"/>
      <c r="BD68" s="7"/>
      <c r="BE68" s="48"/>
      <c r="BF68" s="4"/>
      <c r="BG68" s="7"/>
      <c r="BH68" s="48"/>
      <c r="BI68" s="4"/>
      <c r="BJ68" s="7"/>
      <c r="BK68" s="49"/>
      <c r="BL68" s="4"/>
      <c r="BM68" s="4"/>
      <c r="BN68" s="4"/>
      <c r="BO68" s="4"/>
      <c r="BP68" s="4"/>
      <c r="BQ68" s="7"/>
    </row>
    <row r="69" ht="79.5" customHeight="1">
      <c r="A69" s="47">
        <v>51.0</v>
      </c>
      <c r="B69" s="49" t="s">
        <v>500</v>
      </c>
      <c r="C69" s="4"/>
      <c r="D69" s="7"/>
      <c r="E69" s="49" t="s">
        <v>501</v>
      </c>
      <c r="F69" s="4"/>
      <c r="G69" s="4"/>
      <c r="H69" s="4"/>
      <c r="I69" s="7"/>
      <c r="J69" s="49" t="s">
        <v>502</v>
      </c>
      <c r="K69" s="4"/>
      <c r="L69" s="4"/>
      <c r="M69" s="4"/>
      <c r="N69" s="4"/>
      <c r="O69" s="4"/>
      <c r="P69" s="7"/>
      <c r="Q69" s="49" t="s">
        <v>503</v>
      </c>
      <c r="R69" s="4"/>
      <c r="S69" s="4"/>
      <c r="T69" s="4"/>
      <c r="U69" s="4"/>
      <c r="V69" s="4"/>
      <c r="W69" s="7"/>
      <c r="X69" s="49" t="s">
        <v>504</v>
      </c>
      <c r="Y69" s="4"/>
      <c r="Z69" s="4"/>
      <c r="AA69" s="4"/>
      <c r="AB69" s="4"/>
      <c r="AC69" s="4"/>
      <c r="AD69" s="7"/>
      <c r="AE69" s="48" t="s">
        <v>263</v>
      </c>
      <c r="AF69" s="7"/>
      <c r="AG69" s="48"/>
      <c r="AH69" s="4"/>
      <c r="AI69" s="7"/>
      <c r="AJ69" s="48"/>
      <c r="AK69" s="4"/>
      <c r="AL69" s="7"/>
      <c r="AM69" s="48"/>
      <c r="AN69" s="4"/>
      <c r="AO69" s="7"/>
      <c r="AP69" s="48"/>
      <c r="AQ69" s="4"/>
      <c r="AR69" s="7"/>
      <c r="AS69" s="48"/>
      <c r="AT69" s="4"/>
      <c r="AU69" s="7"/>
      <c r="AV69" s="48"/>
      <c r="AW69" s="4"/>
      <c r="AX69" s="7"/>
      <c r="AY69" s="48"/>
      <c r="AZ69" s="4"/>
      <c r="BA69" s="7"/>
      <c r="BB69" s="48"/>
      <c r="BC69" s="4"/>
      <c r="BD69" s="7"/>
      <c r="BE69" s="48"/>
      <c r="BF69" s="4"/>
      <c r="BG69" s="7"/>
      <c r="BH69" s="48"/>
      <c r="BI69" s="4"/>
      <c r="BJ69" s="7"/>
      <c r="BK69" s="49"/>
      <c r="BL69" s="4"/>
      <c r="BM69" s="4"/>
      <c r="BN69" s="4"/>
      <c r="BO69" s="4"/>
      <c r="BP69" s="4"/>
      <c r="BQ69" s="7"/>
    </row>
    <row r="70" ht="96.0" customHeight="1">
      <c r="A70" s="47">
        <v>52.0</v>
      </c>
      <c r="B70" s="49" t="s">
        <v>505</v>
      </c>
      <c r="C70" s="4"/>
      <c r="D70" s="7"/>
      <c r="E70" s="49" t="s">
        <v>506</v>
      </c>
      <c r="F70" s="4"/>
      <c r="G70" s="4"/>
      <c r="H70" s="4"/>
      <c r="I70" s="7"/>
      <c r="J70" s="49" t="s">
        <v>291</v>
      </c>
      <c r="K70" s="4"/>
      <c r="L70" s="4"/>
      <c r="M70" s="4"/>
      <c r="N70" s="4"/>
      <c r="O70" s="4"/>
      <c r="P70" s="7"/>
      <c r="Q70" s="49" t="s">
        <v>507</v>
      </c>
      <c r="R70" s="4"/>
      <c r="S70" s="4"/>
      <c r="T70" s="4"/>
      <c r="U70" s="4"/>
      <c r="V70" s="4"/>
      <c r="W70" s="7"/>
      <c r="X70" s="49" t="s">
        <v>508</v>
      </c>
      <c r="Y70" s="4"/>
      <c r="Z70" s="4"/>
      <c r="AA70" s="4"/>
      <c r="AB70" s="4"/>
      <c r="AC70" s="4"/>
      <c r="AD70" s="7"/>
      <c r="AE70" s="48" t="s">
        <v>263</v>
      </c>
      <c r="AF70" s="7"/>
      <c r="AG70" s="48"/>
      <c r="AH70" s="4"/>
      <c r="AI70" s="7"/>
      <c r="AJ70" s="48"/>
      <c r="AK70" s="4"/>
      <c r="AL70" s="7"/>
      <c r="AM70" s="48"/>
      <c r="AN70" s="4"/>
      <c r="AO70" s="7"/>
      <c r="AP70" s="48"/>
      <c r="AQ70" s="4"/>
      <c r="AR70" s="7"/>
      <c r="AS70" s="48"/>
      <c r="AT70" s="4"/>
      <c r="AU70" s="7"/>
      <c r="AV70" s="48"/>
      <c r="AW70" s="4"/>
      <c r="AX70" s="7"/>
      <c r="AY70" s="48"/>
      <c r="AZ70" s="4"/>
      <c r="BA70" s="7"/>
      <c r="BB70" s="48"/>
      <c r="BC70" s="4"/>
      <c r="BD70" s="7"/>
      <c r="BE70" s="48"/>
      <c r="BF70" s="4"/>
      <c r="BG70" s="7"/>
      <c r="BH70" s="48"/>
      <c r="BI70" s="4"/>
      <c r="BJ70" s="7"/>
      <c r="BK70" s="49"/>
      <c r="BL70" s="4"/>
      <c r="BM70" s="4"/>
      <c r="BN70" s="4"/>
      <c r="BO70" s="4"/>
      <c r="BP70" s="4"/>
      <c r="BQ70" s="7"/>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7">
    <mergeCell ref="BE58:BG58"/>
    <mergeCell ref="BH58:BJ58"/>
    <mergeCell ref="AJ58:AL58"/>
    <mergeCell ref="AM58:AO58"/>
    <mergeCell ref="AP58:AR58"/>
    <mergeCell ref="AS58:AU58"/>
    <mergeCell ref="AV58:AX58"/>
    <mergeCell ref="AY58:BA58"/>
    <mergeCell ref="BB58:BD58"/>
    <mergeCell ref="BE55:BG55"/>
    <mergeCell ref="BH55:BJ55"/>
    <mergeCell ref="BK55:BQ55"/>
    <mergeCell ref="AJ55:AL55"/>
    <mergeCell ref="AM55:AO55"/>
    <mergeCell ref="AP55:AR55"/>
    <mergeCell ref="AS55:AU55"/>
    <mergeCell ref="AV55:AX55"/>
    <mergeCell ref="AY55:BA55"/>
    <mergeCell ref="BB55:BD55"/>
    <mergeCell ref="E55:I55"/>
    <mergeCell ref="J55:P55"/>
    <mergeCell ref="Q55:W55"/>
    <mergeCell ref="X55:AD55"/>
    <mergeCell ref="AE55:AF55"/>
    <mergeCell ref="AG55:AI55"/>
    <mergeCell ref="A56:BQ56"/>
    <mergeCell ref="BB57:BD57"/>
    <mergeCell ref="BE57:BG57"/>
    <mergeCell ref="BH57:BJ57"/>
    <mergeCell ref="BK57:BQ57"/>
    <mergeCell ref="BK58:BQ58"/>
    <mergeCell ref="AG57:AI57"/>
    <mergeCell ref="AJ57:AL57"/>
    <mergeCell ref="AM57:AO57"/>
    <mergeCell ref="AP57:AR57"/>
    <mergeCell ref="AS57:AU57"/>
    <mergeCell ref="AV57:AX57"/>
    <mergeCell ref="AY57:BA57"/>
    <mergeCell ref="B55:D55"/>
    <mergeCell ref="B57:D57"/>
    <mergeCell ref="E57:I57"/>
    <mergeCell ref="J57:P57"/>
    <mergeCell ref="Q57:W57"/>
    <mergeCell ref="X57:AD57"/>
    <mergeCell ref="AE57:AF57"/>
    <mergeCell ref="B58:D58"/>
    <mergeCell ref="E58:I58"/>
    <mergeCell ref="J58:P58"/>
    <mergeCell ref="Q58:W58"/>
    <mergeCell ref="X58:AD58"/>
    <mergeCell ref="AE58:AF58"/>
    <mergeCell ref="AG58:AI58"/>
    <mergeCell ref="BE65:BG65"/>
    <mergeCell ref="BH65:BJ65"/>
    <mergeCell ref="AJ65:AL65"/>
    <mergeCell ref="AM65:AO65"/>
    <mergeCell ref="AP65:AR65"/>
    <mergeCell ref="AS65:AU65"/>
    <mergeCell ref="AV65:AX65"/>
    <mergeCell ref="AY65:BA65"/>
    <mergeCell ref="BB65:BD65"/>
    <mergeCell ref="BE62:BG62"/>
    <mergeCell ref="BH62:BJ62"/>
    <mergeCell ref="BK62:BQ62"/>
    <mergeCell ref="AJ62:AL62"/>
    <mergeCell ref="AM62:AO62"/>
    <mergeCell ref="AP62:AR62"/>
    <mergeCell ref="AS62:AU62"/>
    <mergeCell ref="AV62:AX62"/>
    <mergeCell ref="AY62:BA62"/>
    <mergeCell ref="BB62:BD62"/>
    <mergeCell ref="E62:I62"/>
    <mergeCell ref="J62:P62"/>
    <mergeCell ref="Q62:W62"/>
    <mergeCell ref="X62:AD62"/>
    <mergeCell ref="AE62:AF62"/>
    <mergeCell ref="AG62:AI62"/>
    <mergeCell ref="A63:BQ63"/>
    <mergeCell ref="BB64:BD64"/>
    <mergeCell ref="BE64:BG64"/>
    <mergeCell ref="BH64:BJ64"/>
    <mergeCell ref="BK64:BQ64"/>
    <mergeCell ref="BK65:BQ65"/>
    <mergeCell ref="AG64:AI64"/>
    <mergeCell ref="AJ64:AL64"/>
    <mergeCell ref="AM64:AO64"/>
    <mergeCell ref="AP64:AR64"/>
    <mergeCell ref="AS64:AU64"/>
    <mergeCell ref="AV64:AX64"/>
    <mergeCell ref="AY64:BA64"/>
    <mergeCell ref="B62:D62"/>
    <mergeCell ref="B64:D64"/>
    <mergeCell ref="E64:I64"/>
    <mergeCell ref="J64:P64"/>
    <mergeCell ref="Q64:W64"/>
    <mergeCell ref="X64:AD64"/>
    <mergeCell ref="AE64:AF64"/>
    <mergeCell ref="B65:D65"/>
    <mergeCell ref="E65:I65"/>
    <mergeCell ref="J65:P65"/>
    <mergeCell ref="Q65:W65"/>
    <mergeCell ref="X65:AD65"/>
    <mergeCell ref="AE65:AF65"/>
    <mergeCell ref="AG65:AI65"/>
    <mergeCell ref="BE68:BG68"/>
    <mergeCell ref="BH68:BJ68"/>
    <mergeCell ref="AJ68:AL68"/>
    <mergeCell ref="AM68:AO68"/>
    <mergeCell ref="AP68:AR68"/>
    <mergeCell ref="AS68:AU68"/>
    <mergeCell ref="AV68:AX68"/>
    <mergeCell ref="AY68:BA68"/>
    <mergeCell ref="BB68:BD68"/>
    <mergeCell ref="BE66:BG66"/>
    <mergeCell ref="BH66:BJ66"/>
    <mergeCell ref="BK66:BQ66"/>
    <mergeCell ref="AJ66:AL66"/>
    <mergeCell ref="AM66:AO66"/>
    <mergeCell ref="AP66:AR66"/>
    <mergeCell ref="AS66:AU66"/>
    <mergeCell ref="AV66:AX66"/>
    <mergeCell ref="AY66:BA66"/>
    <mergeCell ref="BB66:BD66"/>
    <mergeCell ref="B66:D66"/>
    <mergeCell ref="E66:I66"/>
    <mergeCell ref="J66:P66"/>
    <mergeCell ref="Q66:W66"/>
    <mergeCell ref="X66:AD66"/>
    <mergeCell ref="AE66:AF66"/>
    <mergeCell ref="AG66:AI66"/>
    <mergeCell ref="BE67:BG67"/>
    <mergeCell ref="BH67:BJ67"/>
    <mergeCell ref="BK67:BQ67"/>
    <mergeCell ref="BK68:BQ68"/>
    <mergeCell ref="AJ67:AL67"/>
    <mergeCell ref="AM67:AO67"/>
    <mergeCell ref="AP67:AR67"/>
    <mergeCell ref="AS67:AU67"/>
    <mergeCell ref="AV67:AX67"/>
    <mergeCell ref="AY67:BA67"/>
    <mergeCell ref="BB67:BD67"/>
    <mergeCell ref="B67:D67"/>
    <mergeCell ref="E67:I67"/>
    <mergeCell ref="J67:P67"/>
    <mergeCell ref="Q67:W67"/>
    <mergeCell ref="X67:AD67"/>
    <mergeCell ref="AE67:AF67"/>
    <mergeCell ref="AG67:AI67"/>
    <mergeCell ref="B68:D68"/>
    <mergeCell ref="E68:I68"/>
    <mergeCell ref="J68:P68"/>
    <mergeCell ref="Q68:W68"/>
    <mergeCell ref="X68:AD68"/>
    <mergeCell ref="AE68:AF68"/>
    <mergeCell ref="AG68:AI68"/>
    <mergeCell ref="BE44:BG44"/>
    <mergeCell ref="BH44:BJ44"/>
    <mergeCell ref="AJ44:AL44"/>
    <mergeCell ref="AM44:AO44"/>
    <mergeCell ref="AP44:AR44"/>
    <mergeCell ref="AS44:AU44"/>
    <mergeCell ref="AV44:AX44"/>
    <mergeCell ref="AY44:BA44"/>
    <mergeCell ref="BB44:BD44"/>
    <mergeCell ref="BE42:BG42"/>
    <mergeCell ref="BH42:BJ42"/>
    <mergeCell ref="BK42:BQ42"/>
    <mergeCell ref="AJ42:AL42"/>
    <mergeCell ref="AM42:AO42"/>
    <mergeCell ref="AP42:AR42"/>
    <mergeCell ref="AS42:AU42"/>
    <mergeCell ref="AV42:AX42"/>
    <mergeCell ref="AY42:BA42"/>
    <mergeCell ref="BB42:BD42"/>
    <mergeCell ref="B42:D42"/>
    <mergeCell ref="E42:I42"/>
    <mergeCell ref="J42:P42"/>
    <mergeCell ref="Q42:W42"/>
    <mergeCell ref="X42:AD42"/>
    <mergeCell ref="AE42:AF42"/>
    <mergeCell ref="AG42:AI42"/>
    <mergeCell ref="BE43:BG43"/>
    <mergeCell ref="BH43:BJ43"/>
    <mergeCell ref="BK43:BQ43"/>
    <mergeCell ref="BK44:BQ44"/>
    <mergeCell ref="AJ43:AL43"/>
    <mergeCell ref="AM43:AO43"/>
    <mergeCell ref="AP43:AR43"/>
    <mergeCell ref="AS43:AU43"/>
    <mergeCell ref="AV43:AX43"/>
    <mergeCell ref="AY43:BA43"/>
    <mergeCell ref="BB43:BD43"/>
    <mergeCell ref="B43:D43"/>
    <mergeCell ref="E43:I43"/>
    <mergeCell ref="J43:P43"/>
    <mergeCell ref="Q43:W43"/>
    <mergeCell ref="X43:AD43"/>
    <mergeCell ref="AE43:AF43"/>
    <mergeCell ref="AG43:AI43"/>
    <mergeCell ref="B44:D44"/>
    <mergeCell ref="E44:I44"/>
    <mergeCell ref="J44:P44"/>
    <mergeCell ref="Q44:W44"/>
    <mergeCell ref="X44:AD44"/>
    <mergeCell ref="AE44:AF44"/>
    <mergeCell ref="AG44:AI44"/>
    <mergeCell ref="BE48:BG48"/>
    <mergeCell ref="BH48:BJ48"/>
    <mergeCell ref="AJ48:AL48"/>
    <mergeCell ref="AM48:AO48"/>
    <mergeCell ref="AP48:AR48"/>
    <mergeCell ref="AS48:AU48"/>
    <mergeCell ref="AV48:AX48"/>
    <mergeCell ref="AY48:BA48"/>
    <mergeCell ref="BB48:BD48"/>
    <mergeCell ref="BE45:BG45"/>
    <mergeCell ref="BH45:BJ45"/>
    <mergeCell ref="BK45:BQ45"/>
    <mergeCell ref="AJ45:AL45"/>
    <mergeCell ref="AM45:AO45"/>
    <mergeCell ref="AP45:AR45"/>
    <mergeCell ref="AS45:AU45"/>
    <mergeCell ref="AV45:AX45"/>
    <mergeCell ref="AY45:BA45"/>
    <mergeCell ref="BB45:BD45"/>
    <mergeCell ref="E45:I45"/>
    <mergeCell ref="J45:P45"/>
    <mergeCell ref="Q45:W45"/>
    <mergeCell ref="X45:AD45"/>
    <mergeCell ref="AE45:AF45"/>
    <mergeCell ref="AG45:AI45"/>
    <mergeCell ref="A46:BQ46"/>
    <mergeCell ref="BB47:BD47"/>
    <mergeCell ref="BE47:BG47"/>
    <mergeCell ref="BH47:BJ47"/>
    <mergeCell ref="BK47:BQ47"/>
    <mergeCell ref="BK48:BQ48"/>
    <mergeCell ref="AG47:AI47"/>
    <mergeCell ref="AJ47:AL47"/>
    <mergeCell ref="AM47:AO47"/>
    <mergeCell ref="AP47:AR47"/>
    <mergeCell ref="AS47:AU47"/>
    <mergeCell ref="AV47:AX47"/>
    <mergeCell ref="AY47:BA47"/>
    <mergeCell ref="B45:D45"/>
    <mergeCell ref="B47:D47"/>
    <mergeCell ref="E47:I47"/>
    <mergeCell ref="J47:P47"/>
    <mergeCell ref="Q47:W47"/>
    <mergeCell ref="X47:AD47"/>
    <mergeCell ref="AE47:AF47"/>
    <mergeCell ref="B48:D48"/>
    <mergeCell ref="E48:I48"/>
    <mergeCell ref="J48:P48"/>
    <mergeCell ref="Q48:W48"/>
    <mergeCell ref="X48:AD48"/>
    <mergeCell ref="AE48:AF48"/>
    <mergeCell ref="AG48:AI48"/>
    <mergeCell ref="BE51:BG51"/>
    <mergeCell ref="BH51:BJ51"/>
    <mergeCell ref="AJ51:AL51"/>
    <mergeCell ref="AM51:AO51"/>
    <mergeCell ref="AP51:AR51"/>
    <mergeCell ref="AS51:AU51"/>
    <mergeCell ref="AV51:AX51"/>
    <mergeCell ref="AY51:BA51"/>
    <mergeCell ref="BB51:BD51"/>
    <mergeCell ref="BE49:BG49"/>
    <mergeCell ref="BH49:BJ49"/>
    <mergeCell ref="BK49:BQ49"/>
    <mergeCell ref="AJ49:AL49"/>
    <mergeCell ref="AM49:AO49"/>
    <mergeCell ref="AP49:AR49"/>
    <mergeCell ref="AS49:AU49"/>
    <mergeCell ref="AV49:AX49"/>
    <mergeCell ref="AY49:BA49"/>
    <mergeCell ref="BB49:BD49"/>
    <mergeCell ref="B49:D49"/>
    <mergeCell ref="E49:I49"/>
    <mergeCell ref="J49:P49"/>
    <mergeCell ref="Q49:W49"/>
    <mergeCell ref="X49:AD49"/>
    <mergeCell ref="AE49:AF49"/>
    <mergeCell ref="AG49:AI49"/>
    <mergeCell ref="BE50:BG50"/>
    <mergeCell ref="BH50:BJ50"/>
    <mergeCell ref="BK50:BQ50"/>
    <mergeCell ref="BK51:BQ51"/>
    <mergeCell ref="AJ50:AL50"/>
    <mergeCell ref="AM50:AO50"/>
    <mergeCell ref="AP50:AR50"/>
    <mergeCell ref="AS50:AU50"/>
    <mergeCell ref="AV50:AX50"/>
    <mergeCell ref="AY50:BA50"/>
    <mergeCell ref="BB50:BD50"/>
    <mergeCell ref="B50:D50"/>
    <mergeCell ref="E50:I50"/>
    <mergeCell ref="J50:P50"/>
    <mergeCell ref="Q50:W50"/>
    <mergeCell ref="X50:AD50"/>
    <mergeCell ref="AE50:AF50"/>
    <mergeCell ref="AG50:AI50"/>
    <mergeCell ref="B51:D51"/>
    <mergeCell ref="E51:I51"/>
    <mergeCell ref="J51:P51"/>
    <mergeCell ref="Q51:W51"/>
    <mergeCell ref="X51:AD51"/>
    <mergeCell ref="AE51:AF51"/>
    <mergeCell ref="AG51:AI51"/>
    <mergeCell ref="BE69:BG69"/>
    <mergeCell ref="BH69:BJ69"/>
    <mergeCell ref="BK69:BQ69"/>
    <mergeCell ref="AJ69:AL69"/>
    <mergeCell ref="AM69:AO69"/>
    <mergeCell ref="AP69:AR69"/>
    <mergeCell ref="AS69:AU69"/>
    <mergeCell ref="AV69:AX69"/>
    <mergeCell ref="AY69:BA69"/>
    <mergeCell ref="BB69:BD69"/>
    <mergeCell ref="B69:D69"/>
    <mergeCell ref="E69:I69"/>
    <mergeCell ref="J69:P69"/>
    <mergeCell ref="Q69:W69"/>
    <mergeCell ref="X69:AD69"/>
    <mergeCell ref="AE69:AF69"/>
    <mergeCell ref="AG69:AI69"/>
    <mergeCell ref="B70:D70"/>
    <mergeCell ref="E70:I70"/>
    <mergeCell ref="J70:P70"/>
    <mergeCell ref="Q70:W70"/>
    <mergeCell ref="X70:AD70"/>
    <mergeCell ref="AE70:AF70"/>
    <mergeCell ref="AG70:AI70"/>
    <mergeCell ref="BE70:BG70"/>
    <mergeCell ref="BH70:BJ70"/>
    <mergeCell ref="BK70:BQ70"/>
    <mergeCell ref="AJ70:AL70"/>
    <mergeCell ref="AM70:AO70"/>
    <mergeCell ref="AP70:AR70"/>
    <mergeCell ref="AS70:AU70"/>
    <mergeCell ref="AV70:AX70"/>
    <mergeCell ref="AY70:BA70"/>
    <mergeCell ref="BB70:BD70"/>
    <mergeCell ref="BE22:BG22"/>
    <mergeCell ref="BH22:BJ22"/>
    <mergeCell ref="AJ22:AL22"/>
    <mergeCell ref="AM22:AO22"/>
    <mergeCell ref="AP22:AR22"/>
    <mergeCell ref="AS22:AU22"/>
    <mergeCell ref="AV22:AX22"/>
    <mergeCell ref="AY22:BA22"/>
    <mergeCell ref="BB22:BD22"/>
    <mergeCell ref="BE19:BG19"/>
    <mergeCell ref="BH19:BJ19"/>
    <mergeCell ref="BK19:BQ19"/>
    <mergeCell ref="AJ19:AL19"/>
    <mergeCell ref="AM19:AO19"/>
    <mergeCell ref="AP19:AR19"/>
    <mergeCell ref="AS19:AU19"/>
    <mergeCell ref="AV19:AX19"/>
    <mergeCell ref="AY19:BA19"/>
    <mergeCell ref="BB19:BD19"/>
    <mergeCell ref="E19:I19"/>
    <mergeCell ref="J19:P19"/>
    <mergeCell ref="Q19:W19"/>
    <mergeCell ref="X19:AD19"/>
    <mergeCell ref="AE19:AF19"/>
    <mergeCell ref="AG19:AI19"/>
    <mergeCell ref="A20:BQ20"/>
    <mergeCell ref="BB21:BD21"/>
    <mergeCell ref="BE21:BG21"/>
    <mergeCell ref="BH21:BJ21"/>
    <mergeCell ref="BK21:BQ21"/>
    <mergeCell ref="BK22:BQ22"/>
    <mergeCell ref="AG21:AI21"/>
    <mergeCell ref="AJ21:AL21"/>
    <mergeCell ref="AM21:AO21"/>
    <mergeCell ref="AP21:AR21"/>
    <mergeCell ref="AS21:AU21"/>
    <mergeCell ref="AV21:AX21"/>
    <mergeCell ref="AY21:BA21"/>
    <mergeCell ref="B19:D19"/>
    <mergeCell ref="B21:D21"/>
    <mergeCell ref="E21:I21"/>
    <mergeCell ref="J21:P21"/>
    <mergeCell ref="Q21:W21"/>
    <mergeCell ref="X21:AD21"/>
    <mergeCell ref="AE21:AF21"/>
    <mergeCell ref="B22:D22"/>
    <mergeCell ref="E22:I22"/>
    <mergeCell ref="J22:P22"/>
    <mergeCell ref="Q22:W22"/>
    <mergeCell ref="X22:AD22"/>
    <mergeCell ref="AE22:AF22"/>
    <mergeCell ref="AG22:AI22"/>
    <mergeCell ref="BE25:BG25"/>
    <mergeCell ref="BH25:BJ25"/>
    <mergeCell ref="AJ25:AL25"/>
    <mergeCell ref="AM25:AO25"/>
    <mergeCell ref="AP25:AR25"/>
    <mergeCell ref="AS25:AU25"/>
    <mergeCell ref="AV25:AX25"/>
    <mergeCell ref="AY25:BA25"/>
    <mergeCell ref="BB25:BD25"/>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P24:AR24"/>
    <mergeCell ref="AS24:AU24"/>
    <mergeCell ref="AV24:AX24"/>
    <mergeCell ref="AY24:BA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BB29:BD29"/>
    <mergeCell ref="BE29:BG29"/>
    <mergeCell ref="AG29:AI29"/>
    <mergeCell ref="AJ29:AL29"/>
    <mergeCell ref="AM29:AO29"/>
    <mergeCell ref="AP29:AR29"/>
    <mergeCell ref="AS29:AU29"/>
    <mergeCell ref="AV29:AX29"/>
    <mergeCell ref="AY29:BA29"/>
    <mergeCell ref="BE26:BG26"/>
    <mergeCell ref="BH26:BJ26"/>
    <mergeCell ref="BK26:BQ26"/>
    <mergeCell ref="AJ26:AL26"/>
    <mergeCell ref="AM26:AO26"/>
    <mergeCell ref="AP26:AR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H29:BJ29"/>
    <mergeCell ref="BK29:BQ29"/>
    <mergeCell ref="AJ27:AL27"/>
    <mergeCell ref="AM27:AO27"/>
    <mergeCell ref="AP27:AR27"/>
    <mergeCell ref="AS27:AU27"/>
    <mergeCell ref="AV27:AX27"/>
    <mergeCell ref="AY27:BA27"/>
    <mergeCell ref="BB27:BD27"/>
    <mergeCell ref="E27:I27"/>
    <mergeCell ref="J27:P27"/>
    <mergeCell ref="Q27:W27"/>
    <mergeCell ref="X27:AD27"/>
    <mergeCell ref="AE27:AF27"/>
    <mergeCell ref="AG27:AI27"/>
    <mergeCell ref="A28:BQ28"/>
    <mergeCell ref="B27:D27"/>
    <mergeCell ref="B29:D29"/>
    <mergeCell ref="E29:I29"/>
    <mergeCell ref="J29:P29"/>
    <mergeCell ref="Q29:W29"/>
    <mergeCell ref="X29:AD29"/>
    <mergeCell ref="AE29:AF29"/>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32:BG32"/>
    <mergeCell ref="BH32:BJ32"/>
    <mergeCell ref="AJ32:AL32"/>
    <mergeCell ref="AM32:AO32"/>
    <mergeCell ref="AP32:AR32"/>
    <mergeCell ref="AS32:AU32"/>
    <mergeCell ref="AV32:AX32"/>
    <mergeCell ref="AY32:BA32"/>
    <mergeCell ref="BB32:BD32"/>
    <mergeCell ref="E32:I32"/>
    <mergeCell ref="J32:P32"/>
    <mergeCell ref="Q32:W32"/>
    <mergeCell ref="X32:AD32"/>
    <mergeCell ref="AE32:AF32"/>
    <mergeCell ref="AG32:AI32"/>
    <mergeCell ref="A33:BQ33"/>
    <mergeCell ref="B32:D32"/>
    <mergeCell ref="B34:D34"/>
    <mergeCell ref="E34:I34"/>
    <mergeCell ref="J34:P34"/>
    <mergeCell ref="Q34:W34"/>
    <mergeCell ref="X34:AD34"/>
    <mergeCell ref="AE34:AF34"/>
    <mergeCell ref="BH34:BJ34"/>
    <mergeCell ref="BK34:BQ34"/>
    <mergeCell ref="AM34:AO34"/>
    <mergeCell ref="AP34:AR34"/>
    <mergeCell ref="AS34:AU34"/>
    <mergeCell ref="AV34:AX34"/>
    <mergeCell ref="AY34:BA34"/>
    <mergeCell ref="BB34:BD34"/>
    <mergeCell ref="BE34:BG34"/>
    <mergeCell ref="BE30:BG30"/>
    <mergeCell ref="BH30:BJ30"/>
    <mergeCell ref="BK30:BQ30"/>
    <mergeCell ref="AJ30:AL30"/>
    <mergeCell ref="AM30:AO30"/>
    <mergeCell ref="AP30:AR30"/>
    <mergeCell ref="AS30:AU30"/>
    <mergeCell ref="AV30:AX30"/>
    <mergeCell ref="AY30:BA30"/>
    <mergeCell ref="BB30:BD30"/>
    <mergeCell ref="B30:D30"/>
    <mergeCell ref="E30:I30"/>
    <mergeCell ref="J30:P30"/>
    <mergeCell ref="Q30:W30"/>
    <mergeCell ref="X30:AD30"/>
    <mergeCell ref="AE30:AF30"/>
    <mergeCell ref="AG30:AI30"/>
    <mergeCell ref="BE31:BG31"/>
    <mergeCell ref="BH31:BJ31"/>
    <mergeCell ref="BK31:BQ31"/>
    <mergeCell ref="BK32:BQ32"/>
    <mergeCell ref="AJ31:AL31"/>
    <mergeCell ref="AM31:AO31"/>
    <mergeCell ref="AP31:AR31"/>
    <mergeCell ref="AS31:AU31"/>
    <mergeCell ref="AV31:AX31"/>
    <mergeCell ref="AY31:BA31"/>
    <mergeCell ref="BB31:BD31"/>
    <mergeCell ref="B31:D31"/>
    <mergeCell ref="E31:I31"/>
    <mergeCell ref="J31:P31"/>
    <mergeCell ref="Q31:W31"/>
    <mergeCell ref="X31:AD31"/>
    <mergeCell ref="AE31:AF31"/>
    <mergeCell ref="AG31:AI31"/>
    <mergeCell ref="BE35:BG35"/>
    <mergeCell ref="BH35:BJ35"/>
    <mergeCell ref="BK35:BQ35"/>
    <mergeCell ref="AJ35:AL35"/>
    <mergeCell ref="AM35:AO35"/>
    <mergeCell ref="AP35:AR35"/>
    <mergeCell ref="AS35:AU35"/>
    <mergeCell ref="AV35:AX35"/>
    <mergeCell ref="AY35:BA35"/>
    <mergeCell ref="BB35:BD35"/>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E38:BG38"/>
    <mergeCell ref="BH38:BJ38"/>
    <mergeCell ref="AJ38:AL38"/>
    <mergeCell ref="AM38:AO38"/>
    <mergeCell ref="AP38:AR38"/>
    <mergeCell ref="AS38:AU38"/>
    <mergeCell ref="AV38:AX38"/>
    <mergeCell ref="AY38:BA38"/>
    <mergeCell ref="BB38:BD38"/>
    <mergeCell ref="AE35:AF35"/>
    <mergeCell ref="AG35:AI35"/>
    <mergeCell ref="AG34:AI34"/>
    <mergeCell ref="AJ34:AL34"/>
    <mergeCell ref="B35:D35"/>
    <mergeCell ref="E35:I35"/>
    <mergeCell ref="J35:P35"/>
    <mergeCell ref="Q35:W35"/>
    <mergeCell ref="X35:AD35"/>
    <mergeCell ref="BE36:BG36"/>
    <mergeCell ref="BH36:BJ36"/>
    <mergeCell ref="BK36:BQ36"/>
    <mergeCell ref="AJ36:AL36"/>
    <mergeCell ref="AM36:AO36"/>
    <mergeCell ref="AP36:AR36"/>
    <mergeCell ref="AS36:AU36"/>
    <mergeCell ref="AV36:AX36"/>
    <mergeCell ref="AY36:BA36"/>
    <mergeCell ref="BB36:BD36"/>
    <mergeCell ref="B36:D36"/>
    <mergeCell ref="E36:I36"/>
    <mergeCell ref="J36:P36"/>
    <mergeCell ref="Q36:W36"/>
    <mergeCell ref="X36:AD36"/>
    <mergeCell ref="AE36:AF36"/>
    <mergeCell ref="AG36:AI36"/>
    <mergeCell ref="BE37:BG37"/>
    <mergeCell ref="BH37:BJ37"/>
    <mergeCell ref="BK37:BQ37"/>
    <mergeCell ref="BK38:BQ38"/>
    <mergeCell ref="B38:D38"/>
    <mergeCell ref="E38:I38"/>
    <mergeCell ref="J38:P38"/>
    <mergeCell ref="Q38:W38"/>
    <mergeCell ref="X38:AD38"/>
    <mergeCell ref="AE38:AF38"/>
    <mergeCell ref="AG38:AI38"/>
    <mergeCell ref="BE41:BG41"/>
    <mergeCell ref="BH41:BJ41"/>
    <mergeCell ref="AJ41:AL41"/>
    <mergeCell ref="AM41:AO41"/>
    <mergeCell ref="AP41:AR41"/>
    <mergeCell ref="AS41:AU41"/>
    <mergeCell ref="AV41:AX41"/>
    <mergeCell ref="AY41:BA41"/>
    <mergeCell ref="BB41:BD41"/>
    <mergeCell ref="BE39:BG39"/>
    <mergeCell ref="BH39:BJ39"/>
    <mergeCell ref="BK39:BQ39"/>
    <mergeCell ref="AJ39:AL39"/>
    <mergeCell ref="AM39:AO39"/>
    <mergeCell ref="AP39:AR39"/>
    <mergeCell ref="AS39:AU39"/>
    <mergeCell ref="AV39:AX39"/>
    <mergeCell ref="AY39:BA39"/>
    <mergeCell ref="BB39:BD39"/>
    <mergeCell ref="B39:D39"/>
    <mergeCell ref="E39:I39"/>
    <mergeCell ref="J39:P39"/>
    <mergeCell ref="Q39:W39"/>
    <mergeCell ref="X39:AD39"/>
    <mergeCell ref="AE39:AF39"/>
    <mergeCell ref="AG39:AI39"/>
    <mergeCell ref="BE40:BG40"/>
    <mergeCell ref="BH40:BJ40"/>
    <mergeCell ref="BK40:BQ40"/>
    <mergeCell ref="BK41:BQ41"/>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41:D41"/>
    <mergeCell ref="E41:I41"/>
    <mergeCell ref="J41:P41"/>
    <mergeCell ref="Q41:W41"/>
    <mergeCell ref="X41:AD41"/>
    <mergeCell ref="AE41:AF41"/>
    <mergeCell ref="AG41:AI41"/>
    <mergeCell ref="BE54:BG54"/>
    <mergeCell ref="BH54:BJ54"/>
    <mergeCell ref="AJ54:AL54"/>
    <mergeCell ref="AM54:AO54"/>
    <mergeCell ref="AP54:AR54"/>
    <mergeCell ref="AS54:AU54"/>
    <mergeCell ref="AV54:AX54"/>
    <mergeCell ref="AY54:BA54"/>
    <mergeCell ref="BB54:BD54"/>
    <mergeCell ref="BE52:BG52"/>
    <mergeCell ref="BH52:BJ52"/>
    <mergeCell ref="BK52:BQ52"/>
    <mergeCell ref="AJ52:AL52"/>
    <mergeCell ref="AM52:AO52"/>
    <mergeCell ref="AP52:AR52"/>
    <mergeCell ref="AS52:AU52"/>
    <mergeCell ref="AV52:AX52"/>
    <mergeCell ref="AY52:BA52"/>
    <mergeCell ref="BB52:BD52"/>
    <mergeCell ref="B52:D52"/>
    <mergeCell ref="E52:I52"/>
    <mergeCell ref="J52:P52"/>
    <mergeCell ref="Q52:W52"/>
    <mergeCell ref="X52:AD52"/>
    <mergeCell ref="AE52:AF52"/>
    <mergeCell ref="AG52:AI52"/>
    <mergeCell ref="BE53:BG53"/>
    <mergeCell ref="BH53:BJ53"/>
    <mergeCell ref="BK53:BQ53"/>
    <mergeCell ref="BK54:BQ54"/>
    <mergeCell ref="AJ53:AL53"/>
    <mergeCell ref="AM53:AO53"/>
    <mergeCell ref="AP53:AR53"/>
    <mergeCell ref="AS53:AU53"/>
    <mergeCell ref="AV53:AX53"/>
    <mergeCell ref="AY53:BA53"/>
    <mergeCell ref="BB53:BD53"/>
    <mergeCell ref="B53:D53"/>
    <mergeCell ref="E53:I53"/>
    <mergeCell ref="J53:P53"/>
    <mergeCell ref="Q53:W53"/>
    <mergeCell ref="X53:AD53"/>
    <mergeCell ref="AE53:AF53"/>
    <mergeCell ref="AG53:AI53"/>
    <mergeCell ref="B54:D54"/>
    <mergeCell ref="E54:I54"/>
    <mergeCell ref="J54:P54"/>
    <mergeCell ref="Q54:W54"/>
    <mergeCell ref="X54:AD54"/>
    <mergeCell ref="AE54:AF54"/>
    <mergeCell ref="AG54:AI54"/>
    <mergeCell ref="BE61:BG61"/>
    <mergeCell ref="BH61:BJ61"/>
    <mergeCell ref="AJ61:AL61"/>
    <mergeCell ref="AM61:AO61"/>
    <mergeCell ref="AP61:AR61"/>
    <mergeCell ref="AS61:AU61"/>
    <mergeCell ref="AV61:AX61"/>
    <mergeCell ref="AY61:BA61"/>
    <mergeCell ref="BB61:BD61"/>
    <mergeCell ref="BE59:BG59"/>
    <mergeCell ref="BH59:BJ59"/>
    <mergeCell ref="BK59:BQ59"/>
    <mergeCell ref="AJ59:AL59"/>
    <mergeCell ref="AM59:AO59"/>
    <mergeCell ref="AP59:AR59"/>
    <mergeCell ref="AS59:AU59"/>
    <mergeCell ref="AV59:AX59"/>
    <mergeCell ref="AY59:BA59"/>
    <mergeCell ref="BB59:BD59"/>
    <mergeCell ref="B59:D59"/>
    <mergeCell ref="E59:I59"/>
    <mergeCell ref="J59:P59"/>
    <mergeCell ref="Q59:W59"/>
    <mergeCell ref="X59:AD59"/>
    <mergeCell ref="AE59:AF59"/>
    <mergeCell ref="AG59:AI59"/>
    <mergeCell ref="BE60:BG60"/>
    <mergeCell ref="BH60:BJ60"/>
    <mergeCell ref="BK60:BQ60"/>
    <mergeCell ref="BK61:BQ61"/>
    <mergeCell ref="AJ60:AL60"/>
    <mergeCell ref="AM60:AO60"/>
    <mergeCell ref="AP60:AR60"/>
    <mergeCell ref="AS60:AU60"/>
    <mergeCell ref="AV60:AX60"/>
    <mergeCell ref="AY60:BA60"/>
    <mergeCell ref="BB60:BD60"/>
    <mergeCell ref="B60:D60"/>
    <mergeCell ref="E60:I60"/>
    <mergeCell ref="J60:P60"/>
    <mergeCell ref="Q60:W60"/>
    <mergeCell ref="X60:AD60"/>
    <mergeCell ref="AE60:AF60"/>
    <mergeCell ref="AG60:AI60"/>
    <mergeCell ref="B61:D61"/>
    <mergeCell ref="E61:I61"/>
    <mergeCell ref="J61:P61"/>
    <mergeCell ref="Q61:W61"/>
    <mergeCell ref="X61:AD61"/>
    <mergeCell ref="AE61:AF61"/>
    <mergeCell ref="AG61:AI61"/>
  </mergeCells>
  <dataValidations>
    <dataValidation type="list" allowBlank="1" sqref="F1">
      <formula1>"単体テスト,結合テスト,システムテスト"</formula1>
    </dataValidation>
    <dataValidation type="list" allowBlank="1" sqref="AG13:AG19 AV13:AV19 AG21:AG27 AV21:AV27 AG29:AG32 AV29:AV32 AG34:AG45 AV34:AV45 AG47:AG55 AV47:AV55 AG57:AG62 AV57:AV62 AG64:AG70 AV64:AV70">
      <formula1>"合格,不合格,未テスト,N/A"</formula1>
    </dataValidation>
    <dataValidation type="list" allowBlank="1" sqref="AE13:AE19 AE21:AE27 AE29:AE32 AE34:AE45 AE47:AE55 AE57:AE62 AE64:AE70">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2026-05-27T05:57:43Z</dcterms:created>
  <dc:creator>openpyxl</dc:creator>
</cp:coreProperties>
</file>