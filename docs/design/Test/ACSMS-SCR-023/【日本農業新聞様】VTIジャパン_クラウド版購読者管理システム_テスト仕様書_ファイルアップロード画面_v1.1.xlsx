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表紙" sheetId="1" r:id="rId4"/>
    <sheet state="visible" name="変更履歴" sheetId="2" r:id="rId5"/>
    <sheet state="visible" name="概要" sheetId="3" r:id="rId6"/>
    <sheet state="visible" name="テスト報告書" sheetId="4" r:id="rId7"/>
    <sheet state="visible" name="テスト観点" sheetId="5" r:id="rId8"/>
    <sheet state="visible" name="機能" sheetId="6" r:id="rId9"/>
  </sheets>
  <definedNames/>
  <calcPr/>
  <extLst>
    <ext uri="GoogleSheetsCustomDataVersion2">
      <go:sheetsCustomData xmlns:go="http://customooxmlschemas.google.com/" r:id="rId10" roundtripDataChecksum="MffCddt6XuvedbTPoDBvRtOsJwnSnKON7b6eOOwEgms="/>
    </ext>
  </extLst>
</workbook>
</file>

<file path=xl/sharedStrings.xml><?xml version="1.0" encoding="utf-8"?>
<sst xmlns="http://schemas.openxmlformats.org/spreadsheetml/2006/main" count="1155" uniqueCount="613">
  <si>
    <t>項番</t>
  </si>
  <si>
    <t>発行日</t>
  </si>
  <si>
    <t>システム・アプリケーション名</t>
  </si>
  <si>
    <t>&lt;単体/結合/システム&gt; テスト報告書</t>
  </si>
  <si>
    <t>バージョン</t>
  </si>
  <si>
    <t>ドキュメント</t>
  </si>
  <si>
    <t>担当者</t>
  </si>
  <si>
    <t>シート名</t>
  </si>
  <si>
    <t>作成日</t>
  </si>
  <si>
    <t>変更内容</t>
  </si>
  <si>
    <t>作成者</t>
  </si>
  <si>
    <t>確認者</t>
  </si>
  <si>
    <t>更新日</t>
  </si>
  <si>
    <t>更新者</t>
  </si>
  <si>
    <t>承認者</t>
  </si>
  <si>
    <t>プロジェクト名</t>
  </si>
  <si>
    <t>クラウド版購読者管理システム</t>
  </si>
  <si>
    <t>2026-05-27</t>
  </si>
  <si>
    <t>プロジェクトマネージャ</t>
  </si>
  <si>
    <t>テスト仕様書</t>
  </si>
  <si>
    <t>Nguyen Huy Dat</t>
  </si>
  <si>
    <t>ファイルアップロード画面</t>
  </si>
  <si>
    <t>1.0</t>
  </si>
  <si>
    <t>概要</t>
  </si>
  <si>
    <t>Kieu Thi Diem</t>
  </si>
  <si>
    <t>2026/08/12</t>
  </si>
  <si>
    <t>版1.0</t>
  </si>
  <si>
    <t>新規作成</t>
  </si>
  <si>
    <t>#</t>
  </si>
  <si>
    <t>機能名</t>
  </si>
  <si>
    <t>テストケース分類</t>
  </si>
  <si>
    <t>2026-07-02</t>
  </si>
  <si>
    <t>1.1</t>
  </si>
  <si>
    <t>Tran Duc Tuyen</t>
  </si>
  <si>
    <t>合計</t>
  </si>
  <si>
    <t>フォーマットコード</t>
  </si>
  <si>
    <t>ダウンロード・プレビューのテストケースを削除（ファイルダウンロード画面 ACSMS-SCR-022 へ移行）。</t>
  </si>
  <si>
    <t>1.システム概要</t>
  </si>
  <si>
    <t>テスト結果</t>
  </si>
  <si>
    <t>本システムは、JA向けのクラウド型読者管理システムであり、</t>
  </si>
  <si>
    <t>16-BM/PM/VTI</t>
  </si>
  <si>
    <t>購読者情報の管理、購読履歴の管理、口座振替データの管理などの機能を提供する。</t>
  </si>
  <si>
    <t>主な機能として、購読者情報の登録・更新・検索、</t>
  </si>
  <si>
    <t>購読内容の変更履歴管理、口座振替データの作成および管理、</t>
  </si>
  <si>
    <t>ファイルのアップロード・ダウンロード機能、システムのお知らせ管理などを提供する。</t>
  </si>
  <si>
    <t>フォーマットバージョン</t>
  </si>
  <si>
    <t>また、ユーザーのログイン管理、ログイン履歴の記録、</t>
  </si>
  <si>
    <t>2026-08-06</t>
  </si>
  <si>
    <t>ユーザー操作ログの記録などのセキュリティ・監査機能をサポートする。</t>
  </si>
  <si>
    <t>正常</t>
  </si>
  <si>
    <t>1.2</t>
  </si>
  <si>
    <t>2.資料目的</t>
  </si>
  <si>
    <t>異常</t>
  </si>
  <si>
    <t>境界</t>
  </si>
  <si>
    <t>Tài liệu mô tả chi tiết đặc tả kiểm thử được tạo mới trên hệ thống cho「màn hình Upload file（ACSMS-SCR-023）」.</t>
  </si>
  <si>
    <t>顧客要件により 2026/07/27 にプレビュー・ダウンロードが再追加されたため、該当テストケースを復元。</t>
  </si>
  <si>
    <t>合格</t>
  </si>
  <si>
    <t>不合格</t>
  </si>
  <si>
    <t>未テスト</t>
  </si>
  <si>
    <t>N/A</t>
  </si>
  <si>
    <t>進捗（%）</t>
  </si>
  <si>
    <t>Tài liệu này tham chiếu ISTQB và IEEE 829, đáp ứng các tiêu chuẩn chất lượng sau.</t>
  </si>
  <si>
    <t>テスト1回目</t>
  </si>
  <si>
    <t>2026-08-12</t>
  </si>
  <si>
    <t>1.3</t>
  </si>
  <si>
    <t>機能</t>
  </si>
  <si>
    <t>- Mỗi test case được tạo dựa trên một kịch bản duy nhất (single responsibility).</t>
  </si>
  <si>
    <t>全面改訂。&lt;br&gt;1. アクセス権限制御を是正：2026-06 仕様変更（account_concept.md ※5／seeder.md §3 permission_id=36／migration 1711900900020）により、ファイルアップロードは日農（管理者・担当者）のみ利用可となったため、中央会・JA本店・JA管理支店を「アクセス許可」から「アクセス禁止」へ変更。&lt;br&gt;2. DataScope・URL直接アクセスのテストケースを追加（TC-006〜010）。&lt;br&gt;3. 入力バリデーションをファイルサイズ・拡張子・削除予定日の境界値で拡充（TC-024〜037）。&lt;br&gt;4. ダウンロード行（`t_file_download`）のペア登録・ペア論理削除を追加（TC-043／052）。&lt;br&gt;5. 共通エラーハンドリングを エラー一覧 全11行の網羅構成へ再編（TC-062〜070）。&lt;br&gt;6. 文書末尾に分類保留としていたカテゴリを廃止し、全テストケースを該当カテゴリへ再配置。合計 54 → 70 件。</t>
  </si>
  <si>
    <t>- Các bước được mô tả ở mức có thể tái hiện, dữ liệu test được nêu rõ.</t>
  </si>
  <si>
    <t>- Kết quả mong đợi phải đo lường được (nội dung message, kết quả query DB, HTTP status code, v.v.).</t>
  </si>
  <si>
    <t>- Mỗi test case được map tới 観点ID trong danh sách quan điểm test dùng chung (testcase-viewpoints).</t>
  </si>
  <si>
    <t>3.関連資料</t>
  </si>
  <si>
    <t>No</t>
  </si>
  <si>
    <t>資料コード</t>
  </si>
  <si>
    <t>資料名</t>
  </si>
  <si>
    <t>ACSMS-SCR-023</t>
  </si>
  <si>
    <t>Tài liệu thiết kế màn hình Upload file</t>
  </si>
  <si>
    <t>ACSMS-SCR-023-api</t>
  </si>
  <si>
    <t>Tài liệu thiết kế API Upload file</t>
  </si>
  <si>
    <t>ACSMS-SCR-022</t>
  </si>
  <si>
    <t>Tài liệu thiết kế màn hình Download file</t>
  </si>
  <si>
    <t>testcase-viewpoints</t>
  </si>
  <si>
    <t>Danh sách quan điểm test dùng chung toàn hệ thống</t>
  </si>
  <si>
    <t>account_concept</t>
  </si>
  <si>
    <t>Tài liệu khái niệm account・quyền (ma trận chức năng theo role)</t>
  </si>
  <si>
    <t>テスト2回目</t>
  </si>
  <si>
    <t>テスト観点</t>
  </si>
  <si>
    <t>1. テスト観点一覧</t>
  </si>
  <si>
    <t>観点ID</t>
  </si>
  <si>
    <t>大分類</t>
  </si>
  <si>
    <t>観点名</t>
  </si>
  <si>
    <t>リスク</t>
  </si>
  <si>
    <t>対象画面範囲</t>
  </si>
  <si>
    <t>TC見積</t>
  </si>
  <si>
    <t>VP-A-01</t>
  </si>
  <si>
    <t>A. セキュリティ・権限</t>
  </si>
  <si>
    <t>ロール別権限制御（RBAC gate）</t>
  </si>
  <si>
    <t>高</t>
  </si>
  <si>
    <t>約25保護画面</t>
  </si>
  <si>
    <t>VP-A-02</t>
  </si>
  <si>
    <t>テストレベル</t>
  </si>
  <si>
    <t>データ範囲（DataScope）</t>
  </si>
  <si>
    <t>結合テスト</t>
  </si>
  <si>
    <t>約20一覧／詳細画面</t>
  </si>
  <si>
    <t>機能／モジュール</t>
  </si>
  <si>
    <t>ACSMS-SCR-023_ファイルアップロード画面</t>
  </si>
  <si>
    <t>VP-A-03</t>
  </si>
  <si>
    <t>項目レベル制限（Field-level restriction）</t>
  </si>
  <si>
    <t>5マスタ</t>
  </si>
  <si>
    <t>VP-A-04</t>
  </si>
  <si>
    <t>URL直接アクセス攻撃</t>
  </si>
  <si>
    <t>確認日</t>
  </si>
  <si>
    <t>VP-A-05</t>
  </si>
  <si>
    <t>テスト環境</t>
  </si>
  <si>
    <t>セッション失効／401 ハンドリング</t>
  </si>
  <si>
    <t>Windows 10/11, Chrome, Edge</t>
  </si>
  <si>
    <t>全システム</t>
  </si>
  <si>
    <t>分類</t>
  </si>
  <si>
    <t>VP-A-06</t>
  </si>
  <si>
    <t>XSS／HTML 描画安全性</t>
  </si>
  <si>
    <t>回目</t>
  </si>
  <si>
    <t>約20フォーム</t>
  </si>
  <si>
    <t>境界値</t>
  </si>
  <si>
    <t>VP-A-07</t>
  </si>
  <si>
    <t>CSRF／Cookie セキュリティフラグ</t>
  </si>
  <si>
    <t>1回目</t>
  </si>
  <si>
    <t>VP-A-08</t>
  </si>
  <si>
    <t>レート制限・Throttling</t>
  </si>
  <si>
    <t>中</t>
  </si>
  <si>
    <t>全公開API＋認証エンドポイント</t>
  </si>
  <si>
    <t>VP-A-09</t>
  </si>
  <si>
    <t>アカウントロック・解除運用</t>
  </si>
  <si>
    <t>SCR-001／002＋管理機能</t>
  </si>
  <si>
    <t>VP-A-10</t>
  </si>
  <si>
    <t>SQL インジェクション</t>
  </si>
  <si>
    <t>2回目</t>
  </si>
  <si>
    <t>約20フォーム＋検索</t>
  </si>
  <si>
    <t>VP-B-01</t>
  </si>
  <si>
    <t>B. データバリデーション</t>
  </si>
  <si>
    <t>必須項目チェック</t>
  </si>
  <si>
    <t>約25フォーム</t>
  </si>
  <si>
    <t>VP-B-02</t>
  </si>
  <si>
    <t>最小／最大長境界</t>
  </si>
  <si>
    <t>VP-B-03</t>
  </si>
  <si>
    <t>要件ID</t>
  </si>
  <si>
    <t>形式正規表現（郵便／電話／コード）</t>
  </si>
  <si>
    <t>説明</t>
  </si>
  <si>
    <t>前提条件</t>
  </si>
  <si>
    <t>ステップ／手順</t>
  </si>
  <si>
    <t>期待結果／アウトプット</t>
  </si>
  <si>
    <t>VP-B-04</t>
  </si>
  <si>
    <t>種類</t>
  </si>
  <si>
    <t>テスト1回目の結果</t>
  </si>
  <si>
    <t>半角／全角ハンドリング</t>
  </si>
  <si>
    <t>テスト2回目の結果</t>
  </si>
  <si>
    <t>備考</t>
  </si>
  <si>
    <t>VP-B-05</t>
  </si>
  <si>
    <t>日付ロジック</t>
  </si>
  <si>
    <t>結果</t>
  </si>
  <si>
    <t>実績／
アウトプット</t>
  </si>
  <si>
    <t>約10日付付きフォーム</t>
  </si>
  <si>
    <t>確認日付
（MM/DD）</t>
  </si>
  <si>
    <t>VP-B-06</t>
  </si>
  <si>
    <t>バグID</t>
  </si>
  <si>
    <t>通貨／パーセント形式</t>
  </si>
  <si>
    <t>2-3フォーム（単価）</t>
  </si>
  <si>
    <t>VP-B-07</t>
  </si>
  <si>
    <t>Kiểm soát quyền truy cập (Access Control)</t>
  </si>
  <si>
    <t>マスタコード（m_code）参照</t>
  </si>
  <si>
    <t>約15ドロップダウン付きフォーム</t>
  </si>
  <si>
    <t>VP-B-08</t>
  </si>
  <si>
    <t>ACSMS-TC-023-001</t>
  </si>
  <si>
    <t>キー重複（duplicate code）</t>
  </si>
  <si>
    <t>NICHINO_ADMIN được phép truy cập màn hình Upload file</t>
  </si>
  <si>
    <t>・Đã đăng nhập bằng NICHINO_ADMIN (đã xác thực 2 lớp)
・Giữ quyền「file.upload」「file.download」</t>
  </si>
  <si>
    <t>約10マスタ</t>
  </si>
  <si>
    <r>
      <rPr>
        <rFont val="游ゴシック"/>
        <b/>
        <color rgb="FF000000"/>
        <sz val="10.0"/>
      </rPr>
      <t xml:space="preserve">ステップ1：
</t>
    </r>
    <r>
      <rPr>
        <rFont val="游ゴシック"/>
        <color rgb="FF000000"/>
        <sz val="10.0"/>
      </rPr>
      <t xml:space="preserve">Mở dashboard, xác nhận mục「ファイルアップロード」được hiển thị trên sidebar
</t>
    </r>
    <r>
      <rPr>
        <rFont val="游ゴシック"/>
        <b/>
        <color rgb="FF000000"/>
        <sz val="10.0"/>
      </rPr>
      <t xml:space="preserve">ステップ2：
</t>
    </r>
    <r>
      <rPr>
        <rFont val="游ゴシック"/>
        <color rgb="FF000000"/>
        <sz val="10.0"/>
      </rPr>
      <t xml:space="preserve">Click「ファイルアップロード」và chuyển sang URL「/file-upload」
</t>
    </r>
    <r>
      <rPr>
        <rFont val="游ゴシック"/>
        <b/>
        <color rgb="FF000000"/>
        <sz val="10.0"/>
      </rPr>
      <t xml:space="preserve">ステップ3：
</t>
    </r>
    <r>
      <rPr>
        <rFont val="游ゴシック"/>
        <color rgb="FF000000"/>
        <sz val="10.0"/>
      </rPr>
      <t>Xác nhận response của GET「/api/v1/file-upload」ở tab「Network」của DevTools</t>
    </r>
  </si>
  <si>
    <t>VP-B-09</t>
  </si>
  <si>
    <t>IME・全角入力・貼付ハンドリング</t>
  </si>
  <si>
    <r>
      <rPr>
        <rFont val="メイリオ"/>
        <b/>
        <color rgb="FF000000"/>
        <sz val="10.0"/>
      </rPr>
      <t xml:space="preserve">ステップ1：
</t>
    </r>
    <r>
      <rPr>
        <rFont val="メイリオ"/>
        <color rgb="FF000000"/>
        <sz val="10.0"/>
      </rPr>
      <t xml:space="preserve">Mục「ファイルアップロード」được hiển thị trên sidebar (do giữ quyền `file.upload`)
</t>
    </r>
    <r>
      <rPr>
        <rFont val="メイリオ"/>
        <b/>
        <color rgb="FF000000"/>
        <sz val="10.0"/>
      </rPr>
      <t xml:space="preserve">ステップ2：
</t>
    </r>
    <r>
      <rPr>
        <rFont val="メイリオ"/>
        <color rgb="FF000000"/>
        <sz val="10.0"/>
      </rPr>
      <t xml:space="preserve">Màn hình được hiển thị, và toast không được hiển thị
</t>
    </r>
    <r>
      <rPr>
        <rFont val="メイリオ"/>
        <b/>
        <color rgb="FF000000"/>
        <sz val="10.0"/>
      </rPr>
      <t xml:space="preserve">ステップ3：
</t>
    </r>
    <r>
      <rPr>
        <rFont val="メイリオ"/>
        <color rgb="FF000000"/>
        <sz val="10.0"/>
      </rPr>
      <t xml:space="preserve">Trả về HTTP 200, và danh sách file của toàn bộ JA được hiển thị
</t>
    </r>
    <r>
      <rPr>
        <rFont val="メイリオ"/>
        <b/>
        <color rgb="FF000000"/>
        <sz val="10.0"/>
      </rPr>
      <t xml:space="preserve">補足：
</t>
    </r>
    <r>
      <rPr>
        <rFont val="メイリオ"/>
        <color rgb="FF000000"/>
        <sz val="10.0"/>
      </rPr>
      <t>・Toàn bộ JA (JA code + JA name) được hiển thị trong select box「対象JA」</t>
    </r>
  </si>
  <si>
    <t>N</t>
  </si>
  <si>
    <t>全テキスト入力フォーム＋検索画面</t>
  </si>
  <si>
    <t>VP-C-01</t>
  </si>
  <si>
    <t>diem.kieuthi</t>
  </si>
  <si>
    <t>C. 業務ロジック</t>
  </si>
  <si>
    <t>CRUD 正常系 + DB 永続化</t>
  </si>
  <si>
    <t>mai.tranthi1</t>
  </si>
  <si>
    <t>VP-C-02</t>
  </si>
  <si>
    <t>同時編集競合</t>
  </si>
  <si>
    <t>ACSMS-TC-023-002</t>
  </si>
  <si>
    <t>NICHINO_STAFF được phép truy cập màn hình Upload file</t>
  </si>
  <si>
    <t>約8編集画面</t>
  </si>
  <si>
    <t>・Đã đăng nhập bằng NICHINO_STAFF (đã xác thực 2 lớp)
・Giữ quyền「file.upload」「file.download」</t>
  </si>
  <si>
    <r>
      <rPr>
        <rFont val="游ゴシック"/>
        <b/>
        <color rgb="FF000000"/>
        <sz val="10.0"/>
      </rPr>
      <t xml:space="preserve">ステップ1：
</t>
    </r>
    <r>
      <rPr>
        <rFont val="游ゴシック"/>
        <color rgb="FF000000"/>
        <sz val="10.0"/>
      </rPr>
      <t xml:space="preserve">Xác nhận mục「ファイルアップロード」được hiển thị trên sidebar
</t>
    </r>
    <r>
      <rPr>
        <rFont val="游ゴシック"/>
        <b/>
        <color rgb="FF000000"/>
        <sz val="10.0"/>
      </rPr>
      <t xml:space="preserve">ステップ2：
</t>
    </r>
    <r>
      <rPr>
        <rFont val="游ゴシック"/>
        <color rgb="FF000000"/>
        <sz val="10.0"/>
      </rPr>
      <t xml:space="preserve">Chuyển sang URL「/file-upload」
</t>
    </r>
    <r>
      <rPr>
        <rFont val="游ゴシック"/>
        <b/>
        <color rgb="FF000000"/>
        <sz val="10.0"/>
      </rPr>
      <t xml:space="preserve">ステップ3：
</t>
    </r>
    <r>
      <rPr>
        <rFont val="游ゴシック"/>
        <color rgb="FF000000"/>
        <sz val="10.0"/>
      </rPr>
      <t>Xác nhận response của GET「/api/v1/file-upload」ở tab「Network」của DevTools</t>
    </r>
  </si>
  <si>
    <t>VP-C-03</t>
  </si>
  <si>
    <r>
      <rPr>
        <rFont val="游ゴシック"/>
        <b/>
        <color rgb="FF000000"/>
        <sz val="10.0"/>
      </rPr>
      <t xml:space="preserve">ステップ1：
</t>
    </r>
    <r>
      <rPr>
        <rFont val="游ゴシック"/>
        <color rgb="FF000000"/>
        <sz val="10.0"/>
      </rPr>
      <t xml:space="preserve">Mục「ファイルアップロード」được hiển thị trên sidebar
</t>
    </r>
    <r>
      <rPr>
        <rFont val="游ゴシック"/>
        <b/>
        <color rgb="FF000000"/>
        <sz val="10.0"/>
      </rPr>
      <t xml:space="preserve">ステップ2：
</t>
    </r>
    <r>
      <rPr>
        <rFont val="游ゴシック"/>
        <color rgb="FF000000"/>
        <sz val="10.0"/>
      </rPr>
      <t xml:space="preserve">Màn hình được hiển thị, và toast không được hiển thị
</t>
    </r>
    <r>
      <rPr>
        <rFont val="游ゴシック"/>
        <b/>
        <color rgb="FF000000"/>
        <sz val="10.0"/>
      </rPr>
      <t xml:space="preserve">ステップ3：
</t>
    </r>
    <r>
      <rPr>
        <rFont val="游ゴシック"/>
        <color rgb="FF000000"/>
        <sz val="10.0"/>
      </rPr>
      <t>Trả về HTTP 200, và danh sách file của toàn bộ JA được hiển thị</t>
    </r>
  </si>
  <si>
    <t>論理削除 + FK 関連</t>
  </si>
  <si>
    <t>約6関連付きマスタ</t>
  </si>
  <si>
    <t>VP-C-04</t>
  </si>
  <si>
    <t>税込／税抜計算</t>
  </si>
  <si>
    <t>ACSMS-TC-023-003</t>
  </si>
  <si>
    <t>CHUOKAI bị cấm truy cập màn hình Upload file</t>
  </si>
  <si>
    <t>・Đã đăng nhập bằng CHUOKAI (đã xác thực 2 lớp)
・Không có quyền「file.upload」(thay đổi spec 2026-06)
・Có giữ quyền「file.download」</t>
  </si>
  <si>
    <t>単価マスタ</t>
  </si>
  <si>
    <r>
      <rPr>
        <rFont val="游ゴシック"/>
        <b/>
        <color rgb="FF000000"/>
        <sz val="10.0"/>
      </rPr>
      <t xml:space="preserve">ステップ1：
</t>
    </r>
    <r>
      <rPr>
        <rFont val="游ゴシック"/>
        <color rgb="FF000000"/>
        <sz val="10.0"/>
      </rPr>
      <t xml:space="preserve">Mở dashboard, xác nhận mục「ファイルアップロード」không hiển thị trên sidebar
</t>
    </r>
    <r>
      <rPr>
        <rFont val="游ゴシック"/>
        <b/>
        <color rgb="FF000000"/>
        <sz val="10.0"/>
      </rPr>
      <t xml:space="preserve">ステップ2：
</t>
    </r>
    <r>
      <rPr>
        <rFont val="游ゴシック"/>
        <color rgb="FF000000"/>
        <sz val="10.0"/>
      </rPr>
      <t xml:space="preserve">Nhập「/file-upload」vào thanh địa chỉ trình duyệt và truy cập trực tiếp
</t>
    </r>
    <r>
      <rPr>
        <rFont val="游ゴシック"/>
        <b/>
        <color rgb="FF000000"/>
        <sz val="10.0"/>
      </rPr>
      <t xml:space="preserve">ステップ3：
</t>
    </r>
    <r>
      <rPr>
        <rFont val="游ゴシック"/>
        <color rgb="FF000000"/>
        <sz val="10.0"/>
      </rPr>
      <t xml:space="preserve">Gửi POST「/api/v1/file-upload」với request body hợp lệ ở tab「Network」của DevTools
</t>
    </r>
    <r>
      <rPr>
        <rFont val="游ゴシック"/>
        <b/>
        <color rgb="FF000000"/>
        <sz val="10.0"/>
      </rPr>
      <t xml:space="preserve">ステップ4：
</t>
    </r>
    <r>
      <rPr>
        <rFont val="游ゴシック"/>
        <color rgb="FF000000"/>
        <sz val="10.0"/>
      </rPr>
      <t>Thực thi query sau trên DB, xác nhận log và dữ liệu
```sql
SELECT log_type, account_id, operation, result_status
FROM t_log
WHERE result_status = 2
AND target_table = 't_file_upload'
ORDER BY log_datetime DESC
LIMIT 1;
```</t>
    </r>
  </si>
  <si>
    <r>
      <rPr>
        <rFont val="メイリオ"/>
        <b/>
        <color rgb="FF000000"/>
        <sz val="10.0"/>
      </rPr>
      <t xml:space="preserve">ステップ1：
</t>
    </r>
    <r>
      <rPr>
        <rFont val="メイリオ"/>
        <color rgb="FF000000"/>
        <sz val="10.0"/>
      </rPr>
      <t xml:space="preserve">Mục「ファイルアップロード」không hiển thị trên sidebar
</t>
    </r>
    <r>
      <rPr>
        <rFont val="メイリオ"/>
        <b/>
        <color rgb="FF000000"/>
        <sz val="10.0"/>
      </rPr>
      <t xml:space="preserve">ステップ2：
</t>
    </r>
    <r>
      <rPr>
        <rFont val="メイリオ"/>
        <color rgb="FF000000"/>
        <sz val="10.0"/>
      </rPr>
      <t xml:space="preserve">Toast「アクセス権がありません。」được hiển thị, và chuyển sang「/dashboard」
</t>
    </r>
    <r>
      <rPr>
        <rFont val="メイリオ"/>
        <b/>
        <color rgb="FF000000"/>
        <sz val="10.0"/>
      </rPr>
      <t xml:space="preserve">ステップ3：
</t>
    </r>
    <r>
      <rPr>
        <rFont val="メイリオ"/>
        <color rgb="FF000000"/>
        <sz val="10.0"/>
      </rPr>
      <t xml:space="preserve">Trả về HTTP 403 (`error_code: FORBIDDEN`, message `この画面へのアクセス権限がありません。`)
</t>
    </r>
    <r>
      <rPr>
        <rFont val="メイリオ"/>
        <b/>
        <color rgb="FF000000"/>
        <sz val="10.0"/>
      </rPr>
      <t xml:space="preserve">ステップ4：
</t>
    </r>
    <r>
      <rPr>
        <rFont val="メイリオ"/>
        <color rgb="FF000000"/>
        <sz val="10.0"/>
      </rPr>
      <t xml:space="preserve">・Ít nhất 1 error log được ghi vào t_log
</t>
    </r>
    <r>
      <rPr>
        <rFont val="メイリオ"/>
        <color rgb="FF000000"/>
        <sz val="10.0"/>
      </rPr>
      <t xml:space="preserve">・`account_id` khớp với test account
</t>
    </r>
    <r>
      <rPr>
        <rFont val="メイリオ"/>
        <color rgb="FF000000"/>
        <sz val="10.0"/>
      </rPr>
      <t xml:space="preserve">・Không có record mới được đăng ký vào t_file_upload
</t>
    </r>
    <r>
      <rPr>
        <rFont val="メイリオ"/>
        <b/>
        <color rgb="FF000000"/>
        <sz val="10.0"/>
      </rPr>
      <t xml:space="preserve">補足：
</t>
    </r>
    <r>
      <rPr>
        <rFont val="メイリオ"/>
        <color rgb="FF000000"/>
        <sz val="10.0"/>
      </rPr>
      <t>・Truy cập được kiểm soát ở cả 3 lớp: FE menu, FE router guard, BE API guard</t>
    </r>
  </si>
  <si>
    <t>VP-C-05</t>
  </si>
  <si>
    <t>A</t>
  </si>
  <si>
    <t>購読者種別ルール（読み取り専用）</t>
  </si>
  <si>
    <t>購読者マスタ</t>
  </si>
  <si>
    <t>VP-C-06</t>
  </si>
  <si>
    <t>Theo thay đổi spec 2026-06 (account_concept.md ※5／seeder.md §3 permission_id=36／migration 1711900900020), upload file chỉ Nichino (quản trị viên・phụ trách) mới sử dụng được. Mô tả「該当権限保持ロール」ở API設計書 ACSMS-SCR-023-api.md §4.2 vẫn là spec cũ nên cần sửa ở bản phát hành tiếp theo.</t>
  </si>
  <si>
    <t>ACSMS-TC-023-004</t>
  </si>
  <si>
    <t>JA_HONTEN bị cấm truy cập màn hình Upload file</t>
  </si>
  <si>
    <t>Excel取込 部分成功</t>
  </si>
  <si>
    <t>・Đã đăng nhập bằng JA_HONTEN (đã xác thực 2 lớp)
・Không có quyền「file.upload」(thay đổi spec 2026-06)
・Có giữ quyền「file.download」</t>
  </si>
  <si>
    <r>
      <rPr>
        <rFont val="游ゴシック"/>
        <b/>
        <color rgb="FF000000"/>
        <sz val="10.0"/>
      </rPr>
      <t xml:space="preserve">ステップ1：
</t>
    </r>
    <r>
      <rPr>
        <rFont val="游ゴシック"/>
        <color rgb="FF000000"/>
        <sz val="10.0"/>
      </rPr>
      <t xml:space="preserve">Mở dashboard, xác nhận mục「ファイルアップロード」không hiển thị trên sidebar
</t>
    </r>
    <r>
      <rPr>
        <rFont val="游ゴシック"/>
        <b/>
        <color rgb="FF000000"/>
        <sz val="10.0"/>
      </rPr>
      <t xml:space="preserve">ステップ2：
</t>
    </r>
    <r>
      <rPr>
        <rFont val="游ゴシック"/>
        <color rgb="FF000000"/>
        <sz val="10.0"/>
      </rPr>
      <t xml:space="preserve">Nhập「/file-upload」vào thanh địa chỉ trình duyệt và truy cập trực tiếp
</t>
    </r>
    <r>
      <rPr>
        <rFont val="游ゴシック"/>
        <b/>
        <color rgb="FF000000"/>
        <sz val="10.0"/>
      </rPr>
      <t xml:space="preserve">ステップ3：
</t>
    </r>
    <r>
      <rPr>
        <rFont val="游ゴシック"/>
        <color rgb="FF000000"/>
        <sz val="10.0"/>
      </rPr>
      <t xml:space="preserve">Gửi POST「/api/v1/file-upload」với request body hợp lệ ở tab「Network」của DevTools
</t>
    </r>
    <r>
      <rPr>
        <rFont val="游ゴシック"/>
        <b/>
        <color rgb="FF000000"/>
        <sz val="10.0"/>
      </rPr>
      <t xml:space="preserve">ステップ4：
</t>
    </r>
    <r>
      <rPr>
        <rFont val="游ゴシック"/>
        <color rgb="FF000000"/>
        <sz val="10.0"/>
      </rPr>
      <t>Thực thi query sau trên DB, xác nhận log và dữ liệu
```sql
SELECT log_type, account_id, operation, result_status
FROM t_log
WHERE result_status = 2
AND target_table = 't_file_upload'
ORDER BY log_datetime DESC
LIMIT 1;
```</t>
    </r>
  </si>
  <si>
    <t>2取込画面</t>
  </si>
  <si>
    <r>
      <rPr>
        <rFont val="メイリオ"/>
        <b/>
        <color rgb="FF000000"/>
        <sz val="10.0"/>
      </rPr>
      <t xml:space="preserve">ステップ1：
</t>
    </r>
    <r>
      <rPr>
        <rFont val="メイリオ"/>
        <color rgb="FF000000"/>
        <sz val="10.0"/>
      </rPr>
      <t xml:space="preserve">Mục「ファイルアップロード」không hiển thị trên sidebar
</t>
    </r>
    <r>
      <rPr>
        <rFont val="メイリオ"/>
        <b/>
        <color rgb="FF000000"/>
        <sz val="10.0"/>
      </rPr>
      <t xml:space="preserve">ステップ2：
</t>
    </r>
    <r>
      <rPr>
        <rFont val="メイリオ"/>
        <color rgb="FF000000"/>
        <sz val="10.0"/>
      </rPr>
      <t xml:space="preserve">Toast「アクセス権がありません。」được hiển thị, và chuyển sang「/dashboard」
</t>
    </r>
    <r>
      <rPr>
        <rFont val="メイリオ"/>
        <b/>
        <color rgb="FF000000"/>
        <sz val="10.0"/>
      </rPr>
      <t xml:space="preserve">ステップ3：
</t>
    </r>
    <r>
      <rPr>
        <rFont val="メイリオ"/>
        <color rgb="FF000000"/>
        <sz val="10.0"/>
      </rPr>
      <t xml:space="preserve">Trả về HTTP 403 (`error_code: FORBIDDEN`, message `この画面へのアクセス権限がありません。`)
</t>
    </r>
    <r>
      <rPr>
        <rFont val="メイリオ"/>
        <b/>
        <color rgb="FF000000"/>
        <sz val="10.0"/>
      </rPr>
      <t xml:space="preserve">ステップ4：
</t>
    </r>
    <r>
      <rPr>
        <rFont val="メイリオ"/>
        <color rgb="FF000000"/>
        <sz val="10.0"/>
      </rPr>
      <t xml:space="preserve">・Ít nhất 1 error log được ghi vào t_log
</t>
    </r>
    <r>
      <rPr>
        <rFont val="メイリオ"/>
        <color rgb="FF000000"/>
        <sz val="10.0"/>
      </rPr>
      <t xml:space="preserve">・`account_id` khớp với test account
</t>
    </r>
    <r>
      <rPr>
        <rFont val="メイリオ"/>
        <color rgb="FF000000"/>
        <sz val="10.0"/>
      </rPr>
      <t xml:space="preserve">・Không có record mới được đăng ký vào t_file_upload
</t>
    </r>
    <r>
      <rPr>
        <rFont val="メイリオ"/>
        <b/>
        <color rgb="FF000000"/>
        <sz val="10.0"/>
      </rPr>
      <t xml:space="preserve">補足：
</t>
    </r>
    <r>
      <rPr>
        <rFont val="メイリオ"/>
        <color rgb="FF000000"/>
        <sz val="10.0"/>
      </rPr>
      <t>・Truy cập được kiểm soát ở cả 3 lớp: FE menu, FE router guard, BE API guard</t>
    </r>
  </si>
  <si>
    <t>VP-C-07</t>
  </si>
  <si>
    <t>販売店一括置換</t>
  </si>
  <si>
    <t>一括置換</t>
  </si>
  <si>
    <t>VP-C-08</t>
  </si>
  <si>
    <t>ACSMS-TC-023-005</t>
  </si>
  <si>
    <t>JA_KANRI_SHITEN bị cấm truy cập màn hình Upload file</t>
  </si>
  <si>
    <t>レポート集計の正確性</t>
  </si>
  <si>
    <t>・Đã đăng nhập bằng JA_KANRI_SHITEN (đã xác thực 2 lớp)
・Không có quyền「file.upload」(thay đổi spec 2026-06)
・Có giữ quyền「file.download」</t>
  </si>
  <si>
    <t>3レポート</t>
  </si>
  <si>
    <r>
      <rPr>
        <rFont val="メイリオ"/>
        <b/>
        <color rgb="FF000000"/>
        <sz val="10.0"/>
      </rPr>
      <t xml:space="preserve">ステップ1：
</t>
    </r>
    <r>
      <rPr>
        <rFont val="メイリオ"/>
        <color rgb="FF000000"/>
        <sz val="10.0"/>
      </rPr>
      <t xml:space="preserve">Mở dashboard, xác nhận mục「ファイルアップロード」không hiển thị trên sidebar
</t>
    </r>
    <r>
      <rPr>
        <rFont val="メイリオ"/>
        <b/>
        <color rgb="FF000000"/>
        <sz val="10.0"/>
      </rPr>
      <t xml:space="preserve">ステップ2：
</t>
    </r>
    <r>
      <rPr>
        <rFont val="メイリオ"/>
        <color rgb="FF000000"/>
        <sz val="10.0"/>
      </rPr>
      <t xml:space="preserve">Nhập「/file-upload」vào thanh địa chỉ trình duyệt và truy cập trực tiếp
</t>
    </r>
    <r>
      <rPr>
        <rFont val="メイリオ"/>
        <b/>
        <color rgb="FF000000"/>
        <sz val="10.0"/>
      </rPr>
      <t xml:space="preserve">ステップ3：
</t>
    </r>
    <r>
      <rPr>
        <rFont val="メイリオ"/>
        <color rgb="FF000000"/>
        <sz val="10.0"/>
      </rPr>
      <t xml:space="preserve">Gửi POST「/api/v1/file-upload」với request body hợp lệ ở tab「Network」của DevTools
</t>
    </r>
    <r>
      <rPr>
        <rFont val="メイリオ"/>
        <b/>
        <color rgb="FF000000"/>
        <sz val="10.0"/>
      </rPr>
      <t xml:space="preserve">ステップ4：
</t>
    </r>
    <r>
      <rPr>
        <rFont val="メイリオ"/>
        <color rgb="FF000000"/>
        <sz val="10.0"/>
      </rPr>
      <t xml:space="preserve">Thực thi query sau trên DB, xác nhận log và dữ liệu
</t>
    </r>
    <r>
      <rPr>
        <rFont val="メイリオ"/>
        <color rgb="FF000000"/>
        <sz val="10.0"/>
      </rPr>
      <t xml:space="preserve">```sql
</t>
    </r>
    <r>
      <rPr>
        <rFont val="メイリオ"/>
        <color rgb="FF000000"/>
        <sz val="10.0"/>
      </rPr>
      <t xml:space="preserve">SELECT log_type, account_id, operation, result_status
</t>
    </r>
    <r>
      <rPr>
        <rFont val="メイリオ"/>
        <color rgb="FF000000"/>
        <sz val="10.0"/>
      </rPr>
      <t xml:space="preserve">FROM t_log
</t>
    </r>
    <r>
      <rPr>
        <rFont val="メイリオ"/>
        <color rgb="FF000000"/>
        <sz val="10.0"/>
      </rPr>
      <t xml:space="preserve">WHERE result_status = 2
</t>
    </r>
    <r>
      <rPr>
        <rFont val="メイリオ"/>
        <color rgb="FF000000"/>
        <sz val="10.0"/>
      </rPr>
      <t xml:space="preserve">AND target_table = 't_file_upload'
</t>
    </r>
    <r>
      <rPr>
        <rFont val="メイリオ"/>
        <color rgb="FF000000"/>
        <sz val="10.0"/>
      </rPr>
      <t xml:space="preserve">ORDER BY log_datetime DESC
</t>
    </r>
    <r>
      <rPr>
        <rFont val="メイリオ"/>
        <color rgb="FF000000"/>
        <sz val="10.0"/>
      </rPr>
      <t xml:space="preserve">LIMIT 1;
</t>
    </r>
    <r>
      <rPr>
        <rFont val="メイリオ"/>
        <color rgb="FF000000"/>
        <sz val="10.0"/>
      </rPr>
      <t>```</t>
    </r>
  </si>
  <si>
    <t>VP-D-01</t>
  </si>
  <si>
    <t>D. 統合・システム</t>
  </si>
  <si>
    <r>
      <rPr>
        <rFont val="メイリオ"/>
        <b/>
        <color rgb="FF000000"/>
        <sz val="10.0"/>
      </rPr>
      <t xml:space="preserve">ステップ1：
</t>
    </r>
    <r>
      <rPr>
        <rFont val="メイリオ"/>
        <color rgb="FF000000"/>
        <sz val="10.0"/>
      </rPr>
      <t xml:space="preserve">Mục「ファイルアップロード」không hiển thị trên sidebar
</t>
    </r>
    <r>
      <rPr>
        <rFont val="メイリオ"/>
        <b/>
        <color rgb="FF000000"/>
        <sz val="10.0"/>
      </rPr>
      <t xml:space="preserve">ステップ2：
</t>
    </r>
    <r>
      <rPr>
        <rFont val="メイリオ"/>
        <color rgb="FF000000"/>
        <sz val="10.0"/>
      </rPr>
      <t xml:space="preserve">Toast「アクセス権がありません。」được hiển thị, và chuyển sang「/dashboard」
</t>
    </r>
    <r>
      <rPr>
        <rFont val="メイリオ"/>
        <b/>
        <color rgb="FF000000"/>
        <sz val="10.0"/>
      </rPr>
      <t xml:space="preserve">ステップ3：
</t>
    </r>
    <r>
      <rPr>
        <rFont val="メイリオ"/>
        <color rgb="FF000000"/>
        <sz val="10.0"/>
      </rPr>
      <t xml:space="preserve">Trả về HTTP 403 (`error_code: FORBIDDEN`, message `この画面へのアクセス権限がありません。`)
</t>
    </r>
    <r>
      <rPr>
        <rFont val="メイリオ"/>
        <b/>
        <color rgb="FF000000"/>
        <sz val="10.0"/>
      </rPr>
      <t xml:space="preserve">ステップ4：
</t>
    </r>
    <r>
      <rPr>
        <rFont val="メイリオ"/>
        <color rgb="FF000000"/>
        <sz val="10.0"/>
      </rPr>
      <t xml:space="preserve">・Ít nhất 1 error log được ghi vào t_log
</t>
    </r>
    <r>
      <rPr>
        <rFont val="メイリオ"/>
        <color rgb="FF000000"/>
        <sz val="10.0"/>
      </rPr>
      <t xml:space="preserve">・`account_id` khớp với test account
</t>
    </r>
    <r>
      <rPr>
        <rFont val="メイリオ"/>
        <color rgb="FF000000"/>
        <sz val="10.0"/>
      </rPr>
      <t xml:space="preserve">・Không có record mới được đăng ký vào t_file_upload
</t>
    </r>
    <r>
      <rPr>
        <rFont val="メイリオ"/>
        <b/>
        <color rgb="FF000000"/>
        <sz val="10.0"/>
      </rPr>
      <t xml:space="preserve">補足：
</t>
    </r>
    <r>
      <rPr>
        <rFont val="メイリオ"/>
        <color rgb="FF000000"/>
        <sz val="10.0"/>
      </rPr>
      <t>・Truy cập được kiểm soát ở cả 3 lớp: FE menu, FE router guard, BE API guard</t>
    </r>
  </si>
  <si>
    <t>ログイン + MFA フロー</t>
  </si>
  <si>
    <t>SCR-001／002</t>
  </si>
  <si>
    <t>VP-D-02</t>
  </si>
  <si>
    <t>セッションスライディング 24h</t>
  </si>
  <si>
    <t>VP-D-03</t>
  </si>
  <si>
    <t>ACSMS-TC-023-006</t>
  </si>
  <si>
    <t>Tấn công truy cập URL trực tiếp — role không có quyền gọi trực tiếp API upload</t>
  </si>
  <si>
    <t>・Đã đăng nhập bằng JA_HONTEN (ja_id=12345, đã xác thực 2 lớp)
・Không có quyền「file.upload」</t>
  </si>
  <si>
    <t>パスワード再発行フロー</t>
  </si>
  <si>
    <r>
      <rPr>
        <rFont val="メイリオ"/>
        <b/>
        <color rgb="FF000000"/>
        <sz val="10.0"/>
      </rPr>
      <t xml:space="preserve">ステップ1：
</t>
    </r>
    <r>
      <rPr>
        <rFont val="メイリオ"/>
        <color rgb="FF000000"/>
        <sz val="10.0"/>
      </rPr>
      <t xml:space="preserve">Gửi POST「/api/v1/file-upload」dạng multipart/form-data từ DevTools (`ja_ids[]=12345`＝JA của mình, đính kèm 1 file có đuôi được phép)
</t>
    </r>
    <r>
      <rPr>
        <rFont val="メイリオ"/>
        <b/>
        <color rgb="FF000000"/>
        <sz val="10.0"/>
      </rPr>
      <t xml:space="preserve">ステップ2：
</t>
    </r>
    <r>
      <rPr>
        <rFont val="メイリオ"/>
        <color rgb="FF000000"/>
        <sz val="10.0"/>
      </rPr>
      <t xml:space="preserve">Thực thi query sau trên DB, so sánh số lượng trước và sau khi gửi
</t>
    </r>
    <r>
      <rPr>
        <rFont val="メイリオ"/>
        <color rgb="FF000000"/>
        <sz val="10.0"/>
      </rPr>
      <t xml:space="preserve">```sql
</t>
    </r>
    <r>
      <rPr>
        <rFont val="メイリオ"/>
        <color rgb="FF000000"/>
        <sz val="10.0"/>
      </rPr>
      <t xml:space="preserve">SELECT COUNT(*) FROM t_file_upload WHERE ja_id = 12345;
</t>
    </r>
    <r>
      <rPr>
        <rFont val="メイリオ"/>
        <color rgb="FF000000"/>
        <sz val="10.0"/>
      </rPr>
      <t>```</t>
    </r>
  </si>
  <si>
    <t>SCR-007</t>
  </si>
  <si>
    <r>
      <rPr>
        <rFont val="メイリオ"/>
        <b/>
        <color rgb="FF000000"/>
        <sz val="10.0"/>
      </rPr>
      <t xml:space="preserve">ステップ1：
</t>
    </r>
    <r>
      <rPr>
        <rFont val="メイリオ"/>
        <color rgb="FF000000"/>
        <sz val="10.0"/>
      </rPr>
      <t xml:space="preserve">Trả về HTTP 403 (`error_code: FORBIDDEN`, message `この画面へのアクセス権限がありません。`)
</t>
    </r>
    <r>
      <rPr>
        <rFont val="メイリオ"/>
        <b/>
        <color rgb="FF000000"/>
        <sz val="10.0"/>
      </rPr>
      <t xml:space="preserve">ステップ2：
</t>
    </r>
    <r>
      <rPr>
        <rFont val="メイリオ"/>
        <color rgb="FF000000"/>
        <sz val="10.0"/>
      </rPr>
      <t xml:space="preserve">・Không có record mới được đăng ký vào t_file_upload
</t>
    </r>
    <r>
      <rPr>
        <rFont val="メイリオ"/>
        <color rgb="FF000000"/>
        <sz val="10.0"/>
      </rPr>
      <t xml:space="preserve">・File vật lý không được lưu vào storage
</t>
    </r>
    <r>
      <rPr>
        <rFont val="メイリオ"/>
        <b/>
        <color rgb="FF000000"/>
        <sz val="10.0"/>
      </rPr>
      <t xml:space="preserve">補足：
</t>
    </r>
    <r>
      <rPr>
        <rFont val="メイリオ"/>
        <color rgb="FF000000"/>
        <sz val="10.0"/>
      </rPr>
      <t>・Ngay cả khi gọi trực tiếp không qua màn hình, quyền vẫn được kiểm soát ở phía backend</t>
    </r>
  </si>
  <si>
    <t>VP-D-04</t>
  </si>
  <si>
    <t>監査ログの完全性</t>
  </si>
  <si>
    <t>VP-D-05</t>
  </si>
  <si>
    <t>Critical — nếu fail nghĩa là bypass được kiểm soát quyền, xử lý như sự cố bảo mật.</t>
  </si>
  <si>
    <t>ファイルアップロード S3</t>
  </si>
  <si>
    <t>SCR-022</t>
  </si>
  <si>
    <t>ACSMS-TC-023-007</t>
  </si>
  <si>
    <t>Tấn công truy cập URL trực tiếp — role không có quyền gọi trực tiếp API xóa</t>
  </si>
  <si>
    <t>VP-D-06</t>
  </si>
  <si>
    <t>・Đã đăng nhập bằng CHUOKAI (đã xác thực 2 lớp)
・Không có quyền「file.upload」
・Tồn tại file đã upload của JA thuộc quản lý Chuokai của mình (file_upload_id=201)</t>
  </si>
  <si>
    <t>メール通知</t>
  </si>
  <si>
    <r>
      <rPr>
        <rFont val="メイリオ"/>
        <b/>
        <color rgb="FF000000"/>
        <sz val="10.0"/>
      </rPr>
      <t xml:space="preserve">ステップ1：
</t>
    </r>
    <r>
      <rPr>
        <rFont val="メイリオ"/>
        <color rgb="FF000000"/>
        <sz val="10.0"/>
      </rPr>
      <t xml:space="preserve">Gửi DELETE「/api/v1/file-upload/201」từ DevTools
</t>
    </r>
    <r>
      <rPr>
        <rFont val="メイリオ"/>
        <b/>
        <color rgb="FF000000"/>
        <sz val="10.0"/>
      </rPr>
      <t xml:space="preserve">ステップ2：
</t>
    </r>
    <r>
      <rPr>
        <rFont val="メイリオ"/>
        <color rgb="FF000000"/>
        <sz val="10.0"/>
      </rPr>
      <t xml:space="preserve">Thực thi query sau trên DB, xác nhận dòng đối tượng
</t>
    </r>
    <r>
      <rPr>
        <rFont val="メイリオ"/>
        <color rgb="FF000000"/>
        <sz val="10.0"/>
      </rPr>
      <t xml:space="preserve">```sql
</t>
    </r>
    <r>
      <rPr>
        <rFont val="メイリオ"/>
        <color rgb="FF000000"/>
        <sz val="10.0"/>
      </rPr>
      <t xml:space="preserve">SELECT deleted_at FROM t_file_upload WHERE file_upload_id = 201;
</t>
    </r>
    <r>
      <rPr>
        <rFont val="メイリオ"/>
        <color rgb="FF000000"/>
        <sz val="10.0"/>
      </rPr>
      <t>```</t>
    </r>
  </si>
  <si>
    <r>
      <rPr>
        <rFont val="メイリオ"/>
        <b/>
        <color rgb="FF000000"/>
        <sz val="10.0"/>
      </rPr>
      <t xml:space="preserve">ステップ1：
</t>
    </r>
    <r>
      <rPr>
        <rFont val="メイリオ"/>
        <color rgb="FF000000"/>
        <sz val="10.0"/>
      </rPr>
      <t xml:space="preserve">Trả về HTTP 403 (`error_code: FORBIDDEN`, message `この画面へのアクセス権限がありません。`)
</t>
    </r>
    <r>
      <rPr>
        <rFont val="メイリオ"/>
        <b/>
        <color rgb="FF000000"/>
        <sz val="10.0"/>
      </rPr>
      <t xml:space="preserve">ステップ2：
</t>
    </r>
    <r>
      <rPr>
        <rFont val="メイリオ"/>
        <color rgb="FF000000"/>
        <sz val="10.0"/>
      </rPr>
      <t xml:space="preserve">`deleted_at` vẫn là NULL (dữ liệu không bị xóa)
</t>
    </r>
    <r>
      <rPr>
        <rFont val="メイリオ"/>
        <b/>
        <color rgb="FF000000"/>
        <sz val="10.0"/>
      </rPr>
      <t xml:space="preserve">補足：
</t>
    </r>
    <r>
      <rPr>
        <rFont val="メイリオ"/>
        <color rgb="FF000000"/>
        <sz val="10.0"/>
      </rPr>
      <t>・API xóa cũng được bảo vệ bằng quyền「file.upload」</t>
    </r>
  </si>
  <si>
    <t>SCR-001／007／お知らせ</t>
  </si>
  <si>
    <t>VP-D-07</t>
  </si>
  <si>
    <t>外部 CSV 形式準拠</t>
  </si>
  <si>
    <t>SCR-008／009</t>
  </si>
  <si>
    <t>VP-D-08</t>
  </si>
  <si>
    <t>ネットワーク／500／タイムアウト</t>
  </si>
  <si>
    <t>ACSMS-TC-023-008</t>
  </si>
  <si>
    <t>Phạm vi dữ liệu — phạm vi tham chiếu của API danh sách (CHUOKAI)</t>
  </si>
  <si>
    <t>・Đã đăng nhập bằng CHUOKAI (ja_id=23456, đã xác thực 2 lớp)
・Giữ quyền「file.download」
・Tồn tại file đã upload ở cả JA thuộc quản lý và JA ngoài quản lý</t>
  </si>
  <si>
    <t>VP-D-09</t>
  </si>
  <si>
    <t>パスワード再発行 旧token無効化＋クールダウン</t>
  </si>
  <si>
    <t>VP-E-01</t>
  </si>
  <si>
    <t>E. 非機能・ユーザビリティ</t>
  </si>
  <si>
    <t>レイアウト／デザイントークン</t>
  </si>
  <si>
    <t>低</t>
  </si>
  <si>
    <r>
      <rPr>
        <rFont val="メイリオ"/>
        <b/>
        <color rgb="FF000000"/>
        <sz val="10.0"/>
      </rPr>
      <t xml:space="preserve">ステップ1：
</t>
    </r>
    <r>
      <rPr>
        <rFont val="メイリオ"/>
        <color rgb="FF000000"/>
        <sz val="10.0"/>
      </rPr>
      <t xml:space="preserve">Gửi GET「/api/v1/file-upload?page=1&amp;per_page=100」từ DevTools
</t>
    </r>
    <r>
      <rPr>
        <rFont val="メイリオ"/>
        <b/>
        <color rgb="FF000000"/>
        <sz val="10.0"/>
      </rPr>
      <t xml:space="preserve">ステップ2：
</t>
    </r>
    <r>
      <rPr>
        <rFont val="メイリオ"/>
        <color rgb="FF000000"/>
        <sz val="10.0"/>
      </rPr>
      <t>Xác nhận `data[].ja_id` trong response</t>
    </r>
  </si>
  <si>
    <r>
      <rPr>
        <rFont val="メイリオ"/>
        <b/>
        <color rgb="FF000000"/>
        <sz val="10.0"/>
      </rPr>
      <t xml:space="preserve">ステップ1：
</t>
    </r>
    <r>
      <rPr>
        <rFont val="メイリオ"/>
        <color rgb="FF000000"/>
        <sz val="10.0"/>
      </rPr>
      <t xml:space="preserve">Trả về HTTP 200
</t>
    </r>
    <r>
      <rPr>
        <rFont val="メイリオ"/>
        <b/>
        <color rgb="FF000000"/>
        <sz val="10.0"/>
      </rPr>
      <t xml:space="preserve">ステップ2：
</t>
    </r>
    <r>
      <rPr>
        <rFont val="メイリオ"/>
        <color rgb="FF000000"/>
        <sz val="10.0"/>
      </rPr>
      <t xml:space="preserve">・Chỉ trả về file của Chuokai của mình và JA thuộc quản lý
</t>
    </r>
    <r>
      <rPr>
        <rFont val="メイリオ"/>
        <color rgb="FF000000"/>
        <sz val="10.0"/>
      </rPr>
      <t xml:space="preserve">・Không có dòng nào chứa `ja_id` của JA ngoài quản lý
</t>
    </r>
    <r>
      <rPr>
        <rFont val="メイリオ"/>
        <b/>
        <color rgb="FF000000"/>
        <sz val="10.0"/>
      </rPr>
      <t xml:space="preserve">補足：
</t>
    </r>
    <r>
      <rPr>
        <rFont val="メイリオ"/>
        <color rgb="FF000000"/>
        <sz val="10.0"/>
      </rPr>
      <t>・API danh sách được bảo vệ bằng quyền「file.download」, role không vào được màn hình vẫn có thể gọi trực tiếp. Phạm vi tham chiếu được đảm bảo bằng kiểm soát phạm vi dữ liệu</t>
    </r>
  </si>
  <si>
    <t>全画面</t>
  </si>
  <si>
    <t>VP-E-02</t>
  </si>
  <si>
    <t>レスポンシブ（モバイル／タブレット）</t>
  </si>
  <si>
    <t>VP-E-03</t>
  </si>
  <si>
    <t>Quyền cần thiết của API danh sách (GET) là `file.download`, API upload・xóa là `file.upload`. API設計書 §4.2 ghi quyền của API danh sách là `file.upload` nên cần sửa ở bản phát hành tiếp theo.</t>
  </si>
  <si>
    <t>キーボード操作</t>
  </si>
  <si>
    <t>ACSMS-TC-023-009</t>
  </si>
  <si>
    <t>Phạm vi dữ liệu — request preview file ngoài phạm vi・đã xóa bị mask bằng 404</t>
  </si>
  <si>
    <t>・Đã đăng nhập bằng JA_HONTEN (ja_id=12345, đã xác thực 2 lớp)
・Tồn tại file đã upload của JA khác (ja_id=67890, file_upload_id=302)
・Tồn tại file đã xóa logical (file_upload_id=303)</t>
  </si>
  <si>
    <r>
      <rPr>
        <rFont val="游ゴシック"/>
        <b/>
        <color rgb="FF000000"/>
        <sz val="10.0"/>
      </rPr>
      <t xml:space="preserve">ステップ1：
</t>
    </r>
    <r>
      <rPr>
        <rFont val="游ゴシック"/>
        <color rgb="FF000000"/>
        <sz val="10.0"/>
      </rPr>
      <t xml:space="preserve">Gửi GET「/api/v1/file-upload/302/preview」từ DevTools
</t>
    </r>
    <r>
      <rPr>
        <rFont val="游ゴシック"/>
        <b/>
        <color rgb="FF000000"/>
        <sz val="10.0"/>
      </rPr>
      <t xml:space="preserve">ステップ2：
</t>
    </r>
    <r>
      <rPr>
        <rFont val="游ゴシック"/>
        <color rgb="FF000000"/>
        <sz val="10.0"/>
      </rPr>
      <t xml:space="preserve">Gửi GET「/api/v1/file-upload/302/download」
</t>
    </r>
    <r>
      <rPr>
        <rFont val="游ゴシック"/>
        <b/>
        <color rgb="FF000000"/>
        <sz val="10.0"/>
      </rPr>
      <t xml:space="preserve">ステップ3：
</t>
    </r>
    <r>
      <rPr>
        <rFont val="游ゴシック"/>
        <color rgb="FF000000"/>
        <sz val="10.0"/>
      </rPr>
      <t>Gửi GET「/api/v1/file-upload/303/preview」</t>
    </r>
  </si>
  <si>
    <r>
      <rPr>
        <rFont val="游ゴシック"/>
        <b/>
        <color rgb="FF000000"/>
        <sz val="10.0"/>
      </rPr>
      <t xml:space="preserve">ステップ1：
</t>
    </r>
    <r>
      <rPr>
        <rFont val="游ゴシック"/>
        <color rgb="FF000000"/>
        <sz val="10.0"/>
      </rPr>
      <t xml:space="preserve">Trả về HTTP 404 (`error_code: NOT_FOUND`, message `指定されたファイルが見つかりません。`)
</t>
    </r>
    <r>
      <rPr>
        <rFont val="游ゴシック"/>
        <b/>
        <color rgb="FF000000"/>
        <sz val="10.0"/>
      </rPr>
      <t xml:space="preserve">ステップ2：
</t>
    </r>
    <r>
      <rPr>
        <rFont val="游ゴシック"/>
        <color rgb="FF000000"/>
        <sz val="10.0"/>
      </rPr>
      <t xml:space="preserve">Trả về HTTP 404 (`error_code: NOT_FOUND`, message `指定されたファイルが見つかりません。`)
</t>
    </r>
    <r>
      <rPr>
        <rFont val="游ゴシック"/>
        <b/>
        <color rgb="FF000000"/>
        <sz val="10.0"/>
      </rPr>
      <t xml:space="preserve">ステップ3：
</t>
    </r>
    <r>
      <rPr>
        <rFont val="游ゴシック"/>
        <color rgb="FF000000"/>
        <sz val="10.0"/>
      </rPr>
      <t xml:space="preserve">Trả về HTTP 404 (`error_code: NOT_FOUND`, message `指定されたファイルが見つかりません。`)
</t>
    </r>
    <r>
      <rPr>
        <rFont val="游ゴシック"/>
        <b/>
        <color rgb="FF000000"/>
        <sz val="10.0"/>
      </rPr>
      <t xml:space="preserve">補足：
</t>
    </r>
    <r>
      <rPr>
        <rFont val="游ゴシック"/>
        <color rgb="FF000000"/>
        <sz val="10.0"/>
      </rPr>
      <t>・Cả trường hợp ngoài phạm vi và đã xóa logical đều trả 404 chứ không phải 403, che giấu sự tồn tại của record</t>
    </r>
  </si>
  <si>
    <t>VP-E-04</t>
  </si>
  <si>
    <t>ブラウザ互換性</t>
  </si>
  <si>
    <t>VP-E-05</t>
  </si>
  <si>
    <t>ACSMS-TC-023-010</t>
  </si>
  <si>
    <t>Vi phạm phạm vi dữ liệu — chỉ định JA ngoài phạm vi cho API upload</t>
  </si>
  <si>
    <t>マルチタブセッション同期</t>
  </si>
  <si>
    <t>・Đã đăng nhập bằng JA_HONTEN (ja_id=12345, đã xác thực 2 lớp)
・Để kiểm tra hồi quy spec, cấp tạm quyền「file.upload」cho account này trên môi trường test
・Tồn tại JA ngoài phạm vi (ja_id=67890)</t>
  </si>
  <si>
    <r>
      <rPr>
        <rFont val="メイリオ"/>
        <b/>
        <color rgb="FF000000"/>
        <sz val="10.0"/>
      </rPr>
      <t xml:space="preserve">ステップ1：
</t>
    </r>
    <r>
      <rPr>
        <rFont val="メイリオ"/>
        <color rgb="FF000000"/>
        <sz val="10.0"/>
      </rPr>
      <t xml:space="preserve">Gửi POST「/api/v1/file-upload」dạng multipart/form-data từ DevTools (`ja_ids[]=67890`, đính kèm 1 file có đuôi được phép)
</t>
    </r>
    <r>
      <rPr>
        <rFont val="メイリオ"/>
        <b/>
        <color rgb="FF000000"/>
        <sz val="10.0"/>
      </rPr>
      <t xml:space="preserve">ステップ2：
</t>
    </r>
    <r>
      <rPr>
        <rFont val="メイリオ"/>
        <color rgb="FF000000"/>
        <sz val="10.0"/>
      </rPr>
      <t xml:space="preserve">Thực thi query sau trên DB, xác nhận số lượng
</t>
    </r>
    <r>
      <rPr>
        <rFont val="メイリオ"/>
        <color rgb="FF000000"/>
        <sz val="10.0"/>
      </rPr>
      <t xml:space="preserve">```sql
</t>
    </r>
    <r>
      <rPr>
        <rFont val="メイリオ"/>
        <color rgb="FF000000"/>
        <sz val="10.0"/>
      </rPr>
      <t xml:space="preserve">SELECT COUNT(*) FROM t_file_upload WHERE ja_id = 67890;
</t>
    </r>
    <r>
      <rPr>
        <rFont val="メイリオ"/>
        <color rgb="FF000000"/>
        <sz val="10.0"/>
      </rPr>
      <t xml:space="preserve">```
</t>
    </r>
    <r>
      <rPr>
        <rFont val="メイリオ"/>
        <b/>
        <color rgb="FF000000"/>
        <sz val="10.0"/>
      </rPr>
      <t xml:space="preserve">ステップ3：
</t>
    </r>
    <r>
      <rPr>
        <rFont val="メイリオ"/>
        <color rgb="FF000000"/>
        <sz val="10.0"/>
      </rPr>
      <t>Sau khi xác nhận, thu hồi quyền「file.upload」đã cấp tạm</t>
    </r>
  </si>
  <si>
    <r>
      <rPr>
        <rFont val="メイリオ"/>
        <b/>
        <color rgb="FF000000"/>
        <sz val="10.0"/>
      </rPr>
      <t xml:space="preserve">ステップ1：
</t>
    </r>
    <r>
      <rPr>
        <rFont val="メイリオ"/>
        <color rgb="FF000000"/>
        <sz val="10.0"/>
      </rPr>
      <t xml:space="preserve">Trả về HTTP 403 (`error_code: DATA_SCOPE_VIOLATION`, message `このデータへのアクセス権限がありません。`)
</t>
    </r>
    <r>
      <rPr>
        <rFont val="メイリオ"/>
        <b/>
        <color rgb="FF000000"/>
        <sz val="10.0"/>
      </rPr>
      <t xml:space="preserve">ステップ2：
</t>
    </r>
    <r>
      <rPr>
        <rFont val="メイリオ"/>
        <color rgb="FF000000"/>
        <sz val="10.0"/>
      </rPr>
      <t xml:space="preserve">・Không có record mới cho JA ngoài phạm vi được đăng ký
</t>
    </r>
    <r>
      <rPr>
        <rFont val="メイリオ"/>
        <color rgb="FF000000"/>
        <sz val="10.0"/>
      </rPr>
      <t xml:space="preserve">・File vật lý không được lưu vào storage
</t>
    </r>
    <r>
      <rPr>
        <rFont val="メイリオ"/>
        <b/>
        <color rgb="FF000000"/>
        <sz val="10.0"/>
      </rPr>
      <t xml:space="preserve">ステップ3：
</t>
    </r>
    <r>
      <rPr>
        <rFont val="メイリオ"/>
        <color rgb="FF000000"/>
        <sz val="10.0"/>
      </rPr>
      <t xml:space="preserve">Quyền của account trở về trạng thái trước khi test
</t>
    </r>
    <r>
      <rPr>
        <rFont val="メイリオ"/>
        <b/>
        <color rgb="FF000000"/>
        <sz val="10.0"/>
      </rPr>
      <t xml:space="preserve">補足：
</t>
    </r>
    <r>
      <rPr>
        <rFont val="メイリオ"/>
        <color rgb="FF000000"/>
        <sz val="10.0"/>
      </rPr>
      <t>・`ja_ids` trong request body được kiểm tra từng phần tử ở phía server</t>
    </r>
  </si>
  <si>
    <t>VP-E-07</t>
  </si>
  <si>
    <t>未保存変更ガード・ブラウザ離脱</t>
  </si>
  <si>
    <t>全 CRUD 編集フォーム</t>
  </si>
  <si>
    <t>VP-F-01</t>
  </si>
  <si>
    <t>F. 性能</t>
  </si>
  <si>
    <t>Với cấu hình quyền mặc định từ 2026-06, chỉ Nichino (xem được toàn bộ JA) giữ quyền「file.upload」nên lỗi này thường không phát sinh. Thực hiện bằng cách cấp tạm quyền, như kiểm tra hồi quy spec định nghĩa ở API設計書 §4.2.
---</t>
  </si>
  <si>
    <t>性能ベンチマーク</t>
  </si>
  <si>
    <t>Hiển thị màn hình・Responsive (Layout &amp; Responsive)</t>
  </si>
  <si>
    <t>全画面パフォーマンス計測対象</t>
  </si>
  <si>
    <t>VP-F-02</t>
  </si>
  <si>
    <t>大量データ表示性能</t>
  </si>
  <si>
    <t>ACSMS-TC-023-011</t>
  </si>
  <si>
    <t>一覧／レポート画面</t>
  </si>
  <si>
    <t>Hiển thị khởi tạo màn hình (toàn bộ mục để trống)</t>
  </si>
  <si>
    <t>・Đã đăng nhập bằng NICHINO_ADMIN (đã xác thực 2 lớp)</t>
  </si>
  <si>
    <r>
      <rPr>
        <rFont val="游ゴシック"/>
        <b/>
        <color rgb="FF000000"/>
        <sz val="10.0"/>
      </rPr>
      <t xml:space="preserve">ステップ1：
</t>
    </r>
    <r>
      <rPr>
        <rFont val="游ゴシック"/>
        <color rgb="FF000000"/>
        <sz val="10.0"/>
      </rPr>
      <t xml:space="preserve">Click「ファイルアップロード」từ sidebar, hiển thị màn hình
</t>
    </r>
    <r>
      <rPr>
        <rFont val="游ゴシック"/>
        <b/>
        <color rgb="FF000000"/>
        <sz val="10.0"/>
      </rPr>
      <t xml:space="preserve">ステップ2：
</t>
    </r>
    <r>
      <rPr>
        <rFont val="游ゴシック"/>
        <color rgb="FF000000"/>
        <sz val="10.0"/>
      </rPr>
      <t xml:space="preserve">Xác nhận giá trị khởi tạo của từng mục trong khu vực「対象者選択」
</t>
    </r>
    <r>
      <rPr>
        <rFont val="游ゴシック"/>
        <b/>
        <color rgb="FF000000"/>
        <sz val="10.0"/>
      </rPr>
      <t xml:space="preserve">ステップ3：
</t>
    </r>
    <r>
      <rPr>
        <rFont val="游ゴシック"/>
        <color rgb="FF000000"/>
        <sz val="10.0"/>
      </rPr>
      <t>Xác nhận khu vực「ファイル選択」và「アップロードされたファイルリスト」</t>
    </r>
  </si>
  <si>
    <r>
      <rPr>
        <rFont val="游ゴシック"/>
        <b/>
        <color rgb="FF000000"/>
        <sz val="10.0"/>
      </rPr>
      <t xml:space="preserve">ステップ1：
</t>
    </r>
    <r>
      <rPr>
        <rFont val="游ゴシック"/>
        <color rgb="FF000000"/>
        <sz val="10.0"/>
      </rPr>
      <t xml:space="preserve">Màn hình được hiển thị
</t>
    </r>
    <r>
      <rPr>
        <rFont val="游ゴシック"/>
        <b/>
        <color rgb="FF000000"/>
        <sz val="10.0"/>
      </rPr>
      <t xml:space="preserve">ステップ2：
</t>
    </r>
    <r>
      <rPr>
        <rFont val="游ゴシック"/>
        <color rgb="FF000000"/>
        <sz val="10.0"/>
      </rPr>
      <t xml:space="preserve">・「都道府県コード」hiển thị trống (chưa chọn)
・「都道府県」hiển thị trống
・「対象JA」hiển thị chưa chọn
</t>
    </r>
    <r>
      <rPr>
        <rFont val="游ゴシック"/>
        <b/>
        <color rgb="FF000000"/>
        <sz val="10.0"/>
      </rPr>
      <t xml:space="preserve">ステップ3：
</t>
    </r>
    <r>
      <rPr>
        <rFont val="游ゴシック"/>
        <color rgb="FF000000"/>
        <sz val="10.0"/>
      </rPr>
      <t xml:space="preserve">・Khu vực chọn file hiển thị「ここにファイルをドラッグ&amp;ドロップするか クリックしてファイルを選択してください」
・「アップロードされたファイルリスト」hiển thị dữ liệu hiện có
</t>
    </r>
    <r>
      <rPr>
        <rFont val="游ゴシック"/>
        <b/>
        <color rgb="FF000000"/>
        <sz val="10.0"/>
      </rPr>
      <t xml:space="preserve">補足：
</t>
    </r>
    <r>
      <rPr>
        <rFont val="游ゴシック"/>
        <color rgb="FF000000"/>
        <sz val="10.0"/>
      </rPr>
      <t>・Không vỡ layout</t>
    </r>
  </si>
  <si>
    <t>2. 観点ID 命名規約・グループ凡例</t>
  </si>
  <si>
    <t>グループ</t>
  </si>
  <si>
    <t>接頭辞</t>
  </si>
  <si>
    <t>名称</t>
  </si>
  <si>
    <t>観点数</t>
  </si>
  <si>
    <t>リスク傾向</t>
  </si>
  <si>
    <t>代表的なテスト観点</t>
  </si>
  <si>
    <t>ACSMS-TC-023-012</t>
  </si>
  <si>
    <t>Hiển thị cascade khi chọn mã tỉnh thành</t>
  </si>
  <si>
    <t>VP-A-NN</t>
  </si>
  <si>
    <r>
      <rPr>
        <rFont val="游ゴシック"/>
        <b/>
        <color rgb="FF000000"/>
        <sz val="10.0"/>
      </rPr>
      <t xml:space="preserve">ステップ1：
</t>
    </r>
    <r>
      <rPr>
        <rFont val="游ゴシック"/>
        <color rgb="FF000000"/>
        <sz val="10.0"/>
      </rPr>
      <t xml:space="preserve">Click select box「都道府県コード」
</t>
    </r>
    <r>
      <rPr>
        <rFont val="游ゴシック"/>
        <b/>
        <color rgb="FF000000"/>
        <sz val="10.0"/>
      </rPr>
      <t xml:space="preserve">ステップ2：
</t>
    </r>
    <r>
      <rPr>
        <rFont val="游ゴシック"/>
        <color rgb="FF000000"/>
        <sz val="10.0"/>
      </rPr>
      <t xml:space="preserve">Chọn「13 東京都」
</t>
    </r>
    <r>
      <rPr>
        <rFont val="游ゴシック"/>
        <b/>
        <color rgb="FF000000"/>
        <sz val="10.0"/>
      </rPr>
      <t xml:space="preserve">ステップ3：
</t>
    </r>
    <r>
      <rPr>
        <rFont val="游ゴシック"/>
        <color rgb="FF000000"/>
        <sz val="10.0"/>
      </rPr>
      <t>Click select box「対象JA」</t>
    </r>
  </si>
  <si>
    <t>セキュリティ・権限</t>
  </si>
  <si>
    <r>
      <rPr>
        <rFont val="メイリオ"/>
        <b/>
        <color rgb="FF000000"/>
        <sz val="10.0"/>
      </rPr>
      <t xml:space="preserve">ステップ1：
</t>
    </r>
    <r>
      <rPr>
        <rFont val="メイリオ"/>
        <color rgb="FF000000"/>
        <sz val="10.0"/>
      </rPr>
      <t xml:space="preserve">Danh sách mã tỉnh thành + tên tỉnh thành được hiển thị
</t>
    </r>
    <r>
      <rPr>
        <rFont val="メイリオ"/>
        <b/>
        <color rgb="FF000000"/>
        <sz val="10.0"/>
      </rPr>
      <t xml:space="preserve">ステップ2：
</t>
    </r>
    <r>
      <rPr>
        <rFont val="メイリオ"/>
        <color rgb="FF000000"/>
        <sz val="10.0"/>
      </rPr>
      <t xml:space="preserve">「東京都」được tự động điền vào「都道府県」
</t>
    </r>
    <r>
      <rPr>
        <rFont val="メイリオ"/>
        <b/>
        <color rgb="FF000000"/>
        <sz val="10.0"/>
      </rPr>
      <t xml:space="preserve">ステップ3：
</t>
    </r>
    <r>
      <rPr>
        <rFont val="メイリオ"/>
        <color rgb="FF000000"/>
        <sz val="10.0"/>
      </rPr>
      <t xml:space="preserve">Danh sách「JA code + JA name」thuộc tỉnh thành đã chọn được hiển thị
</t>
    </r>
    <r>
      <rPr>
        <rFont val="メイリオ"/>
        <b/>
        <color rgb="FF000000"/>
        <sz val="10.0"/>
      </rPr>
      <t xml:space="preserve">補足：
</t>
    </r>
    <r>
      <rPr>
        <rFont val="メイリオ"/>
        <color rgb="FF000000"/>
        <sz val="10.0"/>
      </rPr>
      <t>・Khi chưa chọn mã tỉnh thành thì「対象JA」hiển thị toàn bộ JA</t>
    </r>
  </si>
  <si>
    <t>RBAC、DataScope、項目レベル制限、URL直接攻撃、セッション失効、XSS、CSRF、レート制限、アカウントロック、SQL注入</t>
  </si>
  <si>
    <t>ACSMS-TC-023-013</t>
  </si>
  <si>
    <t>Hiển thị khu vực chọn file và danh sách file</t>
  </si>
  <si>
    <t>B</t>
  </si>
  <si>
    <t>VP-B-NN</t>
  </si>
  <si>
    <r>
      <rPr>
        <rFont val="メイリオ"/>
        <b/>
        <color rgb="FF000000"/>
        <sz val="10.0"/>
      </rPr>
      <t xml:space="preserve">ステップ1：
</t>
    </r>
    <r>
      <rPr>
        <rFont val="メイリオ"/>
        <color rgb="FF000000"/>
        <sz val="10.0"/>
      </rPr>
      <t xml:space="preserve">Click khu vực chọn file, hiển thị dialog chọn file
</t>
    </r>
    <r>
      <rPr>
        <rFont val="メイリオ"/>
        <b/>
        <color rgb="FF000000"/>
        <sz val="10.0"/>
      </rPr>
      <t xml:space="preserve">ステップ2：
</t>
    </r>
    <r>
      <rPr>
        <rFont val="メイリオ"/>
        <color rgb="FF000000"/>
        <sz val="10.0"/>
      </rPr>
      <t xml:space="preserve">Chọn 2 file có đuôi được phép
</t>
    </r>
    <r>
      <rPr>
        <rFont val="メイリオ"/>
        <b/>
        <color rgb="FF000000"/>
        <sz val="10.0"/>
      </rPr>
      <t xml:space="preserve">ステップ3：
</t>
    </r>
    <r>
      <rPr>
        <rFont val="メイリオ"/>
        <color rgb="FF000000"/>
        <sz val="10.0"/>
      </rPr>
      <t>Xác nhận nội dung hiển thị của danh sách file</t>
    </r>
  </si>
  <si>
    <t>データバリデーション</t>
  </si>
  <si>
    <r>
      <rPr>
        <rFont val="メイリオ"/>
        <b/>
        <color rgb="FF000000"/>
        <sz val="10.0"/>
      </rPr>
      <t xml:space="preserve">ステップ1：
</t>
    </r>
    <r>
      <rPr>
        <rFont val="メイリオ"/>
        <color rgb="FF000000"/>
        <sz val="10.0"/>
      </rPr>
      <t xml:space="preserve">Dialog được hiển thị
</t>
    </r>
    <r>
      <rPr>
        <rFont val="メイリオ"/>
        <b/>
        <color rgb="FF000000"/>
        <sz val="10.0"/>
      </rPr>
      <t xml:space="preserve">ステップ2：
</t>
    </r>
    <r>
      <rPr>
        <rFont val="メイリオ"/>
        <color rgb="FF000000"/>
        <sz val="10.0"/>
      </rPr>
      <t xml:space="preserve">2 file đã chọn được thêm vào danh sách file
</t>
    </r>
    <r>
      <rPr>
        <rFont val="メイリオ"/>
        <b/>
        <color rgb="FF000000"/>
        <sz val="10.0"/>
      </rPr>
      <t xml:space="preserve">ステップ3：
</t>
    </r>
    <r>
      <rPr>
        <rFont val="メイリオ"/>
        <color rgb="FF000000"/>
        <sz val="10.0"/>
      </rPr>
      <t xml:space="preserve">・Mỗi dòng hiển thị「ファイル名」và「サイズ」
</t>
    </r>
    <r>
      <rPr>
        <rFont val="メイリオ"/>
        <color rgb="FF000000"/>
        <sz val="10.0"/>
      </rPr>
      <t xml:space="preserve">・Size hiển thị theo định dạng「#,##0 MB」
</t>
    </r>
    <r>
      <rPr>
        <rFont val="メイリオ"/>
        <color rgb="FF000000"/>
        <sz val="10.0"/>
      </rPr>
      <t>・Mỗi dòng hiển thị button「削除」</t>
    </r>
  </si>
  <si>
    <t>必須／長さ／形式／半角全角／日付／通貨／m_code／重複キー／IME・貼付ハンドリング</t>
  </si>
  <si>
    <t>C</t>
  </si>
  <si>
    <t>VP-C-NN</t>
  </si>
  <si>
    <t>業務ロジック</t>
  </si>
  <si>
    <t>CRUD 永続化、同時編集競合、論理削除＋FK、税計算、購読者ルール、Excel 取込、レポート集計</t>
  </si>
  <si>
    <t>ACSMS-TC-023-014</t>
  </si>
  <si>
    <t>Điều kiện hiển thị ngày dự định xóa (nhập được sau khi chọn file)</t>
  </si>
  <si>
    <r>
      <rPr>
        <rFont val="游ゴシック"/>
        <b/>
        <color rgb="FF000000"/>
        <sz val="10.0"/>
      </rPr>
      <t xml:space="preserve">ステップ1：
</t>
    </r>
    <r>
      <rPr>
        <rFont val="游ゴシック"/>
        <color rgb="FF000000"/>
        <sz val="10.0"/>
      </rPr>
      <t xml:space="preserve">Xác nhận mục「削除予定日」khi chưa chọn file
</t>
    </r>
    <r>
      <rPr>
        <rFont val="游ゴシック"/>
        <b/>
        <color rgb="FF000000"/>
        <sz val="10.0"/>
      </rPr>
      <t xml:space="preserve">ステップ2：
</t>
    </r>
    <r>
      <rPr>
        <rFont val="游ゴシック"/>
        <color rgb="FF000000"/>
        <sz val="10.0"/>
      </rPr>
      <t xml:space="preserve">Chọn 1 file có đuôi được phép
</t>
    </r>
    <r>
      <rPr>
        <rFont val="游ゴシック"/>
        <b/>
        <color rgb="FF000000"/>
        <sz val="10.0"/>
      </rPr>
      <t xml:space="preserve">ステップ3：
</t>
    </r>
    <r>
      <rPr>
        <rFont val="游ゴシック"/>
        <color rgb="FF000000"/>
        <sz val="10.0"/>
      </rPr>
      <t>Click calendar của「削除予定日」, xác nhận định dạng hiển thị</t>
    </r>
  </si>
  <si>
    <t>D</t>
  </si>
  <si>
    <r>
      <rPr>
        <rFont val="メイリオ"/>
        <b/>
        <color rgb="FF000000"/>
        <sz val="10.0"/>
      </rPr>
      <t xml:space="preserve">ステップ1：
</t>
    </r>
    <r>
      <rPr>
        <rFont val="メイリオ"/>
        <color rgb="FF000000"/>
        <sz val="10.0"/>
      </rPr>
      <t xml:space="preserve">「削除予定日」không hiển thị dưới dạng mục nhập được
</t>
    </r>
    <r>
      <rPr>
        <rFont val="メイリオ"/>
        <b/>
        <color rgb="FF000000"/>
        <sz val="10.0"/>
      </rPr>
      <t xml:space="preserve">ステップ2：
</t>
    </r>
    <r>
      <rPr>
        <rFont val="メイリオ"/>
        <color rgb="FF000000"/>
        <sz val="10.0"/>
      </rPr>
      <t xml:space="preserve">「削除予定日」hiển thị dưới dạng mục nhập được
</t>
    </r>
    <r>
      <rPr>
        <rFont val="メイリオ"/>
        <b/>
        <color rgb="FF000000"/>
        <sz val="10.0"/>
      </rPr>
      <t xml:space="preserve">ステップ3：
</t>
    </r>
    <r>
      <rPr>
        <rFont val="メイリオ"/>
        <color rgb="FF000000"/>
        <sz val="10.0"/>
      </rPr>
      <t xml:space="preserve">・Calendar được hiển thị
</t>
    </r>
    <r>
      <rPr>
        <rFont val="メイリオ"/>
        <color rgb="FF000000"/>
        <sz val="10.0"/>
      </rPr>
      <t xml:space="preserve">・Placeholder định dạng「yyyy/mm/dd」được hiển thị
</t>
    </r>
    <r>
      <rPr>
        <rFont val="メイリオ"/>
        <color rgb="FF000000"/>
        <sz val="10.0"/>
      </rPr>
      <t>・Không thể chọn ô ngày quá khứ</t>
    </r>
  </si>
  <si>
    <t>VP-D-NN</t>
  </si>
  <si>
    <t>統合・システム</t>
  </si>
  <si>
    <t>ログイン＋MFA、セッション管理、パスワード再発行、監査ログ、S3、メール、CSV 準拠、ネットワーク／500</t>
  </si>
  <si>
    <t>E</t>
  </si>
  <si>
    <t>VP-E-NN</t>
  </si>
  <si>
    <t>非機能・ユーザビリティ</t>
  </si>
  <si>
    <t>ACSMS-TC-023-015</t>
  </si>
  <si>
    <t>Hiển thị các cột của danh sách file đã upload</t>
  </si>
  <si>
    <t>・Đã đăng nhập bằng NICHINO_ADMIN (đã xác thực 2 lớp)
・Tồn tại ít nhất 1 file đã upload</t>
  </si>
  <si>
    <t>低〜中</t>
  </si>
  <si>
    <t>レイアウト、レスポンシブ、キーボード操作、ブラウザ互換、マルチタブ同期、未保存変更ガード</t>
  </si>
  <si>
    <r>
      <rPr>
        <rFont val="游ゴシック"/>
        <b/>
        <color rgb="FF000000"/>
        <sz val="10.0"/>
      </rPr>
      <t xml:space="preserve">ステップ1：
</t>
    </r>
    <r>
      <rPr>
        <rFont val="游ゴシック"/>
        <color rgb="FF000000"/>
        <sz val="10.0"/>
      </rPr>
      <t xml:space="preserve">Hiển thị màn hình, xác nhận tiêu đề cột của「アップロードされたファイルリスト」
</t>
    </r>
    <r>
      <rPr>
        <rFont val="游ゴシック"/>
        <b/>
        <color rgb="FF000000"/>
        <sz val="10.0"/>
      </rPr>
      <t xml:space="preserve">ステップ2：
</t>
    </r>
    <r>
      <rPr>
        <rFont val="游ゴシック"/>
        <color rgb="FF000000"/>
        <sz val="10.0"/>
      </rPr>
      <t>Xác nhận nội dung hiển thị của 1 dòng bất kỳ</t>
    </r>
  </si>
  <si>
    <t>F</t>
  </si>
  <si>
    <r>
      <rPr>
        <rFont val="メイリオ"/>
        <b/>
        <color rgb="FF000000"/>
        <sz val="10.0"/>
      </rPr>
      <t xml:space="preserve">ステップ1：
</t>
    </r>
    <r>
      <rPr>
        <rFont val="メイリオ"/>
        <color rgb="FF000000"/>
        <sz val="10.0"/>
      </rPr>
      <t xml:space="preserve">Các cột「ファイル名」「サイズ」「通知ステータス」「削除予定日」「削除日」「操作」được hiển thị
</t>
    </r>
    <r>
      <rPr>
        <rFont val="メイリオ"/>
        <b/>
        <color rgb="FF000000"/>
        <sz val="10.0"/>
      </rPr>
      <t xml:space="preserve">ステップ2：
</t>
    </r>
    <r>
      <rPr>
        <rFont val="メイリオ"/>
        <color rgb="FF000000"/>
        <sz val="10.0"/>
      </rPr>
      <t xml:space="preserve">・「削除予定日」hiển thị theo định dạng yyyymmdd
</t>
    </r>
    <r>
      <rPr>
        <rFont val="メイリオ"/>
        <color rgb="FF000000"/>
        <sz val="10.0"/>
      </rPr>
      <t xml:space="preserve">・「削除日」của dòng chưa xóa hiển thị「-」
</t>
    </r>
    <r>
      <rPr>
        <rFont val="メイリオ"/>
        <color rgb="FF000000"/>
        <sz val="10.0"/>
      </rPr>
      <t>・「サイズ」hiển thị theo định dạng x.xMB</t>
    </r>
  </si>
  <si>
    <t>VP-F-NN</t>
  </si>
  <si>
    <t>性能</t>
  </si>
  <si>
    <t>性能ベンチマーク、大量データ表示性能</t>
  </si>
  <si>
    <t>命名規約：VP-{グループ記号}-{NN} 形式（NN はグループ内の2桁連番）。新規観点は同グループの末尾に追加する（例：VP-A-11）。グループ記号はリスク軸による分類で、JSTQB FL の品質特性区分に準拠する。</t>
  </si>
  <si>
    <t>ACSMS-TC-023-016</t>
  </si>
  <si>
    <t>Hiển thị badge trạng thái thông báo</t>
  </si>
  <si>
    <t>・Đã đăng nhập bằng NICHINO_ADMIN (đã xác thực 2 lớp)
・Tồn tại các dòng có `notification_status` lần lượt là 1／2／3／4</t>
  </si>
  <si>
    <r>
      <rPr>
        <rFont val="游ゴシック"/>
        <b/>
        <color rgb="FF000000"/>
        <sz val="10.0"/>
      </rPr>
      <t xml:space="preserve">ステップ1：
</t>
    </r>
    <r>
      <rPr>
        <rFont val="游ゴシック"/>
        <color rgb="FF000000"/>
        <sz val="10.0"/>
      </rPr>
      <t>Xác nhận hiển thị cột「通知ステータス」của từng dòng</t>
    </r>
  </si>
  <si>
    <r>
      <rPr>
        <rFont val="游ゴシック"/>
        <b/>
        <color rgb="FF000000"/>
        <sz val="10.0"/>
      </rPr>
      <t xml:space="preserve">ステップ1：
</t>
    </r>
    <r>
      <rPr>
        <rFont val="游ゴシック"/>
        <color rgb="FF000000"/>
        <sz val="10.0"/>
      </rPr>
      <t xml:space="preserve">・Dòng có `notification_status` = 1 hiển thị「未送信」
・Dòng có `notification_status` = 2 hiển thị「送信中」
・Dòng có `notification_status` = 3 hiển thị「完了」
・Dòng có `notification_status` = 4 hiển thị「一部失敗」
</t>
    </r>
    <r>
      <rPr>
        <rFont val="游ゴシック"/>
        <b/>
        <color rgb="FF000000"/>
        <sz val="10.0"/>
      </rPr>
      <t xml:space="preserve">補足：
</t>
    </r>
    <r>
      <rPr>
        <rFont val="游ゴシック"/>
        <color rgb="FF000000"/>
        <sz val="10.0"/>
      </rPr>
      <t>・Label hiển thị được lấy từ m_code (`code_category` = 'NOTIFICATION_STATUS'), không hard-code ở phía màn hình</t>
    </r>
  </si>
  <si>
    <t>ACSMS-TC-023-017</t>
  </si>
  <si>
    <t>Trạng thái active・disable của button xóa</t>
  </si>
  <si>
    <t>・Đã đăng nhập bằng NICHINO_ADMIN (đã xác thực 2 lớp)
・Tồn tại dòng có `deleted_at` là NULL và dòng không NULL</t>
  </si>
  <si>
    <r>
      <rPr>
        <rFont val="メイリオ"/>
        <b/>
        <color rgb="FF000000"/>
        <sz val="10.0"/>
      </rPr>
      <t xml:space="preserve">ステップ1：
</t>
    </r>
    <r>
      <rPr>
        <rFont val="メイリオ"/>
        <color rgb="FF000000"/>
        <sz val="10.0"/>
      </rPr>
      <t xml:space="preserve">Xác nhận button「削除」của dòng có `deleted_at` là NULL
</t>
    </r>
    <r>
      <rPr>
        <rFont val="メイリオ"/>
        <b/>
        <color rgb="FF000000"/>
        <sz val="10.0"/>
      </rPr>
      <t xml:space="preserve">ステップ2：
</t>
    </r>
    <r>
      <rPr>
        <rFont val="メイリオ"/>
        <color rgb="FF000000"/>
        <sz val="10.0"/>
      </rPr>
      <t>Xác nhận button「削除」của dòng có `deleted_at` không NULL</t>
    </r>
  </si>
  <si>
    <r>
      <rPr>
        <rFont val="メイリオ"/>
        <b/>
        <color rgb="FF000000"/>
        <sz val="10.0"/>
      </rPr>
      <t xml:space="preserve">ステップ1：
</t>
    </r>
    <r>
      <rPr>
        <rFont val="メイリオ"/>
        <color rgb="FF000000"/>
        <sz val="10.0"/>
      </rPr>
      <t xml:space="preserve">Button hiển thị ở trạng thái active
</t>
    </r>
    <r>
      <rPr>
        <rFont val="メイリオ"/>
        <b/>
        <color rgb="FF000000"/>
        <sz val="10.0"/>
      </rPr>
      <t xml:space="preserve">ステップ2：
</t>
    </r>
    <r>
      <rPr>
        <rFont val="メイリオ"/>
        <color rgb="FF000000"/>
        <sz val="10.0"/>
      </rPr>
      <t xml:space="preserve">・Button hiển thị ở trạng thái disable
</t>
    </r>
    <r>
      <rPr>
        <rFont val="メイリオ"/>
        <color rgb="FF000000"/>
        <sz val="10.0"/>
      </rPr>
      <t>・「削除日」hiển thị ngày xóa theo định dạng yyyymmdd</t>
    </r>
  </si>
  <si>
    <t>ACSMS-TC-023-018</t>
  </si>
  <si>
    <t>Hiển thị responsive</t>
  </si>
  <si>
    <r>
      <rPr>
        <rFont val="メイリオ"/>
        <b/>
        <color rgb="FF000000"/>
        <sz val="10.0"/>
      </rPr>
      <t xml:space="preserve">ステップ1：
</t>
    </r>
    <r>
      <rPr>
        <rFont val="メイリオ"/>
        <color rgb="FF000000"/>
        <sz val="10.0"/>
      </rPr>
      <t xml:space="preserve">Đặt độ rộng trình duyệt 1280px, xác nhận toàn bộ màn hình
</t>
    </r>
    <r>
      <rPr>
        <rFont val="メイリオ"/>
        <b/>
        <color rgb="FF000000"/>
        <sz val="10.0"/>
      </rPr>
      <t xml:space="preserve">ステップ2：
</t>
    </r>
    <r>
      <rPr>
        <rFont val="メイリオ"/>
        <color rgb="FF000000"/>
        <sz val="10.0"/>
      </rPr>
      <t xml:space="preserve">Đặt độ rộng trình duyệt 768px (tương đương tablet)
</t>
    </r>
    <r>
      <rPr>
        <rFont val="メイリオ"/>
        <b/>
        <color rgb="FF000000"/>
        <sz val="10.0"/>
      </rPr>
      <t xml:space="preserve">ステップ3：
</t>
    </r>
    <r>
      <rPr>
        <rFont val="メイリオ"/>
        <color rgb="FF000000"/>
        <sz val="10.0"/>
      </rPr>
      <t>Đặt độ rộng trình duyệt 375px (tương đương mobile)</t>
    </r>
  </si>
  <si>
    <r>
      <rPr>
        <rFont val="メイリオ"/>
        <b/>
        <color rgb="FF000000"/>
        <sz val="10.0"/>
      </rPr>
      <t xml:space="preserve">ステップ1：
</t>
    </r>
    <r>
      <rPr>
        <rFont val="メイリオ"/>
        <color rgb="FF000000"/>
        <sz val="10.0"/>
      </rPr>
      <t xml:space="preserve">Không vỡ layout, và không phát sinh thanh scroll ngang
</t>
    </r>
    <r>
      <rPr>
        <rFont val="メイリオ"/>
        <b/>
        <color rgb="FF000000"/>
        <sz val="10.0"/>
      </rPr>
      <t xml:space="preserve">ステップ2：
</t>
    </r>
    <r>
      <rPr>
        <rFont val="メイリオ"/>
        <color rgb="FF000000"/>
        <sz val="10.0"/>
      </rPr>
      <t xml:space="preserve">Không vỡ layout
</t>
    </r>
    <r>
      <rPr>
        <rFont val="メイリオ"/>
        <b/>
        <color rgb="FF000000"/>
        <sz val="10.0"/>
      </rPr>
      <t xml:space="preserve">ステップ3：
</t>
    </r>
    <r>
      <rPr>
        <rFont val="メイリオ"/>
        <color rgb="FF000000"/>
        <sz val="10.0"/>
      </rPr>
      <t xml:space="preserve">・Không vỡ layout
</t>
    </r>
    <r>
      <rPr>
        <rFont val="メイリオ"/>
        <color rgb="FF000000"/>
        <sz val="10.0"/>
      </rPr>
      <t>・Danh sách file nằm gọn trong vùng scroll ngang</t>
    </r>
  </si>
  <si>
    <t>ACSMS-TC-023-019</t>
  </si>
  <si>
    <t>Thao tác bàn phím</t>
  </si>
  <si>
    <r>
      <rPr>
        <rFont val="メイリオ"/>
        <b/>
        <color rgb="FF000000"/>
        <sz val="10.0"/>
      </rPr>
      <t xml:space="preserve">ステップ1：
</t>
    </r>
    <r>
      <rPr>
        <rFont val="メイリオ"/>
        <color rgb="FF000000"/>
        <sz val="10.0"/>
      </rPr>
      <t xml:space="preserve">Ngay sau khi hiển thị màn hình, nhấn liên tiếp phím Tab, xác nhận thứ tự di chuyển focus
</t>
    </r>
    <r>
      <rPr>
        <rFont val="メイリオ"/>
        <b/>
        <color rgb="FF000000"/>
        <sz val="10.0"/>
      </rPr>
      <t xml:space="preserve">ステップ2：
</t>
    </r>
    <r>
      <rPr>
        <rFont val="メイリオ"/>
        <color rgb="FF000000"/>
        <sz val="10.0"/>
      </rPr>
      <t xml:space="preserve">Nhấn phím Enter khi đang focus vào select box「対象JA」
</t>
    </r>
    <r>
      <rPr>
        <rFont val="メイリオ"/>
        <b/>
        <color rgb="FF000000"/>
        <sz val="10.0"/>
      </rPr>
      <t xml:space="preserve">ステップ3：
</t>
    </r>
    <r>
      <rPr>
        <rFont val="メイリオ"/>
        <color rgb="FF000000"/>
        <sz val="10.0"/>
      </rPr>
      <t>Nhấn phím Enter khi đang focus vào button「アップロード実行」</t>
    </r>
  </si>
  <si>
    <r>
      <rPr>
        <rFont val="メイリオ"/>
        <b/>
        <color rgb="FF000000"/>
        <sz val="10.0"/>
      </rPr>
      <t xml:space="preserve">ステップ1：
</t>
    </r>
    <r>
      <rPr>
        <rFont val="メイリオ"/>
        <color rgb="FF000000"/>
        <sz val="10.0"/>
      </rPr>
      <t xml:space="preserve">Focus di chuyển theo thứ tự「都道府県コード」→「都道府県」→「対象JA」→「追加」→khu vực chọn file→「削除予定日」→「アップロード実行」→「クリア」
</t>
    </r>
    <r>
      <rPr>
        <rFont val="メイリオ"/>
        <b/>
        <color rgb="FF000000"/>
        <sz val="10.0"/>
      </rPr>
      <t xml:space="preserve">ステップ2：
</t>
    </r>
    <r>
      <rPr>
        <rFont val="メイリオ"/>
        <color rgb="FF000000"/>
        <sz val="10.0"/>
      </rPr>
      <t xml:space="preserve">Danh sách gợi ý được hiển thị, có thể chọn bằng bàn phím
</t>
    </r>
    <r>
      <rPr>
        <rFont val="メイリオ"/>
        <b/>
        <color rgb="FF000000"/>
        <sz val="10.0"/>
      </rPr>
      <t xml:space="preserve">ステップ3：
</t>
    </r>
    <r>
      <rPr>
        <rFont val="メイリオ"/>
        <color rgb="FF000000"/>
        <sz val="10.0"/>
      </rPr>
      <t xml:space="preserve">Dialog chứa message xác nhận「このファイルをアップロードしますか？」được hiển thị
</t>
    </r>
    <r>
      <rPr>
        <rFont val="メイリオ"/>
        <b/>
        <color rgb="FF000000"/>
        <sz val="10.0"/>
      </rPr>
      <t xml:space="preserve">補足：
</t>
    </r>
    <r>
      <rPr>
        <rFont val="メイリオ"/>
        <color rgb="FF000000"/>
        <sz val="10.0"/>
      </rPr>
      <t>・Toàn bộ thao tác có thể thực hiện chỉ bằng bàn phím</t>
    </r>
  </si>
  <si>
    <t>(なし)
---</t>
  </si>
  <si>
    <t>Header・Breadcrumb (Header &amp; Breadcrumb)</t>
  </si>
  <si>
    <t>ACSMS-TC-023-020</t>
  </si>
  <si>
    <t>Hiển thị tiêu đề trang</t>
  </si>
  <si>
    <r>
      <rPr>
        <rFont val="メイリオ"/>
        <b/>
        <color rgb="FF000000"/>
        <sz val="10.0"/>
      </rPr>
      <t xml:space="preserve">ステップ1：
</t>
    </r>
    <r>
      <rPr>
        <rFont val="メイリオ"/>
        <color rgb="FF000000"/>
        <sz val="10.0"/>
      </rPr>
      <t>Hiển thị màn hình, xác nhận tiêu đề trang ở phần header</t>
    </r>
  </si>
  <si>
    <r>
      <rPr>
        <rFont val="メイリオ"/>
        <b/>
        <color rgb="FF000000"/>
        <sz val="10.0"/>
      </rPr>
      <t xml:space="preserve">ステップ1：
</t>
    </r>
    <r>
      <rPr>
        <rFont val="メイリオ"/>
        <color rgb="FF000000"/>
        <sz val="10.0"/>
      </rPr>
      <t xml:space="preserve">「ファイルアップロード画面」được hiển thị
</t>
    </r>
    <r>
      <rPr>
        <rFont val="メイリオ"/>
        <b/>
        <color rgb="FF000000"/>
        <sz val="10.0"/>
      </rPr>
      <t xml:space="preserve">補足：
</t>
    </r>
    <r>
      <rPr>
        <rFont val="メイリオ"/>
        <color rgb="FF000000"/>
        <sz val="10.0"/>
      </rPr>
      <t>・Tiêu đề trang chỉ được xuất 1 lần từ layout chung, không hiển thị trùng lặp</t>
    </r>
  </si>
  <si>
    <t>ACSMS-TC-023-021</t>
  </si>
  <si>
    <t>Hiển thị breadcrumb</t>
  </si>
  <si>
    <r>
      <rPr>
        <rFont val="メイリオ"/>
        <b/>
        <color rgb="FF000000"/>
        <sz val="10.0"/>
      </rPr>
      <t xml:space="preserve">ステップ1：
</t>
    </r>
    <r>
      <rPr>
        <rFont val="メイリオ"/>
        <color rgb="FF000000"/>
        <sz val="10.0"/>
      </rPr>
      <t>Hiển thị màn hình, xác nhận breadcrumb</t>
    </r>
  </si>
  <si>
    <r>
      <rPr>
        <rFont val="游ゴシック"/>
        <b/>
        <color rgb="FF000000"/>
        <sz val="10.0"/>
      </rPr>
      <t xml:space="preserve">ステップ1：
</t>
    </r>
    <r>
      <rPr>
        <rFont val="游ゴシック"/>
        <color rgb="FF000000"/>
        <sz val="10.0"/>
      </rPr>
      <t>「ホーム ＞ ファイルアップロード」được hiển thị</t>
    </r>
  </si>
  <si>
    <t>ACSMS-TC-023-022</t>
  </si>
  <si>
    <t>Chuyển màn khi click「ホーム」trên breadcrumb</t>
  </si>
  <si>
    <r>
      <rPr>
        <rFont val="メイリオ"/>
        <b/>
        <color rgb="FF000000"/>
        <sz val="10.0"/>
      </rPr>
      <t xml:space="preserve">ステップ1：
</t>
    </r>
    <r>
      <rPr>
        <rFont val="メイリオ"/>
        <color rgb="FF000000"/>
        <sz val="10.0"/>
      </rPr>
      <t>Click「ホーム」trên breadcrumb</t>
    </r>
  </si>
  <si>
    <r>
      <rPr>
        <rFont val="メイリオ"/>
        <b/>
        <color rgb="FF000000"/>
        <sz val="10.0"/>
      </rPr>
      <t xml:space="preserve">ステップ1：
</t>
    </r>
    <r>
      <rPr>
        <rFont val="メイリオ"/>
        <color rgb="FF000000"/>
        <sz val="10.0"/>
      </rPr>
      <t xml:space="preserve">・Chuyển sang「/dashboard」
</t>
    </r>
    <r>
      <rPr>
        <rFont val="メイリオ"/>
        <color rgb="FF000000"/>
        <sz val="10.0"/>
      </rPr>
      <t>・Màn hình menu được hiển thị</t>
    </r>
  </si>
  <si>
    <t>ACSMS-TC-023-023</t>
  </si>
  <si>
    <t>Hiển thị user đăng nhập trên header và chuyển dark mode</t>
  </si>
  <si>
    <r>
      <rPr>
        <rFont val="游ゴシック"/>
        <b/>
        <color rgb="FF000000"/>
        <sz val="10.0"/>
      </rPr>
      <t xml:space="preserve">ステップ1：
</t>
    </r>
    <r>
      <rPr>
        <rFont val="游ゴシック"/>
        <color rgb="FF000000"/>
        <sz val="10.0"/>
      </rPr>
      <t xml:space="preserve">Xác nhận hiển thị ở góc trên bên phải header
</t>
    </r>
    <r>
      <rPr>
        <rFont val="游ゴシック"/>
        <b/>
        <color rgb="FF000000"/>
        <sz val="10.0"/>
      </rPr>
      <t xml:space="preserve">ステップ2：
</t>
    </r>
    <r>
      <rPr>
        <rFont val="游ゴシック"/>
        <color rgb="FF000000"/>
        <sz val="10.0"/>
      </rPr>
      <t>Click button chuyển dark mode</t>
    </r>
  </si>
  <si>
    <r>
      <rPr>
        <rFont val="メイリオ"/>
        <b/>
        <color rgb="FF000000"/>
        <sz val="10.0"/>
      </rPr>
      <t xml:space="preserve">ステップ1：
</t>
    </r>
    <r>
      <rPr>
        <rFont val="メイリオ"/>
        <color rgb="FF000000"/>
        <sz val="10.0"/>
      </rPr>
      <t xml:space="preserve">Tên user đăng nhập được hiển thị
</t>
    </r>
    <r>
      <rPr>
        <rFont val="メイリオ"/>
        <b/>
        <color rgb="FF000000"/>
        <sz val="10.0"/>
      </rPr>
      <t xml:space="preserve">ステップ2：
</t>
    </r>
    <r>
      <rPr>
        <rFont val="メイリオ"/>
        <color rgb="FF000000"/>
        <sz val="10.0"/>
      </rPr>
      <t>Không vỡ layout, và bảng màu được chuyển đổi</t>
    </r>
  </si>
  <si>
    <t>Kiểm tra dữ liệu nhập (Input Validation)</t>
  </si>
  <si>
    <t>ACSMS-TC-023-024</t>
  </si>
  <si>
    <t>Lỗi required — chưa chọn JA đối tượng</t>
  </si>
  <si>
    <r>
      <rPr>
        <rFont val="游ゴシック"/>
        <b/>
        <color rgb="FF000000"/>
        <sz val="10.0"/>
      </rPr>
      <t xml:space="preserve">ステップ1：
</t>
    </r>
    <r>
      <rPr>
        <rFont val="游ゴシック"/>
        <color rgb="FF000000"/>
        <sz val="10.0"/>
      </rPr>
      <t xml:space="preserve">Không thêm JA đối tượng, chỉ định 1 file có đuôi được phép và ngày dự định xóa
</t>
    </r>
    <r>
      <rPr>
        <rFont val="游ゴシック"/>
        <b/>
        <color rgb="FF000000"/>
        <sz val="10.0"/>
      </rPr>
      <t xml:space="preserve">ステップ2：
</t>
    </r>
    <r>
      <rPr>
        <rFont val="游ゴシック"/>
        <color rgb="FF000000"/>
        <sz val="10.0"/>
      </rPr>
      <t>Click button「アップロード実行」</t>
    </r>
  </si>
  <si>
    <r>
      <rPr>
        <rFont val="メイリオ"/>
        <b/>
        <color rgb="FF000000"/>
        <sz val="10.0"/>
      </rPr>
      <t xml:space="preserve">ステップ1：
</t>
    </r>
    <r>
      <rPr>
        <rFont val="メイリオ"/>
        <color rgb="FF000000"/>
        <sz val="10.0"/>
      </rPr>
      <t xml:space="preserve">File và ngày dự định xóa ở trạng thái đã nhập
</t>
    </r>
    <r>
      <rPr>
        <rFont val="メイリオ"/>
        <b/>
        <color rgb="FF000000"/>
        <sz val="10.0"/>
      </rPr>
      <t xml:space="preserve">ステップ2：
</t>
    </r>
    <r>
      <rPr>
        <rFont val="メイリオ"/>
        <color rgb="FF000000"/>
        <sz val="10.0"/>
      </rPr>
      <t xml:space="preserve">・Message「必須項目です。」được hiển thị
</t>
    </r>
    <r>
      <rPr>
        <rFont val="メイリオ"/>
        <color rgb="FF000000"/>
        <sz val="10.0"/>
      </rPr>
      <t>・Xử lý upload không được thực hiện</t>
    </r>
  </si>
  <si>
    <t>ACSMS-TC-023-025</t>
  </si>
  <si>
    <t>Lỗi required — chưa chọn file</t>
  </si>
  <si>
    <r>
      <rPr>
        <rFont val="メイリオ"/>
        <b/>
        <color rgb="FF000000"/>
        <sz val="10.0"/>
      </rPr>
      <t xml:space="preserve">ステップ1：
</t>
    </r>
    <r>
      <rPr>
        <rFont val="メイリオ"/>
        <color rgb="FF000000"/>
        <sz val="10.0"/>
      </rPr>
      <t xml:space="preserve">Thêm 1 JA đối tượng, không chọn file
</t>
    </r>
    <r>
      <rPr>
        <rFont val="メイリオ"/>
        <b/>
        <color rgb="FF000000"/>
        <sz val="10.0"/>
      </rPr>
      <t xml:space="preserve">ステップ2：
</t>
    </r>
    <r>
      <rPr>
        <rFont val="メイリオ"/>
        <color rgb="FF000000"/>
        <sz val="10.0"/>
      </rPr>
      <t>Click button「アップロード実行」</t>
    </r>
  </si>
  <si>
    <r>
      <rPr>
        <rFont val="游ゴシック"/>
        <b/>
        <color rgb="FF000000"/>
        <sz val="10.0"/>
      </rPr>
      <t xml:space="preserve">ステップ1：
</t>
    </r>
    <r>
      <rPr>
        <rFont val="游ゴシック"/>
        <color rgb="FF000000"/>
        <sz val="10.0"/>
      </rPr>
      <t xml:space="preserve">1 dòng được thêm vào danh sách JA
</t>
    </r>
    <r>
      <rPr>
        <rFont val="游ゴシック"/>
        <b/>
        <color rgb="FF000000"/>
        <sz val="10.0"/>
      </rPr>
      <t xml:space="preserve">ステップ2：
</t>
    </r>
    <r>
      <rPr>
        <rFont val="游ゴシック"/>
        <color rgb="FF000000"/>
        <sz val="10.0"/>
      </rPr>
      <t>・Message「必須項目です。」được hiển thị
・Xử lý upload không được thực hiện</t>
    </r>
  </si>
  <si>
    <t>ACSMS-TC-023-026</t>
  </si>
  <si>
    <t>Lỗi required — chưa nhập ngày dự định xóa</t>
  </si>
  <si>
    <r>
      <rPr>
        <rFont val="メイリオ"/>
        <b/>
        <color rgb="FF000000"/>
        <sz val="10.0"/>
      </rPr>
      <t xml:space="preserve">ステップ1：
</t>
    </r>
    <r>
      <rPr>
        <rFont val="メイリオ"/>
        <color rgb="FF000000"/>
        <sz val="10.0"/>
      </rPr>
      <t xml:space="preserve">Thêm 1 JA đối tượng, chọn 1 file có đuôi được phép
</t>
    </r>
    <r>
      <rPr>
        <rFont val="メイリオ"/>
        <b/>
        <color rgb="FF000000"/>
        <sz val="10.0"/>
      </rPr>
      <t xml:space="preserve">ステップ2：
</t>
    </r>
    <r>
      <rPr>
        <rFont val="メイリオ"/>
        <color rgb="FF000000"/>
        <sz val="10.0"/>
      </rPr>
      <t>Để trống「削除予定日」rồi click button「アップロード実行」</t>
    </r>
  </si>
  <si>
    <r>
      <rPr>
        <rFont val="メイリオ"/>
        <b/>
        <color rgb="FF000000"/>
        <sz val="10.0"/>
      </rPr>
      <t xml:space="preserve">ステップ1：
</t>
    </r>
    <r>
      <rPr>
        <rFont val="メイリオ"/>
        <color rgb="FF000000"/>
        <sz val="10.0"/>
      </rPr>
      <t xml:space="preserve">1 dòng được thêm vào danh sách file,「削除予定日」hiển thị dưới dạng mục nhập được
</t>
    </r>
    <r>
      <rPr>
        <rFont val="メイリオ"/>
        <b/>
        <color rgb="FF000000"/>
        <sz val="10.0"/>
      </rPr>
      <t xml:space="preserve">ステップ2：
</t>
    </r>
    <r>
      <rPr>
        <rFont val="メイリオ"/>
        <color rgb="FF000000"/>
        <sz val="10.0"/>
      </rPr>
      <t xml:space="preserve">・Message「必須項目です。」được hiển thị dưới mục「削除予定日」
</t>
    </r>
    <r>
      <rPr>
        <rFont val="メイリオ"/>
        <color rgb="FF000000"/>
        <sz val="10.0"/>
      </rPr>
      <t>・Xử lý upload không được thực hiện</t>
    </r>
  </si>
  <si>
    <t>ACSMS-TC-023-027</t>
  </si>
  <si>
    <t>Thêm trùng JA đối tượng</t>
  </si>
  <si>
    <r>
      <rPr>
        <rFont val="游ゴシック"/>
        <b/>
        <color rgb="FF000000"/>
        <sz val="10.0"/>
      </rPr>
      <t xml:space="preserve">ステップ1：
</t>
    </r>
    <r>
      <rPr>
        <rFont val="游ゴシック"/>
        <color rgb="FF000000"/>
        <sz val="10.0"/>
      </rPr>
      <t xml:space="preserve">Chọn「12345：JA農業中央」ở「対象JA」, click button「追加」
</t>
    </r>
    <r>
      <rPr>
        <rFont val="游ゴシック"/>
        <b/>
        <color rgb="FF000000"/>
        <sz val="10.0"/>
      </rPr>
      <t xml:space="preserve">ステップ2：
</t>
    </r>
    <r>
      <rPr>
        <rFont val="游ゴシック"/>
        <color rgb="FF000000"/>
        <sz val="10.0"/>
      </rPr>
      <t>Chọn lại「12345：JA農業中央」, click button「追加」</t>
    </r>
  </si>
  <si>
    <r>
      <rPr>
        <rFont val="游ゴシック"/>
        <b/>
        <color rgb="FF000000"/>
        <sz val="10.0"/>
      </rPr>
      <t xml:space="preserve">ステップ1：
</t>
    </r>
    <r>
      <rPr>
        <rFont val="游ゴシック"/>
        <color rgb="FF000000"/>
        <sz val="10.0"/>
      </rPr>
      <t xml:space="preserve">「12345：JA農業中央」được thêm 1 dòng vào danh sách JA
</t>
    </r>
    <r>
      <rPr>
        <rFont val="游ゴシック"/>
        <b/>
        <color rgb="FF000000"/>
        <sz val="10.0"/>
      </rPr>
      <t xml:space="preserve">ステップ2：
</t>
    </r>
    <r>
      <rPr>
        <rFont val="游ゴシック"/>
        <color rgb="FF000000"/>
        <sz val="10.0"/>
      </rPr>
      <t>・Message「このJAは既に選択されています。」được hiển thị
・Danh sách JA vẫn giữ nguyên 1 dòng</t>
    </r>
  </si>
  <si>
    <t>ACSMS-TC-023-028</t>
  </si>
  <si>
    <t>Giá trị biên kích thước file — đúng 30MB</t>
  </si>
  <si>
    <t>・Đã đăng nhập bằng NICHINO_ADMIN (đã xác thực 2 lớp)
・Chuẩn bị file `.pdf` có kích thước đúng 31,457,280 byte (30MB)</t>
  </si>
  <si>
    <r>
      <rPr>
        <rFont val="メイリオ"/>
        <b/>
        <color rgb="FF000000"/>
        <sz val="10.0"/>
      </rPr>
      <t xml:space="preserve">ステップ1：
</t>
    </r>
    <r>
      <rPr>
        <rFont val="メイリオ"/>
        <color rgb="FF000000"/>
        <sz val="10.0"/>
      </rPr>
      <t xml:space="preserve">Chọn file đó
</t>
    </r>
    <r>
      <rPr>
        <rFont val="メイリオ"/>
        <b/>
        <color rgb="FF000000"/>
        <sz val="10.0"/>
      </rPr>
      <t xml:space="preserve">ステップ2：
</t>
    </r>
    <r>
      <rPr>
        <rFont val="メイリオ"/>
        <color rgb="FF000000"/>
        <sz val="10.0"/>
      </rPr>
      <t>Chỉ định JA đối tượng và ngày dự định xóa, click「アップロード実行」→「OK」</t>
    </r>
  </si>
  <si>
    <r>
      <rPr>
        <rFont val="游ゴシック"/>
        <b/>
        <color rgb="FF000000"/>
        <sz val="10.0"/>
      </rPr>
      <t xml:space="preserve">ステップ1：
</t>
    </r>
    <r>
      <rPr>
        <rFont val="游ゴシック"/>
        <color rgb="FF000000"/>
        <sz val="10.0"/>
      </rPr>
      <t xml:space="preserve">・Được thêm vào danh sách file
・Message lỗi không được hiển thị
</t>
    </r>
    <r>
      <rPr>
        <rFont val="游ゴシック"/>
        <b/>
        <color rgb="FF000000"/>
        <sz val="10.0"/>
      </rPr>
      <t xml:space="preserve">ステップ2：
</t>
    </r>
    <r>
      <rPr>
        <rFont val="游ゴシック"/>
        <color rgb="FF000000"/>
        <sz val="10.0"/>
      </rPr>
      <t>Trả về HTTP 202, và toast「ファイルのアップロードが完了しました。」được hiển thị</t>
    </r>
  </si>
  <si>
    <t>ACSMS-TC-023-029</t>
  </si>
  <si>
    <t>Giá trị biên kích thước file — vượt quá 30MB</t>
  </si>
  <si>
    <t>・Đã đăng nhập bằng NICHINO_ADMIN (đã xác thực 2 lớp)
・Chuẩn bị file `.pdf` có kích thước 31,457,281 byte (30MB＋1 byte, tên file `over30mb.pdf`)</t>
  </si>
  <si>
    <r>
      <rPr>
        <rFont val="メイリオ"/>
        <b/>
        <color rgb="FF000000"/>
        <sz val="10.0"/>
      </rPr>
      <t xml:space="preserve">ステップ1：
</t>
    </r>
    <r>
      <rPr>
        <rFont val="メイリオ"/>
        <color rgb="FF000000"/>
        <sz val="10.0"/>
      </rPr>
      <t xml:space="preserve">Chọn file đó
</t>
    </r>
    <r>
      <rPr>
        <rFont val="メイリオ"/>
        <b/>
        <color rgb="FF000000"/>
        <sz val="10.0"/>
      </rPr>
      <t xml:space="preserve">ステップ2：
</t>
    </r>
    <r>
      <rPr>
        <rFont val="メイリオ"/>
        <color rgb="FF000000"/>
        <sz val="10.0"/>
      </rPr>
      <t>Đính kèm trực tiếp file đó vào POST「/api/v1/file-upload」và gửi từ DevTools</t>
    </r>
  </si>
  <si>
    <r>
      <rPr>
        <rFont val="メイリオ"/>
        <b/>
        <color rgb="FF000000"/>
        <sz val="10.0"/>
      </rPr>
      <t xml:space="preserve">ステップ1：
</t>
    </r>
    <r>
      <rPr>
        <rFont val="メイリオ"/>
        <color rgb="FF000000"/>
        <sz val="10.0"/>
      </rPr>
      <t xml:space="preserve">・Message「ファイルサイズが30MBを超えています。(over30mb.pdf)」được hiển thị
</t>
    </r>
    <r>
      <rPr>
        <rFont val="メイリオ"/>
        <color rgb="FF000000"/>
        <sz val="10.0"/>
      </rPr>
      <t xml:space="preserve">・Không được thêm vào danh sách file
</t>
    </r>
    <r>
      <rPr>
        <rFont val="メイリオ"/>
        <b/>
        <color rgb="FF000000"/>
        <sz val="10.0"/>
      </rPr>
      <t xml:space="preserve">ステップ2：
</t>
    </r>
    <r>
      <rPr>
        <rFont val="メイリオ"/>
        <color rgb="FF000000"/>
        <sz val="10.0"/>
      </rPr>
      <t xml:space="preserve">Trả về HTTP 400 (`error_code: FILE_SIZE_EXCEEDED`, message `ファイルサイズが30MBを超えています。`)
</t>
    </r>
    <r>
      <rPr>
        <rFont val="メイリオ"/>
        <b/>
        <color rgb="FF000000"/>
        <sz val="10.0"/>
      </rPr>
      <t xml:space="preserve">補足：
</t>
    </r>
    <r>
      <rPr>
        <rFont val="メイリオ"/>
        <color rgb="FF000000"/>
        <sz val="10.0"/>
      </rPr>
      <t>・Bị từ chối ở cả phía màn hình và phía server</t>
    </r>
  </si>
  <si>
    <t>Ví dụ response lỗi trong API設計書 ghi `ファイルサイズが上限（10MB）を超えています。` nhưng giới hạn trong danh sách lỗi và 画面設計書 機能定義 4.2 là 30MB. Cần sửa ví dụ response ở bản phát hành tiếp theo.</t>
  </si>
  <si>
    <t>ACSMS-TC-023-030</t>
  </si>
  <si>
    <t>Chấp nhận các đuôi file được phép</t>
  </si>
  <si>
    <t>・Đã đăng nhập bằng NICHINO_ADMIN (đã xác thực 2 lớp)
・Chuẩn bị mỗi loại 1 file cho 13 đuôi được phép (`.xlsx` `.xls` `.pdf` `.jpg` `.jpeg` `.png` `.doc` `.docx` `.pptx` `.ppt` `.csv` `.txt` `.zip`)</t>
  </si>
  <si>
    <r>
      <rPr>
        <rFont val="メイリオ"/>
        <b/>
        <color rgb="FF000000"/>
        <sz val="10.0"/>
      </rPr>
      <t xml:space="preserve">ステップ1：
</t>
    </r>
    <r>
      <rPr>
        <rFont val="メイリオ"/>
        <color rgb="FF000000"/>
        <sz val="10.0"/>
      </rPr>
      <t xml:space="preserve">Chọn lần lượt 13 file
</t>
    </r>
    <r>
      <rPr>
        <rFont val="メイリオ"/>
        <b/>
        <color rgb="FF000000"/>
        <sz val="10.0"/>
      </rPr>
      <t xml:space="preserve">ステップ2：
</t>
    </r>
    <r>
      <rPr>
        <rFont val="メイリオ"/>
        <color rgb="FF000000"/>
        <sz val="10.0"/>
      </rPr>
      <t>Chỉ định JA đối tượng và ngày dự định xóa, click「アップロード実行」→「OK」</t>
    </r>
  </si>
  <si>
    <r>
      <rPr>
        <rFont val="メイリオ"/>
        <b/>
        <color rgb="FF000000"/>
        <sz val="10.0"/>
      </rPr>
      <t xml:space="preserve">ステップ1：
</t>
    </r>
    <r>
      <rPr>
        <rFont val="メイリオ"/>
        <color rgb="FF000000"/>
        <sz val="10.0"/>
      </rPr>
      <t xml:space="preserve">・Cả 13 file được thêm vào danh sách file
</t>
    </r>
    <r>
      <rPr>
        <rFont val="メイリオ"/>
        <color rgb="FF000000"/>
        <sz val="10.0"/>
      </rPr>
      <t xml:space="preserve">・Message lỗi không được hiển thị
</t>
    </r>
    <r>
      <rPr>
        <rFont val="メイリオ"/>
        <b/>
        <color rgb="FF000000"/>
        <sz val="10.0"/>
      </rPr>
      <t xml:space="preserve">ステップ2：
</t>
    </r>
    <r>
      <rPr>
        <rFont val="メイリオ"/>
        <color rgb="FF000000"/>
        <sz val="10.0"/>
      </rPr>
      <t xml:space="preserve">Trả về HTTP 202, và 13 dữ liệu được đăng ký
</t>
    </r>
    <r>
      <rPr>
        <rFont val="メイリオ"/>
        <b/>
        <color rgb="FF000000"/>
        <sz val="10.0"/>
      </rPr>
      <t xml:space="preserve">補足：
</t>
    </r>
    <r>
      <rPr>
        <rFont val="メイリオ"/>
        <color rgb="FF000000"/>
        <sz val="10.0"/>
      </rPr>
      <t>・Danh sách đuôi được phép ở phía màn hình và phía server khớp nhau</t>
    </r>
  </si>
  <si>
    <t>API設計書 §4.1 ghi「以下 12 拡張子のみ許可」nhưng số đuôi được liệt kê là 13. Cần sửa cách ghi số lượng ở bản phát hành tiếp theo.</t>
  </si>
  <si>
    <t>ACSMS-TC-023-031</t>
  </si>
  <si>
    <t>Từ chối đuôi file không được phép</t>
  </si>
  <si>
    <t>・Đã đăng nhập bằng NICHINO_ADMIN (đã xác thực 2 lớp)
・Chuẩn bị file có đuôi `.exe` (tên file `test.exe`)</t>
  </si>
  <si>
    <r>
      <rPr>
        <rFont val="メイリオ"/>
        <b/>
        <color rgb="FF000000"/>
        <sz val="10.0"/>
      </rPr>
      <t xml:space="preserve">ステップ1：
</t>
    </r>
    <r>
      <rPr>
        <rFont val="メイリオ"/>
        <color rgb="FF000000"/>
        <sz val="10.0"/>
      </rPr>
      <t xml:space="preserve">Chọn `test.exe`
</t>
    </r>
    <r>
      <rPr>
        <rFont val="メイリオ"/>
        <b/>
        <color rgb="FF000000"/>
        <sz val="10.0"/>
      </rPr>
      <t xml:space="preserve">ステップ2：
</t>
    </r>
    <r>
      <rPr>
        <rFont val="メイリオ"/>
        <color rgb="FF000000"/>
        <sz val="10.0"/>
      </rPr>
      <t>Đính kèm trực tiếp `test.exe` vào POST「/api/v1/file-upload」và gửi từ DevTools</t>
    </r>
  </si>
  <si>
    <r>
      <rPr>
        <rFont val="メイリオ"/>
        <b/>
        <color rgb="FF000000"/>
        <sz val="10.0"/>
      </rPr>
      <t xml:space="preserve">ステップ1：
</t>
    </r>
    <r>
      <rPr>
        <rFont val="メイリオ"/>
        <color rgb="FF000000"/>
        <sz val="10.0"/>
      </rPr>
      <t xml:space="preserve">・Message「許可されていないファイル形式です。(test.exe)」được hiển thị
</t>
    </r>
    <r>
      <rPr>
        <rFont val="メイリオ"/>
        <color rgb="FF000000"/>
        <sz val="10.0"/>
      </rPr>
      <t xml:space="preserve">・Không được thêm vào danh sách file
</t>
    </r>
    <r>
      <rPr>
        <rFont val="メイリオ"/>
        <b/>
        <color rgb="FF000000"/>
        <sz val="10.0"/>
      </rPr>
      <t xml:space="preserve">ステップ2：
</t>
    </r>
    <r>
      <rPr>
        <rFont val="メイリオ"/>
        <color rgb="FF000000"/>
        <sz val="10.0"/>
      </rPr>
      <t>Trả về HTTP 400 (`error_code: FILE_FORMAT_ERROR`, message `許可されていないファイル形式です。`)</t>
    </r>
  </si>
  <si>
    <t>ACSMS-TC-023-032</t>
  </si>
  <si>
    <t>Phân biệt chữ hoa chữ thường của đuôi file (IMG.JPG)</t>
  </si>
  <si>
    <t>・Đã đăng nhập bằng NICHINO_ADMIN (đã xác thực 2 lớp)
・Chuẩn bị file tên `IMG.JPG` (đuôi viết hoa)</t>
  </si>
  <si>
    <r>
      <rPr>
        <rFont val="メイリオ"/>
        <b/>
        <color rgb="FF000000"/>
        <sz val="10.0"/>
      </rPr>
      <t xml:space="preserve">ステップ1：
</t>
    </r>
    <r>
      <rPr>
        <rFont val="メイリオ"/>
        <color rgb="FF000000"/>
        <sz val="10.0"/>
      </rPr>
      <t xml:space="preserve">Chọn `IMG.JPG`
</t>
    </r>
    <r>
      <rPr>
        <rFont val="メイリオ"/>
        <b/>
        <color rgb="FF000000"/>
        <sz val="10.0"/>
      </rPr>
      <t xml:space="preserve">ステップ2：
</t>
    </r>
    <r>
      <rPr>
        <rFont val="メイリオ"/>
        <color rgb="FF000000"/>
        <sz val="10.0"/>
      </rPr>
      <t>Chỉ định JA đối tượng và ngày dự định xóa, click「アップロード実行」→「OK」</t>
    </r>
  </si>
  <si>
    <r>
      <rPr>
        <rFont val="メイリオ"/>
        <b/>
        <color rgb="FF000000"/>
        <sz val="10.0"/>
      </rPr>
      <t xml:space="preserve">ステップ1：
</t>
    </r>
    <r>
      <rPr>
        <rFont val="メイリオ"/>
        <color rgb="FF000000"/>
        <sz val="10.0"/>
      </rPr>
      <t xml:space="preserve">・Được thêm vào danh sách file
</t>
    </r>
    <r>
      <rPr>
        <rFont val="メイリオ"/>
        <color rgb="FF000000"/>
        <sz val="10.0"/>
      </rPr>
      <t xml:space="preserve">・Message lỗi không được hiển thị
</t>
    </r>
    <r>
      <rPr>
        <rFont val="メイリオ"/>
        <b/>
        <color rgb="FF000000"/>
        <sz val="10.0"/>
      </rPr>
      <t xml:space="preserve">ステップ2：
</t>
    </r>
    <r>
      <rPr>
        <rFont val="メイリオ"/>
        <color rgb="FF000000"/>
        <sz val="10.0"/>
      </rPr>
      <t xml:space="preserve">Trả về HTTP 202
</t>
    </r>
    <r>
      <rPr>
        <rFont val="メイリオ"/>
        <b/>
        <color rgb="FF000000"/>
        <sz val="10.0"/>
      </rPr>
      <t xml:space="preserve">補足：
</t>
    </r>
    <r>
      <rPr>
        <rFont val="メイリオ"/>
        <color rgb="FF000000"/>
        <sz val="10.0"/>
      </rPr>
      <t>・Đuôi file được chuyển về chữ thường để phán định</t>
    </r>
  </si>
  <si>
    <t>ACSMS-TC-023-033</t>
  </si>
  <si>
    <t>Chỉ định ngày quá khứ cho ngày dự định xóa</t>
  </si>
  <si>
    <t>・Đã đăng nhập bằng NICHINO_ADMIN (đã xác thực 2 lớp)
・Đã chọn 1 file có đuôi được phép</t>
  </si>
  <si>
    <r>
      <rPr>
        <rFont val="游ゴシック"/>
        <b/>
        <color rgb="FF000000"/>
        <sz val="10.0"/>
      </rPr>
      <t xml:space="preserve">ステップ1：
</t>
    </r>
    <r>
      <rPr>
        <rFont val="游ゴシック"/>
        <color rgb="FF000000"/>
        <sz val="10.0"/>
      </rPr>
      <t xml:space="preserve">Chọn ngày hôm trước trên calendar của「削除予定日」
</t>
    </r>
    <r>
      <rPr>
        <rFont val="游ゴシック"/>
        <b/>
        <color rgb="FF000000"/>
        <sz val="10.0"/>
      </rPr>
      <t xml:space="preserve">ステップ2：
</t>
    </r>
    <r>
      <rPr>
        <rFont val="游ゴシック"/>
        <color rgb="FF000000"/>
        <sz val="10.0"/>
      </rPr>
      <t xml:space="preserve">Gửi POST「/api/v1/file-upload」từ DevTools với `scheduled_delete_date` là ngày hôm trước
</t>
    </r>
    <r>
      <rPr>
        <rFont val="游ゴシック"/>
        <b/>
        <color rgb="FF000000"/>
        <sz val="10.0"/>
      </rPr>
      <t xml:space="preserve">ステップ3：
</t>
    </r>
    <r>
      <rPr>
        <rFont val="游ゴシック"/>
        <color rgb="FF000000"/>
        <sz val="10.0"/>
      </rPr>
      <t>Thực thi query sau trên DB, xác nhận số lượng
```sql
SELECT COUNT(*) FROM t_file_upload WHERE upload_datetime &gt;= :thời điểm bắt đầu test;
```</t>
    </r>
  </si>
  <si>
    <r>
      <rPr>
        <rFont val="メイリオ"/>
        <b/>
        <color rgb="FF000000"/>
        <sz val="10.0"/>
      </rPr>
      <t xml:space="preserve">ステップ1：
</t>
    </r>
    <r>
      <rPr>
        <rFont val="メイリオ"/>
        <color rgb="FF000000"/>
        <sz val="10.0"/>
      </rPr>
      <t xml:space="preserve">Không thể chọn ô ngày quá khứ
</t>
    </r>
    <r>
      <rPr>
        <rFont val="メイリオ"/>
        <b/>
        <color rgb="FF000000"/>
        <sz val="10.0"/>
      </rPr>
      <t xml:space="preserve">ステップ2：
</t>
    </r>
    <r>
      <rPr>
        <rFont val="メイリオ"/>
        <color rgb="FF000000"/>
        <sz val="10.0"/>
      </rPr>
      <t xml:space="preserve">Trả về HTTP 400 (`error_code: VALIDATION_ERROR`, `errors[0].field` là `scheduled_delete_date`, `errors[0].message` là `削除予定日は本日以降の日付を指定してください。`)
</t>
    </r>
    <r>
      <rPr>
        <rFont val="メイリオ"/>
        <b/>
        <color rgb="FF000000"/>
        <sz val="10.0"/>
      </rPr>
      <t xml:space="preserve">ステップ3：
</t>
    </r>
    <r>
      <rPr>
        <rFont val="メイリオ"/>
        <color rgb="FF000000"/>
        <sz val="10.0"/>
      </rPr>
      <t xml:space="preserve">・Dữ liệu không được đăng ký
</t>
    </r>
    <r>
      <rPr>
        <rFont val="メイリオ"/>
        <color rgb="FF000000"/>
        <sz val="10.0"/>
      </rPr>
      <t xml:space="preserve">・File vật lý không được lưu vào storage
</t>
    </r>
    <r>
      <rPr>
        <rFont val="メイリオ"/>
        <b/>
        <color rgb="FF000000"/>
        <sz val="10.0"/>
      </rPr>
      <t xml:space="preserve">補足：
</t>
    </r>
    <r>
      <rPr>
        <rFont val="メイリオ"/>
        <color rgb="FF000000"/>
        <sz val="10.0"/>
      </rPr>
      <t>・Biên của ngày được phán định theo giờ chuẩn Nhật Bản (JST)</t>
    </r>
  </si>
  <si>
    <t>ACSMS-TC-023-034</t>
  </si>
  <si>
    <t>Chỉ định ngày hôm nay cho ngày dự định xóa (giá trị biên)</t>
  </si>
  <si>
    <r>
      <rPr>
        <rFont val="游ゴシック"/>
        <b/>
        <color rgb="FF000000"/>
        <sz val="10.0"/>
      </rPr>
      <t xml:space="preserve">ステップ1：
</t>
    </r>
    <r>
      <rPr>
        <rFont val="游ゴシック"/>
        <color rgb="FF000000"/>
        <sz val="10.0"/>
      </rPr>
      <t xml:space="preserve">Chọn ngày hôm nay trên calendar của「削除予定日」
</t>
    </r>
    <r>
      <rPr>
        <rFont val="游ゴシック"/>
        <b/>
        <color rgb="FF000000"/>
        <sz val="10.0"/>
      </rPr>
      <t xml:space="preserve">ステップ2：
</t>
    </r>
    <r>
      <rPr>
        <rFont val="游ゴシック"/>
        <color rgb="FF000000"/>
        <sz val="10.0"/>
      </rPr>
      <t xml:space="preserve">Chỉ định JA đối tượng và 1 file có đuôi được phép, click「アップロード実行」→「OK」
</t>
    </r>
    <r>
      <rPr>
        <rFont val="游ゴシック"/>
        <b/>
        <color rgb="FF000000"/>
        <sz val="10.0"/>
      </rPr>
      <t xml:space="preserve">ステップ3：
</t>
    </r>
    <r>
      <rPr>
        <rFont val="游ゴシック"/>
        <color rgb="FF000000"/>
        <sz val="10.0"/>
      </rPr>
      <t>Thực thi query sau trên DB, xác nhận giá trị đã đăng ký
```sql
SELECT scheduled_delete_date FROM t_file_upload ORDER BY file_upload_id DESC LIMIT 1;
```</t>
    </r>
  </si>
  <si>
    <r>
      <rPr>
        <rFont val="游ゴシック"/>
        <b/>
        <color rgb="FF000000"/>
        <sz val="10.0"/>
      </rPr>
      <t xml:space="preserve">ステップ1：
</t>
    </r>
    <r>
      <rPr>
        <rFont val="游ゴシック"/>
        <color rgb="FF000000"/>
        <sz val="10.0"/>
      </rPr>
      <t xml:space="preserve">Có thể chọn ô ngày hôm nay
</t>
    </r>
    <r>
      <rPr>
        <rFont val="游ゴシック"/>
        <b/>
        <color rgb="FF000000"/>
        <sz val="10.0"/>
      </rPr>
      <t xml:space="preserve">ステップ2：
</t>
    </r>
    <r>
      <rPr>
        <rFont val="游ゴシック"/>
        <color rgb="FF000000"/>
        <sz val="10.0"/>
      </rPr>
      <t xml:space="preserve">Trả về HTTP 202
</t>
    </r>
    <r>
      <rPr>
        <rFont val="游ゴシック"/>
        <b/>
        <color rgb="FF000000"/>
        <sz val="10.0"/>
      </rPr>
      <t xml:space="preserve">ステップ3：
</t>
    </r>
    <r>
      <rPr>
        <rFont val="游ゴシック"/>
        <color rgb="FF000000"/>
        <sz val="10.0"/>
      </rPr>
      <t>Ngày hôm nay được lưu vào `scheduled_delete_date`</t>
    </r>
  </si>
  <si>
    <t>ACSMS-TC-023-035</t>
  </si>
  <si>
    <t>Hiển thị tên file chứa ký tự đặc biệt</t>
  </si>
  <si>
    <t>・Đã đăng nhập bằng NICHINO_ADMIN (đã xác thực 2 lớp)
・Chuẩn bị file tên `&lt;script&gt;alert(1)&lt;/script&gt;.txt`</t>
  </si>
  <si>
    <r>
      <rPr>
        <rFont val="游ゴシック"/>
        <b/>
        <color rgb="FF000000"/>
        <sz val="10.0"/>
      </rPr>
      <t xml:space="preserve">ステップ1：
</t>
    </r>
    <r>
      <rPr>
        <rFont val="游ゴシック"/>
        <color rgb="FF000000"/>
        <sz val="10.0"/>
      </rPr>
      <t xml:space="preserve">Chọn file đó và thực hiện upload
</t>
    </r>
    <r>
      <rPr>
        <rFont val="游ゴシック"/>
        <b/>
        <color rgb="FF000000"/>
        <sz val="10.0"/>
      </rPr>
      <t xml:space="preserve">ステップ2：
</t>
    </r>
    <r>
      <rPr>
        <rFont val="游ゴシック"/>
        <color rgb="FF000000"/>
        <sz val="10.0"/>
      </rPr>
      <t xml:space="preserve">Xác nhận hiển thị của「アップロードされたファイルリスト」
</t>
    </r>
    <r>
      <rPr>
        <rFont val="游ゴシック"/>
        <b/>
        <color rgb="FF000000"/>
        <sz val="10.0"/>
      </rPr>
      <t xml:space="preserve">ステップ3：
</t>
    </r>
    <r>
      <rPr>
        <rFont val="游ゴシック"/>
        <color rgb="FF000000"/>
        <sz val="10.0"/>
      </rPr>
      <t>Tải lại màn hình, xác nhận lại hiển thị</t>
    </r>
  </si>
  <si>
    <r>
      <rPr>
        <rFont val="メイリオ"/>
        <b/>
        <color rgb="FF000000"/>
        <sz val="10.0"/>
      </rPr>
      <t xml:space="preserve">ステップ1：
</t>
    </r>
    <r>
      <rPr>
        <rFont val="メイリオ"/>
        <color rgb="FF000000"/>
        <sz val="10.0"/>
      </rPr>
      <t xml:space="preserve">Trả về HTTP 202
</t>
    </r>
    <r>
      <rPr>
        <rFont val="メイリオ"/>
        <b/>
        <color rgb="FF000000"/>
        <sz val="10.0"/>
      </rPr>
      <t xml:space="preserve">ステップ2：
</t>
    </r>
    <r>
      <rPr>
        <rFont val="メイリオ"/>
        <color rgb="FF000000"/>
        <sz val="10.0"/>
      </rPr>
      <t xml:space="preserve">・Tên file được hiển thị nguyên dạng chuỗi ký tự
</t>
    </r>
    <r>
      <rPr>
        <rFont val="メイリオ"/>
        <color rgb="FF000000"/>
        <sz val="10.0"/>
      </rPr>
      <t xml:space="preserve">・Dialog (alert) không được hiển thị
</t>
    </r>
    <r>
      <rPr>
        <rFont val="メイリオ"/>
        <b/>
        <color rgb="FF000000"/>
        <sz val="10.0"/>
      </rPr>
      <t xml:space="preserve">ステップ3：
</t>
    </r>
    <r>
      <rPr>
        <rFont val="メイリオ"/>
        <color rgb="FF000000"/>
        <sz val="10.0"/>
      </rPr>
      <t xml:space="preserve">・Tên file được hiển thị nguyên dạng chuỗi ký tự
</t>
    </r>
    <r>
      <rPr>
        <rFont val="メイリオ"/>
        <color rgb="FF000000"/>
        <sz val="10.0"/>
      </rPr>
      <t xml:space="preserve">・Dialog (alert) không được hiển thị
</t>
    </r>
    <r>
      <rPr>
        <rFont val="メイリオ"/>
        <b/>
        <color rgb="FF000000"/>
        <sz val="10.0"/>
      </rPr>
      <t xml:space="preserve">補足：
</t>
    </r>
    <r>
      <rPr>
        <rFont val="メイリオ"/>
        <color rgb="FF000000"/>
        <sz val="10.0"/>
      </rPr>
      <t xml:space="preserve">・Không phát sinh XSS lưu trữ
</t>
    </r>
    <r>
      <rPr>
        <rFont val="メイリオ"/>
        <color rgb="FF000000"/>
        <sz val="10.0"/>
      </rPr>
      <t>・Chuỗi ký tự đã nhập được lưu nguyên dạng vào DB</t>
    </r>
  </si>
  <si>
    <t>ACSMS-TC-023-036</t>
  </si>
  <si>
    <t>Xác nhận lỗi font tên file chứa tiếng Nhật</t>
  </si>
  <si>
    <t>・Đã đăng nhập bằng NICHINO_ADMIN (đã xác thực 2 lớp)
・Chuẩn bị file tên `令和5年度_購読者リスト.csv`</t>
  </si>
  <si>
    <r>
      <rPr>
        <rFont val="游ゴシック"/>
        <b/>
        <color rgb="FF000000"/>
        <sz val="10.0"/>
      </rPr>
      <t xml:space="preserve">ステップ1：
</t>
    </r>
    <r>
      <rPr>
        <rFont val="游ゴシック"/>
        <color rgb="FF000000"/>
        <sz val="10.0"/>
      </rPr>
      <t xml:space="preserve">Chọn file đó và thực hiện upload
</t>
    </r>
    <r>
      <rPr>
        <rFont val="游ゴシック"/>
        <b/>
        <color rgb="FF000000"/>
        <sz val="10.0"/>
      </rPr>
      <t xml:space="preserve">ステップ2：
</t>
    </r>
    <r>
      <rPr>
        <rFont val="游ゴシック"/>
        <color rgb="FF000000"/>
        <sz val="10.0"/>
      </rPr>
      <t xml:space="preserve">Xác nhận hiển thị của「アップロードされたファイルリスト」
</t>
    </r>
    <r>
      <rPr>
        <rFont val="游ゴシック"/>
        <b/>
        <color rgb="FF000000"/>
        <sz val="10.0"/>
      </rPr>
      <t xml:space="preserve">ステップ3：
</t>
    </r>
    <r>
      <rPr>
        <rFont val="游ゴシック"/>
        <color rgb="FF000000"/>
        <sz val="10.0"/>
      </rPr>
      <t>Thực thi query sau trên DB, xác nhận giá trị đã đăng ký
```sql
SELECT file_name, file_path FROM t_file_upload ORDER BY file_upload_id DESC LIMIT 1;
```</t>
    </r>
  </si>
  <si>
    <r>
      <rPr>
        <rFont val="メイリオ"/>
        <b/>
        <color rgb="FF000000"/>
        <sz val="10.0"/>
      </rPr>
      <t xml:space="preserve">ステップ1：
</t>
    </r>
    <r>
      <rPr>
        <rFont val="メイリオ"/>
        <color rgb="FF000000"/>
        <sz val="10.0"/>
      </rPr>
      <t xml:space="preserve">Trả về HTTP 202
</t>
    </r>
    <r>
      <rPr>
        <rFont val="メイリオ"/>
        <b/>
        <color rgb="FF000000"/>
        <sz val="10.0"/>
      </rPr>
      <t xml:space="preserve">ステップ2：
</t>
    </r>
    <r>
      <rPr>
        <rFont val="メイリオ"/>
        <color rgb="FF000000"/>
        <sz val="10.0"/>
      </rPr>
      <t xml:space="preserve">Tên file được hiển thị không bị lỗi font
</t>
    </r>
    <r>
      <rPr>
        <rFont val="メイリオ"/>
        <b/>
        <color rgb="FF000000"/>
        <sz val="10.0"/>
      </rPr>
      <t xml:space="preserve">ステップ3：
</t>
    </r>
    <r>
      <rPr>
        <rFont val="メイリオ"/>
        <color rgb="FF000000"/>
        <sz val="10.0"/>
      </rPr>
      <t>`令和5年度_購読者リスト.csv` được lưu vào `file_name`</t>
    </r>
  </si>
  <si>
    <t>ACSMS-TC-023-037</t>
  </si>
  <si>
    <t>Kiểm tra required phía server — chưa chỉ định JA đối tượng</t>
  </si>
  <si>
    <r>
      <rPr>
        <rFont val="游ゴシック"/>
        <b/>
        <color rgb="FF000000"/>
        <sz val="10.0"/>
      </rPr>
      <t xml:space="preserve">ステップ1：
</t>
    </r>
    <r>
      <rPr>
        <rFont val="游ゴシック"/>
        <color rgb="FF000000"/>
        <sz val="10.0"/>
      </rPr>
      <t xml:space="preserve">Gửi POST「/api/v1/file-upload」từ DevTools mà không kèm `ja_ids` (chỉ đính kèm 1 file có đuôi được phép)
</t>
    </r>
    <r>
      <rPr>
        <rFont val="游ゴシック"/>
        <b/>
        <color rgb="FF000000"/>
        <sz val="10.0"/>
      </rPr>
      <t xml:space="preserve">ステップ2：
</t>
    </r>
    <r>
      <rPr>
        <rFont val="游ゴシック"/>
        <color rgb="FF000000"/>
        <sz val="10.0"/>
      </rPr>
      <t>Gửi với `ja_ids[]` là mảng rỗng</t>
    </r>
  </si>
  <si>
    <r>
      <rPr>
        <rFont val="游ゴシック"/>
        <b/>
        <color rgb="FF000000"/>
        <sz val="10.0"/>
      </rPr>
      <t xml:space="preserve">ステップ1：
</t>
    </r>
    <r>
      <rPr>
        <rFont val="游ゴシック"/>
        <color rgb="FF000000"/>
        <sz val="10.0"/>
      </rPr>
      <t xml:space="preserve">Trả về HTTP 400 (`error_code: VALIDATION_ERROR`, `errors[0].field` là `ja_ids`, `errors[0].message` là `対象JAを1つ以上選択してください。`)
</t>
    </r>
    <r>
      <rPr>
        <rFont val="游ゴシック"/>
        <b/>
        <color rgb="FF000000"/>
        <sz val="10.0"/>
      </rPr>
      <t xml:space="preserve">ステップ2：
</t>
    </r>
    <r>
      <rPr>
        <rFont val="游ゴシック"/>
        <color rgb="FF000000"/>
        <sz val="10.0"/>
      </rPr>
      <t xml:space="preserve">Trả về HTTP 400 (`error_code: TARGET_JA_REQUIRED`, message `対象JAを1つ以上選択してください。`)
</t>
    </r>
    <r>
      <rPr>
        <rFont val="游ゴシック"/>
        <b/>
        <color rgb="FF000000"/>
        <sz val="10.0"/>
      </rPr>
      <t xml:space="preserve">補足：
</t>
    </r>
    <r>
      <rPr>
        <rFont val="游ゴシック"/>
        <color rgb="FF000000"/>
        <sz val="10.0"/>
      </rPr>
      <t>・Dù bypass được kiểm tra required phía màn hình vẫn bị từ chối ở phía server</t>
    </r>
  </si>
  <si>
    <t>Nghiệp vụ — Upload (Function — Upload)</t>
  </si>
  <si>
    <t>ACSMS-TC-023-038</t>
  </si>
  <si>
    <t>Thêm・xóa JA đối tượng</t>
  </si>
  <si>
    <r>
      <rPr>
        <rFont val="游ゴシック"/>
        <b/>
        <color rgb="FF000000"/>
        <sz val="10.0"/>
      </rPr>
      <t xml:space="preserve">ステップ1：
</t>
    </r>
    <r>
      <rPr>
        <rFont val="游ゴシック"/>
        <color rgb="FF000000"/>
        <sz val="10.0"/>
      </rPr>
      <t xml:space="preserve">Chọn「13 東京都」ở「都道府県コード」, chọn 1 JA ở「対象JA」rồi click button「追加」
</t>
    </r>
    <r>
      <rPr>
        <rFont val="游ゴシック"/>
        <b/>
        <color rgb="FF000000"/>
        <sz val="10.0"/>
      </rPr>
      <t xml:space="preserve">ステップ2：
</t>
    </r>
    <r>
      <rPr>
        <rFont val="游ゴシック"/>
        <color rgb="FF000000"/>
        <sz val="10.0"/>
      </rPr>
      <t xml:space="preserve">Chọn thêm 1 JA khác rồi click button「追加」
</t>
    </r>
    <r>
      <rPr>
        <rFont val="游ゴシック"/>
        <b/>
        <color rgb="FF000000"/>
        <sz val="10.0"/>
      </rPr>
      <t xml:space="preserve">ステップ3：
</t>
    </r>
    <r>
      <rPr>
        <rFont val="游ゴシック"/>
        <color rgb="FF000000"/>
        <sz val="10.0"/>
      </rPr>
      <t>Click button「削除」của JA thứ nhất</t>
    </r>
  </si>
  <si>
    <r>
      <rPr>
        <rFont val="メイリオ"/>
        <b/>
        <color rgb="FF000000"/>
        <sz val="10.0"/>
      </rPr>
      <t xml:space="preserve">ステップ1：
</t>
    </r>
    <r>
      <rPr>
        <rFont val="メイリオ"/>
        <color rgb="FF000000"/>
        <sz val="10.0"/>
      </rPr>
      <t xml:space="preserve">「JA code + JA name」được thêm 1 dòng vào danh sách JA
</t>
    </r>
    <r>
      <rPr>
        <rFont val="メイリオ"/>
        <b/>
        <color rgb="FF000000"/>
        <sz val="10.0"/>
      </rPr>
      <t xml:space="preserve">ステップ2：
</t>
    </r>
    <r>
      <rPr>
        <rFont val="メイリオ"/>
        <color rgb="FF000000"/>
        <sz val="10.0"/>
      </rPr>
      <t xml:space="preserve">Danh sách JA thành 2 dòng
</t>
    </r>
    <r>
      <rPr>
        <rFont val="メイリオ"/>
        <b/>
        <color rgb="FF000000"/>
        <sz val="10.0"/>
      </rPr>
      <t xml:space="preserve">ステップ3：
</t>
    </r>
    <r>
      <rPr>
        <rFont val="メイリオ"/>
        <color rgb="FF000000"/>
        <sz val="10.0"/>
      </rPr>
      <t xml:space="preserve">・Dialog xác nhận không được hiển thị
</t>
    </r>
    <r>
      <rPr>
        <rFont val="メイリオ"/>
        <color rgb="FF000000"/>
        <sz val="10.0"/>
      </rPr>
      <t>・Danh sách JA thành 1 dòng</t>
    </r>
  </si>
  <si>
    <t>ACSMS-TC-023-039</t>
  </si>
  <si>
    <t>Dialog xác nhận upload</t>
  </si>
  <si>
    <r>
      <rPr>
        <rFont val="游ゴシック"/>
        <b/>
        <color rgb="FF000000"/>
        <sz val="10.0"/>
      </rPr>
      <t xml:space="preserve">ステップ1：
</t>
    </r>
    <r>
      <rPr>
        <rFont val="游ゴシック"/>
        <color rgb="FF000000"/>
        <sz val="10.0"/>
      </rPr>
      <t xml:space="preserve">Chỉ định 1 JA đối tượng, 1 file có đuôi được phép, ngày dự định xóa, click button「アップロード実行」
</t>
    </r>
    <r>
      <rPr>
        <rFont val="游ゴシック"/>
        <b/>
        <color rgb="FF000000"/>
        <sz val="10.0"/>
      </rPr>
      <t xml:space="preserve">ステップ2：
</t>
    </r>
    <r>
      <rPr>
        <rFont val="游ゴシック"/>
        <color rgb="FF000000"/>
        <sz val="10.0"/>
      </rPr>
      <t xml:space="preserve">Click「キャンセル」trên dialog được hiển thị
</t>
    </r>
    <r>
      <rPr>
        <rFont val="游ゴシック"/>
        <b/>
        <color rgb="FF000000"/>
        <sz val="10.0"/>
      </rPr>
      <t xml:space="preserve">ステップ3：
</t>
    </r>
    <r>
      <rPr>
        <rFont val="游ゴシック"/>
        <color rgb="FF000000"/>
        <sz val="10.0"/>
      </rPr>
      <t>Click lại button「アップロード実行」rồi click「OK」</t>
    </r>
  </si>
  <si>
    <r>
      <rPr>
        <rFont val="メイリオ"/>
        <b/>
        <color rgb="FF000000"/>
        <sz val="10.0"/>
      </rPr>
      <t xml:space="preserve">ステップ1：
</t>
    </r>
    <r>
      <rPr>
        <rFont val="メイリオ"/>
        <color rgb="FF000000"/>
        <sz val="10.0"/>
      </rPr>
      <t xml:space="preserve">Dialog chứa message xác nhận「このファイルをアップロードしますか？」được hiển thị
</t>
    </r>
    <r>
      <rPr>
        <rFont val="メイリオ"/>
        <b/>
        <color rgb="FF000000"/>
        <sz val="10.0"/>
      </rPr>
      <t xml:space="preserve">ステップ2：
</t>
    </r>
    <r>
      <rPr>
        <rFont val="メイリオ"/>
        <color rgb="FF000000"/>
        <sz val="10.0"/>
      </rPr>
      <t xml:space="preserve">・Xử lý không được thực hiện
</t>
    </r>
    <r>
      <rPr>
        <rFont val="メイリオ"/>
        <color rgb="FF000000"/>
        <sz val="10.0"/>
      </rPr>
      <t xml:space="preserve">・JA và file đã chọn được giữ lại
</t>
    </r>
    <r>
      <rPr>
        <rFont val="メイリオ"/>
        <b/>
        <color rgb="FF000000"/>
        <sz val="10.0"/>
      </rPr>
      <t xml:space="preserve">ステップ3：
</t>
    </r>
    <r>
      <rPr>
        <rFont val="メイリオ"/>
        <color rgb="FF000000"/>
        <sz val="10.0"/>
      </rPr>
      <t>Trả về HTTP 202, và toast「ファイルのアップロードが完了しました。」được hiển thị</t>
    </r>
  </si>
  <si>
    <t>ACSMS-TC-023-040</t>
  </si>
  <si>
    <t>Upload thành công — 1 JA × 1 file</t>
  </si>
  <si>
    <r>
      <rPr>
        <rFont val="游ゴシック"/>
        <b/>
        <color rgb="FF000000"/>
        <sz val="10.0"/>
      </rPr>
      <t xml:space="preserve">ステップ1：
</t>
    </r>
    <r>
      <rPr>
        <rFont val="游ゴシック"/>
        <color rgb="FF000000"/>
        <sz val="10.0"/>
      </rPr>
      <t xml:space="preserve">Chỉ định JA đối tượng「12345：JA農業中央」, 1 file có đuôi được phép, ngày dự định xóa, click「アップロード実行」→「OK」
</t>
    </r>
    <r>
      <rPr>
        <rFont val="游ゴシック"/>
        <b/>
        <color rgb="FF000000"/>
        <sz val="10.0"/>
      </rPr>
      <t xml:space="preserve">ステップ2：
</t>
    </r>
    <r>
      <rPr>
        <rFont val="游ゴシック"/>
        <color rgb="FF000000"/>
        <sz val="10.0"/>
      </rPr>
      <t xml:space="preserve">Thực thi query sau trên DB, xác nhận nội dung đã đăng ký
```sql
SELECT ja_id, file_name, file_path, file_size, status,
notification_status, scheduled_delete_date, error_file_path
FROM t_file_upload
ORDER BY file_upload_id DESC
LIMIT 1;
```
</t>
    </r>
    <r>
      <rPr>
        <rFont val="游ゴシック"/>
        <b/>
        <color rgb="FF000000"/>
        <sz val="10.0"/>
      </rPr>
      <t xml:space="preserve">ステップ3：
</t>
    </r>
    <r>
      <rPr>
        <rFont val="游ゴシック"/>
        <color rgb="FF000000"/>
        <sz val="10.0"/>
      </rPr>
      <t>Xác nhận hiển thị của màn hình</t>
    </r>
  </si>
  <si>
    <r>
      <rPr>
        <rFont val="メイリオ"/>
        <b/>
        <color rgb="FF000000"/>
        <sz val="10.0"/>
      </rPr>
      <t xml:space="preserve">ステップ1：
</t>
    </r>
    <r>
      <rPr>
        <rFont val="メイリオ"/>
        <color rgb="FF000000"/>
        <sz val="10.0"/>
      </rPr>
      <t xml:space="preserve">Trả về HTTP 202, và toast「ファイルのアップロードが完了しました。」được hiển thị
</t>
    </r>
    <r>
      <rPr>
        <rFont val="メイリオ"/>
        <b/>
        <color rgb="FF000000"/>
        <sz val="10.0"/>
      </rPr>
      <t xml:space="preserve">ステップ2：
</t>
    </r>
    <r>
      <rPr>
        <rFont val="メイリオ"/>
        <color rgb="FF000000"/>
        <sz val="10.0"/>
      </rPr>
      <t xml:space="preserve">・Dữ liệu được đăng ký
</t>
    </r>
    <r>
      <rPr>
        <rFont val="メイリオ"/>
        <color rgb="FF000000"/>
        <sz val="10.0"/>
      </rPr>
      <t xml:space="preserve">・`status` là 1 (đang xử lý)
</t>
    </r>
    <r>
      <rPr>
        <rFont val="メイリオ"/>
        <color rgb="FF000000"/>
        <sz val="10.0"/>
      </rPr>
      <t xml:space="preserve">・`notification_status` là 1 (chưa gửi)
</t>
    </r>
    <r>
      <rPr>
        <rFont val="メイリオ"/>
        <color rgb="FF000000"/>
        <sz val="10.0"/>
      </rPr>
      <t xml:space="preserve">・`error_file_path` là chuỗi rỗng
</t>
    </r>
    <r>
      <rPr>
        <rFont val="メイリオ"/>
        <color rgb="FF000000"/>
        <sz val="10.0"/>
      </rPr>
      <t xml:space="preserve">・`scheduled_delete_date` là ngày đã chỉ định trên màn hình
</t>
    </r>
    <r>
      <rPr>
        <rFont val="メイリオ"/>
        <b/>
        <color rgb="FF000000"/>
        <sz val="10.0"/>
      </rPr>
      <t xml:space="preserve">ステップ3：
</t>
    </r>
    <r>
      <rPr>
        <rFont val="メイリオ"/>
        <color rgb="FF000000"/>
        <sz val="10.0"/>
      </rPr>
      <t xml:space="preserve">・Các ô nhập được clear
</t>
    </r>
    <r>
      <rPr>
        <rFont val="メイリオ"/>
        <color rgb="FF000000"/>
        <sz val="10.0"/>
      </rPr>
      <t>・「アップロードされたファイルリスト」được lấy lại, dòng đã đăng ký được hiển thị</t>
    </r>
  </si>
  <si>
    <t>ACSMS-TC-023-041</t>
  </si>
  <si>
    <t>Upload thành công — nhiều JA × nhiều file (N×M dòng)</t>
  </si>
  <si>
    <r>
      <rPr>
        <rFont val="游ゴシック"/>
        <b/>
        <color rgb="FF000000"/>
        <sz val="10.0"/>
      </rPr>
      <t xml:space="preserve">ステップ1：
</t>
    </r>
    <r>
      <rPr>
        <rFont val="游ゴシック"/>
        <color rgb="FF000000"/>
        <sz val="10.0"/>
      </rPr>
      <t xml:space="preserve">Thêm 2 JA đối tượng, chọn 3 file có đuôi được phép rồi click「アップロード実行」→「OK」
</t>
    </r>
    <r>
      <rPr>
        <rFont val="游ゴシック"/>
        <b/>
        <color rgb="FF000000"/>
        <sz val="10.0"/>
      </rPr>
      <t xml:space="preserve">ステップ2：
</t>
    </r>
    <r>
      <rPr>
        <rFont val="游ゴシック"/>
        <color rgb="FF000000"/>
        <sz val="10.0"/>
      </rPr>
      <t xml:space="preserve">Thực thi query sau trên DB, xác nhận số lượng đã đăng ký
```sql
SELECT COUNT(*) FROM t_file_upload
WHERE upload_datetime &gt;= :thời điểm bắt đầu test;
```
</t>
    </r>
    <r>
      <rPr>
        <rFont val="游ゴシック"/>
        <b/>
        <color rgb="FF000000"/>
        <sz val="10.0"/>
      </rPr>
      <t xml:space="preserve">ステップ3：
</t>
    </r>
    <r>
      <rPr>
        <rFont val="游ゴシック"/>
        <color rgb="FF000000"/>
        <sz val="10.0"/>
      </rPr>
      <t>Xác nhận số phần tử của mảng `data` trong response</t>
    </r>
  </si>
  <si>
    <r>
      <rPr>
        <rFont val="メイリオ"/>
        <b/>
        <color rgb="FF000000"/>
        <sz val="10.0"/>
      </rPr>
      <t xml:space="preserve">ステップ1：
</t>
    </r>
    <r>
      <rPr>
        <rFont val="メイリオ"/>
        <color rgb="FF000000"/>
        <sz val="10.0"/>
      </rPr>
      <t xml:space="preserve">Trả về HTTP 202
</t>
    </r>
    <r>
      <rPr>
        <rFont val="メイリオ"/>
        <b/>
        <color rgb="FF000000"/>
        <sz val="10.0"/>
      </rPr>
      <t xml:space="preserve">ステップ2：
</t>
    </r>
    <r>
      <rPr>
        <rFont val="メイリオ"/>
        <color rgb="FF000000"/>
        <sz val="10.0"/>
      </rPr>
      <t xml:space="preserve">6 dữ liệu (2 JA × 3 file) được đăng ký
</t>
    </r>
    <r>
      <rPr>
        <rFont val="メイリオ"/>
        <b/>
        <color rgb="FF000000"/>
        <sz val="10.0"/>
      </rPr>
      <t xml:space="preserve">ステップ3：
</t>
    </r>
    <r>
      <rPr>
        <rFont val="メイリオ"/>
        <color rgb="FF000000"/>
        <sz val="10.0"/>
      </rPr>
      <t xml:space="preserve">Mảng `data` có 6 phần tử
</t>
    </r>
    <r>
      <rPr>
        <rFont val="メイリオ"/>
        <b/>
        <color rgb="FF000000"/>
        <sz val="10.0"/>
      </rPr>
      <t xml:space="preserve">補足：
</t>
    </r>
    <r>
      <rPr>
        <rFont val="メイリオ"/>
        <color rgb="FF000000"/>
        <sz val="10.0"/>
      </rPr>
      <t>・Theo phương châm 1 JA＝1 record, mỗi tổ hợp JA và file được đăng ký 1 dòng</t>
    </r>
  </si>
  <si>
    <t>ACSMS-TC-023-042</t>
  </si>
  <si>
    <t>Đăng ký khi chọn toàn bộ JA (ja_id là NULL)</t>
  </si>
  <si>
    <r>
      <rPr>
        <rFont val="メイリオ"/>
        <b/>
        <color rgb="FF000000"/>
        <sz val="10.0"/>
      </rPr>
      <t xml:space="preserve">ステップ1：
</t>
    </r>
    <r>
      <rPr>
        <rFont val="メイリオ"/>
        <color rgb="FF000000"/>
        <sz val="10.0"/>
      </rPr>
      <t xml:space="preserve">Chọn「全JA」ở「対象JA」, click button「追加」
</t>
    </r>
    <r>
      <rPr>
        <rFont val="メイリオ"/>
        <b/>
        <color rgb="FF000000"/>
        <sz val="10.0"/>
      </rPr>
      <t xml:space="preserve">ステップ2：
</t>
    </r>
    <r>
      <rPr>
        <rFont val="メイリオ"/>
        <color rgb="FF000000"/>
        <sz val="10.0"/>
      </rPr>
      <t xml:space="preserve">Chỉ định 1 file có đuôi được phép và ngày dự định xóa, click「アップロード実行」→「OK」
</t>
    </r>
    <r>
      <rPr>
        <rFont val="メイリオ"/>
        <b/>
        <color rgb="FF000000"/>
        <sz val="10.0"/>
      </rPr>
      <t xml:space="preserve">ステップ3：
</t>
    </r>
    <r>
      <rPr>
        <rFont val="メイリオ"/>
        <color rgb="FF000000"/>
        <sz val="10.0"/>
      </rPr>
      <t xml:space="preserve">Thực thi query sau trên DB, xác nhận nội dung đã đăng ký
</t>
    </r>
    <r>
      <rPr>
        <rFont val="メイリオ"/>
        <color rgb="FF000000"/>
        <sz val="10.0"/>
      </rPr>
      <t xml:space="preserve">```sql
</t>
    </r>
    <r>
      <rPr>
        <rFont val="メイリオ"/>
        <color rgb="FF000000"/>
        <sz val="10.0"/>
      </rPr>
      <t xml:space="preserve">SELECT file_upload_id, ja_id FROM t_file_upload
</t>
    </r>
    <r>
      <rPr>
        <rFont val="メイリオ"/>
        <color rgb="FF000000"/>
        <sz val="10.0"/>
      </rPr>
      <t xml:space="preserve">ORDER BY file_upload_id DESC LIMIT 1;
</t>
    </r>
    <r>
      <rPr>
        <rFont val="メイリオ"/>
        <color rgb="FF000000"/>
        <sz val="10.0"/>
      </rPr>
      <t xml:space="preserve">```
</t>
    </r>
    <r>
      <rPr>
        <rFont val="メイリオ"/>
        <b/>
        <color rgb="FF000000"/>
        <sz val="10.0"/>
      </rPr>
      <t xml:space="preserve">ステップ4：
</t>
    </r>
    <r>
      <rPr>
        <rFont val="メイリオ"/>
        <color rgb="FF000000"/>
        <sz val="10.0"/>
      </rPr>
      <t>Xác nhận hiển thị của「アップロードされたファイルリスト」</t>
    </r>
  </si>
  <si>
    <r>
      <rPr>
        <rFont val="メイリオ"/>
        <b/>
        <color rgb="FF000000"/>
        <sz val="10.0"/>
      </rPr>
      <t xml:space="preserve">ステップ1：
</t>
    </r>
    <r>
      <rPr>
        <rFont val="メイリオ"/>
        <color rgb="FF000000"/>
        <sz val="10.0"/>
      </rPr>
      <t xml:space="preserve">「全JA」được thêm vào danh sách JA
</t>
    </r>
    <r>
      <rPr>
        <rFont val="メイリオ"/>
        <b/>
        <color rgb="FF000000"/>
        <sz val="10.0"/>
      </rPr>
      <t xml:space="preserve">ステップ2：
</t>
    </r>
    <r>
      <rPr>
        <rFont val="メイリオ"/>
        <color rgb="FF000000"/>
        <sz val="10.0"/>
      </rPr>
      <t xml:space="preserve">Trả về HTTP 202
</t>
    </r>
    <r>
      <rPr>
        <rFont val="メイリオ"/>
        <b/>
        <color rgb="FF000000"/>
        <sz val="10.0"/>
      </rPr>
      <t xml:space="preserve">ステップ3：
</t>
    </r>
    <r>
      <rPr>
        <rFont val="メイリオ"/>
        <color rgb="FF000000"/>
        <sz val="10.0"/>
      </rPr>
      <t xml:space="preserve">1 dữ liệu có `ja_id` là NULL được đăng ký
</t>
    </r>
    <r>
      <rPr>
        <rFont val="メイリオ"/>
        <b/>
        <color rgb="FF000000"/>
        <sz val="10.0"/>
      </rPr>
      <t xml:space="preserve">ステップ4：
</t>
    </r>
    <r>
      <rPr>
        <rFont val="メイリオ"/>
        <color rgb="FF000000"/>
        <sz val="10.0"/>
      </rPr>
      <t>Cột JA của dòng đó hiển thị「全JA向け」</t>
    </r>
  </si>
  <si>
    <t>ACSMS-TC-023-043</t>
  </si>
  <si>
    <t>Đăng ký cặp dòng download (t_file_download)</t>
  </si>
  <si>
    <r>
      <rPr>
        <rFont val="游ゴシック"/>
        <b/>
        <color rgb="FF000000"/>
        <sz val="10.0"/>
      </rPr>
      <t xml:space="preserve">ステップ1：
</t>
    </r>
    <r>
      <rPr>
        <rFont val="游ゴシック"/>
        <color rgb="FF000000"/>
        <sz val="10.0"/>
      </rPr>
      <t xml:space="preserve">Chỉ định 1 JA đối tượng, 1 file có đuôi được phép và thực hiện upload
</t>
    </r>
    <r>
      <rPr>
        <rFont val="游ゴシック"/>
        <b/>
        <color rgb="FF000000"/>
        <sz val="10.0"/>
      </rPr>
      <t xml:space="preserve">ステップ2：
</t>
    </r>
    <r>
      <rPr>
        <rFont val="游ゴシック"/>
        <color rgb="FF000000"/>
        <sz val="10.0"/>
      </rPr>
      <t xml:space="preserve">Thực thi query sau trên DB, lấy đường dẫn lưu trữ
```sql
SELECT ja_id, file_path, scheduled_delete_date
FROM t_file_upload ORDER BY file_upload_id DESC LIMIT 1;
```
</t>
    </r>
    <r>
      <rPr>
        <rFont val="游ゴシック"/>
        <b/>
        <color rgb="FF000000"/>
        <sz val="10.0"/>
      </rPr>
      <t xml:space="preserve">ステップ3：
</t>
    </r>
    <r>
      <rPr>
        <rFont val="游ゴシック"/>
        <color rgb="FF000000"/>
        <sz val="10.0"/>
      </rPr>
      <t>Thực thi query sau trên DB, xác nhận cặp dòng
```sql
SELECT ja_id, download_type, nichino_download_allowed_flg,
file_path, scheduled_delete_date, record_count
FROM t_file_download WHERE file_path = :file_path;
```</t>
    </r>
  </si>
  <si>
    <r>
      <rPr>
        <rFont val="游ゴシック"/>
        <b/>
        <color rgb="FF000000"/>
        <sz val="10.0"/>
      </rPr>
      <t xml:space="preserve">ステップ1：
</t>
    </r>
    <r>
      <rPr>
        <rFont val="游ゴシック"/>
        <color rgb="FF000000"/>
        <sz val="10.0"/>
      </rPr>
      <t xml:space="preserve">Trả về HTTP 202
</t>
    </r>
    <r>
      <rPr>
        <rFont val="游ゴシック"/>
        <b/>
        <color rgb="FF000000"/>
        <sz val="10.0"/>
      </rPr>
      <t xml:space="preserve">ステップ2：
</t>
    </r>
    <r>
      <rPr>
        <rFont val="游ゴシック"/>
        <color rgb="FF000000"/>
        <sz val="10.0"/>
      </rPr>
      <t xml:space="preserve">`file_path` theo định dạng `ja-{ja_id}-{ja_code}/files/{uuid}-{tên file}`
</t>
    </r>
    <r>
      <rPr>
        <rFont val="游ゴシック"/>
        <b/>
        <color rgb="FF000000"/>
        <sz val="10.0"/>
      </rPr>
      <t xml:space="preserve">ステップ3：
</t>
    </r>
    <r>
      <rPr>
        <rFont val="游ゴシック"/>
        <color rgb="FF000000"/>
        <sz val="10.0"/>
      </rPr>
      <t xml:space="preserve">・1 dữ liệu được đăng ký
・`ja_id` cùng giá trị với t_file_upload
・`download_type` là 2
・`nichino_download_allowed_flg` là TRUE
・`scheduled_delete_date` cùng giá trị với t_file_upload
・`record_count` là 0
</t>
    </r>
    <r>
      <rPr>
        <rFont val="游ゴシック"/>
        <b/>
        <color rgb="FF000000"/>
        <sz val="10.0"/>
      </rPr>
      <t xml:space="preserve">補足：
</t>
    </r>
    <r>
      <rPr>
        <rFont val="游ゴシック"/>
        <color rgb="FF000000"/>
        <sz val="10.0"/>
      </rPr>
      <t>・Nếu cặp dòng không được đăng ký thì không lấy được từ màn hình Download file (ACSMS-SCR-022)
・Việc đăng ký vào cả 2 bảng được thực hiện trong cùng 1 transaction</t>
    </r>
  </si>
  <si>
    <t>ACSMS-TC-023-044</t>
  </si>
  <si>
    <t>Ghi audit log (upload)</t>
  </si>
  <si>
    <r>
      <rPr>
        <rFont val="游ゴシック"/>
        <b/>
        <color rgb="FF000000"/>
        <sz val="10.0"/>
      </rPr>
      <t xml:space="preserve">ステップ1：
</t>
    </r>
    <r>
      <rPr>
        <rFont val="游ゴシック"/>
        <color rgb="FF000000"/>
        <sz val="10.0"/>
      </rPr>
      <t xml:space="preserve">Chỉ định 1 JA đối tượng, 1 file có đuôi được phép và thực hiện upload
</t>
    </r>
    <r>
      <rPr>
        <rFont val="游ゴシック"/>
        <b/>
        <color rgb="FF000000"/>
        <sz val="10.0"/>
      </rPr>
      <t xml:space="preserve">ステップ2：
</t>
    </r>
    <r>
      <rPr>
        <rFont val="游ゴシック"/>
        <color rgb="FF000000"/>
        <sz val="10.0"/>
      </rPr>
      <t>Thực thi query sau trên DB, xác nhận log thao tác
```sql
SELECT log_type, account_id, ja_id, gamen_name, operation,
result_status, target_id, target_table, before_value, after_value
FROM t_log ORDER BY log_datetime DESC LIMIT 1;
```</t>
    </r>
  </si>
  <si>
    <r>
      <rPr>
        <rFont val="游ゴシック"/>
        <b/>
        <color rgb="FF000000"/>
        <sz val="10.0"/>
      </rPr>
      <t xml:space="preserve">ステップ1：
</t>
    </r>
    <r>
      <rPr>
        <rFont val="游ゴシック"/>
        <color rgb="FF000000"/>
        <sz val="10.0"/>
      </rPr>
      <t xml:space="preserve">Trả về HTTP 202
</t>
    </r>
    <r>
      <rPr>
        <rFont val="游ゴシック"/>
        <b/>
        <color rgb="FF000000"/>
        <sz val="10.0"/>
      </rPr>
      <t xml:space="preserve">ステップ2：
</t>
    </r>
    <r>
      <rPr>
        <rFont val="游ゴシック"/>
        <color rgb="FF000000"/>
        <sz val="10.0"/>
      </rPr>
      <t xml:space="preserve">・Audit log được record
・`log_type` là 4 (thao tác file)
・`operation` là `CREATE`
・`result_status` là 1
・`gamen_name` là `ファイルアップロード画面 (ACSMS-SCR-023)`
・`target_table` là `t_file_upload`
・`target_id` khớp với file_upload_id đã đăng ký
・JSON nội dung đăng ký được record vào `after_value`
・`before_value` là chuỗi rỗng
</t>
    </r>
    <r>
      <rPr>
        <rFont val="游ゴシック"/>
        <b/>
        <color rgb="FF000000"/>
        <sz val="10.0"/>
      </rPr>
      <t xml:space="preserve">補足：
</t>
    </r>
    <r>
      <rPr>
        <rFont val="游ゴシック"/>
        <color rgb="FF000000"/>
        <sz val="10.0"/>
      </rPr>
      <t>・Ghi nghiệp vụ và audit log được thực hiện trong cùng 1 transaction</t>
    </r>
  </si>
  <si>
    <t>ACSMS-TC-023-045</t>
  </si>
  <si>
    <t>Đưa job thông báo vào queue và phản hồi tức thì</t>
  </si>
  <si>
    <r>
      <rPr>
        <rFont val="メイリオ"/>
        <b/>
        <color rgb="FF000000"/>
        <sz val="10.0"/>
      </rPr>
      <t xml:space="preserve">ステップ1：
</t>
    </r>
    <r>
      <rPr>
        <rFont val="メイリオ"/>
        <color rgb="FF000000"/>
        <sz val="10.0"/>
      </rPr>
      <t xml:space="preserve">Thực hiện upload, đo thời gian đến khi nhận response
</t>
    </r>
    <r>
      <rPr>
        <rFont val="メイリオ"/>
        <b/>
        <color rgb="FF000000"/>
        <sz val="10.0"/>
      </rPr>
      <t xml:space="preserve">ステップ2：
</t>
    </r>
    <r>
      <rPr>
        <rFont val="メイリオ"/>
        <color rgb="FF000000"/>
        <sz val="10.0"/>
      </rPr>
      <t xml:space="preserve">Xác nhận `message` trong response
</t>
    </r>
    <r>
      <rPr>
        <rFont val="メイリオ"/>
        <b/>
        <color rgb="FF000000"/>
        <sz val="10.0"/>
      </rPr>
      <t xml:space="preserve">ステップ3：
</t>
    </r>
    <r>
      <rPr>
        <rFont val="メイリオ"/>
        <color rgb="FF000000"/>
        <sz val="10.0"/>
      </rPr>
      <t>Xác nhận job thông báo đã được đưa vào queue (Redis)</t>
    </r>
  </si>
  <si>
    <r>
      <rPr>
        <rFont val="メイリオ"/>
        <b/>
        <color rgb="FF000000"/>
        <sz val="10.0"/>
      </rPr>
      <t xml:space="preserve">ステップ1：
</t>
    </r>
    <r>
      <rPr>
        <rFont val="メイリオ"/>
        <color rgb="FF000000"/>
        <sz val="10.0"/>
      </rPr>
      <t xml:space="preserve">・Trả về HTTP 202
</t>
    </r>
    <r>
      <rPr>
        <rFont val="メイリオ"/>
        <color rgb="FF000000"/>
        <sz val="10.0"/>
      </rPr>
      <t xml:space="preserve">・Response trả về mà không chờ gửi mail xong
</t>
    </r>
    <r>
      <rPr>
        <rFont val="メイリオ"/>
        <b/>
        <color rgb="FF000000"/>
        <sz val="10.0"/>
      </rPr>
      <t xml:space="preserve">ステップ2：
</t>
    </r>
    <r>
      <rPr>
        <rFont val="メイリオ"/>
        <color rgb="FF000000"/>
        <sz val="10.0"/>
      </rPr>
      <t xml:space="preserve">`message` là `アップロードを受け付けました。通知メールはバックグラウンドで送信されます。`
</t>
    </r>
    <r>
      <rPr>
        <rFont val="メイリオ"/>
        <b/>
        <color rgb="FF000000"/>
        <sz val="10.0"/>
      </rPr>
      <t xml:space="preserve">ステップ3：
</t>
    </r>
    <r>
      <rPr>
        <rFont val="メイリオ"/>
        <color rgb="FF000000"/>
        <sz val="10.0"/>
      </rPr>
      <t xml:space="preserve">Job được đưa vào queue (job chứa `file_upload_ids` và `ja_ids`)
</t>
    </r>
    <r>
      <rPr>
        <rFont val="メイリオ"/>
        <b/>
        <color rgb="FF000000"/>
        <sz val="10.0"/>
      </rPr>
      <t xml:space="preserve">補足：
</t>
    </r>
    <r>
      <rPr>
        <rFont val="メイリオ"/>
        <color rgb="FF000000"/>
        <sz val="10.0"/>
      </rPr>
      <t>・Việc đưa vào queue được thực hiện sau khi commit DB thành công</t>
    </r>
  </si>
  <si>
    <t>ACSMS-TC-023-046</t>
  </si>
  <si>
    <t>Gửi mail thông báo và chuyển trạng thái thông báo</t>
  </si>
  <si>
    <t>・Đã đăng nhập bằng NICHINO_ADMIN (đã xác thực 2 lớp)
・`m_account.email` và `sub_mail_1`〜`sub_mail_3` gắn với JA đối tượng đã được thiết lập
・Background worker đang chạy</t>
  </si>
  <si>
    <r>
      <rPr>
        <rFont val="游ゴシック"/>
        <b/>
        <color rgb="FF000000"/>
        <sz val="10.0"/>
      </rPr>
      <t xml:space="preserve">ステップ1：
</t>
    </r>
    <r>
      <rPr>
        <rFont val="游ゴシック"/>
        <color rgb="FF000000"/>
        <sz val="10.0"/>
      </rPr>
      <t xml:space="preserve">Thực hiện upload, xác nhận「通知ステータス」ngay sau đó
</t>
    </r>
    <r>
      <rPr>
        <rFont val="游ゴシック"/>
        <b/>
        <color rgb="FF000000"/>
        <sz val="10.0"/>
      </rPr>
      <t xml:space="preserve">ステップ2：
</t>
    </r>
    <r>
      <rPr>
        <rFont val="游ゴシック"/>
        <color rgb="FF000000"/>
        <sz val="10.0"/>
      </rPr>
      <t xml:space="preserve">Lấy lại danh sách, xác nhận trạng thái đang gửi
</t>
    </r>
    <r>
      <rPr>
        <rFont val="游ゴシック"/>
        <b/>
        <color rgb="FF000000"/>
        <sz val="10.0"/>
      </rPr>
      <t xml:space="preserve">ステップ3：
</t>
    </r>
    <r>
      <rPr>
        <rFont val="游ゴシック"/>
        <color rgb="FF000000"/>
        <sz val="10.0"/>
      </rPr>
      <t xml:space="preserve">Sau khi gửi xong, lấy lại danh sách và thực thi query sau trên DB
```sql
SELECT notification_status, notified_at
FROM t_file_upload WHERE file_upload_id = :file_upload_id;
```
</t>
    </r>
    <r>
      <rPr>
        <rFont val="游ゴシック"/>
        <b/>
        <color rgb="FF000000"/>
        <sz val="10.0"/>
      </rPr>
      <t xml:space="preserve">ステップ4：
</t>
    </r>
    <r>
      <rPr>
        <rFont val="游ゴシック"/>
        <color rgb="FF000000"/>
        <sz val="10.0"/>
      </rPr>
      <t>Xác nhận nội dung mail đã nhận</t>
    </r>
  </si>
  <si>
    <r>
      <rPr>
        <rFont val="游ゴシック"/>
        <b/>
        <color rgb="FF000000"/>
        <sz val="10.0"/>
      </rPr>
      <t xml:space="preserve">ステップ1：
</t>
    </r>
    <r>
      <rPr>
        <rFont val="游ゴシック"/>
        <color rgb="FF000000"/>
        <sz val="10.0"/>
      </rPr>
      <t xml:space="preserve">「未送信」được hiển thị (`notification_status` = 1)
</t>
    </r>
    <r>
      <rPr>
        <rFont val="游ゴシック"/>
        <b/>
        <color rgb="FF000000"/>
        <sz val="10.0"/>
      </rPr>
      <t xml:space="preserve">ステップ2：
</t>
    </r>
    <r>
      <rPr>
        <rFont val="游ゴシック"/>
        <color rgb="FF000000"/>
        <sz val="10.0"/>
      </rPr>
      <t xml:space="preserve">「送信中」được hiển thị (`notification_status` = 2)
</t>
    </r>
    <r>
      <rPr>
        <rFont val="游ゴシック"/>
        <b/>
        <color rgb="FF000000"/>
        <sz val="10.0"/>
      </rPr>
      <t xml:space="preserve">ステップ3：
</t>
    </r>
    <r>
      <rPr>
        <rFont val="游ゴシック"/>
        <color rgb="FF000000"/>
        <sz val="10.0"/>
      </rPr>
      <t xml:space="preserve">・「完了」được hiển thị
・`notification_status` là 3
・Thời điểm gửi xong được record vào `notified_at`
</t>
    </r>
    <r>
      <rPr>
        <rFont val="游ゴシック"/>
        <b/>
        <color rgb="FF000000"/>
        <sz val="10.0"/>
      </rPr>
      <t xml:space="preserve">ステップ4：
</t>
    </r>
    <r>
      <rPr>
        <rFont val="游ゴシック"/>
        <color rgb="FF000000"/>
        <sz val="10.0"/>
      </rPr>
      <t>・Có ghi link tới màn hình Download file
・Định dạng link là `{FRONTEND_URL}/file-download?file_name={tên file đã URL encode}`
・Chỉ gửi 1 lần tới cùng một địa chỉ mail</t>
    </r>
  </si>
  <si>
    <t>ACSMS-TC-023-047</t>
  </si>
  <si>
    <t>Trạng thái khi gửi mail thông báo thất bại một phần</t>
  </si>
  <si>
    <t>・Đã đăng nhập bằng NICHINO_ADMIN (đã xác thực 2 lớp)
・Thiết lập địa chỉ mail của 1 JA trong số JA đối tượng thành giá trị không gửi được</t>
  </si>
  <si>
    <r>
      <rPr>
        <rFont val="游ゴシック"/>
        <b/>
        <color rgb="FF000000"/>
        <sz val="10.0"/>
      </rPr>
      <t xml:space="preserve">ステップ1：
</t>
    </r>
    <r>
      <rPr>
        <rFont val="游ゴシック"/>
        <color rgb="FF000000"/>
        <sz val="10.0"/>
      </rPr>
      <t xml:space="preserve">Chỉ định 2 JA đối tượng và thực hiện upload
</t>
    </r>
    <r>
      <rPr>
        <rFont val="游ゴシック"/>
        <b/>
        <color rgb="FF000000"/>
        <sz val="10.0"/>
      </rPr>
      <t xml:space="preserve">ステップ2：
</t>
    </r>
    <r>
      <rPr>
        <rFont val="游ゴシック"/>
        <color rgb="FF000000"/>
        <sz val="10.0"/>
      </rPr>
      <t xml:space="preserve">Sau khi worker xử lý xong, lấy lại danh sách
</t>
    </r>
    <r>
      <rPr>
        <rFont val="游ゴシック"/>
        <b/>
        <color rgb="FF000000"/>
        <sz val="10.0"/>
      </rPr>
      <t xml:space="preserve">ステップ3：
</t>
    </r>
    <r>
      <rPr>
        <rFont val="游ゴシック"/>
        <color rgb="FF000000"/>
        <sz val="10.0"/>
      </rPr>
      <t>Thực thi query sau trên DB, xác nhận error log
```sql
SELECT log_type, result_status, error_message
FROM t_log WHERE log_type = 3
ORDER BY log_datetime DESC LIMIT 1;
```</t>
    </r>
  </si>
  <si>
    <r>
      <rPr>
        <rFont val="游ゴシック"/>
        <b/>
        <color rgb="FF000000"/>
        <sz val="10.0"/>
      </rPr>
      <t xml:space="preserve">ステップ1：
</t>
    </r>
    <r>
      <rPr>
        <rFont val="游ゴシック"/>
        <color rgb="FF000000"/>
        <sz val="10.0"/>
      </rPr>
      <t xml:space="preserve">Trả về HTTP 202
</t>
    </r>
    <r>
      <rPr>
        <rFont val="游ゴシック"/>
        <b/>
        <color rgb="FF000000"/>
        <sz val="10.0"/>
      </rPr>
      <t xml:space="preserve">ステップ2：
</t>
    </r>
    <r>
      <rPr>
        <rFont val="游ゴシック"/>
        <color rgb="FF000000"/>
        <sz val="10.0"/>
      </rPr>
      <t xml:space="preserve">・Dòng của JA thất bại hiển thị「一部失敗」(`notification_status` = 4)
・Dòng của JA thành công hiển thị「完了」(`notification_status` = 3)
</t>
    </r>
    <r>
      <rPr>
        <rFont val="游ゴシック"/>
        <b/>
        <color rgb="FF000000"/>
        <sz val="10.0"/>
      </rPr>
      <t xml:space="preserve">ステップ3：
</t>
    </r>
    <r>
      <rPr>
        <rFont val="游ゴシック"/>
        <color rgb="FF000000"/>
        <sz val="10.0"/>
      </rPr>
      <t xml:space="preserve">Output error log (chi tiết địa chỉ thất bại được record)
</t>
    </r>
    <r>
      <rPr>
        <rFont val="游ゴシック"/>
        <b/>
        <color rgb="FF000000"/>
        <sz val="10.0"/>
      </rPr>
      <t xml:space="preserve">補足：
</t>
    </r>
    <r>
      <rPr>
        <rFont val="游ゴシック"/>
        <color rgb="FF000000"/>
        <sz val="10.0"/>
      </rPr>
      <t>・Thất bại của 1 JA không lan sang JA khác</t>
    </r>
  </si>
  <si>
    <t>ACSMS-TC-023-048</t>
  </si>
  <si>
    <t>Xử lý bù trừ khi lưu storage thất bại</t>
  </si>
  <si>
    <t>・Đã đăng nhập bằng NICHINO_ADMIN (đã xác thực 2 lớp)
・Giả lập trạng thái ghi vào storage bị thất bại</t>
  </si>
  <si>
    <r>
      <rPr>
        <rFont val="メイリオ"/>
        <b/>
        <color rgb="FF000000"/>
        <sz val="10.0"/>
      </rPr>
      <t xml:space="preserve">ステップ1：
</t>
    </r>
    <r>
      <rPr>
        <rFont val="メイリオ"/>
        <color rgb="FF000000"/>
        <sz val="10.0"/>
      </rPr>
      <t xml:space="preserve">Chỉ định 1 JA đối tượng, 2 file có đuôi được phép và thực hiện upload
</t>
    </r>
    <r>
      <rPr>
        <rFont val="メイリオ"/>
        <b/>
        <color rgb="FF000000"/>
        <sz val="10.0"/>
      </rPr>
      <t xml:space="preserve">ステップ2：
</t>
    </r>
    <r>
      <rPr>
        <rFont val="メイリオ"/>
        <color rgb="FF000000"/>
        <sz val="10.0"/>
      </rPr>
      <t xml:space="preserve">Thực thi query sau trên DB, xác nhận số lượng đã đăng ký
</t>
    </r>
    <r>
      <rPr>
        <rFont val="メイリオ"/>
        <color rgb="FF000000"/>
        <sz val="10.0"/>
      </rPr>
      <t xml:space="preserve">```sql
</t>
    </r>
    <r>
      <rPr>
        <rFont val="メイリオ"/>
        <color rgb="FF000000"/>
        <sz val="10.0"/>
      </rPr>
      <t xml:space="preserve">SELECT COUNT(*) FROM t_file_upload
</t>
    </r>
    <r>
      <rPr>
        <rFont val="メイリオ"/>
        <color rgb="FF000000"/>
        <sz val="10.0"/>
      </rPr>
      <t xml:space="preserve">WHERE upload_datetime &gt;= :thời điểm bắt đầu test;
</t>
    </r>
    <r>
      <rPr>
        <rFont val="メイリオ"/>
        <color rgb="FF000000"/>
        <sz val="10.0"/>
      </rPr>
      <t xml:space="preserve">```
</t>
    </r>
    <r>
      <rPr>
        <rFont val="メイリオ"/>
        <b/>
        <color rgb="FF000000"/>
        <sz val="10.0"/>
      </rPr>
      <t xml:space="preserve">ステップ3：
</t>
    </r>
    <r>
      <rPr>
        <rFont val="メイリオ"/>
        <color rgb="FF000000"/>
        <sz val="10.0"/>
      </rPr>
      <t>Xác nhận object trong storage</t>
    </r>
  </si>
  <si>
    <r>
      <rPr>
        <rFont val="メイリオ"/>
        <b/>
        <color rgb="FF000000"/>
        <sz val="10.0"/>
      </rPr>
      <t xml:space="preserve">ステップ1：
</t>
    </r>
    <r>
      <rPr>
        <rFont val="メイリオ"/>
        <color rgb="FF000000"/>
        <sz val="10.0"/>
      </rPr>
      <t xml:space="preserve">Trả về HTTP 500 (`error_code: INTERNAL_SERVER_ERROR`, message `システムエラーが発生しました。しばらくしてから再度お試しください。`)
</t>
    </r>
    <r>
      <rPr>
        <rFont val="メイリオ"/>
        <b/>
        <color rgb="FF000000"/>
        <sz val="10.0"/>
      </rPr>
      <t xml:space="preserve">ステップ2：
</t>
    </r>
    <r>
      <rPr>
        <rFont val="メイリオ"/>
        <color rgb="FF000000"/>
        <sz val="10.0"/>
      </rPr>
      <t xml:space="preserve">・Dữ liệu không được đăng ký
</t>
    </r>
    <r>
      <rPr>
        <rFont val="メイリオ"/>
        <color rgb="FF000000"/>
        <sz val="10.0"/>
      </rPr>
      <t xml:space="preserve">・Được rollback
</t>
    </r>
    <r>
      <rPr>
        <rFont val="メイリオ"/>
        <b/>
        <color rgb="FF000000"/>
        <sz val="10.0"/>
      </rPr>
      <t xml:space="preserve">ステップ3：
</t>
    </r>
    <r>
      <rPr>
        <rFont val="メイリオ"/>
        <color rgb="FF000000"/>
        <sz val="10.0"/>
      </rPr>
      <t xml:space="preserve">File vật lý đã lưu được xóa bù trừ
</t>
    </r>
    <r>
      <rPr>
        <rFont val="メイリオ"/>
        <b/>
        <color rgb="FF000000"/>
        <sz val="10.0"/>
      </rPr>
      <t xml:space="preserve">補足：
</t>
    </r>
    <r>
      <rPr>
        <rFont val="メイリオ"/>
        <color rgb="FF000000"/>
        <sz val="10.0"/>
      </rPr>
      <t>・Error log (`log_type` = 3, `result_status` = 2) được record ngoài transaction</t>
    </r>
  </si>
  <si>
    <t>ACSMS-TC-023-049</t>
  </si>
  <si>
    <t>Button clear</t>
  </si>
  <si>
    <r>
      <rPr>
        <rFont val="メイリオ"/>
        <b/>
        <color rgb="FF000000"/>
        <sz val="10.0"/>
      </rPr>
      <t xml:space="preserve">ステップ1：
</t>
    </r>
    <r>
      <rPr>
        <rFont val="メイリオ"/>
        <color rgb="FF000000"/>
        <sz val="10.0"/>
      </rPr>
      <t xml:space="preserve">Ở trạng thái đã chọn 2 JA đối tượng và 2 file, click button「クリア」
</t>
    </r>
    <r>
      <rPr>
        <rFont val="メイリオ"/>
        <b/>
        <color rgb="FF000000"/>
        <sz val="10.0"/>
      </rPr>
      <t xml:space="preserve">ステップ2：
</t>
    </r>
    <r>
      <rPr>
        <rFont val="メイリオ"/>
        <color rgb="FF000000"/>
        <sz val="10.0"/>
      </rPr>
      <t xml:space="preserve">Click「キャンセル」trên dialog được hiển thị
</t>
    </r>
    <r>
      <rPr>
        <rFont val="メイリオ"/>
        <b/>
        <color rgb="FF000000"/>
        <sz val="10.0"/>
      </rPr>
      <t xml:space="preserve">ステップ3：
</t>
    </r>
    <r>
      <rPr>
        <rFont val="メイリオ"/>
        <color rgb="FF000000"/>
        <sz val="10.0"/>
      </rPr>
      <t>Click lại button「クリア」rồi click「OK」</t>
    </r>
  </si>
  <si>
    <r>
      <rPr>
        <rFont val="メイリオ"/>
        <b/>
        <color rgb="FF000000"/>
        <sz val="10.0"/>
      </rPr>
      <t xml:space="preserve">ステップ1：
</t>
    </r>
    <r>
      <rPr>
        <rFont val="メイリオ"/>
        <color rgb="FF000000"/>
        <sz val="10.0"/>
      </rPr>
      <t xml:space="preserve">Dialog chứa message xác nhận「全てのJAとファイルを削除します。よろしいでしょうか。」được hiển thị
</t>
    </r>
    <r>
      <rPr>
        <rFont val="メイリオ"/>
        <b/>
        <color rgb="FF000000"/>
        <sz val="10.0"/>
      </rPr>
      <t xml:space="preserve">ステップ2：
</t>
    </r>
    <r>
      <rPr>
        <rFont val="メイリオ"/>
        <color rgb="FF000000"/>
        <sz val="10.0"/>
      </rPr>
      <t xml:space="preserve">・Xử lý không được thực hiện
</t>
    </r>
    <r>
      <rPr>
        <rFont val="メイリオ"/>
        <color rgb="FF000000"/>
        <sz val="10.0"/>
      </rPr>
      <t xml:space="preserve">・JA và file đã chọn được giữ lại
</t>
    </r>
    <r>
      <rPr>
        <rFont val="メイリオ"/>
        <b/>
        <color rgb="FF000000"/>
        <sz val="10.0"/>
      </rPr>
      <t xml:space="preserve">ステップ3：
</t>
    </r>
    <r>
      <rPr>
        <rFont val="メイリオ"/>
        <color rgb="FF000000"/>
        <sz val="10.0"/>
      </rPr>
      <t xml:space="preserve">・Danh sách JA trở thành rỗng
</t>
    </r>
    <r>
      <rPr>
        <rFont val="メイリオ"/>
        <color rgb="FF000000"/>
        <sz val="10.0"/>
      </rPr>
      <t xml:space="preserve">・Danh sách file trở thành rỗng
</t>
    </r>
    <r>
      <rPr>
        <rFont val="メイリオ"/>
        <color rgb="FF000000"/>
        <sz val="10.0"/>
      </rPr>
      <t>・「アップロードされたファイルリスト」không thay đổi</t>
    </r>
  </si>
  <si>
    <t>Nghiệp vụ — Xóa (Function — Delete)</t>
  </si>
  <si>
    <t>ACSMS-TC-023-050</t>
  </si>
  <si>
    <t>Dialog xác nhận xóa</t>
  </si>
  <si>
    <t>・Đã đăng nhập bằng NICHINO_ADMIN (đã xác thực 2 lớp)
・Tồn tại file đã upload có `deleted_at` là NULL</t>
  </si>
  <si>
    <r>
      <rPr>
        <rFont val="メイリオ"/>
        <b/>
        <color rgb="FF000000"/>
        <sz val="10.0"/>
      </rPr>
      <t xml:space="preserve">ステップ1：
</t>
    </r>
    <r>
      <rPr>
        <rFont val="メイリオ"/>
        <color rgb="FF000000"/>
        <sz val="10.0"/>
      </rPr>
      <t xml:space="preserve">Click button「削除」của dòng chưa xóa trong「アップロードされたファイルリスト」
</t>
    </r>
    <r>
      <rPr>
        <rFont val="メイリオ"/>
        <b/>
        <color rgb="FF000000"/>
        <sz val="10.0"/>
      </rPr>
      <t xml:space="preserve">ステップ2：
</t>
    </r>
    <r>
      <rPr>
        <rFont val="メイリオ"/>
        <color rgb="FF000000"/>
        <sz val="10.0"/>
      </rPr>
      <t xml:space="preserve">Click「いいえ」trên dialog được hiển thị
</t>
    </r>
    <r>
      <rPr>
        <rFont val="メイリオ"/>
        <b/>
        <color rgb="FF000000"/>
        <sz val="10.0"/>
      </rPr>
      <t xml:space="preserve">ステップ3：
</t>
    </r>
    <r>
      <rPr>
        <rFont val="メイリオ"/>
        <color rgb="FF000000"/>
        <sz val="10.0"/>
      </rPr>
      <t xml:space="preserve">Thực thi query sau trên DB, xác nhận dòng đối tượng
</t>
    </r>
    <r>
      <rPr>
        <rFont val="メイリオ"/>
        <color rgb="FF000000"/>
        <sz val="10.0"/>
      </rPr>
      <t xml:space="preserve">```sql
</t>
    </r>
    <r>
      <rPr>
        <rFont val="メイリオ"/>
        <color rgb="FF000000"/>
        <sz val="10.0"/>
      </rPr>
      <t xml:space="preserve">SELECT deleted_at FROM t_file_upload WHERE file_upload_id = :file_upload_id;
</t>
    </r>
    <r>
      <rPr>
        <rFont val="メイリオ"/>
        <color rgb="FF000000"/>
        <sz val="10.0"/>
      </rPr>
      <t>```</t>
    </r>
  </si>
  <si>
    <r>
      <rPr>
        <rFont val="メイリオ"/>
        <b/>
        <color rgb="FF000000"/>
        <sz val="10.0"/>
      </rPr>
      <t xml:space="preserve">ステップ1：
</t>
    </r>
    <r>
      <rPr>
        <rFont val="メイリオ"/>
        <color rgb="FF000000"/>
        <sz val="10.0"/>
      </rPr>
      <t xml:space="preserve">Dialog chứa message xác nhận「このファイルを削除しますか？」được hiển thị
</t>
    </r>
    <r>
      <rPr>
        <rFont val="メイリオ"/>
        <b/>
        <color rgb="FF000000"/>
        <sz val="10.0"/>
      </rPr>
      <t xml:space="preserve">ステップ2：
</t>
    </r>
    <r>
      <rPr>
        <rFont val="メイリオ"/>
        <color rgb="FF000000"/>
        <sz val="10.0"/>
      </rPr>
      <t xml:space="preserve">Xử lý không được thực hiện
</t>
    </r>
    <r>
      <rPr>
        <rFont val="メイリオ"/>
        <b/>
        <color rgb="FF000000"/>
        <sz val="10.0"/>
      </rPr>
      <t xml:space="preserve">ステップ3：
</t>
    </r>
    <r>
      <rPr>
        <rFont val="メイリオ"/>
        <color rgb="FF000000"/>
        <sz val="10.0"/>
      </rPr>
      <t>`deleted_at` vẫn là NULL</t>
    </r>
  </si>
  <si>
    <t>ACSMS-TC-023-051</t>
  </si>
  <si>
    <t>Xóa logical thành công</t>
  </si>
  <si>
    <r>
      <rPr>
        <rFont val="游ゴシック"/>
        <b/>
        <color rgb="FF000000"/>
        <sz val="10.0"/>
      </rPr>
      <t xml:space="preserve">ステップ1：
</t>
    </r>
    <r>
      <rPr>
        <rFont val="游ゴシック"/>
        <color rgb="FF000000"/>
        <sz val="10.0"/>
      </rPr>
      <t xml:space="preserve">Click button「削除」của dòng chưa xóa rồi click「はい」
</t>
    </r>
    <r>
      <rPr>
        <rFont val="游ゴシック"/>
        <b/>
        <color rgb="FF000000"/>
        <sz val="10.0"/>
      </rPr>
      <t xml:space="preserve">ステップ2：
</t>
    </r>
    <r>
      <rPr>
        <rFont val="游ゴシック"/>
        <color rgb="FF000000"/>
        <sz val="10.0"/>
      </rPr>
      <t xml:space="preserve">Thực thi query sau trên DB, xác nhận dòng đối tượng
```sql
SELECT deleted_at FROM t_file_upload WHERE file_upload_id = :file_upload_id;
```
</t>
    </r>
    <r>
      <rPr>
        <rFont val="游ゴシック"/>
        <b/>
        <color rgb="FF000000"/>
        <sz val="10.0"/>
      </rPr>
      <t xml:space="preserve">ステップ3：
</t>
    </r>
    <r>
      <rPr>
        <rFont val="游ゴシック"/>
        <color rgb="FF000000"/>
        <sz val="10.0"/>
      </rPr>
      <t xml:space="preserve">Xác nhận hiển thị của màn hình
</t>
    </r>
    <r>
      <rPr>
        <rFont val="游ゴシック"/>
        <b/>
        <color rgb="FF000000"/>
        <sz val="10.0"/>
      </rPr>
      <t xml:space="preserve">ステップ4：
</t>
    </r>
    <r>
      <rPr>
        <rFont val="游ゴシック"/>
        <color rgb="FF000000"/>
        <sz val="10.0"/>
      </rPr>
      <t>Xác nhận object trong storage</t>
    </r>
  </si>
  <si>
    <r>
      <rPr>
        <rFont val="メイリオ"/>
        <b/>
        <color rgb="FF000000"/>
        <sz val="10.0"/>
      </rPr>
      <t xml:space="preserve">ステップ1：
</t>
    </r>
    <r>
      <rPr>
        <rFont val="メイリオ"/>
        <color rgb="FF000000"/>
        <sz val="10.0"/>
      </rPr>
      <t xml:space="preserve">Trả về HTTP 200, và toast「削除しました。」được hiển thị
</t>
    </r>
    <r>
      <rPr>
        <rFont val="メイリオ"/>
        <b/>
        <color rgb="FF000000"/>
        <sz val="10.0"/>
      </rPr>
      <t xml:space="preserve">ステップ2：
</t>
    </r>
    <r>
      <rPr>
        <rFont val="メイリオ"/>
        <color rgb="FF000000"/>
        <sz val="10.0"/>
      </rPr>
      <t xml:space="preserve">Bị xóa logical (thời điểm xóa được thiết lập vào `deleted_at`)
</t>
    </r>
    <r>
      <rPr>
        <rFont val="メイリオ"/>
        <b/>
        <color rgb="FF000000"/>
        <sz val="10.0"/>
      </rPr>
      <t xml:space="preserve">ステップ3：
</t>
    </r>
    <r>
      <rPr>
        <rFont val="メイリオ"/>
        <color rgb="FF000000"/>
        <sz val="10.0"/>
      </rPr>
      <t xml:space="preserve">・Dòng đó vẫn tiếp tục hiển thị trong danh sách
</t>
    </r>
    <r>
      <rPr>
        <rFont val="メイリオ"/>
        <color rgb="FF000000"/>
        <sz val="10.0"/>
      </rPr>
      <t xml:space="preserve">・「削除日」hiển thị ngày xóa theo định dạng yyyymmdd
</t>
    </r>
    <r>
      <rPr>
        <rFont val="メイリオ"/>
        <color rgb="FF000000"/>
        <sz val="10.0"/>
      </rPr>
      <t xml:space="preserve">・Button「削除」hiển thị ở trạng thái disable
</t>
    </r>
    <r>
      <rPr>
        <rFont val="メイリオ"/>
        <b/>
        <color rgb="FF000000"/>
        <sz val="10.0"/>
      </rPr>
      <t xml:space="preserve">ステップ4：
</t>
    </r>
    <r>
      <rPr>
        <rFont val="メイリオ"/>
        <color rgb="FF000000"/>
        <sz val="10.0"/>
      </rPr>
      <t xml:space="preserve">File vật lý bị xóa
</t>
    </r>
    <r>
      <rPr>
        <rFont val="メイリオ"/>
        <b/>
        <color rgb="FF000000"/>
        <sz val="10.0"/>
      </rPr>
      <t xml:space="preserve">補足：
</t>
    </r>
    <r>
      <rPr>
        <rFont val="メイリオ"/>
        <color rgb="FF000000"/>
        <sz val="10.0"/>
      </rPr>
      <t>・Danh sách vẫn trả về cả dòng đã xóa logical (画面項目定義 No.17／18)</t>
    </r>
  </si>
  <si>
    <t>ACSMS-TC-023-052</t>
  </si>
  <si>
    <t>Xóa logical cặp dòng download (t_file_download)</t>
  </si>
  <si>
    <t>・Đã đăng nhập bằng NICHINO_ADMIN (đã xác thực 2 lớp)
・Tồn tại file đã upload đã biết `file_path`</t>
  </si>
  <si>
    <r>
      <rPr>
        <rFont val="メイリオ"/>
        <b/>
        <color rgb="FF000000"/>
        <sz val="10.0"/>
      </rPr>
      <t xml:space="preserve">ステップ1：
</t>
    </r>
    <r>
      <rPr>
        <rFont val="メイリオ"/>
        <color rgb="FF000000"/>
        <sz val="10.0"/>
      </rPr>
      <t xml:space="preserve">Click button「削除」của file đó rồi click「はい」
</t>
    </r>
    <r>
      <rPr>
        <rFont val="メイリオ"/>
        <b/>
        <color rgb="FF000000"/>
        <sz val="10.0"/>
      </rPr>
      <t xml:space="preserve">ステップ2：
</t>
    </r>
    <r>
      <rPr>
        <rFont val="メイリオ"/>
        <color rgb="FF000000"/>
        <sz val="10.0"/>
      </rPr>
      <t xml:space="preserve">Thực thi query sau trên DB, xác nhận cặp dòng
</t>
    </r>
    <r>
      <rPr>
        <rFont val="メイリオ"/>
        <color rgb="FF000000"/>
        <sz val="10.0"/>
      </rPr>
      <t xml:space="preserve">```sql
</t>
    </r>
    <r>
      <rPr>
        <rFont val="メイリオ"/>
        <color rgb="FF000000"/>
        <sz val="10.0"/>
      </rPr>
      <t xml:space="preserve">SELECT deleted_at FROM t_file_download WHERE file_path = :file_path;
</t>
    </r>
    <r>
      <rPr>
        <rFont val="メイリオ"/>
        <color rgb="FF000000"/>
        <sz val="10.0"/>
      </rPr>
      <t xml:space="preserve">```
</t>
    </r>
    <r>
      <rPr>
        <rFont val="メイリオ"/>
        <b/>
        <color rgb="FF000000"/>
        <sz val="10.0"/>
      </rPr>
      <t xml:space="preserve">ステップ3：
</t>
    </r>
    <r>
      <rPr>
        <rFont val="メイリオ"/>
        <color rgb="FF000000"/>
        <sz val="10.0"/>
      </rPr>
      <t>Hiển thị màn hình Download file (ACSMS-SCR-022), xác nhận sự tồn tại của file đó</t>
    </r>
  </si>
  <si>
    <r>
      <rPr>
        <rFont val="メイリオ"/>
        <b/>
        <color rgb="FF000000"/>
        <sz val="10.0"/>
      </rPr>
      <t xml:space="preserve">ステップ1：
</t>
    </r>
    <r>
      <rPr>
        <rFont val="メイリオ"/>
        <color rgb="FF000000"/>
        <sz val="10.0"/>
      </rPr>
      <t xml:space="preserve">Trả về HTTP 200
</t>
    </r>
    <r>
      <rPr>
        <rFont val="メイリオ"/>
        <b/>
        <color rgb="FF000000"/>
        <sz val="10.0"/>
      </rPr>
      <t xml:space="preserve">ステップ2：
</t>
    </r>
    <r>
      <rPr>
        <rFont val="メイリオ"/>
        <color rgb="FF000000"/>
        <sz val="10.0"/>
      </rPr>
      <t xml:space="preserve">Bị xóa logical (thời điểm xóa được thiết lập vào `deleted_at`)
</t>
    </r>
    <r>
      <rPr>
        <rFont val="メイリオ"/>
        <b/>
        <color rgb="FF000000"/>
        <sz val="10.0"/>
      </rPr>
      <t xml:space="preserve">ステップ3：
</t>
    </r>
    <r>
      <rPr>
        <rFont val="メイリオ"/>
        <color rgb="FF000000"/>
        <sz val="10.0"/>
      </rPr>
      <t xml:space="preserve">Dữ liệu đã xóa không được hiển thị
</t>
    </r>
    <r>
      <rPr>
        <rFont val="メイリオ"/>
        <b/>
        <color rgb="FF000000"/>
        <sz val="10.0"/>
      </rPr>
      <t xml:space="preserve">補足：
</t>
    </r>
    <r>
      <rPr>
        <rFont val="メイリオ"/>
        <color rgb="FF000000"/>
        <sz val="10.0"/>
      </rPr>
      <t xml:space="preserve">・Nếu cặp dòng còn lại sẽ phát sinh dòng hiển thị trong danh sách nhưng không lấy được
</t>
    </r>
    <r>
      <rPr>
        <rFont val="メイリオ"/>
        <color rgb="FF000000"/>
        <sz val="10.0"/>
      </rPr>
      <t>・Việc update cả 2 bảng được thực hiện trong cùng 1 transaction</t>
    </r>
  </si>
  <si>
    <t>ACSMS-TC-023-053</t>
  </si>
  <si>
    <t>Ghi audit log (xóa)</t>
  </si>
  <si>
    <r>
      <rPr>
        <rFont val="游ゴシック"/>
        <b/>
        <color rgb="FF000000"/>
        <sz val="10.0"/>
      </rPr>
      <t xml:space="preserve">ステップ1：
</t>
    </r>
    <r>
      <rPr>
        <rFont val="游ゴシック"/>
        <color rgb="FF000000"/>
        <sz val="10.0"/>
      </rPr>
      <t xml:space="preserve">Xóa dòng chưa xóa
</t>
    </r>
    <r>
      <rPr>
        <rFont val="游ゴシック"/>
        <b/>
        <color rgb="FF000000"/>
        <sz val="10.0"/>
      </rPr>
      <t xml:space="preserve">ステップ2：
</t>
    </r>
    <r>
      <rPr>
        <rFont val="游ゴシック"/>
        <color rgb="FF000000"/>
        <sz val="10.0"/>
      </rPr>
      <t>Thực thi query sau trên DB, xác nhận log thao tác
```sql
SELECT log_type, account_id, ja_id, gamen_name, operation,
result_status, target_id, target_table, before_value, after_value
FROM t_log ORDER BY log_datetime DESC LIMIT 1;
```</t>
    </r>
  </si>
  <si>
    <r>
      <rPr>
        <rFont val="游ゴシック"/>
        <b/>
        <color rgb="FF000000"/>
        <sz val="10.0"/>
      </rPr>
      <t xml:space="preserve">ステップ1：
</t>
    </r>
    <r>
      <rPr>
        <rFont val="游ゴシック"/>
        <color rgb="FF000000"/>
        <sz val="10.0"/>
      </rPr>
      <t xml:space="preserve">Trả về HTTP 200
</t>
    </r>
    <r>
      <rPr>
        <rFont val="游ゴシック"/>
        <b/>
        <color rgb="FF000000"/>
        <sz val="10.0"/>
      </rPr>
      <t xml:space="preserve">ステップ2：
</t>
    </r>
    <r>
      <rPr>
        <rFont val="游ゴシック"/>
        <color rgb="FF000000"/>
        <sz val="10.0"/>
      </rPr>
      <t>・Audit log được record
・`log_type` là 4 (thao tác file)
・`operation` là `DELETE`
・`result_status` là 1
・`gamen_name` là `ファイルアップロード画面 (ACSMS-SCR-023)`
・JSON nội dung trước khi xóa được record vào `before_value`
・`after_value` là chuỗi rỗng</t>
    </r>
  </si>
  <si>
    <t>ACSMS-TC-023-054</t>
  </si>
  <si>
    <t>Xóa file đã xóa・ID không tồn tại</t>
  </si>
  <si>
    <t>・Đã đăng nhập bằng NICHINO_ADMIN (đã xác thực 2 lớp)
・Tồn tại file đã xóa logical (file_upload_id=201)</t>
  </si>
  <si>
    <r>
      <rPr>
        <rFont val="メイリオ"/>
        <b/>
        <color rgb="FF000000"/>
        <sz val="10.0"/>
      </rPr>
      <t xml:space="preserve">ステップ1：
</t>
    </r>
    <r>
      <rPr>
        <rFont val="メイリオ"/>
        <color rgb="FF000000"/>
        <sz val="10.0"/>
      </rPr>
      <t xml:space="preserve">Gửi DELETE「/api/v1/file-upload/201」từ DevTools
</t>
    </r>
    <r>
      <rPr>
        <rFont val="メイリオ"/>
        <b/>
        <color rgb="FF000000"/>
        <sz val="10.0"/>
      </rPr>
      <t xml:space="preserve">ステップ2：
</t>
    </r>
    <r>
      <rPr>
        <rFont val="メイリオ"/>
        <color rgb="FF000000"/>
        <sz val="10.0"/>
      </rPr>
      <t>Gửi DELETE「/api/v1/file-upload/999999」từ DevTools</t>
    </r>
  </si>
  <si>
    <r>
      <rPr>
        <rFont val="メイリオ"/>
        <b/>
        <color rgb="FF000000"/>
        <sz val="10.0"/>
      </rPr>
      <t xml:space="preserve">ステップ1：
</t>
    </r>
    <r>
      <rPr>
        <rFont val="メイリオ"/>
        <color rgb="FF000000"/>
        <sz val="10.0"/>
      </rPr>
      <t xml:space="preserve">Trả về HTTP 404 (`error_code: NOT_FOUND`, message `指定されたファイルが見つかりません。`)
</t>
    </r>
    <r>
      <rPr>
        <rFont val="メイリオ"/>
        <b/>
        <color rgb="FF000000"/>
        <sz val="10.0"/>
      </rPr>
      <t xml:space="preserve">ステップ2：
</t>
    </r>
    <r>
      <rPr>
        <rFont val="メイリオ"/>
        <color rgb="FF000000"/>
        <sz val="10.0"/>
      </rPr>
      <t xml:space="preserve">Trả về HTTP 404 (`error_code: NOT_FOUND`, message `指定されたファイルが見つかりません。`)
</t>
    </r>
    <r>
      <rPr>
        <rFont val="メイリオ"/>
        <b/>
        <color rgb="FF000000"/>
        <sz val="10.0"/>
      </rPr>
      <t xml:space="preserve">補足：
</t>
    </r>
    <r>
      <rPr>
        <rFont val="メイリオ"/>
        <color rgb="FF000000"/>
        <sz val="10.0"/>
      </rPr>
      <t>・Xử lý xóa loại trừ các dòng đã xóa logical</t>
    </r>
  </si>
  <si>
    <t>Nghiệp vụ — Preview・Download (Function — Preview / Download)</t>
  </si>
  <si>
    <t>ACSMS-TC-023-055</t>
  </si>
  <si>
    <t>Preview (lấy URL có chữ ký)</t>
  </si>
  <si>
    <t>・Đã đăng nhập bằng NICHINO_ADMIN (đã xác thực 2 lớp)
・Giữ quyền「file.download」
・Tồn tại file đã upload có đuôi `.pdf`</t>
  </si>
  <si>
    <r>
      <rPr>
        <rFont val="メイリオ"/>
        <b/>
        <color rgb="FF000000"/>
        <sz val="10.0"/>
      </rPr>
      <t xml:space="preserve">ステップ1：
</t>
    </r>
    <r>
      <rPr>
        <rFont val="メイリオ"/>
        <color rgb="FF000000"/>
        <sz val="10.0"/>
      </rPr>
      <t xml:space="preserve">Chọn checkbox của dòng đối tượng trong danh sách, thực hiện preview
</t>
    </r>
    <r>
      <rPr>
        <rFont val="メイリオ"/>
        <b/>
        <color rgb="FF000000"/>
        <sz val="10.0"/>
      </rPr>
      <t xml:space="preserve">ステップ2：
</t>
    </r>
    <r>
      <rPr>
        <rFont val="メイリオ"/>
        <color rgb="FF000000"/>
        <sz val="10.0"/>
      </rPr>
      <t xml:space="preserve">Xác nhận response của GET「/api/v1/file-upload/{file_upload_id}/preview」ở DevTools
</t>
    </r>
    <r>
      <rPr>
        <rFont val="メイリオ"/>
        <b/>
        <color rgb="FF000000"/>
        <sz val="10.0"/>
      </rPr>
      <t xml:space="preserve">ステップ3：
</t>
    </r>
    <r>
      <rPr>
        <rFont val="メイリオ"/>
        <color rgb="FF000000"/>
        <sz val="10.0"/>
      </rPr>
      <t>Xác nhận nội dung hiển thị</t>
    </r>
  </si>
  <si>
    <r>
      <rPr>
        <rFont val="メイリオ"/>
        <b/>
        <color rgb="FF000000"/>
        <sz val="10.0"/>
      </rPr>
      <t xml:space="preserve">ステップ1：
</t>
    </r>
    <r>
      <rPr>
        <rFont val="メイリオ"/>
        <color rgb="FF000000"/>
        <sz val="10.0"/>
      </rPr>
      <t xml:space="preserve">Dialog được hiển thị
</t>
    </r>
    <r>
      <rPr>
        <rFont val="メイリオ"/>
        <b/>
        <color rgb="FF000000"/>
        <sz val="10.0"/>
      </rPr>
      <t xml:space="preserve">ステップ2：
</t>
    </r>
    <r>
      <rPr>
        <rFont val="メイリオ"/>
        <color rgb="FF000000"/>
        <sz val="10.0"/>
      </rPr>
      <t xml:space="preserve">Trả về HTTP 200 (`data.preview_url` chứa URL có chữ ký, `data.file_name` chứa tên file gốc)
</t>
    </r>
    <r>
      <rPr>
        <rFont val="メイリオ"/>
        <b/>
        <color rgb="FF000000"/>
        <sz val="10.0"/>
      </rPr>
      <t xml:space="preserve">ステップ3：
</t>
    </r>
    <r>
      <rPr>
        <rFont val="メイリオ"/>
        <color rgb="FF000000"/>
        <sz val="10.0"/>
      </rPr>
      <t xml:space="preserve">PDF được hiển thị trong trình duyệt
</t>
    </r>
    <r>
      <rPr>
        <rFont val="メイリオ"/>
        <b/>
        <color rgb="FF000000"/>
        <sz val="10.0"/>
      </rPr>
      <t xml:space="preserve">補足：
</t>
    </r>
    <r>
      <rPr>
        <rFont val="メイリオ"/>
        <color rgb="FF000000"/>
        <sz val="10.0"/>
      </rPr>
      <t>・Quyền cần thiết là `file.download`</t>
    </r>
  </si>
  <si>
    <t>ACSMS-TC-023-056</t>
  </si>
  <si>
    <t>Download đơn lẻ</t>
  </si>
  <si>
    <t>・Đã đăng nhập bằng NICHINO_ADMIN (đã xác thực 2 lớp)
・Giữ quyền「file.download」</t>
  </si>
  <si>
    <r>
      <rPr>
        <rFont val="游ゴシック"/>
        <b/>
        <color rgb="FF000000"/>
        <sz val="10.0"/>
      </rPr>
      <t xml:space="preserve">ステップ1：
</t>
    </r>
    <r>
      <rPr>
        <rFont val="游ゴシック"/>
        <color rgb="FF000000"/>
        <sz val="10.0"/>
      </rPr>
      <t xml:space="preserve">Chọn 1 dòng đối tượng trong danh sách, thực hiện download
</t>
    </r>
    <r>
      <rPr>
        <rFont val="游ゴシック"/>
        <b/>
        <color rgb="FF000000"/>
        <sz val="10.0"/>
      </rPr>
      <t xml:space="preserve">ステップ2：
</t>
    </r>
    <r>
      <rPr>
        <rFont val="游ゴシック"/>
        <color rgb="FF000000"/>
        <sz val="10.0"/>
      </rPr>
      <t xml:space="preserve">Xác nhận response header
</t>
    </r>
    <r>
      <rPr>
        <rFont val="游ゴシック"/>
        <b/>
        <color rgb="FF000000"/>
        <sz val="10.0"/>
      </rPr>
      <t xml:space="preserve">ステップ3：
</t>
    </r>
    <r>
      <rPr>
        <rFont val="游ゴシック"/>
        <color rgb="FF000000"/>
        <sz val="10.0"/>
      </rPr>
      <t xml:space="preserve">Thực thi query sau trên DB, xác nhận log thao tác
```sql
SELECT operation, result_status, target_table
FROM t_log ORDER BY log_datetime DESC LIMIT 1;
```
</t>
    </r>
    <r>
      <rPr>
        <rFont val="游ゴシック"/>
        <b/>
        <color rgb="FF000000"/>
        <sz val="10.0"/>
      </rPr>
      <t xml:space="preserve">ステップ4：
</t>
    </r>
    <r>
      <rPr>
        <rFont val="游ゴシック"/>
        <color rgb="FF000000"/>
        <sz val="10.0"/>
      </rPr>
      <t>So sánh số lượng t_file_upload trước và sau khi thực hiện
```sql
SELECT COUNT(*) FROM t_file_upload;
```</t>
    </r>
  </si>
  <si>
    <r>
      <rPr>
        <rFont val="メイリオ"/>
        <b/>
        <color rgb="FF000000"/>
        <sz val="10.0"/>
      </rPr>
      <t xml:space="preserve">ステップ1：
</t>
    </r>
    <r>
      <rPr>
        <rFont val="メイリオ"/>
        <color rgb="FF000000"/>
        <sz val="10.0"/>
      </rPr>
      <t xml:space="preserve">Trả về HTTP 200, và file được lưu
</t>
    </r>
    <r>
      <rPr>
        <rFont val="メイリオ"/>
        <b/>
        <color rgb="FF000000"/>
        <sz val="10.0"/>
      </rPr>
      <t xml:space="preserve">ステップ2：
</t>
    </r>
    <r>
      <rPr>
        <rFont val="メイリオ"/>
        <color rgb="FF000000"/>
        <sz val="10.0"/>
      </rPr>
      <t xml:space="preserve">・`Content-Disposition` là `attachment`
</t>
    </r>
    <r>
      <rPr>
        <rFont val="メイリオ"/>
        <color rgb="FF000000"/>
        <sz val="10.0"/>
      </rPr>
      <t xml:space="preserve">・`Content-Type` là giá trị tương ứng với đuôi file
</t>
    </r>
    <r>
      <rPr>
        <rFont val="メイリオ"/>
        <b/>
        <color rgb="FF000000"/>
        <sz val="10.0"/>
      </rPr>
      <t xml:space="preserve">ステップ3：
</t>
    </r>
    <r>
      <rPr>
        <rFont val="メイリオ"/>
        <color rgb="FF000000"/>
        <sz val="10.0"/>
      </rPr>
      <t xml:space="preserve">・Audit log được record
</t>
    </r>
    <r>
      <rPr>
        <rFont val="メイリオ"/>
        <color rgb="FF000000"/>
        <sz val="10.0"/>
      </rPr>
      <t xml:space="preserve">・`operation` là `DOWNLOAD`
</t>
    </r>
    <r>
      <rPr>
        <rFont val="メイリオ"/>
        <b/>
        <color rgb="FF000000"/>
        <sz val="10.0"/>
      </rPr>
      <t xml:space="preserve">ステップ4：
</t>
    </r>
    <r>
      <rPr>
        <rFont val="メイリオ"/>
        <color rgb="FF000000"/>
        <sz val="10.0"/>
      </rPr>
      <t xml:space="preserve">Số lượng không tăng
</t>
    </r>
    <r>
      <rPr>
        <rFont val="メイリオ"/>
        <b/>
        <color rgb="FF000000"/>
        <sz val="10.0"/>
      </rPr>
      <t xml:space="preserve">補足：
</t>
    </r>
    <r>
      <rPr>
        <rFont val="メイリオ"/>
        <color rgb="FF000000"/>
        <sz val="10.0"/>
      </rPr>
      <t>・Khi thực hiện download không đăng ký mới vào `t_file_upload` (kiểm tra hồi quy khác biệt với spec cũ)</t>
    </r>
  </si>
  <si>
    <t>ACSMS-TC-023-057</t>
  </si>
  <si>
    <t>Download hàng loạt dạng ZIP</t>
  </si>
  <si>
    <t>・Đã đăng nhập bằng NICHINO_ADMIN (đã xác thực 2 lớp)
・Tồn tại từ 3 file đã upload trở lên</t>
  </si>
  <si>
    <r>
      <rPr>
        <rFont val="游ゴシック"/>
        <b/>
        <color rgb="FF000000"/>
        <sz val="10.0"/>
      </rPr>
      <t xml:space="preserve">ステップ1：
</t>
    </r>
    <r>
      <rPr>
        <rFont val="游ゴシック"/>
        <color rgb="FF000000"/>
        <sz val="10.0"/>
      </rPr>
      <t xml:space="preserve">Chọn checkbox của 3 dòng trong danh sách, thực hiện download hàng loạt
</t>
    </r>
    <r>
      <rPr>
        <rFont val="游ゴシック"/>
        <b/>
        <color rgb="FF000000"/>
        <sz val="10.0"/>
      </rPr>
      <t xml:space="preserve">ステップ2：
</t>
    </r>
    <r>
      <rPr>
        <rFont val="游ゴシック"/>
        <color rgb="FF000000"/>
        <sz val="10.0"/>
      </rPr>
      <t xml:space="preserve">Xác nhận response header
</t>
    </r>
    <r>
      <rPr>
        <rFont val="游ゴシック"/>
        <b/>
        <color rgb="FF000000"/>
        <sz val="10.0"/>
      </rPr>
      <t xml:space="preserve">ステップ3：
</t>
    </r>
    <r>
      <rPr>
        <rFont val="游ゴシック"/>
        <color rgb="FF000000"/>
        <sz val="10.0"/>
      </rPr>
      <t xml:space="preserve">Giải nén ZIP đã lưu, xác nhận nội dung
</t>
    </r>
    <r>
      <rPr>
        <rFont val="游ゴシック"/>
        <b/>
        <color rgb="FF000000"/>
        <sz val="10.0"/>
      </rPr>
      <t xml:space="preserve">ステップ4：
</t>
    </r>
    <r>
      <rPr>
        <rFont val="游ゴシック"/>
        <color rgb="FF000000"/>
        <sz val="10.0"/>
      </rPr>
      <t>Xác nhận số lượng log thao tác trên DB
```sql
SELECT COUNT(*) FROM t_log
WHERE operation = 'DOWNLOAD' AND log_datetime &gt;= :thời điểm bắt đầu test;
```</t>
    </r>
  </si>
  <si>
    <r>
      <rPr>
        <rFont val="メイリオ"/>
        <b/>
        <color rgb="FF000000"/>
        <sz val="10.0"/>
      </rPr>
      <t xml:space="preserve">ステップ1：
</t>
    </r>
    <r>
      <rPr>
        <rFont val="メイリオ"/>
        <color rgb="FF000000"/>
        <sz val="10.0"/>
      </rPr>
      <t xml:space="preserve">Trả về HTTP 200
</t>
    </r>
    <r>
      <rPr>
        <rFont val="メイリオ"/>
        <b/>
        <color rgb="FF000000"/>
        <sz val="10.0"/>
      </rPr>
      <t xml:space="preserve">ステップ2：
</t>
    </r>
    <r>
      <rPr>
        <rFont val="メイリオ"/>
        <color rgb="FF000000"/>
        <sz val="10.0"/>
      </rPr>
      <t xml:space="preserve">・`Content-Type` là `application/zip`
</t>
    </r>
    <r>
      <rPr>
        <rFont val="メイリオ"/>
        <color rgb="FF000000"/>
        <sz val="10.0"/>
      </rPr>
      <t xml:space="preserve">・`Content-Disposition` là `attachment`
</t>
    </r>
    <r>
      <rPr>
        <rFont val="メイリオ"/>
        <b/>
        <color rgb="FF000000"/>
        <sz val="10.0"/>
      </rPr>
      <t xml:space="preserve">ステップ3：
</t>
    </r>
    <r>
      <rPr>
        <rFont val="メイリオ"/>
        <color rgb="FF000000"/>
        <sz val="10.0"/>
      </rPr>
      <t xml:space="preserve">3 file đã chọn được bao gồm
</t>
    </r>
    <r>
      <rPr>
        <rFont val="メイリオ"/>
        <b/>
        <color rgb="FF000000"/>
        <sz val="10.0"/>
      </rPr>
      <t xml:space="preserve">ステップ4：
</t>
    </r>
    <r>
      <rPr>
        <rFont val="メイリオ"/>
        <color rgb="FF000000"/>
        <sz val="10.0"/>
      </rPr>
      <t xml:space="preserve">Chỉ 1 audit log được record
</t>
    </r>
    <r>
      <rPr>
        <rFont val="メイリオ"/>
        <b/>
        <color rgb="FF000000"/>
        <sz val="10.0"/>
      </rPr>
      <t xml:space="preserve">補足：
</t>
    </r>
    <r>
      <rPr>
        <rFont val="メイリオ"/>
        <color rgb="FF000000"/>
        <sz val="10.0"/>
      </rPr>
      <t>・Log thao tác là 1 dòng cho toàn bộ ZIP, không record theo từng file</t>
    </r>
  </si>
  <si>
    <t>ACSMS-TC-023-058</t>
  </si>
  <si>
    <t>Giá trị biên số lượng ZIP (50／51／0 dòng)</t>
  </si>
  <si>
    <t>・Đã đăng nhập bằng NICHINO_ADMIN (đã xác thực 2 lớp)
・Tồn tại từ 51 file đã upload trở lên</t>
  </si>
  <si>
    <r>
      <rPr>
        <rFont val="メイリオ"/>
        <b/>
        <color rgb="FF000000"/>
        <sz val="10.0"/>
      </rPr>
      <t xml:space="preserve">ステップ1：
</t>
    </r>
    <r>
      <rPr>
        <rFont val="メイリオ"/>
        <color rgb="FF000000"/>
        <sz val="10.0"/>
      </rPr>
      <t xml:space="preserve">Gửi POST「/api/v1/file-upload/download-zip」từ DevTools với `file_upload_ids` gồm 50 phần tử
</t>
    </r>
    <r>
      <rPr>
        <rFont val="メイリオ"/>
        <b/>
        <color rgb="FF000000"/>
        <sz val="10.0"/>
      </rPr>
      <t xml:space="preserve">ステップ2：
</t>
    </r>
    <r>
      <rPr>
        <rFont val="メイリオ"/>
        <color rgb="FF000000"/>
        <sz val="10.0"/>
      </rPr>
      <t xml:space="preserve">Gửi với `file_upload_ids` gồm 51 phần tử
</t>
    </r>
    <r>
      <rPr>
        <rFont val="メイリオ"/>
        <b/>
        <color rgb="FF000000"/>
        <sz val="10.0"/>
      </rPr>
      <t xml:space="preserve">ステップ3：
</t>
    </r>
    <r>
      <rPr>
        <rFont val="メイリオ"/>
        <color rgb="FF000000"/>
        <sz val="10.0"/>
      </rPr>
      <t>Gửi với `file_upload_ids` là mảng rỗng</t>
    </r>
  </si>
  <si>
    <r>
      <rPr>
        <rFont val="メイリオ"/>
        <b/>
        <color rgb="FF000000"/>
        <sz val="10.0"/>
      </rPr>
      <t xml:space="preserve">ステップ1：
</t>
    </r>
    <r>
      <rPr>
        <rFont val="メイリオ"/>
        <color rgb="FF000000"/>
        <sz val="10.0"/>
      </rPr>
      <t xml:space="preserve">Trả về HTTP 200
</t>
    </r>
    <r>
      <rPr>
        <rFont val="メイリオ"/>
        <b/>
        <color rgb="FF000000"/>
        <sz val="10.0"/>
      </rPr>
      <t xml:space="preserve">ステップ2：
</t>
    </r>
    <r>
      <rPr>
        <rFont val="メイリオ"/>
        <color rgb="FF000000"/>
        <sz val="10.0"/>
      </rPr>
      <t xml:space="preserve">Trả về HTTP 400 (`error_code: VALIDATION_ERROR`, `errors[0].message` là `一括ダウンロードは最大50件までです。`)
</t>
    </r>
    <r>
      <rPr>
        <rFont val="メイリオ"/>
        <b/>
        <color rgb="FF000000"/>
        <sz val="10.0"/>
      </rPr>
      <t xml:space="preserve">ステップ3：
</t>
    </r>
    <r>
      <rPr>
        <rFont val="メイリオ"/>
        <color rgb="FF000000"/>
        <sz val="10.0"/>
      </rPr>
      <t>Trả về HTTP 400 (`error_code: VALIDATION_ERROR`, `errors[0].message` là `ファイルを選択してください。`)</t>
    </r>
  </si>
  <si>
    <t>ACSMS-TC-023-059</t>
  </si>
  <si>
    <t>Trùng lặp・sai định dạng file ID của ZIP</t>
  </si>
  <si>
    <r>
      <rPr>
        <rFont val="メイリオ"/>
        <b/>
        <color rgb="FF000000"/>
        <sz val="10.0"/>
      </rPr>
      <t xml:space="preserve">ステップ1：
</t>
    </r>
    <r>
      <rPr>
        <rFont val="メイリオ"/>
        <color rgb="FF000000"/>
        <sz val="10.0"/>
      </rPr>
      <t xml:space="preserve">Gửi với `file_upload_ids` là `[101, 101, 102]`
</t>
    </r>
    <r>
      <rPr>
        <rFont val="メイリオ"/>
        <b/>
        <color rgb="FF000000"/>
        <sz val="10.0"/>
      </rPr>
      <t xml:space="preserve">ステップ2：
</t>
    </r>
    <r>
      <rPr>
        <rFont val="メイリオ"/>
        <color rgb="FF000000"/>
        <sz val="10.0"/>
      </rPr>
      <t xml:space="preserve">Gửi với `file_upload_ids` là `[101.5]`
</t>
    </r>
    <r>
      <rPr>
        <rFont val="メイリオ"/>
        <b/>
        <color rgb="FF000000"/>
        <sz val="10.0"/>
      </rPr>
      <t xml:space="preserve">ステップ3：
</t>
    </r>
    <r>
      <rPr>
        <rFont val="メイリオ"/>
        <color rgb="FF000000"/>
        <sz val="10.0"/>
      </rPr>
      <t>Gửi với `file_upload_ids` là giá trị không phải mảng (`"101"`)</t>
    </r>
  </si>
  <si>
    <r>
      <rPr>
        <rFont val="メイリオ"/>
        <b/>
        <color rgb="FF000000"/>
        <sz val="10.0"/>
      </rPr>
      <t xml:space="preserve">ステップ1：
</t>
    </r>
    <r>
      <rPr>
        <rFont val="メイリオ"/>
        <color rgb="FF000000"/>
        <sz val="10.0"/>
      </rPr>
      <t xml:space="preserve">Trả về HTTP 400 (`error_code: VALIDATION_ERROR`, `errors[0].message` là `ファイルIDが重複しています。`)
</t>
    </r>
    <r>
      <rPr>
        <rFont val="メイリオ"/>
        <b/>
        <color rgb="FF000000"/>
        <sz val="10.0"/>
      </rPr>
      <t xml:space="preserve">ステップ2：
</t>
    </r>
    <r>
      <rPr>
        <rFont val="メイリオ"/>
        <color rgb="FF000000"/>
        <sz val="10.0"/>
      </rPr>
      <t xml:space="preserve">Trả về HTTP 400 (`error_code: VALIDATION_ERROR`, `errors[0].message` là `ファイルIDは整数で指定してください。`)
</t>
    </r>
    <r>
      <rPr>
        <rFont val="メイリオ"/>
        <b/>
        <color rgb="FF000000"/>
        <sz val="10.0"/>
      </rPr>
      <t xml:space="preserve">ステップ3：
</t>
    </r>
    <r>
      <rPr>
        <rFont val="メイリオ"/>
        <color rgb="FF000000"/>
        <sz val="10.0"/>
      </rPr>
      <t>Trả về HTTP 400 (`error_code: VALIDATION_ERROR`, `errors[0].message` là `ファイルIDの形式が不正です。`)</t>
    </r>
  </si>
  <si>
    <t>ACSMS-TC-023-060</t>
  </si>
  <si>
    <t>Trường hợp ZIP chứa file ngoài phạm vi・đã xóa</t>
  </si>
  <si>
    <t>・Đã đăng nhập bằng JA_HONTEN (ja_id=12345, đã xác thực 2 lớp)
・Giữ quyền「file.download」
・Tồn tại 2 file của JA mình, 1 file của JA khác, 1 file đã xóa logical</t>
  </si>
  <si>
    <r>
      <rPr>
        <rFont val="メイリオ"/>
        <b/>
        <color rgb="FF000000"/>
        <sz val="10.0"/>
      </rPr>
      <t xml:space="preserve">ステップ1：
</t>
    </r>
    <r>
      <rPr>
        <rFont val="メイリオ"/>
        <color rgb="FF000000"/>
        <sz val="10.0"/>
      </rPr>
      <t xml:space="preserve">Gửi với ID của 2 file JA mình và 1 file JA khác
</t>
    </r>
    <r>
      <rPr>
        <rFont val="メイリオ"/>
        <b/>
        <color rgb="FF000000"/>
        <sz val="10.0"/>
      </rPr>
      <t xml:space="preserve">ステップ2：
</t>
    </r>
    <r>
      <rPr>
        <rFont val="メイリオ"/>
        <color rgb="FF000000"/>
        <sz val="10.0"/>
      </rPr>
      <t xml:space="preserve">Gửi với ID của 2 file JA mình và 1 file đã xóa logical
</t>
    </r>
    <r>
      <rPr>
        <rFont val="メイリオ"/>
        <b/>
        <color rgb="FF000000"/>
        <sz val="10.0"/>
      </rPr>
      <t xml:space="preserve">ステップ3：
</t>
    </r>
    <r>
      <rPr>
        <rFont val="メイリオ"/>
        <color rgb="FF000000"/>
        <sz val="10.0"/>
      </rPr>
      <t>Gửi chỉ với 2 file của JA mình</t>
    </r>
  </si>
  <si>
    <r>
      <rPr>
        <rFont val="メイリオ"/>
        <b/>
        <color rgb="FF000000"/>
        <sz val="10.0"/>
      </rPr>
      <t xml:space="preserve">ステップ1：
</t>
    </r>
    <r>
      <rPr>
        <rFont val="メイリオ"/>
        <color rgb="FF000000"/>
        <sz val="10.0"/>
      </rPr>
      <t xml:space="preserve">Trả về HTTP 404 (`error_code: NOT_FOUND`, message `指定されたファイルが見つかりません。`)
</t>
    </r>
    <r>
      <rPr>
        <rFont val="メイリオ"/>
        <b/>
        <color rgb="FF000000"/>
        <sz val="10.0"/>
      </rPr>
      <t xml:space="preserve">ステップ2：
</t>
    </r>
    <r>
      <rPr>
        <rFont val="メイリオ"/>
        <color rgb="FF000000"/>
        <sz val="10.0"/>
      </rPr>
      <t xml:space="preserve">Trả về HTTP 404 (`error_code: NOT_FOUND`, message `指定されたファイルが見つかりません。`)
</t>
    </r>
    <r>
      <rPr>
        <rFont val="メイリオ"/>
        <b/>
        <color rgb="FF000000"/>
        <sz val="10.0"/>
      </rPr>
      <t xml:space="preserve">ステップ3：
</t>
    </r>
    <r>
      <rPr>
        <rFont val="メイリオ"/>
        <color rgb="FF000000"/>
        <sz val="10.0"/>
      </rPr>
      <t xml:space="preserve">Trả về HTTP 200, và ZIP chứa 2 file được trả về
</t>
    </r>
    <r>
      <rPr>
        <rFont val="メイリオ"/>
        <b/>
        <color rgb="FF000000"/>
        <sz val="10.0"/>
      </rPr>
      <t xml:space="preserve">補足：
</t>
    </r>
    <r>
      <rPr>
        <rFont val="メイリオ"/>
        <color rgb="FF000000"/>
        <sz val="10.0"/>
      </rPr>
      <t>・Nếu chứa dù chỉ 1 file ngoài đối tượng thì từ chối toàn bộ, không thành công một phần</t>
    </r>
  </si>
  <si>
    <t>ACSMS-TC-023-061</t>
  </si>
  <si>
    <t>Rate limit của download hàng loạt dạng ZIP</t>
  </si>
  <si>
    <r>
      <rPr>
        <rFont val="メイリオ"/>
        <b/>
        <color rgb="FF000000"/>
        <sz val="10.0"/>
      </rPr>
      <t xml:space="preserve">ステップ1：
</t>
    </r>
    <r>
      <rPr>
        <rFont val="メイリオ"/>
        <color rgb="FF000000"/>
        <sz val="10.0"/>
      </rPr>
      <t xml:space="preserve">Gửi liên tiếp 20 lần POST「/api/v1/file-upload/download-zip」trong 1 phút
</t>
    </r>
    <r>
      <rPr>
        <rFont val="メイリオ"/>
        <b/>
        <color rgb="FF000000"/>
        <sz val="10.0"/>
      </rPr>
      <t xml:space="preserve">ステップ2：
</t>
    </r>
    <r>
      <rPr>
        <rFont val="メイリオ"/>
        <color rgb="FF000000"/>
        <sz val="10.0"/>
      </rPr>
      <t xml:space="preserve">Gửi lần thứ 21 trong cùng 1 phút
</t>
    </r>
    <r>
      <rPr>
        <rFont val="メイリオ"/>
        <b/>
        <color rgb="FF000000"/>
        <sz val="10.0"/>
      </rPr>
      <t xml:space="preserve">ステップ3：
</t>
    </r>
    <r>
      <rPr>
        <rFont val="メイリオ"/>
        <color rgb="FF000000"/>
        <sz val="10.0"/>
      </rPr>
      <t>Sau 1 phút gửi lại</t>
    </r>
  </si>
  <si>
    <r>
      <rPr>
        <rFont val="メイリオ"/>
        <b/>
        <color rgb="FF000000"/>
        <sz val="10.0"/>
      </rPr>
      <t xml:space="preserve">ステップ1：
</t>
    </r>
    <r>
      <rPr>
        <rFont val="メイリオ"/>
        <color rgb="FF000000"/>
        <sz val="10.0"/>
      </rPr>
      <t xml:space="preserve">Cả 20 lần đều trả về HTTP 200
</t>
    </r>
    <r>
      <rPr>
        <rFont val="メイリオ"/>
        <b/>
        <color rgb="FF000000"/>
        <sz val="10.0"/>
      </rPr>
      <t xml:space="preserve">ステップ2：
</t>
    </r>
    <r>
      <rPr>
        <rFont val="メイリオ"/>
        <color rgb="FF000000"/>
        <sz val="10.0"/>
      </rPr>
      <t xml:space="preserve">Trả về HTTP 429 (`error_code: TOO_MANY_REQUESTS`, message `リクエスト回数が上限を超えました。しばらくしてから再度お試しください。`)
</t>
    </r>
    <r>
      <rPr>
        <rFont val="メイリオ"/>
        <b/>
        <color rgb="FF000000"/>
        <sz val="10.0"/>
      </rPr>
      <t xml:space="preserve">ステップ3：
</t>
    </r>
    <r>
      <rPr>
        <rFont val="メイリオ"/>
        <color rgb="FF000000"/>
        <sz val="10.0"/>
      </rPr>
      <t xml:space="preserve">Trả về HTTP 200
</t>
    </r>
    <r>
      <rPr>
        <rFont val="メイリオ"/>
        <b/>
        <color rgb="FF000000"/>
        <sz val="10.0"/>
      </rPr>
      <t xml:space="preserve">補足：
</t>
    </r>
    <r>
      <rPr>
        <rFont val="メイリオ"/>
        <color rgb="FF000000"/>
        <sz val="10.0"/>
      </rPr>
      <t>・Rate limit được phán định theo đơn vị địa chỉ IP nguồn thực tế</t>
    </r>
  </si>
  <si>
    <t>Xử lý lỗi chung (Common Error Handling)</t>
  </si>
  <si>
    <t>ACSMS-TC-023-062</t>
  </si>
  <si>
    <t>Session hết hạn (UNAUTHORIZED)</t>
  </si>
  <si>
    <t>・Đã đăng nhập bằng NICHINO_ADMIN (đã xác thực 2 lớp)
・Cho session hết hạn cưỡng chế ở trạng thái đang hiển thị màn hình</t>
  </si>
  <si>
    <r>
      <rPr>
        <rFont val="メイリオ"/>
        <b/>
        <color rgb="FF000000"/>
        <sz val="10.0"/>
      </rPr>
      <t xml:space="preserve">ステップ1：
</t>
    </r>
    <r>
      <rPr>
        <rFont val="メイリオ"/>
        <color rgb="FF000000"/>
        <sz val="10.0"/>
      </rPr>
      <t xml:space="preserve">Ở trạng thái đã chọn JA đối tượng và file, click「アップロード実行」→「OK」
</t>
    </r>
    <r>
      <rPr>
        <rFont val="メイリオ"/>
        <b/>
        <color rgb="FF000000"/>
        <sz val="10.0"/>
      </rPr>
      <t xml:space="preserve">ステップ2：
</t>
    </r>
    <r>
      <rPr>
        <rFont val="メイリオ"/>
        <color rgb="FF000000"/>
        <sz val="10.0"/>
      </rPr>
      <t xml:space="preserve">Xác nhận response ở tab「Network」của DevTools
</t>
    </r>
    <r>
      <rPr>
        <rFont val="メイリオ"/>
        <b/>
        <color rgb="FF000000"/>
        <sz val="10.0"/>
      </rPr>
      <t xml:space="preserve">ステップ3：
</t>
    </r>
    <r>
      <rPr>
        <rFont val="メイリオ"/>
        <color rgb="FF000000"/>
        <sz val="10.0"/>
      </rPr>
      <t>Xác nhận URL sau khi chuyển màn</t>
    </r>
  </si>
  <si>
    <r>
      <rPr>
        <rFont val="メイリオ"/>
        <b/>
        <color rgb="FF000000"/>
        <sz val="10.0"/>
      </rPr>
      <t xml:space="preserve">ステップ1：
</t>
    </r>
    <r>
      <rPr>
        <rFont val="メイリオ"/>
        <color rgb="FF000000"/>
        <sz val="10.0"/>
      </rPr>
      <t xml:space="preserve">Chuyển sang màn hình đăng nhập
</t>
    </r>
    <r>
      <rPr>
        <rFont val="メイリオ"/>
        <b/>
        <color rgb="FF000000"/>
        <sz val="10.0"/>
      </rPr>
      <t xml:space="preserve">ステップ2：
</t>
    </r>
    <r>
      <rPr>
        <rFont val="メイリオ"/>
        <color rgb="FF000000"/>
        <sz val="10.0"/>
      </rPr>
      <t xml:space="preserve">Trả về HTTP 401 (`error_code: UNAUTHORIZED`, message `セッションが切れました。再度ログインしてください。`)
</t>
    </r>
    <r>
      <rPr>
        <rFont val="メイリオ"/>
        <b/>
        <color rgb="FF000000"/>
        <sz val="10.0"/>
      </rPr>
      <t xml:space="preserve">ステップ3：
</t>
    </r>
    <r>
      <rPr>
        <rFont val="メイリオ"/>
        <color rgb="FF000000"/>
        <sz val="10.0"/>
      </rPr>
      <t xml:space="preserve">URL được gắn thêm `?redirect=/file-upload`
</t>
    </r>
    <r>
      <rPr>
        <rFont val="メイリオ"/>
        <b/>
        <color rgb="FF000000"/>
        <sz val="10.0"/>
      </rPr>
      <t xml:space="preserve">補足：
</t>
    </r>
    <r>
      <rPr>
        <rFont val="メイリオ"/>
        <color rgb="FF000000"/>
        <sz val="10.0"/>
      </rPr>
      <t>・Sau khi đăng nhập lại quay về màn hình ban đầu</t>
    </r>
  </si>
  <si>
    <t>ACSMS-TC-023-063</t>
  </si>
  <si>
    <t>Query parameter không hợp lệ (BAD_REQUEST)</t>
  </si>
  <si>
    <r>
      <rPr>
        <rFont val="游ゴシック"/>
        <b/>
        <color rgb="FF000000"/>
        <sz val="10.0"/>
      </rPr>
      <t xml:space="preserve">ステップ1：
</t>
    </r>
    <r>
      <rPr>
        <rFont val="游ゴシック"/>
        <color rgb="FF000000"/>
        <sz val="10.0"/>
      </rPr>
      <t xml:space="preserve">Gửi GET「/api/v1/file-upload?per_page=100」
</t>
    </r>
    <r>
      <rPr>
        <rFont val="游ゴシック"/>
        <b/>
        <color rgb="FF000000"/>
        <sz val="10.0"/>
      </rPr>
      <t xml:space="preserve">ステップ2：
</t>
    </r>
    <r>
      <rPr>
        <rFont val="游ゴシック"/>
        <color rgb="FF000000"/>
        <sz val="10.0"/>
      </rPr>
      <t xml:space="preserve">Gửi GET「/api/v1/file-upload?per_page=101」
</t>
    </r>
    <r>
      <rPr>
        <rFont val="游ゴシック"/>
        <b/>
        <color rgb="FF000000"/>
        <sz val="10.0"/>
      </rPr>
      <t xml:space="preserve">ステップ3：
</t>
    </r>
    <r>
      <rPr>
        <rFont val="游ゴシック"/>
        <color rgb="FF000000"/>
        <sz val="10.0"/>
      </rPr>
      <t xml:space="preserve">Gửi GET「/api/v1/file-upload?page=0」
</t>
    </r>
    <r>
      <rPr>
        <rFont val="游ゴシック"/>
        <b/>
        <color rgb="FF000000"/>
        <sz val="10.0"/>
      </rPr>
      <t xml:space="preserve">ステップ4：
</t>
    </r>
    <r>
      <rPr>
        <rFont val="游ゴシック"/>
        <color rgb="FF000000"/>
        <sz val="10.0"/>
      </rPr>
      <t>Gửi GET「/api/v1/file-upload?sort_by=不正な値」</t>
    </r>
  </si>
  <si>
    <r>
      <rPr>
        <rFont val="メイリオ"/>
        <b/>
        <color rgb="FF000000"/>
        <sz val="10.0"/>
      </rPr>
      <t xml:space="preserve">ステップ1：
</t>
    </r>
    <r>
      <rPr>
        <rFont val="メイリオ"/>
        <color rgb="FF000000"/>
        <sz val="10.0"/>
      </rPr>
      <t xml:space="preserve">Trả về HTTP 200
</t>
    </r>
    <r>
      <rPr>
        <rFont val="メイリオ"/>
        <b/>
        <color rgb="FF000000"/>
        <sz val="10.0"/>
      </rPr>
      <t xml:space="preserve">ステップ2：
</t>
    </r>
    <r>
      <rPr>
        <rFont val="メイリオ"/>
        <color rgb="FF000000"/>
        <sz val="10.0"/>
      </rPr>
      <t xml:space="preserve">Trả về HTTP 400 (`error_code: BAD_REQUEST`, message `リクエストパラメータが不正です。`)
</t>
    </r>
    <r>
      <rPr>
        <rFont val="メイリオ"/>
        <b/>
        <color rgb="FF000000"/>
        <sz val="10.0"/>
      </rPr>
      <t xml:space="preserve">ステップ3：
</t>
    </r>
    <r>
      <rPr>
        <rFont val="メイリオ"/>
        <color rgb="FF000000"/>
        <sz val="10.0"/>
      </rPr>
      <t xml:space="preserve">Trả về HTTP 400 (`error_code: BAD_REQUEST`, message `リクエストパラメータが不正です。`)
</t>
    </r>
    <r>
      <rPr>
        <rFont val="メイリオ"/>
        <b/>
        <color rgb="FF000000"/>
        <sz val="10.0"/>
      </rPr>
      <t xml:space="preserve">ステップ4：
</t>
    </r>
    <r>
      <rPr>
        <rFont val="メイリオ"/>
        <color rgb="FF000000"/>
        <sz val="10.0"/>
      </rPr>
      <t>Trả về HTTP 200, và hiển thị theo thứ tự giảm dần của `upload_datetime` (fallback về giá trị mặc định)</t>
    </r>
  </si>
  <si>
    <t>ACSMS-TC-023-064</t>
  </si>
  <si>
    <t>Hình dạng response của lỗi validation (VALIDATION_ERROR)</t>
  </si>
  <si>
    <r>
      <rPr>
        <rFont val="メイリオ"/>
        <b/>
        <color rgb="FF000000"/>
        <sz val="10.0"/>
      </rPr>
      <t xml:space="preserve">ステップ1：
</t>
    </r>
    <r>
      <rPr>
        <rFont val="メイリオ"/>
        <color rgb="FF000000"/>
        <sz val="10.0"/>
      </rPr>
      <t xml:space="preserve">Gửi POST「/api/v1/file-upload」từ DevTools không có `ja_ids`・không có file
</t>
    </r>
    <r>
      <rPr>
        <rFont val="メイリオ"/>
        <b/>
        <color rgb="FF000000"/>
        <sz val="10.0"/>
      </rPr>
      <t xml:space="preserve">ステップ2：
</t>
    </r>
    <r>
      <rPr>
        <rFont val="メイリオ"/>
        <color rgb="FF000000"/>
        <sz val="10.0"/>
      </rPr>
      <t>Xác nhận cấu trúc của response body</t>
    </r>
  </si>
  <si>
    <r>
      <rPr>
        <rFont val="メイリオ"/>
        <b/>
        <color rgb="FF000000"/>
        <sz val="10.0"/>
      </rPr>
      <t xml:space="preserve">ステップ1：
</t>
    </r>
    <r>
      <rPr>
        <rFont val="メイリオ"/>
        <color rgb="FF000000"/>
        <sz val="10.0"/>
      </rPr>
      <t xml:space="preserve">Trả về HTTP 400
</t>
    </r>
    <r>
      <rPr>
        <rFont val="メイリオ"/>
        <b/>
        <color rgb="FF000000"/>
        <sz val="10.0"/>
      </rPr>
      <t xml:space="preserve">ステップ2：
</t>
    </r>
    <r>
      <rPr>
        <rFont val="メイリオ"/>
        <color rgb="FF000000"/>
        <sz val="10.0"/>
      </rPr>
      <t xml:space="preserve">・`error_code` là `VALIDATION_ERROR`
</t>
    </r>
    <r>
      <rPr>
        <rFont val="メイリオ"/>
        <color rgb="FF000000"/>
        <sz val="10.0"/>
      </rPr>
      <t xml:space="preserve">・`message` là `入力値が不正です。詳細はerrorsフィールドを確認してください。`
</t>
    </r>
    <r>
      <rPr>
        <rFont val="メイリオ"/>
        <color rgb="FF000000"/>
        <sz val="10.0"/>
      </rPr>
      <t xml:space="preserve">・`errors` là mảng
</t>
    </r>
    <r>
      <rPr>
        <rFont val="メイリオ"/>
        <color rgb="FF000000"/>
        <sz val="10.0"/>
      </rPr>
      <t xml:space="preserve">・Mỗi phần tử của `errors` có `field` và `message`
</t>
    </r>
    <r>
      <rPr>
        <rFont val="メイリオ"/>
        <b/>
        <color rgb="FF000000"/>
        <sz val="10.0"/>
      </rPr>
      <t xml:space="preserve">補足：
</t>
    </r>
    <r>
      <rPr>
        <rFont val="メイリオ"/>
        <color rgb="FF000000"/>
        <sz val="10.0"/>
      </rPr>
      <t>・Nội dung `errors` được hiển thị inline dưới mục tương ứng</t>
    </r>
  </si>
  <si>
    <t>ACSMS-TC-023-065</t>
  </si>
  <si>
    <t>Rate limit của API upload (TOO_MANY_REQUESTS)</t>
  </si>
  <si>
    <r>
      <rPr>
        <rFont val="メイリオ"/>
        <b/>
        <color rgb="FF000000"/>
        <sz val="10.0"/>
      </rPr>
      <t xml:space="preserve">ステップ1：
</t>
    </r>
    <r>
      <rPr>
        <rFont val="メイリオ"/>
        <color rgb="FF000000"/>
        <sz val="10.0"/>
      </rPr>
      <t xml:space="preserve">Gửi liên tiếp 20 lần POST「/api/v1/file-upload」trong 1 phút
</t>
    </r>
    <r>
      <rPr>
        <rFont val="メイリオ"/>
        <b/>
        <color rgb="FF000000"/>
        <sz val="10.0"/>
      </rPr>
      <t xml:space="preserve">ステップ2：
</t>
    </r>
    <r>
      <rPr>
        <rFont val="メイリオ"/>
        <color rgb="FF000000"/>
        <sz val="10.0"/>
      </rPr>
      <t xml:space="preserve">Gửi lần thứ 21 trong cùng 1 phút
</t>
    </r>
    <r>
      <rPr>
        <rFont val="メイリオ"/>
        <b/>
        <color rgb="FF000000"/>
        <sz val="10.0"/>
      </rPr>
      <t xml:space="preserve">ステップ3：
</t>
    </r>
    <r>
      <rPr>
        <rFont val="メイリオ"/>
        <color rgb="FF000000"/>
        <sz val="10.0"/>
      </rPr>
      <t>Sau 1 phút gửi lại</t>
    </r>
  </si>
  <si>
    <r>
      <rPr>
        <rFont val="メイリオ"/>
        <b/>
        <color rgb="FF000000"/>
        <sz val="10.0"/>
      </rPr>
      <t xml:space="preserve">ステップ1：
</t>
    </r>
    <r>
      <rPr>
        <rFont val="メイリオ"/>
        <color rgb="FF000000"/>
        <sz val="10.0"/>
      </rPr>
      <t xml:space="preserve">Cả 20 lần đều trả về HTTP 202
</t>
    </r>
    <r>
      <rPr>
        <rFont val="メイリオ"/>
        <b/>
        <color rgb="FF000000"/>
        <sz val="10.0"/>
      </rPr>
      <t xml:space="preserve">ステップ2：
</t>
    </r>
    <r>
      <rPr>
        <rFont val="メイリオ"/>
        <color rgb="FF000000"/>
        <sz val="10.0"/>
      </rPr>
      <t xml:space="preserve">Trả về HTTP 429 (`error_code: TOO_MANY_REQUESTS`, message `リクエスト回数が上限を超えました。しばらくしてから再度お試しください。`)
</t>
    </r>
    <r>
      <rPr>
        <rFont val="メイリオ"/>
        <b/>
        <color rgb="FF000000"/>
        <sz val="10.0"/>
      </rPr>
      <t xml:space="preserve">ステップ3：
</t>
    </r>
    <r>
      <rPr>
        <rFont val="メイリオ"/>
        <color rgb="FF000000"/>
        <sz val="10.0"/>
      </rPr>
      <t xml:space="preserve">Trả về HTTP 202
</t>
    </r>
    <r>
      <rPr>
        <rFont val="メイリオ"/>
        <b/>
        <color rgb="FF000000"/>
        <sz val="10.0"/>
      </rPr>
      <t xml:space="preserve">補足：
</t>
    </r>
    <r>
      <rPr>
        <rFont val="メイリオ"/>
        <color rgb="FF000000"/>
        <sz val="10.0"/>
      </rPr>
      <t>・Path này nằm ngoài đối tượng kiểm tra body của WAF nên được giới hạn chặt ở phía ứng dụng (mặc định 100 lần/phút, path này 20 lần/phút)</t>
    </r>
  </si>
  <si>
    <t>ACSMS-TC-023-066</t>
  </si>
  <si>
    <t>Xử lý khi sự cố server (INTERNAL_SERVER_ERROR)</t>
  </si>
  <si>
    <t>・Đã đăng nhập bằng NICHINO_ADMIN (đã xác thực 2 lớp)
・Giả lập trạng thái ngắt kết nối DB</t>
  </si>
  <si>
    <r>
      <rPr>
        <rFont val="メイリオ"/>
        <b/>
        <color rgb="FF000000"/>
        <sz val="10.0"/>
      </rPr>
      <t xml:space="preserve">ステップ1：
</t>
    </r>
    <r>
      <rPr>
        <rFont val="メイリオ"/>
        <color rgb="FF000000"/>
        <sz val="10.0"/>
      </rPr>
      <t xml:space="preserve">Chọn JA đối tượng và file, click「アップロード実行」→「OK」
</t>
    </r>
    <r>
      <rPr>
        <rFont val="メイリオ"/>
        <b/>
        <color rgb="FF000000"/>
        <sz val="10.0"/>
      </rPr>
      <t xml:space="preserve">ステップ2：
</t>
    </r>
    <r>
      <rPr>
        <rFont val="メイリオ"/>
        <color rgb="FF000000"/>
        <sz val="10.0"/>
      </rPr>
      <t>Xác nhận hiển thị của màn hình</t>
    </r>
  </si>
  <si>
    <r>
      <rPr>
        <rFont val="メイリオ"/>
        <b/>
        <color rgb="FF000000"/>
        <sz val="10.0"/>
      </rPr>
      <t xml:space="preserve">ステップ1：
</t>
    </r>
    <r>
      <rPr>
        <rFont val="メイリオ"/>
        <color rgb="FF000000"/>
        <sz val="10.0"/>
      </rPr>
      <t xml:space="preserve">Trả về HTTP 500 (`error_code: INTERNAL_SERVER_ERROR`, message `システムエラーが発生しました。しばらくしてから再度お試しください。`)
</t>
    </r>
    <r>
      <rPr>
        <rFont val="メイリオ"/>
        <b/>
        <color rgb="FF000000"/>
        <sz val="10.0"/>
      </rPr>
      <t xml:space="preserve">ステップ2：
</t>
    </r>
    <r>
      <rPr>
        <rFont val="メイリオ"/>
        <color rgb="FF000000"/>
        <sz val="10.0"/>
      </rPr>
      <t xml:space="preserve">・Toast「アップロードに失敗しました。しばらくしてから再度お試しください。」được hiển thị
</t>
    </r>
    <r>
      <rPr>
        <rFont val="メイリオ"/>
        <color rgb="FF000000"/>
        <sz val="10.0"/>
      </rPr>
      <t xml:space="preserve">・Không bị terminate bất thường
</t>
    </r>
    <r>
      <rPr>
        <rFont val="メイリオ"/>
        <color rgb="FF000000"/>
        <sz val="10.0"/>
      </rPr>
      <t>・Stack trace không được hiển thị trên màn hình</t>
    </r>
  </si>
  <si>
    <t>ACSMS-TC-023-067</t>
  </si>
  <si>
    <t>Chỉ định file ID không tồn tại・sai kiểu (NOT_FOUND / BAD_REQUEST)</t>
  </si>
  <si>
    <r>
      <rPr>
        <rFont val="メイリオ"/>
        <b/>
        <color rgb="FF000000"/>
        <sz val="10.0"/>
      </rPr>
      <t xml:space="preserve">ステップ1：
</t>
    </r>
    <r>
      <rPr>
        <rFont val="メイリオ"/>
        <color rgb="FF000000"/>
        <sz val="10.0"/>
      </rPr>
      <t xml:space="preserve">Gửi GET「/api/v1/file-upload/999999/preview」
</t>
    </r>
    <r>
      <rPr>
        <rFont val="メイリオ"/>
        <b/>
        <color rgb="FF000000"/>
        <sz val="10.0"/>
      </rPr>
      <t xml:space="preserve">ステップ2：
</t>
    </r>
    <r>
      <rPr>
        <rFont val="メイリオ"/>
        <color rgb="FF000000"/>
        <sz val="10.0"/>
      </rPr>
      <t xml:space="preserve">Gửi GET「/api/v1/file-upload/999999/download」
</t>
    </r>
    <r>
      <rPr>
        <rFont val="メイリオ"/>
        <b/>
        <color rgb="FF000000"/>
        <sz val="10.0"/>
      </rPr>
      <t xml:space="preserve">ステップ3：
</t>
    </r>
    <r>
      <rPr>
        <rFont val="メイリオ"/>
        <color rgb="FF000000"/>
        <sz val="10.0"/>
      </rPr>
      <t>Gửi GET「/api/v1/file-upload/abc/download」</t>
    </r>
  </si>
  <si>
    <r>
      <rPr>
        <rFont val="メイリオ"/>
        <b/>
        <color rgb="FF000000"/>
        <sz val="10.0"/>
      </rPr>
      <t xml:space="preserve">ステップ1：
</t>
    </r>
    <r>
      <rPr>
        <rFont val="メイリオ"/>
        <color rgb="FF000000"/>
        <sz val="10.0"/>
      </rPr>
      <t xml:space="preserve">Trả về HTTP 404 (`error_code: NOT_FOUND`, message `指定されたファイルが見つかりません。`)
</t>
    </r>
    <r>
      <rPr>
        <rFont val="メイリオ"/>
        <b/>
        <color rgb="FF000000"/>
        <sz val="10.0"/>
      </rPr>
      <t xml:space="preserve">ステップ2：
</t>
    </r>
    <r>
      <rPr>
        <rFont val="メイリオ"/>
        <color rgb="FF000000"/>
        <sz val="10.0"/>
      </rPr>
      <t xml:space="preserve">Trả về HTTP 404 (`error_code: NOT_FOUND`, message `指定されたファイルが見つかりません。`)
</t>
    </r>
    <r>
      <rPr>
        <rFont val="メイリオ"/>
        <b/>
        <color rgb="FF000000"/>
        <sz val="10.0"/>
      </rPr>
      <t xml:space="preserve">ステップ3：
</t>
    </r>
    <r>
      <rPr>
        <rFont val="メイリオ"/>
        <color rgb="FF000000"/>
        <sz val="10.0"/>
      </rPr>
      <t>Trả về HTTP 400 (`error_code: BAD_REQUEST`, message `リクエストパラメータが不正です。`)</t>
    </r>
  </si>
  <si>
    <t>ACSMS-TC-023-068</t>
  </si>
  <si>
    <t>Xử lý khi mất kết nối mạng</t>
  </si>
  <si>
    <r>
      <rPr>
        <rFont val="メイリオ"/>
        <b/>
        <color rgb="FF000000"/>
        <sz val="10.0"/>
      </rPr>
      <t xml:space="preserve">ステップ1：
</t>
    </r>
    <r>
      <rPr>
        <rFont val="メイリオ"/>
        <color rgb="FF000000"/>
        <sz val="10.0"/>
      </rPr>
      <t xml:space="preserve">Thiết lập ngắt kết nối mạng (offline) ở tab「Network」của DevTools
</t>
    </r>
    <r>
      <rPr>
        <rFont val="メイリオ"/>
        <b/>
        <color rgb="FF000000"/>
        <sz val="10.0"/>
      </rPr>
      <t xml:space="preserve">ステップ2：
</t>
    </r>
    <r>
      <rPr>
        <rFont val="メイリオ"/>
        <color rgb="FF000000"/>
        <sz val="10.0"/>
      </rPr>
      <t xml:space="preserve">Chọn JA đối tượng và file, click「アップロード実行」→「OK」
</t>
    </r>
    <r>
      <rPr>
        <rFont val="メイリオ"/>
        <b/>
        <color rgb="FF000000"/>
        <sz val="10.0"/>
      </rPr>
      <t xml:space="preserve">ステップ3：
</t>
    </r>
    <r>
      <rPr>
        <rFont val="メイリオ"/>
        <color rgb="FF000000"/>
        <sz val="10.0"/>
      </rPr>
      <t>Khôi phục mạng, click lại「アップロード実行」→「OK」</t>
    </r>
  </si>
  <si>
    <r>
      <rPr>
        <rFont val="メイリオ"/>
        <b/>
        <color rgb="FF000000"/>
        <sz val="10.0"/>
      </rPr>
      <t xml:space="preserve">ステップ1：
</t>
    </r>
    <r>
      <rPr>
        <rFont val="メイリオ"/>
        <color rgb="FF000000"/>
        <sz val="10.0"/>
      </rPr>
      <t xml:space="preserve">Trở thành trạng thái offline
</t>
    </r>
    <r>
      <rPr>
        <rFont val="メイリオ"/>
        <b/>
        <color rgb="FF000000"/>
        <sz val="10.0"/>
      </rPr>
      <t xml:space="preserve">ステップ2：
</t>
    </r>
    <r>
      <rPr>
        <rFont val="メイリオ"/>
        <color rgb="FF000000"/>
        <sz val="10.0"/>
      </rPr>
      <t xml:space="preserve">・Toast「ネットワークエラーが発生しました。接続をご確認ください。」được hiển thị
</t>
    </r>
    <r>
      <rPr>
        <rFont val="メイリオ"/>
        <color rgb="FF000000"/>
        <sz val="10.0"/>
      </rPr>
      <t xml:space="preserve">・Không bị terminate bất thường
</t>
    </r>
    <r>
      <rPr>
        <rFont val="メイリオ"/>
        <color rgb="FF000000"/>
        <sz val="10.0"/>
      </rPr>
      <t xml:space="preserve">・Nội dung nhập được giữ lại
</t>
    </r>
    <r>
      <rPr>
        <rFont val="メイリオ"/>
        <b/>
        <color rgb="FF000000"/>
        <sz val="10.0"/>
      </rPr>
      <t xml:space="preserve">ステップ3：
</t>
    </r>
    <r>
      <rPr>
        <rFont val="メイリオ"/>
        <color rgb="FF000000"/>
        <sz val="10.0"/>
      </rPr>
      <t>Trả về HTTP 202</t>
    </r>
  </si>
  <si>
    <t>ACSMS-TC-023-069</t>
  </si>
  <si>
    <t>Nhập SQL injection</t>
  </si>
  <si>
    <r>
      <rPr>
        <rFont val="メイリオ"/>
        <b/>
        <color rgb="FF000000"/>
        <sz val="10.0"/>
      </rPr>
      <t xml:space="preserve">ステップ1：
</t>
    </r>
    <r>
      <rPr>
        <rFont val="メイリオ"/>
        <color rgb="FF000000"/>
        <sz val="10.0"/>
      </rPr>
      <t xml:space="preserve">Gửi GET「/api/v1/file-upload?ja_id=1' OR '1'='1」
</t>
    </r>
    <r>
      <rPr>
        <rFont val="メイリオ"/>
        <b/>
        <color rgb="FF000000"/>
        <sz val="10.0"/>
      </rPr>
      <t xml:space="preserve">ステップ2：
</t>
    </r>
    <r>
      <rPr>
        <rFont val="メイリオ"/>
        <color rgb="FF000000"/>
        <sz val="10.0"/>
      </rPr>
      <t xml:space="preserve">Gửi GET「/api/v1/file-upload?sort_by=file_name; DROP TABLE t_file_upload; --」
</t>
    </r>
    <r>
      <rPr>
        <rFont val="メイリオ"/>
        <b/>
        <color rgb="FF000000"/>
        <sz val="10.0"/>
      </rPr>
      <t xml:space="preserve">ステップ3：
</t>
    </r>
    <r>
      <rPr>
        <rFont val="メイリオ"/>
        <color rgb="FF000000"/>
        <sz val="10.0"/>
      </rPr>
      <t xml:space="preserve">Upload file tên `'; DROP TABLE t_file_upload; --.txt`
</t>
    </r>
    <r>
      <rPr>
        <rFont val="メイリオ"/>
        <b/>
        <color rgb="FF000000"/>
        <sz val="10.0"/>
      </rPr>
      <t xml:space="preserve">ステップ4：
</t>
    </r>
    <r>
      <rPr>
        <rFont val="メイリオ"/>
        <color rgb="FF000000"/>
        <sz val="10.0"/>
      </rPr>
      <t xml:space="preserve">Thực thi query sau trên DB, xác nhận bảng và dữ liệu
</t>
    </r>
    <r>
      <rPr>
        <rFont val="メイリオ"/>
        <color rgb="FF000000"/>
        <sz val="10.0"/>
      </rPr>
      <t xml:space="preserve">```sql
</t>
    </r>
    <r>
      <rPr>
        <rFont val="メイリオ"/>
        <color rgb="FF000000"/>
        <sz val="10.0"/>
      </rPr>
      <t xml:space="preserve">SELECT COUNT(*) FROM t_file_upload;
</t>
    </r>
    <r>
      <rPr>
        <rFont val="メイリオ"/>
        <color rgb="FF000000"/>
        <sz val="10.0"/>
      </rPr>
      <t>```</t>
    </r>
  </si>
  <si>
    <r>
      <rPr>
        <rFont val="メイリオ"/>
        <b/>
        <color rgb="FF000000"/>
        <sz val="10.0"/>
      </rPr>
      <t xml:space="preserve">ステップ1：
</t>
    </r>
    <r>
      <rPr>
        <rFont val="メイリオ"/>
        <color rgb="FF000000"/>
        <sz val="10.0"/>
      </rPr>
      <t xml:space="preserve">Trả về HTTP 400 (`error_code: BAD_REQUEST`, message `リクエストパラメータが不正です。`)
</t>
    </r>
    <r>
      <rPr>
        <rFont val="メイリオ"/>
        <b/>
        <color rgb="FF000000"/>
        <sz val="10.0"/>
      </rPr>
      <t xml:space="preserve">ステップ2：
</t>
    </r>
    <r>
      <rPr>
        <rFont val="メイリオ"/>
        <color rgb="FF000000"/>
        <sz val="10.0"/>
      </rPr>
      <t xml:space="preserve">Trả về HTTP 200, và hiển thị theo thứ tự giảm dần của `upload_datetime` (fallback về giá trị mặc định)
</t>
    </r>
    <r>
      <rPr>
        <rFont val="メイリオ"/>
        <b/>
        <color rgb="FF000000"/>
        <sz val="10.0"/>
      </rPr>
      <t xml:space="preserve">ステップ3：
</t>
    </r>
    <r>
      <rPr>
        <rFont val="メイリオ"/>
        <color rgb="FF000000"/>
        <sz val="10.0"/>
      </rPr>
      <t xml:space="preserve">・Trả về HTTP 202
</t>
    </r>
    <r>
      <rPr>
        <rFont val="メイリオ"/>
        <color rgb="FF000000"/>
        <sz val="10.0"/>
      </rPr>
      <t xml:space="preserve">・Chuỗi ký tự đã nhập được lưu nguyên dạng vào `file_name`
</t>
    </r>
    <r>
      <rPr>
        <rFont val="メイリオ"/>
        <b/>
        <color rgb="FF000000"/>
        <sz val="10.0"/>
      </rPr>
      <t xml:space="preserve">ステップ4：
</t>
    </r>
    <r>
      <rPr>
        <rFont val="メイリオ"/>
        <color rgb="FF000000"/>
        <sz val="10.0"/>
      </rPr>
      <t xml:space="preserve">・Bảng vẫn tồn tại
</t>
    </r>
    <r>
      <rPr>
        <rFont val="メイリオ"/>
        <color rgb="FF000000"/>
        <sz val="10.0"/>
      </rPr>
      <t xml:space="preserve">・Dữ liệu không bị phá hủy
</t>
    </r>
    <r>
      <rPr>
        <rFont val="メイリオ"/>
        <b/>
        <color rgb="FF000000"/>
        <sz val="10.0"/>
      </rPr>
      <t xml:space="preserve">補足：
</t>
    </r>
    <r>
      <rPr>
        <rFont val="メイリオ"/>
        <color rgb="FF000000"/>
        <sz val="10.0"/>
      </rPr>
      <t>・Toàn bộ truy vấn được thực thi bằng parameterized query</t>
    </r>
  </si>
  <si>
    <t>ACSMS-TC-023-070</t>
  </si>
  <si>
    <t>Thuộc tính bảo mật của session cookie</t>
  </si>
  <si>
    <t>・Đã đăng nhập bằng NICHINO_ADMIN (đã xác thực 2 lớp)
・Thực hiện trên môi trường staging được công khai bằng HTTPS</t>
  </si>
  <si>
    <r>
      <rPr>
        <rFont val="メイリオ"/>
        <b/>
        <color rgb="FF000000"/>
        <sz val="10.0"/>
      </rPr>
      <t xml:space="preserve">ステップ1：
</t>
    </r>
    <r>
      <rPr>
        <rFont val="メイリオ"/>
        <color rgb="FF000000"/>
        <sz val="10.0"/>
      </rPr>
      <t xml:space="preserve">Xác nhận thuộc tính session cookie ở「Application」→「Cookies」của DevTools
</t>
    </r>
    <r>
      <rPr>
        <rFont val="メイリオ"/>
        <b/>
        <color rgb="FF000000"/>
        <sz val="10.0"/>
      </rPr>
      <t xml:space="preserve">ステップ2：
</t>
    </r>
    <r>
      <rPr>
        <rFont val="メイリオ"/>
        <color rgb="FF000000"/>
        <sz val="10.0"/>
      </rPr>
      <t xml:space="preserve">Thực thi `document.cookie` từ console của trình duyệt
</t>
    </r>
    <r>
      <rPr>
        <rFont val="メイリオ"/>
        <b/>
        <color rgb="FF000000"/>
        <sz val="10.0"/>
      </rPr>
      <t xml:space="preserve">ステップ3：
</t>
    </r>
    <r>
      <rPr>
        <rFont val="メイリオ"/>
        <color rgb="FF000000"/>
        <sz val="10.0"/>
      </rPr>
      <t>Gửi form tới API này từ trang thuộc domain khác</t>
    </r>
  </si>
  <si>
    <r>
      <rPr>
        <rFont val="メイリオ"/>
        <b/>
        <color rgb="FF000000"/>
        <sz val="10.0"/>
      </rPr>
      <t xml:space="preserve">ステップ1：
</t>
    </r>
    <r>
      <rPr>
        <rFont val="メイリオ"/>
        <color rgb="FF000000"/>
        <sz val="10.0"/>
      </rPr>
      <t xml:space="preserve">・Có gắn `HttpOnly`
</t>
    </r>
    <r>
      <rPr>
        <rFont val="メイリオ"/>
        <color rgb="FF000000"/>
        <sz val="10.0"/>
      </rPr>
      <t xml:space="preserve">・Có gắn `Secure`
</t>
    </r>
    <r>
      <rPr>
        <rFont val="メイリオ"/>
        <color rgb="FF000000"/>
        <sz val="10.0"/>
      </rPr>
      <t xml:space="preserve">・`SameSite` là `Strict`
</t>
    </r>
    <r>
      <rPr>
        <rFont val="メイリオ"/>
        <color rgb="FF000000"/>
        <sz val="10.0"/>
      </rPr>
      <t xml:space="preserve">・`Path` là `/`
</t>
    </r>
    <r>
      <rPr>
        <rFont val="メイリオ"/>
        <b/>
        <color rgb="FF000000"/>
        <sz val="10.0"/>
      </rPr>
      <t xml:space="preserve">ステップ2：
</t>
    </r>
    <r>
      <rPr>
        <rFont val="メイリオ"/>
        <color rgb="FF000000"/>
        <sz val="10.0"/>
      </rPr>
      <t xml:space="preserve">Không lấy được session ID
</t>
    </r>
    <r>
      <rPr>
        <rFont val="メイリオ"/>
        <b/>
        <color rgb="FF000000"/>
        <sz val="10.0"/>
      </rPr>
      <t xml:space="preserve">ステップ3：
</t>
    </r>
    <r>
      <rPr>
        <rFont val="メイリオ"/>
        <color rgb="FF000000"/>
        <sz val="10.0"/>
      </rPr>
      <t xml:space="preserve">Cookie không được gửi, trả về HTTP 401
</t>
    </r>
    <r>
      <rPr>
        <rFont val="メイリオ"/>
        <b/>
        <color rgb="FF000000"/>
        <sz val="10.0"/>
      </rPr>
      <t xml:space="preserve">補足：
</t>
    </r>
    <r>
      <rPr>
        <rFont val="メイリオ"/>
        <color rgb="FF000000"/>
        <sz val="10.0"/>
      </rPr>
      <t>・Thuộc tính `Secure` phải xác nhận trên môi trường tương đương production (HTTPS)</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</si>
</sst>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d/m/yyyy"/>
  </numFmts>
  <fonts count="12">
    <font>
      <sz val="11.0"/>
      <color theme="1"/>
      <name val="Calibri"/>
      <scheme val="minor"/>
    </font>
    <font>
      <sz val="11.0"/>
      <color theme="1"/>
      <name val="Calibri"/>
    </font>
    <font>
      <b/>
      <sz val="11.0"/>
      <color rgb="FF000000"/>
      <name val="游ゴシック"/>
    </font>
    <font/>
    <font>
      <b/>
      <sz val="14.0"/>
      <color rgb="FF000000"/>
      <name val="游ゴシック"/>
    </font>
    <font>
      <sz val="11.0"/>
      <color rgb="FF000000"/>
      <name val="游ゴシック"/>
    </font>
    <font>
      <sz val="26.0"/>
      <color rgb="FF1F3864"/>
      <name val="游ゴシック"/>
    </font>
    <font>
      <sz val="24.0"/>
      <color rgb="FF1F3864"/>
      <name val="游ゴシック"/>
    </font>
    <font>
      <sz val="15.0"/>
      <color theme="1"/>
      <name val="游ゴシック"/>
    </font>
    <font>
      <sz val="10.0"/>
      <color rgb="FF000000"/>
      <name val="游ゴシック"/>
    </font>
    <font>
      <sz val="11.0"/>
      <color theme="1"/>
      <name val="Arial"/>
    </font>
    <font>
      <i/>
      <sz val="11.0"/>
      <color rgb="FF000000"/>
      <name val="游ゴシック"/>
    </font>
  </fonts>
  <fills count="10">
    <fill>
      <patternFill patternType="none"/>
    </fill>
    <fill>
      <patternFill patternType="lightGray"/>
    </fill>
    <fill>
      <patternFill patternType="solid">
        <fgColor rgb="FFB4C6E7"/>
        <bgColor rgb="FFB4C6E7"/>
      </patternFill>
    </fill>
    <fill>
      <patternFill patternType="solid">
        <fgColor rgb="FFBDD6EE"/>
        <bgColor rgb="FFBDD6EE"/>
      </patternFill>
    </fill>
    <fill>
      <patternFill patternType="solid">
        <fgColor rgb="FFD9E2F3"/>
        <bgColor rgb="FFD9E2F3"/>
      </patternFill>
    </fill>
    <fill>
      <patternFill patternType="solid">
        <fgColor rgb="FFFFFF99"/>
        <bgColor rgb="FFFFFF99"/>
      </patternFill>
    </fill>
    <fill>
      <patternFill patternType="solid">
        <fgColor rgb="FFDEEAF6"/>
        <bgColor rgb="FFDEEAF6"/>
      </patternFill>
    </fill>
    <fill>
      <patternFill patternType="solid">
        <fgColor rgb="FFFFC7CE"/>
        <bgColor rgb="FFFFC7CE"/>
      </patternFill>
    </fill>
    <fill>
      <patternFill patternType="solid">
        <fgColor rgb="FFFFEB9C"/>
        <bgColor rgb="FFFFEB9C"/>
      </patternFill>
    </fill>
    <fill>
      <patternFill patternType="solid">
        <fgColor rgb="FFC6EFCE"/>
        <bgColor rgb="FFC6EFCE"/>
      </patternFill>
    </fill>
  </fills>
  <borders count="18">
    <border/>
    <border>
      <left style="thin">
        <color rgb="FF000000"/>
      </left>
      <top style="thin">
        <color rgb="FF000000"/>
      </top>
    </border>
    <border>
      <left style="thin">
        <color rgb="FF000000"/>
      </left>
      <right style="thin">
        <color rgb="FF000000"/>
      </right>
      <top style="thin">
        <color rgb="FF000000"/>
      </top>
      <bottom style="thin">
        <color rgb="FF000000"/>
      </bottom>
    </border>
    <border>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top style="thin">
        <color rgb="FF000000"/>
      </top>
    </border>
    <border>
      <left style="thin">
        <color rgb="FF000000"/>
      </left>
    </border>
    <border>
      <right style="thin">
        <color rgb="FF000000"/>
      </right>
    </border>
    <border>
      <left style="thin">
        <color rgb="FF000000"/>
      </left>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top/>
      <bottom/>
    </border>
    <border>
      <top/>
      <bottom/>
    </border>
    <border>
      <right/>
      <top/>
      <bottom/>
    </border>
  </borders>
  <cellStyleXfs count="1">
    <xf borderId="0" fillId="0" fontId="0" numFmtId="0" applyAlignment="1" applyFont="1"/>
  </cellStyleXfs>
  <cellXfs count="62">
    <xf borderId="0" fillId="0" fontId="0" numFmtId="0" xfId="0" applyAlignment="1" applyFont="1">
      <alignment readingOrder="0" shrinkToFit="0" vertical="bottom" wrapText="0"/>
    </xf>
    <xf borderId="1" fillId="0" fontId="1" numFmtId="0" xfId="0" applyBorder="1" applyFont="1"/>
    <xf borderId="2" fillId="2" fontId="2" numFmtId="0" xfId="0" applyAlignment="1" applyBorder="1" applyFill="1" applyFont="1">
      <alignment horizontal="center" shrinkToFit="0" vertical="center" wrapText="1"/>
    </xf>
    <xf borderId="3" fillId="0" fontId="1" numFmtId="0" xfId="0" applyBorder="1" applyFont="1"/>
    <xf borderId="4" fillId="2" fontId="2"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4" numFmtId="0" xfId="0" applyAlignment="1" applyBorder="1" applyFont="1">
      <alignment horizontal="center" shrinkToFit="0" vertical="center" wrapText="1"/>
    </xf>
    <xf borderId="7" fillId="0" fontId="1" numFmtId="0" xfId="0" applyBorder="1" applyFont="1"/>
    <xf borderId="8" fillId="0" fontId="1" numFmtId="0" xfId="0" applyBorder="1" applyFont="1"/>
    <xf borderId="9" fillId="0" fontId="1" numFmtId="0" xfId="0" applyBorder="1" applyFont="1"/>
    <xf borderId="4" fillId="3" fontId="2" numFmtId="0" xfId="0" applyAlignment="1" applyBorder="1" applyFill="1" applyFont="1">
      <alignment horizontal="left" shrinkToFit="0" vertical="center" wrapText="1"/>
    </xf>
    <xf borderId="1" fillId="0" fontId="5" numFmtId="0" xfId="0" applyAlignment="1" applyBorder="1" applyFont="1">
      <alignment horizontal="center" shrinkToFit="0" vertical="center" wrapText="1"/>
    </xf>
    <xf borderId="2" fillId="0" fontId="5" numFmtId="0" xfId="0" applyAlignment="1" applyBorder="1" applyFont="1">
      <alignment horizontal="center" shrinkToFit="0" vertical="center" wrapText="1"/>
    </xf>
    <xf borderId="3" fillId="0" fontId="3" numFmtId="0" xfId="0" applyBorder="1" applyFont="1"/>
    <xf borderId="4" fillId="0" fontId="5" numFmtId="0" xfId="0" applyAlignment="1" applyBorder="1" applyFont="1">
      <alignment horizontal="left" shrinkToFit="0" vertical="center" wrapText="1"/>
    </xf>
    <xf borderId="8" fillId="0" fontId="6" numFmtId="0" xfId="0" applyAlignment="1" applyBorder="1" applyFont="1">
      <alignment horizontal="center" shrinkToFit="0" vertical="center" wrapText="1"/>
    </xf>
    <xf borderId="7" fillId="0" fontId="3" numFmtId="0" xfId="0" applyBorder="1" applyFont="1"/>
    <xf borderId="9" fillId="0" fontId="3" numFmtId="0" xfId="0" applyBorder="1" applyFont="1"/>
    <xf borderId="4" fillId="0" fontId="5" numFmtId="0" xfId="0" applyAlignment="1" applyBorder="1" applyFont="1">
      <alignment horizontal="center" shrinkToFit="0" vertical="center" wrapText="1"/>
    </xf>
    <xf borderId="8" fillId="0" fontId="7" numFmtId="0" xfId="0" applyAlignment="1" applyBorder="1" applyFont="1">
      <alignment horizontal="center" shrinkToFit="0" vertical="center" wrapText="1"/>
    </xf>
    <xf borderId="8" fillId="0" fontId="8" numFmtId="0" xfId="0" applyAlignment="1" applyBorder="1" applyFont="1">
      <alignment horizontal="center" shrinkToFit="0" vertical="center" wrapText="1"/>
    </xf>
    <xf borderId="1" fillId="0" fontId="5" numFmtId="49" xfId="0" applyAlignment="1" applyBorder="1" applyFont="1" applyNumberFormat="1">
      <alignment horizontal="center" shrinkToFit="0" vertical="center" wrapText="1"/>
    </xf>
    <xf borderId="4" fillId="0" fontId="5" numFmtId="49" xfId="0" applyAlignment="1" applyBorder="1" applyFont="1" applyNumberFormat="1">
      <alignment horizontal="left" shrinkToFit="0" vertical="center" wrapText="1"/>
    </xf>
    <xf borderId="10" fillId="3" fontId="2" numFmtId="0" xfId="0" applyAlignment="1" applyBorder="1" applyFont="1">
      <alignment horizontal="center" shrinkToFit="0" vertical="center" wrapText="1"/>
    </xf>
    <xf borderId="1" fillId="3" fontId="2" numFmtId="0" xfId="0" applyAlignment="1" applyBorder="1" applyFont="1">
      <alignment horizontal="center" shrinkToFit="0" vertical="center" wrapText="1"/>
    </xf>
    <xf borderId="11" fillId="0" fontId="3" numFmtId="0" xfId="0" applyBorder="1" applyFont="1"/>
    <xf borderId="12" fillId="0" fontId="3" numFmtId="0" xfId="0" applyBorder="1" applyFont="1"/>
    <xf borderId="4" fillId="3" fontId="2" numFmtId="0" xfId="0" applyAlignment="1" applyBorder="1" applyFont="1">
      <alignment horizontal="center" shrinkToFit="0" vertical="center" wrapText="1"/>
    </xf>
    <xf borderId="13" fillId="0" fontId="3" numFmtId="0" xfId="0" applyBorder="1" applyFont="1"/>
    <xf borderId="4" fillId="4" fontId="9" numFmtId="0" xfId="0" applyAlignment="1" applyBorder="1" applyFill="1" applyFont="1">
      <alignment horizontal="center" shrinkToFit="0" vertical="center" wrapText="1"/>
    </xf>
    <xf borderId="0" fillId="0" fontId="2" numFmtId="0" xfId="0" applyAlignment="1" applyFont="1">
      <alignment horizontal="left" shrinkToFit="0" vertical="center" wrapText="1"/>
    </xf>
    <xf borderId="0" fillId="0" fontId="5" numFmtId="0" xfId="0" applyAlignment="1" applyFont="1">
      <alignment horizontal="left" shrinkToFit="0" vertical="center" wrapText="1"/>
    </xf>
    <xf borderId="14" fillId="0" fontId="3" numFmtId="0" xfId="0" applyBorder="1" applyFont="1"/>
    <xf borderId="15" fillId="5" fontId="2" numFmtId="0" xfId="0" applyAlignment="1" applyBorder="1" applyFill="1" applyFont="1">
      <alignment horizontal="left" shrinkToFit="0" vertical="center" wrapText="1"/>
    </xf>
    <xf borderId="16" fillId="0" fontId="3" numFmtId="0" xfId="0" applyBorder="1" applyFont="1"/>
    <xf borderId="4" fillId="4" fontId="9" numFmtId="49" xfId="0" applyAlignment="1" applyBorder="1" applyFont="1" applyNumberFormat="1">
      <alignment horizontal="center" shrinkToFit="0" vertical="center" wrapText="1"/>
    </xf>
    <xf borderId="17" fillId="0" fontId="3" numFmtId="0" xfId="0" applyBorder="1" applyFont="1"/>
    <xf borderId="2" fillId="6" fontId="2" numFmtId="0" xfId="0" applyAlignment="1" applyBorder="1" applyFill="1" applyFont="1">
      <alignment horizontal="left" shrinkToFit="0" vertical="center" wrapText="1"/>
    </xf>
    <xf borderId="11" fillId="0" fontId="1" numFmtId="0" xfId="0" applyBorder="1" applyFont="1"/>
    <xf borderId="12" fillId="0" fontId="1" numFmtId="0" xfId="0" applyBorder="1" applyFont="1"/>
    <xf borderId="13" fillId="0" fontId="1" numFmtId="0" xfId="0" applyBorder="1" applyFont="1"/>
    <xf borderId="4" fillId="0" fontId="5" numFmtId="164" xfId="0" applyAlignment="1" applyBorder="1" applyFont="1" applyNumberFormat="1">
      <alignment horizontal="center" shrinkToFit="0" vertical="center" wrapText="1"/>
    </xf>
    <xf borderId="4" fillId="0" fontId="2" numFmtId="0" xfId="0" applyAlignment="1" applyBorder="1" applyFont="1">
      <alignment horizontal="center" shrinkToFit="0" vertical="center" wrapText="1"/>
    </xf>
    <xf borderId="4" fillId="0" fontId="2" numFmtId="164" xfId="0" applyAlignment="1" applyBorder="1" applyFont="1" applyNumberFormat="1">
      <alignment horizontal="center" shrinkToFit="0" vertical="center" wrapText="1"/>
    </xf>
    <xf borderId="2" fillId="6" fontId="2" numFmtId="0" xfId="0" applyAlignment="1" applyBorder="1" applyFont="1">
      <alignment horizontal="center" shrinkToFit="0" vertical="center" wrapText="1"/>
    </xf>
    <xf borderId="4" fillId="6" fontId="2" numFmtId="0" xfId="0" applyAlignment="1" applyBorder="1" applyFont="1">
      <alignment horizontal="center" shrinkToFit="0" vertical="center" wrapText="1"/>
    </xf>
    <xf borderId="2" fillId="0" fontId="5" numFmtId="0" xfId="0" applyAlignment="1" applyBorder="1" applyFont="1">
      <alignment horizontal="center" shrinkToFit="0" vertical="top" wrapText="1"/>
    </xf>
    <xf borderId="4" fillId="0" fontId="5" numFmtId="0" xfId="0" applyAlignment="1" applyBorder="1" applyFont="1">
      <alignment horizontal="center" shrinkToFit="0" vertical="top" wrapText="1"/>
    </xf>
    <xf borderId="4" fillId="0" fontId="5" numFmtId="0" xfId="0" applyAlignment="1" applyBorder="1" applyFont="1">
      <alignment horizontal="left" shrinkToFit="0" vertical="top" wrapText="1"/>
    </xf>
    <xf borderId="4" fillId="7" fontId="2" numFmtId="0" xfId="0" applyAlignment="1" applyBorder="1" applyFill="1" applyFont="1">
      <alignment horizontal="center" shrinkToFit="0" vertical="top" wrapText="1"/>
    </xf>
    <xf borderId="4" fillId="8" fontId="2" numFmtId="0" xfId="0" applyAlignment="1" applyBorder="1" applyFill="1" applyFont="1">
      <alignment horizontal="center" shrinkToFit="0" vertical="top" wrapText="1"/>
    </xf>
    <xf borderId="10" fillId="6" fontId="2" numFmtId="0" xfId="0" applyAlignment="1" applyBorder="1" applyFont="1">
      <alignment horizontal="center" shrinkToFit="0" vertical="center" wrapText="1"/>
    </xf>
    <xf borderId="1" fillId="6" fontId="2" numFmtId="0" xfId="0" applyAlignment="1" applyBorder="1" applyFont="1">
      <alignment horizontal="center" shrinkToFit="0" vertical="center" wrapText="1"/>
    </xf>
    <xf borderId="4" fillId="0" fontId="5" numFmtId="0" xfId="0" applyAlignment="1" applyBorder="1" applyFont="1">
      <alignment horizontal="left" readingOrder="0" shrinkToFit="0" vertical="top" wrapText="1"/>
    </xf>
    <xf borderId="4" fillId="0" fontId="5" numFmtId="0" xfId="0" applyAlignment="1" applyBorder="1" applyFont="1">
      <alignment horizontal="center" readingOrder="0" shrinkToFit="0" vertical="top" wrapText="1"/>
    </xf>
    <xf borderId="4" fillId="0" fontId="10" numFmtId="0" xfId="0" applyAlignment="1" applyBorder="1" applyFont="1">
      <alignment horizontal="center" shrinkToFit="0" vertical="top" wrapText="1"/>
    </xf>
    <xf borderId="4" fillId="0" fontId="10" numFmtId="165" xfId="0" applyAlignment="1" applyBorder="1" applyFont="1" applyNumberFormat="1">
      <alignment horizontal="center" readingOrder="0" shrinkToFit="0" vertical="top" wrapText="1"/>
    </xf>
    <xf borderId="4" fillId="9" fontId="2" numFmtId="0" xfId="0" applyAlignment="1" applyBorder="1" applyFill="1" applyFont="1">
      <alignment horizontal="center" shrinkToFit="0" vertical="top" wrapText="1"/>
    </xf>
    <xf borderId="4" fillId="3" fontId="2" numFmtId="0" xfId="0" applyAlignment="1" applyBorder="1" applyFont="1">
      <alignment horizontal="right" shrinkToFit="0" vertical="center" wrapText="1"/>
    </xf>
    <xf borderId="4" fillId="0" fontId="2" numFmtId="0" xfId="0" applyAlignment="1" applyBorder="1" applyFont="1">
      <alignment horizontal="center" shrinkToFit="0" vertical="top" wrapText="1"/>
    </xf>
    <xf borderId="4" fillId="0" fontId="11"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2</xdr:row>
      <xdr:rowOff>0</xdr:rowOff>
    </xdr:from>
    <xdr:ext cx="1333500" cy="514350"/>
    <xdr:pic>
      <xdr:nvPicPr>
        <xdr:cNvPr descr="Picture"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71"/>
    <col customWidth="1" min="2" max="37" width="3.29"/>
  </cols>
  <sheetData>
    <row r="1" ht="19.5" customHeight="1"/>
    <row r="2" ht="12.75" customHeight="1">
      <c r="B2" s="1"/>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8"/>
    </row>
    <row r="3" ht="12.75" customHeight="1">
      <c r="B3" s="9"/>
      <c r="AK3" s="10"/>
    </row>
    <row r="4" ht="12.75" customHeight="1">
      <c r="B4" s="9"/>
      <c r="AK4" s="10"/>
    </row>
    <row r="5" ht="12.75" customHeight="1">
      <c r="B5" s="9"/>
      <c r="AK5" s="10"/>
    </row>
    <row r="6" ht="12.75" customHeight="1">
      <c r="B6" s="9"/>
      <c r="AK6" s="10"/>
    </row>
    <row r="7" ht="12.75" customHeight="1">
      <c r="B7" s="9"/>
      <c r="AK7" s="10"/>
    </row>
    <row r="8" ht="12.75" customHeight="1">
      <c r="B8" s="9"/>
      <c r="AK8" s="10"/>
    </row>
    <row r="9" ht="12.75" customHeight="1">
      <c r="B9" s="9"/>
      <c r="AK9" s="10"/>
    </row>
    <row r="10" ht="29.25" customHeight="1">
      <c r="B10" s="16" t="s">
        <v>16</v>
      </c>
      <c r="AK10" s="18"/>
    </row>
    <row r="11" ht="12.75" customHeight="1">
      <c r="B11" s="9"/>
      <c r="AK11" s="10"/>
    </row>
    <row r="12" ht="39.0" customHeight="1">
      <c r="B12" s="20" t="s">
        <v>21</v>
      </c>
      <c r="AK12" s="18"/>
    </row>
    <row r="13" ht="12.75" customHeight="1">
      <c r="B13" s="9"/>
      <c r="AK13" s="10"/>
    </row>
    <row r="14" ht="12.75" customHeight="1">
      <c r="B14" s="9"/>
      <c r="AK14" s="10"/>
    </row>
    <row r="15" ht="12.75" customHeight="1">
      <c r="B15" s="21" t="s">
        <v>26</v>
      </c>
      <c r="AK15" s="18"/>
    </row>
    <row r="16" ht="12.75" customHeight="1">
      <c r="B16" s="9"/>
      <c r="AK16" s="10"/>
    </row>
    <row r="17" ht="12.75" customHeight="1">
      <c r="B17" s="9"/>
      <c r="AK17" s="10"/>
    </row>
    <row r="18" ht="12.75" customHeight="1">
      <c r="B18" s="9"/>
      <c r="N18" s="30" t="s">
        <v>35</v>
      </c>
      <c r="O18" s="5"/>
      <c r="P18" s="5"/>
      <c r="Q18" s="5"/>
      <c r="R18" s="6"/>
      <c r="S18" s="30" t="s">
        <v>40</v>
      </c>
      <c r="T18" s="5"/>
      <c r="U18" s="5"/>
      <c r="V18" s="5"/>
      <c r="W18" s="6"/>
      <c r="AK18" s="10"/>
    </row>
    <row r="19" ht="12.75" customHeight="1">
      <c r="B19" s="9"/>
      <c r="N19" s="30" t="s">
        <v>45</v>
      </c>
      <c r="O19" s="5"/>
      <c r="P19" s="5"/>
      <c r="Q19" s="5"/>
      <c r="R19" s="6"/>
      <c r="S19" s="30" t="s">
        <v>22</v>
      </c>
      <c r="T19" s="5"/>
      <c r="U19" s="5"/>
      <c r="V19" s="5"/>
      <c r="W19" s="6"/>
      <c r="AK19" s="10"/>
    </row>
    <row r="20" ht="12.75" customHeight="1">
      <c r="B20" s="9"/>
      <c r="N20" s="30" t="s">
        <v>1</v>
      </c>
      <c r="O20" s="5"/>
      <c r="P20" s="5"/>
      <c r="Q20" s="5"/>
      <c r="R20" s="6"/>
      <c r="S20" s="36" t="s">
        <v>25</v>
      </c>
      <c r="T20" s="5"/>
      <c r="U20" s="5"/>
      <c r="V20" s="5"/>
      <c r="W20" s="6"/>
      <c r="AK20" s="10"/>
    </row>
    <row r="21" ht="12.75" customHeight="1">
      <c r="B21" s="9"/>
      <c r="AK21" s="10"/>
    </row>
    <row r="22" ht="12.75" customHeight="1">
      <c r="B22" s="9"/>
      <c r="AK22" s="10"/>
    </row>
    <row r="23" ht="12.75" customHeight="1">
      <c r="B23" s="9"/>
      <c r="AK23" s="10"/>
    </row>
    <row r="24" ht="12.75" customHeight="1">
      <c r="B24" s="9"/>
      <c r="AK24" s="10"/>
    </row>
    <row r="25" ht="12.75" customHeight="1">
      <c r="B25" s="9"/>
      <c r="AK25" s="10"/>
    </row>
    <row r="26" ht="12.75" customHeight="1">
      <c r="B26" s="9"/>
      <c r="AK26" s="10"/>
    </row>
    <row r="27" ht="12.75" customHeight="1">
      <c r="B27" s="9"/>
      <c r="AK27" s="10"/>
    </row>
    <row r="28" ht="12.75" customHeight="1">
      <c r="B28" s="9"/>
      <c r="AK28" s="10"/>
    </row>
    <row r="29" ht="12.75" customHeight="1">
      <c r="B29" s="9"/>
      <c r="AK29" s="10"/>
    </row>
    <row r="30" ht="12.75" customHeight="1">
      <c r="B30" s="9"/>
      <c r="AK30" s="10"/>
    </row>
    <row r="31" ht="12.75" customHeight="1">
      <c r="B31" s="9"/>
      <c r="AK31" s="10"/>
    </row>
    <row r="32" ht="12.75" customHeight="1">
      <c r="B32" s="9"/>
      <c r="AK32" s="10"/>
    </row>
    <row r="33" ht="12.75" customHeight="1">
      <c r="B33" s="9"/>
      <c r="AK33" s="10"/>
    </row>
    <row r="34" ht="12.75" customHeight="1">
      <c r="B34" s="39"/>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c r="AF34" s="40"/>
      <c r="AG34" s="40"/>
      <c r="AH34" s="40"/>
      <c r="AI34" s="40"/>
      <c r="AJ34" s="40"/>
      <c r="AK34" s="41"/>
    </row>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9">
    <mergeCell ref="N20:R20"/>
    <mergeCell ref="S20:W20"/>
    <mergeCell ref="B10:AK10"/>
    <mergeCell ref="B12:AK12"/>
    <mergeCell ref="B15:AK15"/>
    <mergeCell ref="N18:R18"/>
    <mergeCell ref="S18:W18"/>
    <mergeCell ref="N19:R19"/>
    <mergeCell ref="S19:W19"/>
  </mergeCells>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0"/>
    <col customWidth="1" min="2" max="34" width="3.29"/>
  </cols>
  <sheetData>
    <row r="1" ht="22.5" customHeight="1">
      <c r="A1" s="2" t="s">
        <v>0</v>
      </c>
      <c r="B1" s="4" t="s">
        <v>1</v>
      </c>
      <c r="C1" s="5"/>
      <c r="D1" s="5"/>
      <c r="E1" s="6"/>
      <c r="F1" s="4" t="s">
        <v>4</v>
      </c>
      <c r="G1" s="5"/>
      <c r="H1" s="6"/>
      <c r="I1" s="4" t="s">
        <v>6</v>
      </c>
      <c r="J1" s="5"/>
      <c r="K1" s="5"/>
      <c r="L1" s="5"/>
      <c r="M1" s="5"/>
      <c r="N1" s="6"/>
      <c r="O1" s="4" t="s">
        <v>9</v>
      </c>
      <c r="P1" s="5"/>
      <c r="Q1" s="5"/>
      <c r="R1" s="5"/>
      <c r="S1" s="5"/>
      <c r="T1" s="5"/>
      <c r="U1" s="5"/>
      <c r="V1" s="6"/>
      <c r="W1" s="4" t="s">
        <v>11</v>
      </c>
      <c r="X1" s="5"/>
      <c r="Y1" s="5"/>
      <c r="Z1" s="5"/>
      <c r="AA1" s="5"/>
      <c r="AB1" s="6"/>
      <c r="AC1" s="4" t="s">
        <v>14</v>
      </c>
      <c r="AD1" s="5"/>
      <c r="AE1" s="5"/>
      <c r="AF1" s="5"/>
      <c r="AG1" s="5"/>
      <c r="AH1" s="6"/>
    </row>
    <row r="2" ht="22.5" customHeight="1">
      <c r="A2" s="13">
        <v>1.0</v>
      </c>
      <c r="B2" s="19" t="s">
        <v>17</v>
      </c>
      <c r="C2" s="5"/>
      <c r="D2" s="5"/>
      <c r="E2" s="6"/>
      <c r="F2" s="19" t="s">
        <v>22</v>
      </c>
      <c r="G2" s="5"/>
      <c r="H2" s="6"/>
      <c r="I2" s="19" t="s">
        <v>24</v>
      </c>
      <c r="J2" s="5"/>
      <c r="K2" s="5"/>
      <c r="L2" s="5"/>
      <c r="M2" s="5"/>
      <c r="N2" s="6"/>
      <c r="O2" s="15" t="s">
        <v>27</v>
      </c>
      <c r="P2" s="5"/>
      <c r="Q2" s="5"/>
      <c r="R2" s="5"/>
      <c r="S2" s="5"/>
      <c r="T2" s="5"/>
      <c r="U2" s="5"/>
      <c r="V2" s="6"/>
      <c r="W2" s="19" t="s">
        <v>20</v>
      </c>
      <c r="X2" s="5"/>
      <c r="Y2" s="5"/>
      <c r="Z2" s="5"/>
      <c r="AA2" s="5"/>
      <c r="AB2" s="6"/>
      <c r="AC2" s="19"/>
      <c r="AD2" s="5"/>
      <c r="AE2" s="5"/>
      <c r="AF2" s="5"/>
      <c r="AG2" s="5"/>
      <c r="AH2" s="6"/>
    </row>
    <row r="3" ht="22.5" customHeight="1">
      <c r="A3" s="13">
        <v>2.0</v>
      </c>
      <c r="B3" s="19" t="s">
        <v>31</v>
      </c>
      <c r="C3" s="5"/>
      <c r="D3" s="5"/>
      <c r="E3" s="6"/>
      <c r="F3" s="19" t="s">
        <v>32</v>
      </c>
      <c r="G3" s="5"/>
      <c r="H3" s="6"/>
      <c r="I3" s="19" t="s">
        <v>33</v>
      </c>
      <c r="J3" s="5"/>
      <c r="K3" s="5"/>
      <c r="L3" s="5"/>
      <c r="M3" s="5"/>
      <c r="N3" s="6"/>
      <c r="O3" s="15" t="s">
        <v>36</v>
      </c>
      <c r="P3" s="5"/>
      <c r="Q3" s="5"/>
      <c r="R3" s="5"/>
      <c r="S3" s="5"/>
      <c r="T3" s="5"/>
      <c r="U3" s="5"/>
      <c r="V3" s="6"/>
      <c r="W3" s="19"/>
      <c r="X3" s="5"/>
      <c r="Y3" s="5"/>
      <c r="Z3" s="5"/>
      <c r="AA3" s="5"/>
      <c r="AB3" s="6"/>
      <c r="AC3" s="19"/>
      <c r="AD3" s="5"/>
      <c r="AE3" s="5"/>
      <c r="AF3" s="5"/>
      <c r="AG3" s="5"/>
      <c r="AH3" s="6"/>
    </row>
    <row r="4" ht="22.5" customHeight="1">
      <c r="A4" s="13">
        <v>3.0</v>
      </c>
      <c r="B4" s="19" t="s">
        <v>47</v>
      </c>
      <c r="C4" s="5"/>
      <c r="D4" s="5"/>
      <c r="E4" s="6"/>
      <c r="F4" s="19" t="s">
        <v>50</v>
      </c>
      <c r="G4" s="5"/>
      <c r="H4" s="6"/>
      <c r="I4" s="19" t="s">
        <v>33</v>
      </c>
      <c r="J4" s="5"/>
      <c r="K4" s="5"/>
      <c r="L4" s="5"/>
      <c r="M4" s="5"/>
      <c r="N4" s="6"/>
      <c r="O4" s="15" t="s">
        <v>55</v>
      </c>
      <c r="P4" s="5"/>
      <c r="Q4" s="5"/>
      <c r="R4" s="5"/>
      <c r="S4" s="5"/>
      <c r="T4" s="5"/>
      <c r="U4" s="5"/>
      <c r="V4" s="6"/>
      <c r="W4" s="19"/>
      <c r="X4" s="5"/>
      <c r="Y4" s="5"/>
      <c r="Z4" s="5"/>
      <c r="AA4" s="5"/>
      <c r="AB4" s="6"/>
      <c r="AC4" s="19"/>
      <c r="AD4" s="5"/>
      <c r="AE4" s="5"/>
      <c r="AF4" s="5"/>
      <c r="AG4" s="5"/>
      <c r="AH4" s="6"/>
    </row>
    <row r="5" ht="22.5" customHeight="1">
      <c r="A5" s="13">
        <v>4.0</v>
      </c>
      <c r="B5" s="19" t="s">
        <v>63</v>
      </c>
      <c r="C5" s="5"/>
      <c r="D5" s="5"/>
      <c r="E5" s="6"/>
      <c r="F5" s="19" t="s">
        <v>64</v>
      </c>
      <c r="G5" s="5"/>
      <c r="H5" s="6"/>
      <c r="I5" s="19" t="s">
        <v>24</v>
      </c>
      <c r="J5" s="5"/>
      <c r="K5" s="5"/>
      <c r="L5" s="5"/>
      <c r="M5" s="5"/>
      <c r="N5" s="6"/>
      <c r="O5" s="15" t="s">
        <v>67</v>
      </c>
      <c r="P5" s="5"/>
      <c r="Q5" s="5"/>
      <c r="R5" s="5"/>
      <c r="S5" s="5"/>
      <c r="T5" s="5"/>
      <c r="U5" s="5"/>
      <c r="V5" s="6"/>
      <c r="W5" s="19" t="s">
        <v>20</v>
      </c>
      <c r="X5" s="5"/>
      <c r="Y5" s="5"/>
      <c r="Z5" s="5"/>
      <c r="AA5" s="5"/>
      <c r="AB5" s="6"/>
      <c r="AC5" s="19"/>
      <c r="AD5" s="5"/>
      <c r="AE5" s="5"/>
      <c r="AF5" s="5"/>
      <c r="AG5" s="5"/>
      <c r="AH5" s="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0">
    <mergeCell ref="O2:V2"/>
    <mergeCell ref="W2:AB2"/>
    <mergeCell ref="O3:V3"/>
    <mergeCell ref="W3:AB3"/>
    <mergeCell ref="AC3:AH3"/>
    <mergeCell ref="O4:V4"/>
    <mergeCell ref="W4:AB4"/>
    <mergeCell ref="AC4:AH4"/>
    <mergeCell ref="B1:E1"/>
    <mergeCell ref="F1:H1"/>
    <mergeCell ref="I1:N1"/>
    <mergeCell ref="O1:V1"/>
    <mergeCell ref="W1:AB1"/>
    <mergeCell ref="AC1:AH1"/>
    <mergeCell ref="B2:E2"/>
    <mergeCell ref="AC2:AH2"/>
    <mergeCell ref="B4:E4"/>
    <mergeCell ref="B5:E5"/>
    <mergeCell ref="F5:H5"/>
    <mergeCell ref="I5:N5"/>
    <mergeCell ref="O5:V5"/>
    <mergeCell ref="W5:AB5"/>
    <mergeCell ref="AC5:AH5"/>
    <mergeCell ref="F2:H2"/>
    <mergeCell ref="I2:N2"/>
    <mergeCell ref="B3:E3"/>
    <mergeCell ref="F3:H3"/>
    <mergeCell ref="I3:N3"/>
    <mergeCell ref="F4:H4"/>
    <mergeCell ref="I4:N4"/>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7" width="4.29"/>
  </cols>
  <sheetData>
    <row r="1" ht="19.5" customHeight="1">
      <c r="A1" s="4" t="s">
        <v>2</v>
      </c>
      <c r="B1" s="5"/>
      <c r="C1" s="5"/>
      <c r="D1" s="5"/>
      <c r="E1" s="5"/>
      <c r="F1" s="5"/>
      <c r="G1" s="5"/>
      <c r="H1" s="5"/>
      <c r="I1" s="6"/>
      <c r="J1" s="4" t="s">
        <v>5</v>
      </c>
      <c r="K1" s="5"/>
      <c r="L1" s="5"/>
      <c r="M1" s="5"/>
      <c r="N1" s="5"/>
      <c r="O1" s="5"/>
      <c r="P1" s="6"/>
      <c r="Q1" s="4" t="s">
        <v>7</v>
      </c>
      <c r="R1" s="5"/>
      <c r="S1" s="5"/>
      <c r="T1" s="5"/>
      <c r="U1" s="6"/>
      <c r="V1" s="4" t="s">
        <v>8</v>
      </c>
      <c r="W1" s="5"/>
      <c r="X1" s="5"/>
      <c r="Y1" s="6"/>
      <c r="Z1" s="4" t="s">
        <v>10</v>
      </c>
      <c r="AA1" s="5"/>
      <c r="AB1" s="5"/>
      <c r="AC1" s="6"/>
      <c r="AD1" s="4" t="s">
        <v>12</v>
      </c>
      <c r="AE1" s="5"/>
      <c r="AF1" s="5"/>
      <c r="AG1" s="6"/>
      <c r="AH1" s="4" t="s">
        <v>13</v>
      </c>
      <c r="AI1" s="5"/>
      <c r="AJ1" s="5"/>
      <c r="AK1" s="6"/>
    </row>
    <row r="2" ht="19.5" customHeight="1">
      <c r="A2" s="12" t="s">
        <v>16</v>
      </c>
      <c r="B2" s="14"/>
      <c r="C2" s="14"/>
      <c r="D2" s="14"/>
      <c r="E2" s="14"/>
      <c r="F2" s="14"/>
      <c r="G2" s="14"/>
      <c r="H2" s="14"/>
      <c r="I2" s="17"/>
      <c r="J2" s="12" t="s">
        <v>19</v>
      </c>
      <c r="K2" s="14"/>
      <c r="L2" s="14"/>
      <c r="M2" s="14"/>
      <c r="N2" s="14"/>
      <c r="O2" s="14"/>
      <c r="P2" s="17"/>
      <c r="Q2" s="12" t="s">
        <v>23</v>
      </c>
      <c r="R2" s="14"/>
      <c r="S2" s="14"/>
      <c r="T2" s="14"/>
      <c r="U2" s="17"/>
      <c r="V2" s="22" t="s">
        <v>25</v>
      </c>
      <c r="W2" s="14"/>
      <c r="X2" s="14"/>
      <c r="Y2" s="17"/>
      <c r="Z2" s="12" t="s">
        <v>24</v>
      </c>
      <c r="AA2" s="14"/>
      <c r="AB2" s="14"/>
      <c r="AC2" s="17"/>
      <c r="AD2" s="22" t="s">
        <v>25</v>
      </c>
      <c r="AE2" s="14"/>
      <c r="AF2" s="14"/>
      <c r="AG2" s="17"/>
      <c r="AH2" s="12" t="s">
        <v>24</v>
      </c>
      <c r="AI2" s="14"/>
      <c r="AJ2" s="14"/>
      <c r="AK2" s="17"/>
    </row>
    <row r="3" ht="19.5" customHeight="1">
      <c r="A3" s="26"/>
      <c r="B3" s="27"/>
      <c r="C3" s="27"/>
      <c r="D3" s="27"/>
      <c r="E3" s="27"/>
      <c r="F3" s="27"/>
      <c r="G3" s="27"/>
      <c r="H3" s="27"/>
      <c r="I3" s="29"/>
      <c r="J3" s="26"/>
      <c r="K3" s="27"/>
      <c r="L3" s="27"/>
      <c r="M3" s="27"/>
      <c r="N3" s="27"/>
      <c r="O3" s="27"/>
      <c r="P3" s="29"/>
      <c r="Q3" s="26"/>
      <c r="R3" s="27"/>
      <c r="S3" s="27"/>
      <c r="T3" s="27"/>
      <c r="U3" s="29"/>
      <c r="V3" s="26"/>
      <c r="W3" s="27"/>
      <c r="X3" s="27"/>
      <c r="Y3" s="29"/>
      <c r="Z3" s="26"/>
      <c r="AA3" s="27"/>
      <c r="AB3" s="27"/>
      <c r="AC3" s="29"/>
      <c r="AD3" s="26"/>
      <c r="AE3" s="27"/>
      <c r="AF3" s="27"/>
      <c r="AG3" s="29"/>
      <c r="AH3" s="26"/>
      <c r="AI3" s="27"/>
      <c r="AJ3" s="27"/>
      <c r="AK3" s="29"/>
    </row>
    <row r="4" ht="15.0" customHeight="1"/>
    <row r="5" ht="19.5" customHeight="1">
      <c r="B5" s="31" t="s">
        <v>37</v>
      </c>
    </row>
    <row r="6" ht="19.5" customHeight="1">
      <c r="C6" s="32" t="s">
        <v>39</v>
      </c>
    </row>
    <row r="7" ht="19.5" customHeight="1">
      <c r="C7" s="32" t="s">
        <v>41</v>
      </c>
    </row>
    <row r="8" ht="19.5" customHeight="1">
      <c r="C8" s="32" t="s">
        <v>42</v>
      </c>
    </row>
    <row r="9" ht="19.5" customHeight="1">
      <c r="C9" s="32" t="s">
        <v>43</v>
      </c>
    </row>
    <row r="10" ht="19.5" customHeight="1">
      <c r="C10" s="32" t="s">
        <v>44</v>
      </c>
    </row>
    <row r="11" ht="19.5" customHeight="1">
      <c r="C11" s="32" t="s">
        <v>46</v>
      </c>
    </row>
    <row r="12" ht="19.5" customHeight="1">
      <c r="C12" s="32" t="s">
        <v>48</v>
      </c>
    </row>
    <row r="13" ht="15.0" customHeight="1"/>
    <row r="14" ht="19.5" customHeight="1">
      <c r="B14" s="31" t="s">
        <v>51</v>
      </c>
    </row>
    <row r="15" ht="19.5" customHeight="1">
      <c r="C15" s="34" t="s">
        <v>54</v>
      </c>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7"/>
    </row>
    <row r="16" ht="19.5" customHeight="1">
      <c r="C16" s="34" t="s">
        <v>61</v>
      </c>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c r="AH16" s="35"/>
      <c r="AI16" s="35"/>
      <c r="AJ16" s="35"/>
      <c r="AK16" s="37"/>
    </row>
    <row r="17" ht="19.5" customHeight="1">
      <c r="C17" s="34" t="s">
        <v>66</v>
      </c>
      <c r="D17" s="35"/>
      <c r="E17" s="35"/>
      <c r="F17" s="35"/>
      <c r="G17" s="35"/>
      <c r="H17" s="35"/>
      <c r="I17" s="35"/>
      <c r="J17" s="35"/>
      <c r="K17" s="35"/>
      <c r="L17" s="35"/>
      <c r="M17" s="35"/>
      <c r="N17" s="35"/>
      <c r="O17" s="35"/>
      <c r="P17" s="35"/>
      <c r="Q17" s="35"/>
      <c r="R17" s="35"/>
      <c r="S17" s="35"/>
      <c r="T17" s="35"/>
      <c r="U17" s="35"/>
      <c r="V17" s="35"/>
      <c r="W17" s="35"/>
      <c r="X17" s="35"/>
      <c r="Y17" s="35"/>
      <c r="Z17" s="35"/>
      <c r="AA17" s="35"/>
      <c r="AB17" s="35"/>
      <c r="AC17" s="35"/>
      <c r="AD17" s="35"/>
      <c r="AE17" s="35"/>
      <c r="AF17" s="35"/>
      <c r="AG17" s="35"/>
      <c r="AH17" s="35"/>
      <c r="AI17" s="35"/>
      <c r="AJ17" s="35"/>
      <c r="AK17" s="37"/>
    </row>
    <row r="18" ht="19.5" customHeight="1">
      <c r="C18" s="34" t="s">
        <v>68</v>
      </c>
      <c r="D18" s="35"/>
      <c r="E18" s="35"/>
      <c r="F18" s="35"/>
      <c r="G18" s="35"/>
      <c r="H18" s="35"/>
      <c r="I18" s="35"/>
      <c r="J18" s="35"/>
      <c r="K18" s="35"/>
      <c r="L18" s="35"/>
      <c r="M18" s="35"/>
      <c r="N18" s="35"/>
      <c r="O18" s="35"/>
      <c r="P18" s="35"/>
      <c r="Q18" s="35"/>
      <c r="R18" s="35"/>
      <c r="S18" s="35"/>
      <c r="T18" s="35"/>
      <c r="U18" s="35"/>
      <c r="V18" s="35"/>
      <c r="W18" s="35"/>
      <c r="X18" s="35"/>
      <c r="Y18" s="35"/>
      <c r="Z18" s="35"/>
      <c r="AA18" s="35"/>
      <c r="AB18" s="35"/>
      <c r="AC18" s="35"/>
      <c r="AD18" s="35"/>
      <c r="AE18" s="35"/>
      <c r="AF18" s="35"/>
      <c r="AG18" s="35"/>
      <c r="AH18" s="35"/>
      <c r="AI18" s="35"/>
      <c r="AJ18" s="35"/>
      <c r="AK18" s="37"/>
    </row>
    <row r="19" ht="19.5" customHeight="1">
      <c r="C19" s="34" t="s">
        <v>69</v>
      </c>
      <c r="D19" s="35"/>
      <c r="E19" s="35"/>
      <c r="F19" s="35"/>
      <c r="G19" s="35"/>
      <c r="H19" s="35"/>
      <c r="I19" s="35"/>
      <c r="J19" s="35"/>
      <c r="K19" s="35"/>
      <c r="L19" s="35"/>
      <c r="M19" s="35"/>
      <c r="N19" s="35"/>
      <c r="O19" s="35"/>
      <c r="P19" s="35"/>
      <c r="Q19" s="35"/>
      <c r="R19" s="35"/>
      <c r="S19" s="35"/>
      <c r="T19" s="35"/>
      <c r="U19" s="35"/>
      <c r="V19" s="35"/>
      <c r="W19" s="35"/>
      <c r="X19" s="35"/>
      <c r="Y19" s="35"/>
      <c r="Z19" s="35"/>
      <c r="AA19" s="35"/>
      <c r="AB19" s="35"/>
      <c r="AC19" s="35"/>
      <c r="AD19" s="35"/>
      <c r="AE19" s="35"/>
      <c r="AF19" s="35"/>
      <c r="AG19" s="35"/>
      <c r="AH19" s="35"/>
      <c r="AI19" s="35"/>
      <c r="AJ19" s="35"/>
      <c r="AK19" s="37"/>
    </row>
    <row r="20" ht="19.5" customHeight="1">
      <c r="C20" s="34" t="s">
        <v>70</v>
      </c>
      <c r="D20" s="35"/>
      <c r="E20" s="35"/>
      <c r="F20" s="35"/>
      <c r="G20" s="35"/>
      <c r="H20" s="35"/>
      <c r="I20" s="35"/>
      <c r="J20" s="35"/>
      <c r="K20" s="35"/>
      <c r="L20" s="35"/>
      <c r="M20" s="35"/>
      <c r="N20" s="35"/>
      <c r="O20" s="35"/>
      <c r="P20" s="35"/>
      <c r="Q20" s="35"/>
      <c r="R20" s="35"/>
      <c r="S20" s="35"/>
      <c r="T20" s="35"/>
      <c r="U20" s="35"/>
      <c r="V20" s="35"/>
      <c r="W20" s="35"/>
      <c r="X20" s="35"/>
      <c r="Y20" s="35"/>
      <c r="Z20" s="35"/>
      <c r="AA20" s="35"/>
      <c r="AB20" s="35"/>
      <c r="AC20" s="35"/>
      <c r="AD20" s="35"/>
      <c r="AE20" s="35"/>
      <c r="AF20" s="35"/>
      <c r="AG20" s="35"/>
      <c r="AH20" s="35"/>
      <c r="AI20" s="35"/>
      <c r="AJ20" s="35"/>
      <c r="AK20" s="37"/>
    </row>
    <row r="21" ht="15.0" customHeight="1"/>
    <row r="22" ht="19.5" customHeight="1">
      <c r="B22" s="31" t="s">
        <v>71</v>
      </c>
    </row>
    <row r="23" ht="15.0" customHeight="1"/>
    <row r="24" ht="22.5" customHeight="1">
      <c r="C24" s="2" t="s">
        <v>72</v>
      </c>
      <c r="D24" s="4" t="s">
        <v>73</v>
      </c>
      <c r="E24" s="5"/>
      <c r="F24" s="5"/>
      <c r="G24" s="5"/>
      <c r="H24" s="5"/>
      <c r="I24" s="5"/>
      <c r="J24" s="5"/>
      <c r="K24" s="5"/>
      <c r="L24" s="5"/>
      <c r="M24" s="5"/>
      <c r="N24" s="6"/>
      <c r="O24" s="4" t="s">
        <v>74</v>
      </c>
      <c r="P24" s="5"/>
      <c r="Q24" s="5"/>
      <c r="R24" s="5"/>
      <c r="S24" s="5"/>
      <c r="T24" s="5"/>
      <c r="U24" s="5"/>
      <c r="V24" s="5"/>
      <c r="W24" s="5"/>
      <c r="X24" s="5"/>
      <c r="Y24" s="5"/>
      <c r="Z24" s="5"/>
      <c r="AA24" s="5"/>
      <c r="AB24" s="5"/>
      <c r="AC24" s="5"/>
      <c r="AD24" s="5"/>
      <c r="AE24" s="5"/>
      <c r="AF24" s="5"/>
      <c r="AG24" s="6"/>
    </row>
    <row r="25" ht="22.5" customHeight="1">
      <c r="C25" s="13">
        <v>1.0</v>
      </c>
      <c r="D25" s="15" t="s">
        <v>75</v>
      </c>
      <c r="E25" s="5"/>
      <c r="F25" s="5"/>
      <c r="G25" s="5"/>
      <c r="H25" s="5"/>
      <c r="I25" s="5"/>
      <c r="J25" s="5"/>
      <c r="K25" s="5"/>
      <c r="L25" s="5"/>
      <c r="M25" s="5"/>
      <c r="N25" s="6"/>
      <c r="O25" s="15" t="s">
        <v>76</v>
      </c>
      <c r="P25" s="5"/>
      <c r="Q25" s="5"/>
      <c r="R25" s="5"/>
      <c r="S25" s="5"/>
      <c r="T25" s="5"/>
      <c r="U25" s="5"/>
      <c r="V25" s="5"/>
      <c r="W25" s="5"/>
      <c r="X25" s="5"/>
      <c r="Y25" s="5"/>
      <c r="Z25" s="5"/>
      <c r="AA25" s="5"/>
      <c r="AB25" s="5"/>
      <c r="AC25" s="5"/>
      <c r="AD25" s="5"/>
      <c r="AE25" s="5"/>
      <c r="AF25" s="5"/>
      <c r="AG25" s="6"/>
    </row>
    <row r="26" ht="22.5" customHeight="1">
      <c r="C26" s="13">
        <v>2.0</v>
      </c>
      <c r="D26" s="15" t="s">
        <v>77</v>
      </c>
      <c r="E26" s="5"/>
      <c r="F26" s="5"/>
      <c r="G26" s="5"/>
      <c r="H26" s="5"/>
      <c r="I26" s="5"/>
      <c r="J26" s="5"/>
      <c r="K26" s="5"/>
      <c r="L26" s="5"/>
      <c r="M26" s="5"/>
      <c r="N26" s="6"/>
      <c r="O26" s="15" t="s">
        <v>78</v>
      </c>
      <c r="P26" s="5"/>
      <c r="Q26" s="5"/>
      <c r="R26" s="5"/>
      <c r="S26" s="5"/>
      <c r="T26" s="5"/>
      <c r="U26" s="5"/>
      <c r="V26" s="5"/>
      <c r="W26" s="5"/>
      <c r="X26" s="5"/>
      <c r="Y26" s="5"/>
      <c r="Z26" s="5"/>
      <c r="AA26" s="5"/>
      <c r="AB26" s="5"/>
      <c r="AC26" s="5"/>
      <c r="AD26" s="5"/>
      <c r="AE26" s="5"/>
      <c r="AF26" s="5"/>
      <c r="AG26" s="6"/>
    </row>
    <row r="27" ht="22.5" customHeight="1">
      <c r="C27" s="13">
        <v>3.0</v>
      </c>
      <c r="D27" s="15" t="s">
        <v>79</v>
      </c>
      <c r="E27" s="5"/>
      <c r="F27" s="5"/>
      <c r="G27" s="5"/>
      <c r="H27" s="5"/>
      <c r="I27" s="5"/>
      <c r="J27" s="5"/>
      <c r="K27" s="5"/>
      <c r="L27" s="5"/>
      <c r="M27" s="5"/>
      <c r="N27" s="6"/>
      <c r="O27" s="15" t="s">
        <v>80</v>
      </c>
      <c r="P27" s="5"/>
      <c r="Q27" s="5"/>
      <c r="R27" s="5"/>
      <c r="S27" s="5"/>
      <c r="T27" s="5"/>
      <c r="U27" s="5"/>
      <c r="V27" s="5"/>
      <c r="W27" s="5"/>
      <c r="X27" s="5"/>
      <c r="Y27" s="5"/>
      <c r="Z27" s="5"/>
      <c r="AA27" s="5"/>
      <c r="AB27" s="5"/>
      <c r="AC27" s="5"/>
      <c r="AD27" s="5"/>
      <c r="AE27" s="5"/>
      <c r="AF27" s="5"/>
      <c r="AG27" s="6"/>
    </row>
    <row r="28" ht="22.5" customHeight="1">
      <c r="C28" s="13">
        <v>4.0</v>
      </c>
      <c r="D28" s="15" t="s">
        <v>81</v>
      </c>
      <c r="E28" s="5"/>
      <c r="F28" s="5"/>
      <c r="G28" s="5"/>
      <c r="H28" s="5"/>
      <c r="I28" s="5"/>
      <c r="J28" s="5"/>
      <c r="K28" s="5"/>
      <c r="L28" s="5"/>
      <c r="M28" s="5"/>
      <c r="N28" s="6"/>
      <c r="O28" s="15" t="s">
        <v>82</v>
      </c>
      <c r="P28" s="5"/>
      <c r="Q28" s="5"/>
      <c r="R28" s="5"/>
      <c r="S28" s="5"/>
      <c r="T28" s="5"/>
      <c r="U28" s="5"/>
      <c r="V28" s="5"/>
      <c r="W28" s="5"/>
      <c r="X28" s="5"/>
      <c r="Y28" s="5"/>
      <c r="Z28" s="5"/>
      <c r="AA28" s="5"/>
      <c r="AB28" s="5"/>
      <c r="AC28" s="5"/>
      <c r="AD28" s="5"/>
      <c r="AE28" s="5"/>
      <c r="AF28" s="5"/>
      <c r="AG28" s="6"/>
    </row>
    <row r="29" ht="22.5" customHeight="1">
      <c r="C29" s="13">
        <v>5.0</v>
      </c>
      <c r="D29" s="15" t="s">
        <v>83</v>
      </c>
      <c r="E29" s="5"/>
      <c r="F29" s="5"/>
      <c r="G29" s="5"/>
      <c r="H29" s="5"/>
      <c r="I29" s="5"/>
      <c r="J29" s="5"/>
      <c r="K29" s="5"/>
      <c r="L29" s="5"/>
      <c r="M29" s="5"/>
      <c r="N29" s="6"/>
      <c r="O29" s="15" t="s">
        <v>84</v>
      </c>
      <c r="P29" s="5"/>
      <c r="Q29" s="5"/>
      <c r="R29" s="5"/>
      <c r="S29" s="5"/>
      <c r="T29" s="5"/>
      <c r="U29" s="5"/>
      <c r="V29" s="5"/>
      <c r="W29" s="5"/>
      <c r="X29" s="5"/>
      <c r="Y29" s="5"/>
      <c r="Z29" s="5"/>
      <c r="AA29" s="5"/>
      <c r="AB29" s="5"/>
      <c r="AC29" s="5"/>
      <c r="AD29" s="5"/>
      <c r="AE29" s="5"/>
      <c r="AF29" s="5"/>
      <c r="AG29" s="6"/>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2">
    <mergeCell ref="A1:I1"/>
    <mergeCell ref="J1:P1"/>
    <mergeCell ref="Q1:U1"/>
    <mergeCell ref="V1:Y1"/>
    <mergeCell ref="Z1:AC1"/>
    <mergeCell ref="AD1:AG1"/>
    <mergeCell ref="AH1:AK1"/>
    <mergeCell ref="A2:I3"/>
    <mergeCell ref="J2:P3"/>
    <mergeCell ref="Q2:U3"/>
    <mergeCell ref="V2:Y3"/>
    <mergeCell ref="Z2:AC3"/>
    <mergeCell ref="AD2:AG3"/>
    <mergeCell ref="AH2:AK3"/>
    <mergeCell ref="B5:AK5"/>
    <mergeCell ref="C6:AK6"/>
    <mergeCell ref="C7:AK7"/>
    <mergeCell ref="C8:AK8"/>
    <mergeCell ref="C9:AK9"/>
    <mergeCell ref="C10:AK10"/>
    <mergeCell ref="C11:AK11"/>
    <mergeCell ref="C12:AK12"/>
    <mergeCell ref="B14:AK14"/>
    <mergeCell ref="C15:AK15"/>
    <mergeCell ref="C16:AK16"/>
    <mergeCell ref="C17:AK17"/>
    <mergeCell ref="C18:AK18"/>
    <mergeCell ref="C19:AK19"/>
    <mergeCell ref="D26:N26"/>
    <mergeCell ref="D27:N27"/>
    <mergeCell ref="D28:N28"/>
    <mergeCell ref="D29:N29"/>
    <mergeCell ref="O27:AG27"/>
    <mergeCell ref="O28:AG28"/>
    <mergeCell ref="O29:AG29"/>
    <mergeCell ref="C20:AK20"/>
    <mergeCell ref="B22:AK22"/>
    <mergeCell ref="D24:N24"/>
    <mergeCell ref="O24:AG24"/>
    <mergeCell ref="D25:N25"/>
    <mergeCell ref="O25:AG25"/>
    <mergeCell ref="O26:AG26"/>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3.0"/>
    <col customWidth="1" min="2" max="34" width="5.0"/>
  </cols>
  <sheetData>
    <row r="1" ht="28.5" customHeight="1">
      <c r="A1" s="7" t="s">
        <v>3</v>
      </c>
      <c r="B1" s="5"/>
      <c r="C1" s="5"/>
      <c r="D1" s="5"/>
      <c r="E1" s="5"/>
      <c r="F1" s="5"/>
      <c r="G1" s="5"/>
      <c r="H1" s="5"/>
      <c r="I1" s="5"/>
      <c r="J1" s="5"/>
      <c r="K1" s="5"/>
      <c r="L1" s="5"/>
      <c r="M1" s="5"/>
      <c r="N1" s="5"/>
      <c r="O1" s="5"/>
      <c r="P1" s="5"/>
      <c r="Q1" s="5"/>
      <c r="R1" s="5"/>
      <c r="S1" s="5"/>
      <c r="T1" s="5"/>
      <c r="U1" s="5"/>
      <c r="V1" s="5"/>
      <c r="W1" s="5"/>
      <c r="X1" s="5"/>
      <c r="Y1" s="5"/>
      <c r="Z1" s="5"/>
      <c r="AA1" s="5"/>
      <c r="AB1" s="5"/>
      <c r="AC1" s="5"/>
      <c r="AD1" s="5"/>
      <c r="AE1" s="5"/>
      <c r="AF1" s="5"/>
      <c r="AG1" s="5"/>
      <c r="AH1" s="6"/>
    </row>
    <row r="3" ht="22.5" customHeight="1">
      <c r="A3" s="11" t="s">
        <v>15</v>
      </c>
      <c r="B3" s="5"/>
      <c r="C3" s="5"/>
      <c r="D3" s="5"/>
      <c r="E3" s="5"/>
      <c r="F3" s="6"/>
      <c r="G3" s="15" t="s">
        <v>16</v>
      </c>
      <c r="H3" s="5"/>
      <c r="I3" s="5"/>
      <c r="J3" s="5"/>
      <c r="K3" s="5"/>
      <c r="L3" s="5"/>
      <c r="M3" s="5"/>
      <c r="N3" s="5"/>
      <c r="O3" s="6"/>
      <c r="P3" s="11" t="s">
        <v>18</v>
      </c>
      <c r="Q3" s="5"/>
      <c r="R3" s="5"/>
      <c r="S3" s="5"/>
      <c r="T3" s="5"/>
      <c r="U3" s="5"/>
      <c r="V3" s="5"/>
      <c r="W3" s="6"/>
      <c r="X3" s="15" t="s">
        <v>20</v>
      </c>
      <c r="Y3" s="5"/>
      <c r="Z3" s="5"/>
      <c r="AA3" s="5"/>
      <c r="AB3" s="5"/>
      <c r="AC3" s="5"/>
      <c r="AD3" s="5"/>
      <c r="AE3" s="5"/>
      <c r="AF3" s="5"/>
      <c r="AG3" s="5"/>
      <c r="AH3" s="6"/>
    </row>
    <row r="4" ht="22.5" customHeight="1">
      <c r="A4" s="11" t="s">
        <v>6</v>
      </c>
      <c r="B4" s="5"/>
      <c r="C4" s="5"/>
      <c r="D4" s="5"/>
      <c r="E4" s="5"/>
      <c r="F4" s="6"/>
      <c r="G4" s="15" t="s">
        <v>24</v>
      </c>
      <c r="H4" s="5"/>
      <c r="I4" s="5"/>
      <c r="J4" s="5"/>
      <c r="K4" s="5"/>
      <c r="L4" s="5"/>
      <c r="M4" s="5"/>
      <c r="N4" s="5"/>
      <c r="O4" s="6"/>
      <c r="P4" s="11" t="s">
        <v>8</v>
      </c>
      <c r="Q4" s="5"/>
      <c r="R4" s="5"/>
      <c r="S4" s="5"/>
      <c r="T4" s="5"/>
      <c r="U4" s="5"/>
      <c r="V4" s="5"/>
      <c r="W4" s="6"/>
      <c r="X4" s="23" t="s">
        <v>25</v>
      </c>
      <c r="Y4" s="5"/>
      <c r="Z4" s="5"/>
      <c r="AA4" s="5"/>
      <c r="AB4" s="5"/>
      <c r="AC4" s="5"/>
      <c r="AD4" s="5"/>
      <c r="AE4" s="5"/>
      <c r="AF4" s="5"/>
      <c r="AG4" s="5"/>
      <c r="AH4" s="6"/>
    </row>
    <row r="6" ht="22.5" customHeight="1">
      <c r="A6" s="24" t="s">
        <v>28</v>
      </c>
      <c r="B6" s="25" t="s">
        <v>29</v>
      </c>
      <c r="C6" s="14"/>
      <c r="D6" s="14"/>
      <c r="E6" s="14"/>
      <c r="F6" s="14"/>
      <c r="G6" s="17"/>
      <c r="H6" s="28" t="s">
        <v>30</v>
      </c>
      <c r="I6" s="5"/>
      <c r="J6" s="5"/>
      <c r="K6" s="5"/>
      <c r="L6" s="5"/>
      <c r="M6" s="5"/>
      <c r="N6" s="5"/>
      <c r="O6" s="5"/>
      <c r="P6" s="6"/>
      <c r="Q6" s="25" t="s">
        <v>34</v>
      </c>
      <c r="R6" s="14"/>
      <c r="S6" s="17"/>
      <c r="T6" s="28" t="s">
        <v>38</v>
      </c>
      <c r="U6" s="5"/>
      <c r="V6" s="5"/>
      <c r="W6" s="5"/>
      <c r="X6" s="5"/>
      <c r="Y6" s="5"/>
      <c r="Z6" s="5"/>
      <c r="AA6" s="5"/>
      <c r="AB6" s="5"/>
      <c r="AC6" s="5"/>
      <c r="AD6" s="5"/>
      <c r="AE6" s="5"/>
      <c r="AF6" s="5"/>
      <c r="AG6" s="5"/>
      <c r="AH6" s="6"/>
    </row>
    <row r="7" ht="22.5" customHeight="1">
      <c r="A7" s="33"/>
      <c r="B7" s="26"/>
      <c r="C7" s="27"/>
      <c r="D7" s="27"/>
      <c r="E7" s="27"/>
      <c r="F7" s="27"/>
      <c r="G7" s="29"/>
      <c r="H7" s="28" t="s">
        <v>49</v>
      </c>
      <c r="I7" s="5"/>
      <c r="J7" s="6"/>
      <c r="K7" s="28" t="s">
        <v>52</v>
      </c>
      <c r="L7" s="5"/>
      <c r="M7" s="6"/>
      <c r="N7" s="28" t="s">
        <v>53</v>
      </c>
      <c r="O7" s="5"/>
      <c r="P7" s="6"/>
      <c r="Q7" s="26"/>
      <c r="R7" s="27"/>
      <c r="S7" s="29"/>
      <c r="T7" s="28" t="s">
        <v>56</v>
      </c>
      <c r="U7" s="5"/>
      <c r="V7" s="6"/>
      <c r="W7" s="28" t="s">
        <v>57</v>
      </c>
      <c r="X7" s="5"/>
      <c r="Y7" s="6"/>
      <c r="Z7" s="28" t="s">
        <v>58</v>
      </c>
      <c r="AA7" s="5"/>
      <c r="AB7" s="6"/>
      <c r="AC7" s="28" t="s">
        <v>59</v>
      </c>
      <c r="AD7" s="5"/>
      <c r="AE7" s="6"/>
      <c r="AF7" s="28" t="s">
        <v>60</v>
      </c>
      <c r="AG7" s="5"/>
      <c r="AH7" s="6"/>
    </row>
    <row r="8" ht="22.5" customHeight="1">
      <c r="A8" s="38" t="s">
        <v>62</v>
      </c>
    </row>
    <row r="9" ht="22.5" customHeight="1">
      <c r="A9" s="13">
        <v>1.0</v>
      </c>
      <c r="B9" s="15" t="s">
        <v>65</v>
      </c>
      <c r="C9" s="5"/>
      <c r="D9" s="5"/>
      <c r="E9" s="5"/>
      <c r="F9" s="5"/>
      <c r="G9" s="6"/>
      <c r="H9" s="19">
        <f t="array" ref="H9">INDIRECT("'"&amp;$B9&amp;"'!H7",TRUE)</f>
        <v>36</v>
      </c>
      <c r="I9" s="5"/>
      <c r="J9" s="6"/>
      <c r="K9" s="19">
        <f t="array" ref="K9">INDIRECT("'"&amp;$B9&amp;"'!K7",TRUE)</f>
        <v>28</v>
      </c>
      <c r="L9" s="5"/>
      <c r="M9" s="6"/>
      <c r="N9" s="19">
        <f t="array" ref="N9">INDIRECT("'"&amp;$B9&amp;"'!N7",TRUE)</f>
        <v>6</v>
      </c>
      <c r="O9" s="5"/>
      <c r="P9" s="6"/>
      <c r="Q9" s="19">
        <f t="array" ref="Q9">INDIRECT("'"&amp;$B9&amp;"'!Q7",TRUE)</f>
        <v>70</v>
      </c>
      <c r="R9" s="5"/>
      <c r="S9" s="6"/>
      <c r="T9" s="19">
        <f t="array" ref="T9">INDIRECT("'"&amp;$B9&amp;"'!T7",TRUE)</f>
        <v>70</v>
      </c>
      <c r="U9" s="5"/>
      <c r="V9" s="6"/>
      <c r="W9" s="19">
        <f t="array" ref="W9">INDIRECT("'"&amp;$B9&amp;"'!W7",TRUE)</f>
        <v>0</v>
      </c>
      <c r="X9" s="5"/>
      <c r="Y9" s="6"/>
      <c r="Z9" s="19">
        <f t="array" ref="Z9">INDIRECT("'"&amp;$B9&amp;"'!Z7",TRUE)</f>
        <v>0</v>
      </c>
      <c r="AA9" s="5"/>
      <c r="AB9" s="6"/>
      <c r="AC9" s="19">
        <f t="array" ref="AC9">INDIRECT("'"&amp;$B9&amp;"'!AC7",TRUE)</f>
        <v>0</v>
      </c>
      <c r="AD9" s="5"/>
      <c r="AE9" s="6"/>
      <c r="AF9" s="42">
        <f>IFERROR((T9+W9+AC9)/Q9,0)</f>
        <v>1</v>
      </c>
      <c r="AG9" s="5"/>
      <c r="AH9" s="6"/>
    </row>
    <row r="10" ht="22.5" customHeight="1">
      <c r="A10" s="13">
        <v>2.0</v>
      </c>
      <c r="B10" s="15"/>
      <c r="C10" s="5"/>
      <c r="D10" s="5"/>
      <c r="E10" s="5"/>
      <c r="F10" s="5"/>
      <c r="G10" s="6"/>
      <c r="H10" s="19"/>
      <c r="I10" s="5"/>
      <c r="J10" s="6"/>
      <c r="K10" s="19"/>
      <c r="L10" s="5"/>
      <c r="M10" s="6"/>
      <c r="N10" s="19"/>
      <c r="O10" s="5"/>
      <c r="P10" s="6"/>
      <c r="Q10" s="19"/>
      <c r="R10" s="5"/>
      <c r="S10" s="6"/>
      <c r="T10" s="19"/>
      <c r="U10" s="5"/>
      <c r="V10" s="6"/>
      <c r="W10" s="19"/>
      <c r="X10" s="5"/>
      <c r="Y10" s="6"/>
      <c r="Z10" s="19"/>
      <c r="AA10" s="5"/>
      <c r="AB10" s="6"/>
      <c r="AC10" s="19"/>
      <c r="AD10" s="5"/>
      <c r="AE10" s="6"/>
      <c r="AF10" s="42"/>
      <c r="AG10" s="5"/>
      <c r="AH10" s="6"/>
    </row>
    <row r="11" ht="22.5" customHeight="1">
      <c r="A11" s="13"/>
      <c r="B11" s="28" t="s">
        <v>34</v>
      </c>
      <c r="C11" s="5"/>
      <c r="D11" s="5"/>
      <c r="E11" s="5"/>
      <c r="F11" s="5"/>
      <c r="G11" s="6"/>
      <c r="H11" s="43">
        <f>SUM(H9:J10)</f>
        <v>36</v>
      </c>
      <c r="I11" s="5"/>
      <c r="J11" s="6"/>
      <c r="K11" s="43">
        <f>SUM(K9:M10)</f>
        <v>28</v>
      </c>
      <c r="L11" s="5"/>
      <c r="M11" s="6"/>
      <c r="N11" s="43">
        <f>SUM(N9:P10)</f>
        <v>6</v>
      </c>
      <c r="O11" s="5"/>
      <c r="P11" s="6"/>
      <c r="Q11" s="43">
        <f>SUM(Q9:S10)</f>
        <v>70</v>
      </c>
      <c r="R11" s="5"/>
      <c r="S11" s="6"/>
      <c r="T11" s="43">
        <f>SUM(T9:V10)</f>
        <v>70</v>
      </c>
      <c r="U11" s="5"/>
      <c r="V11" s="6"/>
      <c r="W11" s="43">
        <f>SUM(W9:Y10)</f>
        <v>0</v>
      </c>
      <c r="X11" s="5"/>
      <c r="Y11" s="6"/>
      <c r="Z11" s="43">
        <f>SUM(Z9:AB10)</f>
        <v>0</v>
      </c>
      <c r="AA11" s="5"/>
      <c r="AB11" s="6"/>
      <c r="AC11" s="43">
        <f>SUM(AC9:AE10)</f>
        <v>0</v>
      </c>
      <c r="AD11" s="5"/>
      <c r="AE11" s="6"/>
      <c r="AF11" s="44">
        <f>IFERROR((T11+W11+AC11)/Q11,0)</f>
        <v>1</v>
      </c>
      <c r="AG11" s="5"/>
      <c r="AH11" s="6"/>
    </row>
    <row r="12" ht="22.5" customHeight="1">
      <c r="A12" s="38" t="s">
        <v>85</v>
      </c>
    </row>
    <row r="13" ht="22.5" customHeight="1">
      <c r="A13" s="13">
        <v>1.0</v>
      </c>
      <c r="B13" s="15" t="s">
        <v>65</v>
      </c>
      <c r="C13" s="5"/>
      <c r="D13" s="5"/>
      <c r="E13" s="5"/>
      <c r="F13" s="5"/>
      <c r="G13" s="6"/>
      <c r="H13" s="19">
        <f t="array" ref="H13">INDIRECT("'"&amp;$B13&amp;"'!H8",TRUE)</f>
        <v>36</v>
      </c>
      <c r="I13" s="5"/>
      <c r="J13" s="6"/>
      <c r="K13" s="19">
        <f t="array" ref="K13">INDIRECT("'"&amp;$B13&amp;"'!K8",TRUE)</f>
        <v>28</v>
      </c>
      <c r="L13" s="5"/>
      <c r="M13" s="6"/>
      <c r="N13" s="19">
        <f t="array" ref="N13">INDIRECT("'"&amp;$B13&amp;"'!N8",TRUE)</f>
        <v>6</v>
      </c>
      <c r="O13" s="5"/>
      <c r="P13" s="6"/>
      <c r="Q13" s="19">
        <f t="array" ref="Q13">INDIRECT("'"&amp;$B13&amp;"'!Q8",TRUE)</f>
        <v>70</v>
      </c>
      <c r="R13" s="5"/>
      <c r="S13" s="6"/>
      <c r="T13" s="19">
        <f t="array" ref="T13">INDIRECT("'"&amp;$B13&amp;"'!T8",TRUE)</f>
        <v>70</v>
      </c>
      <c r="U13" s="5"/>
      <c r="V13" s="6"/>
      <c r="W13" s="19">
        <f t="array" ref="W13">INDIRECT("'"&amp;$B13&amp;"'!W8",TRUE)</f>
        <v>0</v>
      </c>
      <c r="X13" s="5"/>
      <c r="Y13" s="6"/>
      <c r="Z13" s="19">
        <f t="array" ref="Z13">INDIRECT("'"&amp;$B13&amp;"'!Z8",TRUE)</f>
        <v>0</v>
      </c>
      <c r="AA13" s="5"/>
      <c r="AB13" s="6"/>
      <c r="AC13" s="19">
        <f t="array" ref="AC13">INDIRECT("'"&amp;$B13&amp;"'!AC8",TRUE)</f>
        <v>0</v>
      </c>
      <c r="AD13" s="5"/>
      <c r="AE13" s="6"/>
      <c r="AF13" s="42">
        <f>IFERROR((T13+W13+AC13)/Q13,0)</f>
        <v>1</v>
      </c>
      <c r="AG13" s="5"/>
      <c r="AH13" s="6"/>
    </row>
    <row r="14" ht="22.5" customHeight="1">
      <c r="A14" s="13">
        <v>2.0</v>
      </c>
      <c r="B14" s="15"/>
      <c r="C14" s="5"/>
      <c r="D14" s="5"/>
      <c r="E14" s="5"/>
      <c r="F14" s="5"/>
      <c r="G14" s="6"/>
      <c r="H14" s="19"/>
      <c r="I14" s="5"/>
      <c r="J14" s="6"/>
      <c r="K14" s="19"/>
      <c r="L14" s="5"/>
      <c r="M14" s="6"/>
      <c r="N14" s="19"/>
      <c r="O14" s="5"/>
      <c r="P14" s="6"/>
      <c r="Q14" s="19"/>
      <c r="R14" s="5"/>
      <c r="S14" s="6"/>
      <c r="T14" s="19"/>
      <c r="U14" s="5"/>
      <c r="V14" s="6"/>
      <c r="W14" s="19"/>
      <c r="X14" s="5"/>
      <c r="Y14" s="6"/>
      <c r="Z14" s="19"/>
      <c r="AA14" s="5"/>
      <c r="AB14" s="6"/>
      <c r="AC14" s="19"/>
      <c r="AD14" s="5"/>
      <c r="AE14" s="6"/>
      <c r="AF14" s="42"/>
      <c r="AG14" s="5"/>
      <c r="AH14" s="6"/>
    </row>
    <row r="15" ht="22.5" customHeight="1">
      <c r="A15" s="13"/>
      <c r="B15" s="28" t="s">
        <v>34</v>
      </c>
      <c r="C15" s="5"/>
      <c r="D15" s="5"/>
      <c r="E15" s="5"/>
      <c r="F15" s="5"/>
      <c r="G15" s="6"/>
      <c r="H15" s="43">
        <f>SUM(H13:J14)</f>
        <v>36</v>
      </c>
      <c r="I15" s="5"/>
      <c r="J15" s="6"/>
      <c r="K15" s="43">
        <f>SUM(K13:M14)</f>
        <v>28</v>
      </c>
      <c r="L15" s="5"/>
      <c r="M15" s="6"/>
      <c r="N15" s="43">
        <f>SUM(N13:P14)</f>
        <v>6</v>
      </c>
      <c r="O15" s="5"/>
      <c r="P15" s="6"/>
      <c r="Q15" s="43">
        <f>SUM(Q13:S14)</f>
        <v>70</v>
      </c>
      <c r="R15" s="5"/>
      <c r="S15" s="6"/>
      <c r="T15" s="43">
        <f>SUM(T13:V14)</f>
        <v>70</v>
      </c>
      <c r="U15" s="5"/>
      <c r="V15" s="6"/>
      <c r="W15" s="43">
        <f>SUM(W13:Y14)</f>
        <v>0</v>
      </c>
      <c r="X15" s="5"/>
      <c r="Y15" s="6"/>
      <c r="Z15" s="43">
        <f>SUM(Z13:AB14)</f>
        <v>0</v>
      </c>
      <c r="AA15" s="5"/>
      <c r="AB15" s="6"/>
      <c r="AC15" s="43">
        <f>SUM(AC13:AE14)</f>
        <v>0</v>
      </c>
      <c r="AD15" s="5"/>
      <c r="AE15" s="6"/>
      <c r="AF15" s="44">
        <f>IFERROR((T15+W15+AC15)/Q15,0)</f>
        <v>1</v>
      </c>
      <c r="AG15" s="5"/>
      <c r="AH15" s="6"/>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82">
    <mergeCell ref="P4:W4"/>
    <mergeCell ref="X4:AH4"/>
    <mergeCell ref="A1:AH1"/>
    <mergeCell ref="A3:F3"/>
    <mergeCell ref="G3:O3"/>
    <mergeCell ref="P3:W3"/>
    <mergeCell ref="X3:AH3"/>
    <mergeCell ref="A4:F4"/>
    <mergeCell ref="G4:O4"/>
    <mergeCell ref="W7:Y7"/>
    <mergeCell ref="Z7:AB7"/>
    <mergeCell ref="AC7:AE7"/>
    <mergeCell ref="AF7:AH7"/>
    <mergeCell ref="A6:A7"/>
    <mergeCell ref="B6:G7"/>
    <mergeCell ref="H6:P6"/>
    <mergeCell ref="Q6:S7"/>
    <mergeCell ref="T6:AH6"/>
    <mergeCell ref="H7:J7"/>
    <mergeCell ref="K7:M7"/>
    <mergeCell ref="T9:V9"/>
    <mergeCell ref="W9:Y9"/>
    <mergeCell ref="Z9:AB9"/>
    <mergeCell ref="AC9:AE9"/>
    <mergeCell ref="AF9:AH9"/>
    <mergeCell ref="N7:P7"/>
    <mergeCell ref="T7:V7"/>
    <mergeCell ref="B9:G9"/>
    <mergeCell ref="H9:J9"/>
    <mergeCell ref="K9:M9"/>
    <mergeCell ref="N9:P9"/>
    <mergeCell ref="Q9:S9"/>
    <mergeCell ref="Z14:AB14"/>
    <mergeCell ref="AC14:AE14"/>
    <mergeCell ref="AF14:AH14"/>
    <mergeCell ref="B14:G14"/>
    <mergeCell ref="H14:J14"/>
    <mergeCell ref="K14:M14"/>
    <mergeCell ref="N14:P14"/>
    <mergeCell ref="Q14:S14"/>
    <mergeCell ref="T14:V14"/>
    <mergeCell ref="W14:Y14"/>
    <mergeCell ref="Z10:AB10"/>
    <mergeCell ref="AC10:AE10"/>
    <mergeCell ref="AF10:AH10"/>
    <mergeCell ref="B10:G10"/>
    <mergeCell ref="H10:J10"/>
    <mergeCell ref="K10:M10"/>
    <mergeCell ref="N10:P10"/>
    <mergeCell ref="Q10:S10"/>
    <mergeCell ref="T10:V10"/>
    <mergeCell ref="W10:Y10"/>
    <mergeCell ref="Z11:AB11"/>
    <mergeCell ref="AC11:AE11"/>
    <mergeCell ref="AF11:AH11"/>
    <mergeCell ref="B11:G11"/>
    <mergeCell ref="H11:J11"/>
    <mergeCell ref="K11:M11"/>
    <mergeCell ref="N11:P11"/>
    <mergeCell ref="Q11:S11"/>
    <mergeCell ref="T11:V11"/>
    <mergeCell ref="W11:Y11"/>
    <mergeCell ref="Z13:AB13"/>
    <mergeCell ref="AC13:AE13"/>
    <mergeCell ref="AF13:AH13"/>
    <mergeCell ref="B13:G13"/>
    <mergeCell ref="H13:J13"/>
    <mergeCell ref="K13:M13"/>
    <mergeCell ref="N13:P13"/>
    <mergeCell ref="Q13:S13"/>
    <mergeCell ref="T13:V13"/>
    <mergeCell ref="W13:Y13"/>
    <mergeCell ref="Z15:AB15"/>
    <mergeCell ref="AC15:AE15"/>
    <mergeCell ref="AF15:AH15"/>
    <mergeCell ref="B15:G15"/>
    <mergeCell ref="H15:J15"/>
    <mergeCell ref="K15:M15"/>
    <mergeCell ref="N15:P15"/>
    <mergeCell ref="Q15:S15"/>
    <mergeCell ref="T15:V15"/>
    <mergeCell ref="W15:Y15"/>
  </mergeCells>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37" width="4.29"/>
  </cols>
  <sheetData>
    <row r="1" ht="19.5" customHeight="1">
      <c r="A1" s="4" t="s">
        <v>2</v>
      </c>
      <c r="B1" s="5"/>
      <c r="C1" s="5"/>
      <c r="D1" s="5"/>
      <c r="E1" s="5"/>
      <c r="F1" s="5"/>
      <c r="G1" s="5"/>
      <c r="H1" s="5"/>
      <c r="I1" s="6"/>
      <c r="J1" s="4" t="s">
        <v>5</v>
      </c>
      <c r="K1" s="5"/>
      <c r="L1" s="5"/>
      <c r="M1" s="5"/>
      <c r="N1" s="5"/>
      <c r="O1" s="5"/>
      <c r="P1" s="6"/>
      <c r="Q1" s="4" t="s">
        <v>7</v>
      </c>
      <c r="R1" s="5"/>
      <c r="S1" s="5"/>
      <c r="T1" s="5"/>
      <c r="U1" s="6"/>
      <c r="V1" s="4" t="s">
        <v>8</v>
      </c>
      <c r="W1" s="5"/>
      <c r="X1" s="5"/>
      <c r="Y1" s="6"/>
      <c r="Z1" s="4" t="s">
        <v>10</v>
      </c>
      <c r="AA1" s="5"/>
      <c r="AB1" s="5"/>
      <c r="AC1" s="6"/>
      <c r="AD1" s="4" t="s">
        <v>12</v>
      </c>
      <c r="AE1" s="5"/>
      <c r="AF1" s="5"/>
      <c r="AG1" s="6"/>
      <c r="AH1" s="4" t="s">
        <v>13</v>
      </c>
      <c r="AI1" s="5"/>
      <c r="AJ1" s="5"/>
      <c r="AK1" s="6"/>
    </row>
    <row r="2" ht="19.5" customHeight="1">
      <c r="A2" s="12" t="s">
        <v>16</v>
      </c>
      <c r="B2" s="14"/>
      <c r="C2" s="14"/>
      <c r="D2" s="14"/>
      <c r="E2" s="14"/>
      <c r="F2" s="14"/>
      <c r="G2" s="14"/>
      <c r="H2" s="14"/>
      <c r="I2" s="17"/>
      <c r="J2" s="12" t="s">
        <v>19</v>
      </c>
      <c r="K2" s="14"/>
      <c r="L2" s="14"/>
      <c r="M2" s="14"/>
      <c r="N2" s="14"/>
      <c r="O2" s="14"/>
      <c r="P2" s="17"/>
      <c r="Q2" s="12" t="s">
        <v>86</v>
      </c>
      <c r="R2" s="14"/>
      <c r="S2" s="14"/>
      <c r="T2" s="14"/>
      <c r="U2" s="17"/>
      <c r="V2" s="22" t="s">
        <v>25</v>
      </c>
      <c r="W2" s="14"/>
      <c r="X2" s="14"/>
      <c r="Y2" s="17"/>
      <c r="Z2" s="12" t="s">
        <v>24</v>
      </c>
      <c r="AA2" s="14"/>
      <c r="AB2" s="14"/>
      <c r="AC2" s="17"/>
      <c r="AD2" s="22" t="s">
        <v>25</v>
      </c>
      <c r="AE2" s="14"/>
      <c r="AF2" s="14"/>
      <c r="AG2" s="17"/>
      <c r="AH2" s="12" t="s">
        <v>24</v>
      </c>
      <c r="AI2" s="14"/>
      <c r="AJ2" s="14"/>
      <c r="AK2" s="17"/>
    </row>
    <row r="3" ht="19.5" customHeight="1">
      <c r="A3" s="26"/>
      <c r="B3" s="27"/>
      <c r="C3" s="27"/>
      <c r="D3" s="27"/>
      <c r="E3" s="27"/>
      <c r="F3" s="27"/>
      <c r="G3" s="27"/>
      <c r="H3" s="27"/>
      <c r="I3" s="29"/>
      <c r="J3" s="26"/>
      <c r="K3" s="27"/>
      <c r="L3" s="27"/>
      <c r="M3" s="27"/>
      <c r="N3" s="27"/>
      <c r="O3" s="27"/>
      <c r="P3" s="29"/>
      <c r="Q3" s="26"/>
      <c r="R3" s="27"/>
      <c r="S3" s="27"/>
      <c r="T3" s="27"/>
      <c r="U3" s="29"/>
      <c r="V3" s="26"/>
      <c r="W3" s="27"/>
      <c r="X3" s="27"/>
      <c r="Y3" s="29"/>
      <c r="Z3" s="26"/>
      <c r="AA3" s="27"/>
      <c r="AB3" s="27"/>
      <c r="AC3" s="29"/>
      <c r="AD3" s="26"/>
      <c r="AE3" s="27"/>
      <c r="AF3" s="27"/>
      <c r="AG3" s="29"/>
      <c r="AH3" s="26"/>
      <c r="AI3" s="27"/>
      <c r="AJ3" s="27"/>
      <c r="AK3" s="29"/>
    </row>
    <row r="5" ht="19.5" customHeight="1">
      <c r="B5" s="31" t="s">
        <v>87</v>
      </c>
    </row>
    <row r="7" ht="28.5" customHeight="1">
      <c r="B7" s="45" t="s">
        <v>28</v>
      </c>
      <c r="C7" s="46" t="s">
        <v>88</v>
      </c>
      <c r="D7" s="5"/>
      <c r="E7" s="6"/>
      <c r="F7" s="46" t="s">
        <v>89</v>
      </c>
      <c r="G7" s="5"/>
      <c r="H7" s="5"/>
      <c r="I7" s="5"/>
      <c r="J7" s="5"/>
      <c r="K7" s="5"/>
      <c r="L7" s="6"/>
      <c r="M7" s="46" t="s">
        <v>90</v>
      </c>
      <c r="N7" s="5"/>
      <c r="O7" s="5"/>
      <c r="P7" s="5"/>
      <c r="Q7" s="5"/>
      <c r="R7" s="5"/>
      <c r="S7" s="5"/>
      <c r="T7" s="6"/>
      <c r="U7" s="46" t="s">
        <v>91</v>
      </c>
      <c r="V7" s="6"/>
      <c r="W7" s="46" t="s">
        <v>92</v>
      </c>
      <c r="X7" s="5"/>
      <c r="Y7" s="5"/>
      <c r="Z7" s="5"/>
      <c r="AA7" s="5"/>
      <c r="AB7" s="5"/>
      <c r="AC7" s="6"/>
      <c r="AD7" s="46" t="s">
        <v>93</v>
      </c>
      <c r="AE7" s="5"/>
      <c r="AF7" s="6"/>
    </row>
    <row r="8" ht="30.0" customHeight="1">
      <c r="B8" s="47">
        <v>1.0</v>
      </c>
      <c r="C8" s="48" t="s">
        <v>94</v>
      </c>
      <c r="D8" s="5"/>
      <c r="E8" s="6"/>
      <c r="F8" s="49" t="s">
        <v>95</v>
      </c>
      <c r="G8" s="5"/>
      <c r="H8" s="5"/>
      <c r="I8" s="5"/>
      <c r="J8" s="5"/>
      <c r="K8" s="5"/>
      <c r="L8" s="6"/>
      <c r="M8" s="49" t="s">
        <v>96</v>
      </c>
      <c r="N8" s="5"/>
      <c r="O8" s="5"/>
      <c r="P8" s="5"/>
      <c r="Q8" s="5"/>
      <c r="R8" s="5"/>
      <c r="S8" s="5"/>
      <c r="T8" s="6"/>
      <c r="U8" s="50" t="s">
        <v>97</v>
      </c>
      <c r="V8" s="6"/>
      <c r="W8" s="49" t="s">
        <v>98</v>
      </c>
      <c r="X8" s="5"/>
      <c r="Y8" s="5"/>
      <c r="Z8" s="5"/>
      <c r="AA8" s="5"/>
      <c r="AB8" s="5"/>
      <c r="AC8" s="6"/>
      <c r="AD8" s="48">
        <v>265.0</v>
      </c>
      <c r="AE8" s="5"/>
      <c r="AF8" s="6"/>
    </row>
    <row r="9" ht="30.0" customHeight="1">
      <c r="B9" s="47">
        <v>2.0</v>
      </c>
      <c r="C9" s="48" t="s">
        <v>99</v>
      </c>
      <c r="D9" s="5"/>
      <c r="E9" s="6"/>
      <c r="F9" s="49" t="s">
        <v>95</v>
      </c>
      <c r="G9" s="5"/>
      <c r="H9" s="5"/>
      <c r="I9" s="5"/>
      <c r="J9" s="5"/>
      <c r="K9" s="5"/>
      <c r="L9" s="6"/>
      <c r="M9" s="49" t="s">
        <v>101</v>
      </c>
      <c r="N9" s="5"/>
      <c r="O9" s="5"/>
      <c r="P9" s="5"/>
      <c r="Q9" s="5"/>
      <c r="R9" s="5"/>
      <c r="S9" s="5"/>
      <c r="T9" s="6"/>
      <c r="U9" s="50" t="s">
        <v>97</v>
      </c>
      <c r="V9" s="6"/>
      <c r="W9" s="49" t="s">
        <v>103</v>
      </c>
      <c r="X9" s="5"/>
      <c r="Y9" s="5"/>
      <c r="Z9" s="5"/>
      <c r="AA9" s="5"/>
      <c r="AB9" s="5"/>
      <c r="AC9" s="6"/>
      <c r="AD9" s="48">
        <v>200.0</v>
      </c>
      <c r="AE9" s="5"/>
      <c r="AF9" s="6"/>
    </row>
    <row r="10" ht="36.0" customHeight="1">
      <c r="B10" s="47">
        <v>3.0</v>
      </c>
      <c r="C10" s="48" t="s">
        <v>106</v>
      </c>
      <c r="D10" s="5"/>
      <c r="E10" s="6"/>
      <c r="F10" s="49" t="s">
        <v>95</v>
      </c>
      <c r="G10" s="5"/>
      <c r="H10" s="5"/>
      <c r="I10" s="5"/>
      <c r="J10" s="5"/>
      <c r="K10" s="5"/>
      <c r="L10" s="6"/>
      <c r="M10" s="49" t="s">
        <v>107</v>
      </c>
      <c r="N10" s="5"/>
      <c r="O10" s="5"/>
      <c r="P10" s="5"/>
      <c r="Q10" s="5"/>
      <c r="R10" s="5"/>
      <c r="S10" s="5"/>
      <c r="T10" s="6"/>
      <c r="U10" s="50" t="s">
        <v>97</v>
      </c>
      <c r="V10" s="6"/>
      <c r="W10" s="49" t="s">
        <v>108</v>
      </c>
      <c r="X10" s="5"/>
      <c r="Y10" s="5"/>
      <c r="Z10" s="5"/>
      <c r="AA10" s="5"/>
      <c r="AB10" s="5"/>
      <c r="AC10" s="6"/>
      <c r="AD10" s="48">
        <v>50.0</v>
      </c>
      <c r="AE10" s="5"/>
      <c r="AF10" s="6"/>
    </row>
    <row r="11" ht="30.0" customHeight="1">
      <c r="B11" s="47">
        <v>4.0</v>
      </c>
      <c r="C11" s="48" t="s">
        <v>109</v>
      </c>
      <c r="D11" s="5"/>
      <c r="E11" s="6"/>
      <c r="F11" s="49" t="s">
        <v>95</v>
      </c>
      <c r="G11" s="5"/>
      <c r="H11" s="5"/>
      <c r="I11" s="5"/>
      <c r="J11" s="5"/>
      <c r="K11" s="5"/>
      <c r="L11" s="6"/>
      <c r="M11" s="49" t="s">
        <v>110</v>
      </c>
      <c r="N11" s="5"/>
      <c r="O11" s="5"/>
      <c r="P11" s="5"/>
      <c r="Q11" s="5"/>
      <c r="R11" s="5"/>
      <c r="S11" s="5"/>
      <c r="T11" s="6"/>
      <c r="U11" s="50" t="s">
        <v>97</v>
      </c>
      <c r="V11" s="6"/>
      <c r="W11" s="49" t="s">
        <v>98</v>
      </c>
      <c r="X11" s="5"/>
      <c r="Y11" s="5"/>
      <c r="Z11" s="5"/>
      <c r="AA11" s="5"/>
      <c r="AB11" s="5"/>
      <c r="AC11" s="6"/>
      <c r="AD11" s="48">
        <v>75.0</v>
      </c>
      <c r="AE11" s="5"/>
      <c r="AF11" s="6"/>
    </row>
    <row r="12" ht="30.0" customHeight="1">
      <c r="B12" s="47">
        <v>5.0</v>
      </c>
      <c r="C12" s="48" t="s">
        <v>112</v>
      </c>
      <c r="D12" s="5"/>
      <c r="E12" s="6"/>
      <c r="F12" s="49" t="s">
        <v>95</v>
      </c>
      <c r="G12" s="5"/>
      <c r="H12" s="5"/>
      <c r="I12" s="5"/>
      <c r="J12" s="5"/>
      <c r="K12" s="5"/>
      <c r="L12" s="6"/>
      <c r="M12" s="49" t="s">
        <v>114</v>
      </c>
      <c r="N12" s="5"/>
      <c r="O12" s="5"/>
      <c r="P12" s="5"/>
      <c r="Q12" s="5"/>
      <c r="R12" s="5"/>
      <c r="S12" s="5"/>
      <c r="T12" s="6"/>
      <c r="U12" s="50" t="s">
        <v>97</v>
      </c>
      <c r="V12" s="6"/>
      <c r="W12" s="49" t="s">
        <v>116</v>
      </c>
      <c r="X12" s="5"/>
      <c r="Y12" s="5"/>
      <c r="Z12" s="5"/>
      <c r="AA12" s="5"/>
      <c r="AB12" s="5"/>
      <c r="AC12" s="6"/>
      <c r="AD12" s="48">
        <v>30.0</v>
      </c>
      <c r="AE12" s="5"/>
      <c r="AF12" s="6"/>
    </row>
    <row r="13" ht="30.0" customHeight="1">
      <c r="B13" s="47">
        <v>6.0</v>
      </c>
      <c r="C13" s="48" t="s">
        <v>118</v>
      </c>
      <c r="D13" s="5"/>
      <c r="E13" s="6"/>
      <c r="F13" s="49" t="s">
        <v>95</v>
      </c>
      <c r="G13" s="5"/>
      <c r="H13" s="5"/>
      <c r="I13" s="5"/>
      <c r="J13" s="5"/>
      <c r="K13" s="5"/>
      <c r="L13" s="6"/>
      <c r="M13" s="49" t="s">
        <v>119</v>
      </c>
      <c r="N13" s="5"/>
      <c r="O13" s="5"/>
      <c r="P13" s="5"/>
      <c r="Q13" s="5"/>
      <c r="R13" s="5"/>
      <c r="S13" s="5"/>
      <c r="T13" s="6"/>
      <c r="U13" s="50" t="s">
        <v>97</v>
      </c>
      <c r="V13" s="6"/>
      <c r="W13" s="49" t="s">
        <v>121</v>
      </c>
      <c r="X13" s="5"/>
      <c r="Y13" s="5"/>
      <c r="Z13" s="5"/>
      <c r="AA13" s="5"/>
      <c r="AB13" s="5"/>
      <c r="AC13" s="6"/>
      <c r="AD13" s="48">
        <v>50.0</v>
      </c>
      <c r="AE13" s="5"/>
      <c r="AF13" s="6"/>
    </row>
    <row r="14" ht="30.0" customHeight="1">
      <c r="B14" s="47">
        <v>7.0</v>
      </c>
      <c r="C14" s="48" t="s">
        <v>123</v>
      </c>
      <c r="D14" s="5"/>
      <c r="E14" s="6"/>
      <c r="F14" s="49" t="s">
        <v>95</v>
      </c>
      <c r="G14" s="5"/>
      <c r="H14" s="5"/>
      <c r="I14" s="5"/>
      <c r="J14" s="5"/>
      <c r="K14" s="5"/>
      <c r="L14" s="6"/>
      <c r="M14" s="49" t="s">
        <v>124</v>
      </c>
      <c r="N14" s="5"/>
      <c r="O14" s="5"/>
      <c r="P14" s="5"/>
      <c r="Q14" s="5"/>
      <c r="R14" s="5"/>
      <c r="S14" s="5"/>
      <c r="T14" s="6"/>
      <c r="U14" s="50" t="s">
        <v>97</v>
      </c>
      <c r="V14" s="6"/>
      <c r="W14" s="49" t="s">
        <v>116</v>
      </c>
      <c r="X14" s="5"/>
      <c r="Y14" s="5"/>
      <c r="Z14" s="5"/>
      <c r="AA14" s="5"/>
      <c r="AB14" s="5"/>
      <c r="AC14" s="6"/>
      <c r="AD14" s="48">
        <v>10.0</v>
      </c>
      <c r="AE14" s="5"/>
      <c r="AF14" s="6"/>
    </row>
    <row r="15" ht="30.0" customHeight="1">
      <c r="B15" s="47">
        <v>8.0</v>
      </c>
      <c r="C15" s="48" t="s">
        <v>126</v>
      </c>
      <c r="D15" s="5"/>
      <c r="E15" s="6"/>
      <c r="F15" s="49" t="s">
        <v>95</v>
      </c>
      <c r="G15" s="5"/>
      <c r="H15" s="5"/>
      <c r="I15" s="5"/>
      <c r="J15" s="5"/>
      <c r="K15" s="5"/>
      <c r="L15" s="6"/>
      <c r="M15" s="49" t="s">
        <v>127</v>
      </c>
      <c r="N15" s="5"/>
      <c r="O15" s="5"/>
      <c r="P15" s="5"/>
      <c r="Q15" s="5"/>
      <c r="R15" s="5"/>
      <c r="S15" s="5"/>
      <c r="T15" s="6"/>
      <c r="U15" s="51" t="s">
        <v>128</v>
      </c>
      <c r="V15" s="6"/>
      <c r="W15" s="49" t="s">
        <v>129</v>
      </c>
      <c r="X15" s="5"/>
      <c r="Y15" s="5"/>
      <c r="Z15" s="5"/>
      <c r="AA15" s="5"/>
      <c r="AB15" s="5"/>
      <c r="AC15" s="6"/>
      <c r="AD15" s="48">
        <v>20.0</v>
      </c>
      <c r="AE15" s="5"/>
      <c r="AF15" s="6"/>
    </row>
    <row r="16" ht="30.0" customHeight="1">
      <c r="B16" s="47">
        <v>9.0</v>
      </c>
      <c r="C16" s="48" t="s">
        <v>130</v>
      </c>
      <c r="D16" s="5"/>
      <c r="E16" s="6"/>
      <c r="F16" s="49" t="s">
        <v>95</v>
      </c>
      <c r="G16" s="5"/>
      <c r="H16" s="5"/>
      <c r="I16" s="5"/>
      <c r="J16" s="5"/>
      <c r="K16" s="5"/>
      <c r="L16" s="6"/>
      <c r="M16" s="49" t="s">
        <v>131</v>
      </c>
      <c r="N16" s="5"/>
      <c r="O16" s="5"/>
      <c r="P16" s="5"/>
      <c r="Q16" s="5"/>
      <c r="R16" s="5"/>
      <c r="S16" s="5"/>
      <c r="T16" s="6"/>
      <c r="U16" s="50" t="s">
        <v>97</v>
      </c>
      <c r="V16" s="6"/>
      <c r="W16" s="49" t="s">
        <v>132</v>
      </c>
      <c r="X16" s="5"/>
      <c r="Y16" s="5"/>
      <c r="Z16" s="5"/>
      <c r="AA16" s="5"/>
      <c r="AB16" s="5"/>
      <c r="AC16" s="6"/>
      <c r="AD16" s="48">
        <v>8.0</v>
      </c>
      <c r="AE16" s="5"/>
      <c r="AF16" s="6"/>
    </row>
    <row r="17" ht="30.0" customHeight="1">
      <c r="B17" s="47">
        <v>10.0</v>
      </c>
      <c r="C17" s="48" t="s">
        <v>133</v>
      </c>
      <c r="D17" s="5"/>
      <c r="E17" s="6"/>
      <c r="F17" s="49" t="s">
        <v>95</v>
      </c>
      <c r="G17" s="5"/>
      <c r="H17" s="5"/>
      <c r="I17" s="5"/>
      <c r="J17" s="5"/>
      <c r="K17" s="5"/>
      <c r="L17" s="6"/>
      <c r="M17" s="49" t="s">
        <v>134</v>
      </c>
      <c r="N17" s="5"/>
      <c r="O17" s="5"/>
      <c r="P17" s="5"/>
      <c r="Q17" s="5"/>
      <c r="R17" s="5"/>
      <c r="S17" s="5"/>
      <c r="T17" s="6"/>
      <c r="U17" s="50" t="s">
        <v>97</v>
      </c>
      <c r="V17" s="6"/>
      <c r="W17" s="49" t="s">
        <v>136</v>
      </c>
      <c r="X17" s="5"/>
      <c r="Y17" s="5"/>
      <c r="Z17" s="5"/>
      <c r="AA17" s="5"/>
      <c r="AB17" s="5"/>
      <c r="AC17" s="6"/>
      <c r="AD17" s="48">
        <v>30.0</v>
      </c>
      <c r="AE17" s="5"/>
      <c r="AF17" s="6"/>
    </row>
    <row r="18" ht="30.0" customHeight="1">
      <c r="B18" s="47">
        <v>11.0</v>
      </c>
      <c r="C18" s="48" t="s">
        <v>137</v>
      </c>
      <c r="D18" s="5"/>
      <c r="E18" s="6"/>
      <c r="F18" s="49" t="s">
        <v>138</v>
      </c>
      <c r="G18" s="5"/>
      <c r="H18" s="5"/>
      <c r="I18" s="5"/>
      <c r="J18" s="5"/>
      <c r="K18" s="5"/>
      <c r="L18" s="6"/>
      <c r="M18" s="49" t="s">
        <v>139</v>
      </c>
      <c r="N18" s="5"/>
      <c r="O18" s="5"/>
      <c r="P18" s="5"/>
      <c r="Q18" s="5"/>
      <c r="R18" s="5"/>
      <c r="S18" s="5"/>
      <c r="T18" s="6"/>
      <c r="U18" s="51" t="s">
        <v>128</v>
      </c>
      <c r="V18" s="6"/>
      <c r="W18" s="49" t="s">
        <v>140</v>
      </c>
      <c r="X18" s="5"/>
      <c r="Y18" s="5"/>
      <c r="Z18" s="5"/>
      <c r="AA18" s="5"/>
      <c r="AB18" s="5"/>
      <c r="AC18" s="6"/>
      <c r="AD18" s="48">
        <v>100.0</v>
      </c>
      <c r="AE18" s="5"/>
      <c r="AF18" s="6"/>
    </row>
    <row r="19" ht="30.0" customHeight="1">
      <c r="B19" s="47">
        <v>12.0</v>
      </c>
      <c r="C19" s="48" t="s">
        <v>141</v>
      </c>
      <c r="D19" s="5"/>
      <c r="E19" s="6"/>
      <c r="F19" s="49" t="s">
        <v>138</v>
      </c>
      <c r="G19" s="5"/>
      <c r="H19" s="5"/>
      <c r="I19" s="5"/>
      <c r="J19" s="5"/>
      <c r="K19" s="5"/>
      <c r="L19" s="6"/>
      <c r="M19" s="49" t="s">
        <v>142</v>
      </c>
      <c r="N19" s="5"/>
      <c r="O19" s="5"/>
      <c r="P19" s="5"/>
      <c r="Q19" s="5"/>
      <c r="R19" s="5"/>
      <c r="S19" s="5"/>
      <c r="T19" s="6"/>
      <c r="U19" s="51" t="s">
        <v>128</v>
      </c>
      <c r="V19" s="6"/>
      <c r="W19" s="49" t="s">
        <v>140</v>
      </c>
      <c r="X19" s="5"/>
      <c r="Y19" s="5"/>
      <c r="Z19" s="5"/>
      <c r="AA19" s="5"/>
      <c r="AB19" s="5"/>
      <c r="AC19" s="6"/>
      <c r="AD19" s="48">
        <v>80.0</v>
      </c>
      <c r="AE19" s="5"/>
      <c r="AF19" s="6"/>
    </row>
    <row r="20" ht="30.0" customHeight="1">
      <c r="B20" s="47">
        <v>13.0</v>
      </c>
      <c r="C20" s="48" t="s">
        <v>143</v>
      </c>
      <c r="D20" s="5"/>
      <c r="E20" s="6"/>
      <c r="F20" s="49" t="s">
        <v>138</v>
      </c>
      <c r="G20" s="5"/>
      <c r="H20" s="5"/>
      <c r="I20" s="5"/>
      <c r="J20" s="5"/>
      <c r="K20" s="5"/>
      <c r="L20" s="6"/>
      <c r="M20" s="49" t="s">
        <v>145</v>
      </c>
      <c r="N20" s="5"/>
      <c r="O20" s="5"/>
      <c r="P20" s="5"/>
      <c r="Q20" s="5"/>
      <c r="R20" s="5"/>
      <c r="S20" s="5"/>
      <c r="T20" s="6"/>
      <c r="U20" s="51" t="s">
        <v>128</v>
      </c>
      <c r="V20" s="6"/>
      <c r="W20" s="49" t="s">
        <v>121</v>
      </c>
      <c r="X20" s="5"/>
      <c r="Y20" s="5"/>
      <c r="Z20" s="5"/>
      <c r="AA20" s="5"/>
      <c r="AB20" s="5"/>
      <c r="AC20" s="6"/>
      <c r="AD20" s="48">
        <v>60.0</v>
      </c>
      <c r="AE20" s="5"/>
      <c r="AF20" s="6"/>
    </row>
    <row r="21" ht="30.0" customHeight="1">
      <c r="B21" s="47">
        <v>14.0</v>
      </c>
      <c r="C21" s="48" t="s">
        <v>150</v>
      </c>
      <c r="D21" s="5"/>
      <c r="E21" s="6"/>
      <c r="F21" s="49" t="s">
        <v>138</v>
      </c>
      <c r="G21" s="5"/>
      <c r="H21" s="5"/>
      <c r="I21" s="5"/>
      <c r="J21" s="5"/>
      <c r="K21" s="5"/>
      <c r="L21" s="6"/>
      <c r="M21" s="49" t="s">
        <v>153</v>
      </c>
      <c r="N21" s="5"/>
      <c r="O21" s="5"/>
      <c r="P21" s="5"/>
      <c r="Q21" s="5"/>
      <c r="R21" s="5"/>
      <c r="S21" s="5"/>
      <c r="T21" s="6"/>
      <c r="U21" s="51" t="s">
        <v>128</v>
      </c>
      <c r="V21" s="6"/>
      <c r="W21" s="49" t="s">
        <v>140</v>
      </c>
      <c r="X21" s="5"/>
      <c r="Y21" s="5"/>
      <c r="Z21" s="5"/>
      <c r="AA21" s="5"/>
      <c r="AB21" s="5"/>
      <c r="AC21" s="6"/>
      <c r="AD21" s="48">
        <v>50.0</v>
      </c>
      <c r="AE21" s="5"/>
      <c r="AF21" s="6"/>
    </row>
    <row r="22" ht="30.0" customHeight="1">
      <c r="B22" s="47">
        <v>15.0</v>
      </c>
      <c r="C22" s="48" t="s">
        <v>156</v>
      </c>
      <c r="D22" s="5"/>
      <c r="E22" s="6"/>
      <c r="F22" s="49" t="s">
        <v>138</v>
      </c>
      <c r="G22" s="5"/>
      <c r="H22" s="5"/>
      <c r="I22" s="5"/>
      <c r="J22" s="5"/>
      <c r="K22" s="5"/>
      <c r="L22" s="6"/>
      <c r="M22" s="49" t="s">
        <v>157</v>
      </c>
      <c r="N22" s="5"/>
      <c r="O22" s="5"/>
      <c r="P22" s="5"/>
      <c r="Q22" s="5"/>
      <c r="R22" s="5"/>
      <c r="S22" s="5"/>
      <c r="T22" s="6"/>
      <c r="U22" s="51" t="s">
        <v>128</v>
      </c>
      <c r="V22" s="6"/>
      <c r="W22" s="49" t="s">
        <v>160</v>
      </c>
      <c r="X22" s="5"/>
      <c r="Y22" s="5"/>
      <c r="Z22" s="5"/>
      <c r="AA22" s="5"/>
      <c r="AB22" s="5"/>
      <c r="AC22" s="6"/>
      <c r="AD22" s="48">
        <v>30.0</v>
      </c>
      <c r="AE22" s="5"/>
      <c r="AF22" s="6"/>
    </row>
    <row r="23" ht="30.0" customHeight="1">
      <c r="B23" s="47">
        <v>16.0</v>
      </c>
      <c r="C23" s="48" t="s">
        <v>162</v>
      </c>
      <c r="D23" s="5"/>
      <c r="E23" s="6"/>
      <c r="F23" s="49" t="s">
        <v>138</v>
      </c>
      <c r="G23" s="5"/>
      <c r="H23" s="5"/>
      <c r="I23" s="5"/>
      <c r="J23" s="5"/>
      <c r="K23" s="5"/>
      <c r="L23" s="6"/>
      <c r="M23" s="49" t="s">
        <v>164</v>
      </c>
      <c r="N23" s="5"/>
      <c r="O23" s="5"/>
      <c r="P23" s="5"/>
      <c r="Q23" s="5"/>
      <c r="R23" s="5"/>
      <c r="S23" s="5"/>
      <c r="T23" s="6"/>
      <c r="U23" s="50" t="s">
        <v>97</v>
      </c>
      <c r="V23" s="6"/>
      <c r="W23" s="49" t="s">
        <v>165</v>
      </c>
      <c r="X23" s="5"/>
      <c r="Y23" s="5"/>
      <c r="Z23" s="5"/>
      <c r="AA23" s="5"/>
      <c r="AB23" s="5"/>
      <c r="AC23" s="6"/>
      <c r="AD23" s="48">
        <v>15.0</v>
      </c>
      <c r="AE23" s="5"/>
      <c r="AF23" s="6"/>
    </row>
    <row r="24" ht="36.0" customHeight="1">
      <c r="B24" s="47">
        <v>17.0</v>
      </c>
      <c r="C24" s="48" t="s">
        <v>166</v>
      </c>
      <c r="D24" s="5"/>
      <c r="E24" s="6"/>
      <c r="F24" s="49" t="s">
        <v>138</v>
      </c>
      <c r="G24" s="5"/>
      <c r="H24" s="5"/>
      <c r="I24" s="5"/>
      <c r="J24" s="5"/>
      <c r="K24" s="5"/>
      <c r="L24" s="6"/>
      <c r="M24" s="49" t="s">
        <v>168</v>
      </c>
      <c r="N24" s="5"/>
      <c r="O24" s="5"/>
      <c r="P24" s="5"/>
      <c r="Q24" s="5"/>
      <c r="R24" s="5"/>
      <c r="S24" s="5"/>
      <c r="T24" s="6"/>
      <c r="U24" s="51" t="s">
        <v>128</v>
      </c>
      <c r="V24" s="6"/>
      <c r="W24" s="49" t="s">
        <v>169</v>
      </c>
      <c r="X24" s="5"/>
      <c r="Y24" s="5"/>
      <c r="Z24" s="5"/>
      <c r="AA24" s="5"/>
      <c r="AB24" s="5"/>
      <c r="AC24" s="6"/>
      <c r="AD24" s="48">
        <v>45.0</v>
      </c>
      <c r="AE24" s="5"/>
      <c r="AF24" s="6"/>
    </row>
    <row r="25" ht="30.0" customHeight="1">
      <c r="B25" s="47">
        <v>18.0</v>
      </c>
      <c r="C25" s="48" t="s">
        <v>170</v>
      </c>
      <c r="D25" s="5"/>
      <c r="E25" s="6"/>
      <c r="F25" s="49" t="s">
        <v>138</v>
      </c>
      <c r="G25" s="5"/>
      <c r="H25" s="5"/>
      <c r="I25" s="5"/>
      <c r="J25" s="5"/>
      <c r="K25" s="5"/>
      <c r="L25" s="6"/>
      <c r="M25" s="49" t="s">
        <v>172</v>
      </c>
      <c r="N25" s="5"/>
      <c r="O25" s="5"/>
      <c r="P25" s="5"/>
      <c r="Q25" s="5"/>
      <c r="R25" s="5"/>
      <c r="S25" s="5"/>
      <c r="T25" s="6"/>
      <c r="U25" s="51" t="s">
        <v>128</v>
      </c>
      <c r="V25" s="6"/>
      <c r="W25" s="49" t="s">
        <v>175</v>
      </c>
      <c r="X25" s="5"/>
      <c r="Y25" s="5"/>
      <c r="Z25" s="5"/>
      <c r="AA25" s="5"/>
      <c r="AB25" s="5"/>
      <c r="AC25" s="6"/>
      <c r="AD25" s="48">
        <v>30.0</v>
      </c>
      <c r="AE25" s="5"/>
      <c r="AF25" s="6"/>
    </row>
    <row r="26" ht="36.0" customHeight="1">
      <c r="B26" s="47">
        <v>19.0</v>
      </c>
      <c r="C26" s="48" t="s">
        <v>177</v>
      </c>
      <c r="D26" s="5"/>
      <c r="E26" s="6"/>
      <c r="F26" s="49" t="s">
        <v>138</v>
      </c>
      <c r="G26" s="5"/>
      <c r="H26" s="5"/>
      <c r="I26" s="5"/>
      <c r="J26" s="5"/>
      <c r="K26" s="5"/>
      <c r="L26" s="6"/>
      <c r="M26" s="49" t="s">
        <v>178</v>
      </c>
      <c r="N26" s="5"/>
      <c r="O26" s="5"/>
      <c r="P26" s="5"/>
      <c r="Q26" s="5"/>
      <c r="R26" s="5"/>
      <c r="S26" s="5"/>
      <c r="T26" s="6"/>
      <c r="U26" s="51" t="s">
        <v>128</v>
      </c>
      <c r="V26" s="6"/>
      <c r="W26" s="49" t="s">
        <v>181</v>
      </c>
      <c r="X26" s="5"/>
      <c r="Y26" s="5"/>
      <c r="Z26" s="5"/>
      <c r="AA26" s="5"/>
      <c r="AB26" s="5"/>
      <c r="AC26" s="6"/>
      <c r="AD26" s="48">
        <v>25.0</v>
      </c>
      <c r="AE26" s="5"/>
      <c r="AF26" s="6"/>
    </row>
    <row r="27" ht="30.0" customHeight="1">
      <c r="B27" s="47">
        <v>20.0</v>
      </c>
      <c r="C27" s="48" t="s">
        <v>182</v>
      </c>
      <c r="D27" s="5"/>
      <c r="E27" s="6"/>
      <c r="F27" s="49" t="s">
        <v>184</v>
      </c>
      <c r="G27" s="5"/>
      <c r="H27" s="5"/>
      <c r="I27" s="5"/>
      <c r="J27" s="5"/>
      <c r="K27" s="5"/>
      <c r="L27" s="6"/>
      <c r="M27" s="49" t="s">
        <v>185</v>
      </c>
      <c r="N27" s="5"/>
      <c r="O27" s="5"/>
      <c r="P27" s="5"/>
      <c r="Q27" s="5"/>
      <c r="R27" s="5"/>
      <c r="S27" s="5"/>
      <c r="T27" s="6"/>
      <c r="U27" s="50" t="s">
        <v>97</v>
      </c>
      <c r="V27" s="6"/>
      <c r="W27" s="49" t="s">
        <v>175</v>
      </c>
      <c r="X27" s="5"/>
      <c r="Y27" s="5"/>
      <c r="Z27" s="5"/>
      <c r="AA27" s="5"/>
      <c r="AB27" s="5"/>
      <c r="AC27" s="6"/>
      <c r="AD27" s="48">
        <v>60.0</v>
      </c>
      <c r="AE27" s="5"/>
      <c r="AF27" s="6"/>
    </row>
    <row r="28" ht="30.0" customHeight="1">
      <c r="B28" s="47">
        <v>21.0</v>
      </c>
      <c r="C28" s="48" t="s">
        <v>187</v>
      </c>
      <c r="D28" s="5"/>
      <c r="E28" s="6"/>
      <c r="F28" s="49" t="s">
        <v>184</v>
      </c>
      <c r="G28" s="5"/>
      <c r="H28" s="5"/>
      <c r="I28" s="5"/>
      <c r="J28" s="5"/>
      <c r="K28" s="5"/>
      <c r="L28" s="6"/>
      <c r="M28" s="49" t="s">
        <v>188</v>
      </c>
      <c r="N28" s="5"/>
      <c r="O28" s="5"/>
      <c r="P28" s="5"/>
      <c r="Q28" s="5"/>
      <c r="R28" s="5"/>
      <c r="S28" s="5"/>
      <c r="T28" s="6"/>
      <c r="U28" s="51" t="s">
        <v>128</v>
      </c>
      <c r="V28" s="6"/>
      <c r="W28" s="49" t="s">
        <v>191</v>
      </c>
      <c r="X28" s="5"/>
      <c r="Y28" s="5"/>
      <c r="Z28" s="5"/>
      <c r="AA28" s="5"/>
      <c r="AB28" s="5"/>
      <c r="AC28" s="6"/>
      <c r="AD28" s="48">
        <v>16.0</v>
      </c>
      <c r="AE28" s="5"/>
      <c r="AF28" s="6"/>
    </row>
    <row r="29" ht="30.0" customHeight="1">
      <c r="B29" s="47">
        <v>22.0</v>
      </c>
      <c r="C29" s="48" t="s">
        <v>194</v>
      </c>
      <c r="D29" s="5"/>
      <c r="E29" s="6"/>
      <c r="F29" s="49" t="s">
        <v>184</v>
      </c>
      <c r="G29" s="5"/>
      <c r="H29" s="5"/>
      <c r="I29" s="5"/>
      <c r="J29" s="5"/>
      <c r="K29" s="5"/>
      <c r="L29" s="6"/>
      <c r="M29" s="49" t="s">
        <v>196</v>
      </c>
      <c r="N29" s="5"/>
      <c r="O29" s="5"/>
      <c r="P29" s="5"/>
      <c r="Q29" s="5"/>
      <c r="R29" s="5"/>
      <c r="S29" s="5"/>
      <c r="T29" s="6"/>
      <c r="U29" s="50" t="s">
        <v>97</v>
      </c>
      <c r="V29" s="6"/>
      <c r="W29" s="49" t="s">
        <v>197</v>
      </c>
      <c r="X29" s="5"/>
      <c r="Y29" s="5"/>
      <c r="Z29" s="5"/>
      <c r="AA29" s="5"/>
      <c r="AB29" s="5"/>
      <c r="AC29" s="6"/>
      <c r="AD29" s="48">
        <v>18.0</v>
      </c>
      <c r="AE29" s="5"/>
      <c r="AF29" s="6"/>
    </row>
    <row r="30" ht="30.0" customHeight="1">
      <c r="B30" s="47">
        <v>23.0</v>
      </c>
      <c r="C30" s="48" t="s">
        <v>198</v>
      </c>
      <c r="D30" s="5"/>
      <c r="E30" s="6"/>
      <c r="F30" s="49" t="s">
        <v>184</v>
      </c>
      <c r="G30" s="5"/>
      <c r="H30" s="5"/>
      <c r="I30" s="5"/>
      <c r="J30" s="5"/>
      <c r="K30" s="5"/>
      <c r="L30" s="6"/>
      <c r="M30" s="49" t="s">
        <v>199</v>
      </c>
      <c r="N30" s="5"/>
      <c r="O30" s="5"/>
      <c r="P30" s="5"/>
      <c r="Q30" s="5"/>
      <c r="R30" s="5"/>
      <c r="S30" s="5"/>
      <c r="T30" s="6"/>
      <c r="U30" s="51" t="s">
        <v>128</v>
      </c>
      <c r="V30" s="6"/>
      <c r="W30" s="49" t="s">
        <v>203</v>
      </c>
      <c r="X30" s="5"/>
      <c r="Y30" s="5"/>
      <c r="Z30" s="5"/>
      <c r="AA30" s="5"/>
      <c r="AB30" s="5"/>
      <c r="AC30" s="6"/>
      <c r="AD30" s="48">
        <v>8.0</v>
      </c>
      <c r="AE30" s="5"/>
      <c r="AF30" s="6"/>
    </row>
    <row r="31" ht="30.0" customHeight="1">
      <c r="B31" s="47">
        <v>24.0</v>
      </c>
      <c r="C31" s="48" t="s">
        <v>206</v>
      </c>
      <c r="D31" s="5"/>
      <c r="E31" s="6"/>
      <c r="F31" s="49" t="s">
        <v>184</v>
      </c>
      <c r="G31" s="5"/>
      <c r="H31" s="5"/>
      <c r="I31" s="5"/>
      <c r="J31" s="5"/>
      <c r="K31" s="5"/>
      <c r="L31" s="6"/>
      <c r="M31" s="49" t="s">
        <v>208</v>
      </c>
      <c r="N31" s="5"/>
      <c r="O31" s="5"/>
      <c r="P31" s="5"/>
      <c r="Q31" s="5"/>
      <c r="R31" s="5"/>
      <c r="S31" s="5"/>
      <c r="T31" s="6"/>
      <c r="U31" s="50" t="s">
        <v>97</v>
      </c>
      <c r="V31" s="6"/>
      <c r="W31" s="49" t="s">
        <v>209</v>
      </c>
      <c r="X31" s="5"/>
      <c r="Y31" s="5"/>
      <c r="Z31" s="5"/>
      <c r="AA31" s="5"/>
      <c r="AB31" s="5"/>
      <c r="AC31" s="6"/>
      <c r="AD31" s="48">
        <v>10.0</v>
      </c>
      <c r="AE31" s="5"/>
      <c r="AF31" s="6"/>
    </row>
    <row r="32" ht="30.0" customHeight="1">
      <c r="B32" s="47">
        <v>25.0</v>
      </c>
      <c r="C32" s="48" t="s">
        <v>210</v>
      </c>
      <c r="D32" s="5"/>
      <c r="E32" s="6"/>
      <c r="F32" s="49" t="s">
        <v>184</v>
      </c>
      <c r="G32" s="5"/>
      <c r="H32" s="5"/>
      <c r="I32" s="5"/>
      <c r="J32" s="5"/>
      <c r="K32" s="5"/>
      <c r="L32" s="6"/>
      <c r="M32" s="49" t="s">
        <v>214</v>
      </c>
      <c r="N32" s="5"/>
      <c r="O32" s="5"/>
      <c r="P32" s="5"/>
      <c r="Q32" s="5"/>
      <c r="R32" s="5"/>
      <c r="S32" s="5"/>
      <c r="T32" s="6"/>
      <c r="U32" s="51" t="s">
        <v>128</v>
      </c>
      <c r="V32" s="6"/>
      <c r="W32" s="49" t="s">
        <v>217</v>
      </c>
      <c r="X32" s="5"/>
      <c r="Y32" s="5"/>
      <c r="Z32" s="5"/>
      <c r="AA32" s="5"/>
      <c r="AB32" s="5"/>
      <c r="AC32" s="6"/>
      <c r="AD32" s="48">
        <v>30.0</v>
      </c>
      <c r="AE32" s="5"/>
      <c r="AF32" s="6"/>
    </row>
    <row r="33" ht="30.0" customHeight="1">
      <c r="B33" s="47">
        <v>26.0</v>
      </c>
      <c r="C33" s="48" t="s">
        <v>219</v>
      </c>
      <c r="D33" s="5"/>
      <c r="E33" s="6"/>
      <c r="F33" s="49" t="s">
        <v>184</v>
      </c>
      <c r="G33" s="5"/>
      <c r="H33" s="5"/>
      <c r="I33" s="5"/>
      <c r="J33" s="5"/>
      <c r="K33" s="5"/>
      <c r="L33" s="6"/>
      <c r="M33" s="49" t="s">
        <v>220</v>
      </c>
      <c r="N33" s="5"/>
      <c r="O33" s="5"/>
      <c r="P33" s="5"/>
      <c r="Q33" s="5"/>
      <c r="R33" s="5"/>
      <c r="S33" s="5"/>
      <c r="T33" s="6"/>
      <c r="U33" s="50" t="s">
        <v>97</v>
      </c>
      <c r="V33" s="6"/>
      <c r="W33" s="49" t="s">
        <v>221</v>
      </c>
      <c r="X33" s="5"/>
      <c r="Y33" s="5"/>
      <c r="Z33" s="5"/>
      <c r="AA33" s="5"/>
      <c r="AB33" s="5"/>
      <c r="AC33" s="6"/>
      <c r="AD33" s="48">
        <v>15.0</v>
      </c>
      <c r="AE33" s="5"/>
      <c r="AF33" s="6"/>
    </row>
    <row r="34" ht="30.0" customHeight="1">
      <c r="B34" s="47">
        <v>27.0</v>
      </c>
      <c r="C34" s="48" t="s">
        <v>222</v>
      </c>
      <c r="D34" s="5"/>
      <c r="E34" s="6"/>
      <c r="F34" s="49" t="s">
        <v>184</v>
      </c>
      <c r="G34" s="5"/>
      <c r="H34" s="5"/>
      <c r="I34" s="5"/>
      <c r="J34" s="5"/>
      <c r="K34" s="5"/>
      <c r="L34" s="6"/>
      <c r="M34" s="49" t="s">
        <v>225</v>
      </c>
      <c r="N34" s="5"/>
      <c r="O34" s="5"/>
      <c r="P34" s="5"/>
      <c r="Q34" s="5"/>
      <c r="R34" s="5"/>
      <c r="S34" s="5"/>
      <c r="T34" s="6"/>
      <c r="U34" s="50" t="s">
        <v>97</v>
      </c>
      <c r="V34" s="6"/>
      <c r="W34" s="49" t="s">
        <v>227</v>
      </c>
      <c r="X34" s="5"/>
      <c r="Y34" s="5"/>
      <c r="Z34" s="5"/>
      <c r="AA34" s="5"/>
      <c r="AB34" s="5"/>
      <c r="AC34" s="6"/>
      <c r="AD34" s="48">
        <v>18.0</v>
      </c>
      <c r="AE34" s="5"/>
      <c r="AF34" s="6"/>
    </row>
    <row r="35" ht="30.0" customHeight="1">
      <c r="B35" s="47">
        <v>28.0</v>
      </c>
      <c r="C35" s="48" t="s">
        <v>229</v>
      </c>
      <c r="D35" s="5"/>
      <c r="E35" s="6"/>
      <c r="F35" s="49" t="s">
        <v>230</v>
      </c>
      <c r="G35" s="5"/>
      <c r="H35" s="5"/>
      <c r="I35" s="5"/>
      <c r="J35" s="5"/>
      <c r="K35" s="5"/>
      <c r="L35" s="6"/>
      <c r="M35" s="49" t="s">
        <v>232</v>
      </c>
      <c r="N35" s="5"/>
      <c r="O35" s="5"/>
      <c r="P35" s="5"/>
      <c r="Q35" s="5"/>
      <c r="R35" s="5"/>
      <c r="S35" s="5"/>
      <c r="T35" s="6"/>
      <c r="U35" s="50" t="s">
        <v>97</v>
      </c>
      <c r="V35" s="6"/>
      <c r="W35" s="49" t="s">
        <v>233</v>
      </c>
      <c r="X35" s="5"/>
      <c r="Y35" s="5"/>
      <c r="Z35" s="5"/>
      <c r="AA35" s="5"/>
      <c r="AB35" s="5"/>
      <c r="AC35" s="6"/>
      <c r="AD35" s="48">
        <v>25.0</v>
      </c>
      <c r="AE35" s="5"/>
      <c r="AF35" s="6"/>
    </row>
    <row r="36" ht="30.0" customHeight="1">
      <c r="B36" s="47">
        <v>29.0</v>
      </c>
      <c r="C36" s="48" t="s">
        <v>234</v>
      </c>
      <c r="D36" s="5"/>
      <c r="E36" s="6"/>
      <c r="F36" s="49" t="s">
        <v>230</v>
      </c>
      <c r="G36" s="5"/>
      <c r="H36" s="5"/>
      <c r="I36" s="5"/>
      <c r="J36" s="5"/>
      <c r="K36" s="5"/>
      <c r="L36" s="6"/>
      <c r="M36" s="49" t="s">
        <v>235</v>
      </c>
      <c r="N36" s="5"/>
      <c r="O36" s="5"/>
      <c r="P36" s="5"/>
      <c r="Q36" s="5"/>
      <c r="R36" s="5"/>
      <c r="S36" s="5"/>
      <c r="T36" s="6"/>
      <c r="U36" s="50" t="s">
        <v>97</v>
      </c>
      <c r="V36" s="6"/>
      <c r="W36" s="49" t="s">
        <v>116</v>
      </c>
      <c r="X36" s="5"/>
      <c r="Y36" s="5"/>
      <c r="Z36" s="5"/>
      <c r="AA36" s="5"/>
      <c r="AB36" s="5"/>
      <c r="AC36" s="6"/>
      <c r="AD36" s="48">
        <v>8.0</v>
      </c>
      <c r="AE36" s="5"/>
      <c r="AF36" s="6"/>
    </row>
    <row r="37" ht="30.0" customHeight="1">
      <c r="B37" s="47">
        <v>30.0</v>
      </c>
      <c r="C37" s="48" t="s">
        <v>236</v>
      </c>
      <c r="D37" s="5"/>
      <c r="E37" s="6"/>
      <c r="F37" s="49" t="s">
        <v>230</v>
      </c>
      <c r="G37" s="5"/>
      <c r="H37" s="5"/>
      <c r="I37" s="5"/>
      <c r="J37" s="5"/>
      <c r="K37" s="5"/>
      <c r="L37" s="6"/>
      <c r="M37" s="49" t="s">
        <v>240</v>
      </c>
      <c r="N37" s="5"/>
      <c r="O37" s="5"/>
      <c r="P37" s="5"/>
      <c r="Q37" s="5"/>
      <c r="R37" s="5"/>
      <c r="S37" s="5"/>
      <c r="T37" s="6"/>
      <c r="U37" s="50" t="s">
        <v>97</v>
      </c>
      <c r="V37" s="6"/>
      <c r="W37" s="49" t="s">
        <v>242</v>
      </c>
      <c r="X37" s="5"/>
      <c r="Y37" s="5"/>
      <c r="Z37" s="5"/>
      <c r="AA37" s="5"/>
      <c r="AB37" s="5"/>
      <c r="AC37" s="6"/>
      <c r="AD37" s="48">
        <v>15.0</v>
      </c>
      <c r="AE37" s="5"/>
      <c r="AF37" s="6"/>
    </row>
    <row r="38" ht="30.0" customHeight="1">
      <c r="B38" s="47">
        <v>31.0</v>
      </c>
      <c r="C38" s="48" t="s">
        <v>244</v>
      </c>
      <c r="D38" s="5"/>
      <c r="E38" s="6"/>
      <c r="F38" s="49" t="s">
        <v>230</v>
      </c>
      <c r="G38" s="5"/>
      <c r="H38" s="5"/>
      <c r="I38" s="5"/>
      <c r="J38" s="5"/>
      <c r="K38" s="5"/>
      <c r="L38" s="6"/>
      <c r="M38" s="49" t="s">
        <v>245</v>
      </c>
      <c r="N38" s="5"/>
      <c r="O38" s="5"/>
      <c r="P38" s="5"/>
      <c r="Q38" s="5"/>
      <c r="R38" s="5"/>
      <c r="S38" s="5"/>
      <c r="T38" s="6"/>
      <c r="U38" s="50" t="s">
        <v>97</v>
      </c>
      <c r="V38" s="6"/>
      <c r="W38" s="49" t="s">
        <v>116</v>
      </c>
      <c r="X38" s="5"/>
      <c r="Y38" s="5"/>
      <c r="Z38" s="5"/>
      <c r="AA38" s="5"/>
      <c r="AB38" s="5"/>
      <c r="AC38" s="6"/>
      <c r="AD38" s="48">
        <v>40.0</v>
      </c>
      <c r="AE38" s="5"/>
      <c r="AF38" s="6"/>
    </row>
    <row r="39" ht="30.0" customHeight="1">
      <c r="B39" s="47">
        <v>32.0</v>
      </c>
      <c r="C39" s="48" t="s">
        <v>246</v>
      </c>
      <c r="D39" s="5"/>
      <c r="E39" s="6"/>
      <c r="F39" s="49" t="s">
        <v>230</v>
      </c>
      <c r="G39" s="5"/>
      <c r="H39" s="5"/>
      <c r="I39" s="5"/>
      <c r="J39" s="5"/>
      <c r="K39" s="5"/>
      <c r="L39" s="6"/>
      <c r="M39" s="49" t="s">
        <v>248</v>
      </c>
      <c r="N39" s="5"/>
      <c r="O39" s="5"/>
      <c r="P39" s="5"/>
      <c r="Q39" s="5"/>
      <c r="R39" s="5"/>
      <c r="S39" s="5"/>
      <c r="T39" s="6"/>
      <c r="U39" s="51" t="s">
        <v>128</v>
      </c>
      <c r="V39" s="6"/>
      <c r="W39" s="49" t="s">
        <v>249</v>
      </c>
      <c r="X39" s="5"/>
      <c r="Y39" s="5"/>
      <c r="Z39" s="5"/>
      <c r="AA39" s="5"/>
      <c r="AB39" s="5"/>
      <c r="AC39" s="6"/>
      <c r="AD39" s="48">
        <v>20.0</v>
      </c>
      <c r="AE39" s="5"/>
      <c r="AF39" s="6"/>
    </row>
    <row r="40" ht="30.0" customHeight="1">
      <c r="B40" s="47">
        <v>33.0</v>
      </c>
      <c r="C40" s="48" t="s">
        <v>252</v>
      </c>
      <c r="D40" s="5"/>
      <c r="E40" s="6"/>
      <c r="F40" s="49" t="s">
        <v>230</v>
      </c>
      <c r="G40" s="5"/>
      <c r="H40" s="5"/>
      <c r="I40" s="5"/>
      <c r="J40" s="5"/>
      <c r="K40" s="5"/>
      <c r="L40" s="6"/>
      <c r="M40" s="49" t="s">
        <v>254</v>
      </c>
      <c r="N40" s="5"/>
      <c r="O40" s="5"/>
      <c r="P40" s="5"/>
      <c r="Q40" s="5"/>
      <c r="R40" s="5"/>
      <c r="S40" s="5"/>
      <c r="T40" s="6"/>
      <c r="U40" s="51" t="s">
        <v>128</v>
      </c>
      <c r="V40" s="6"/>
      <c r="W40" s="49" t="s">
        <v>257</v>
      </c>
      <c r="X40" s="5"/>
      <c r="Y40" s="5"/>
      <c r="Z40" s="5"/>
      <c r="AA40" s="5"/>
      <c r="AB40" s="5"/>
      <c r="AC40" s="6"/>
      <c r="AD40" s="48">
        <v>12.0</v>
      </c>
      <c r="AE40" s="5"/>
      <c r="AF40" s="6"/>
    </row>
    <row r="41" ht="30.0" customHeight="1">
      <c r="B41" s="47">
        <v>34.0</v>
      </c>
      <c r="C41" s="48" t="s">
        <v>258</v>
      </c>
      <c r="D41" s="5"/>
      <c r="E41" s="6"/>
      <c r="F41" s="49" t="s">
        <v>230</v>
      </c>
      <c r="G41" s="5"/>
      <c r="H41" s="5"/>
      <c r="I41" s="5"/>
      <c r="J41" s="5"/>
      <c r="K41" s="5"/>
      <c r="L41" s="6"/>
      <c r="M41" s="49" t="s">
        <v>259</v>
      </c>
      <c r="N41" s="5"/>
      <c r="O41" s="5"/>
      <c r="P41" s="5"/>
      <c r="Q41" s="5"/>
      <c r="R41" s="5"/>
      <c r="S41" s="5"/>
      <c r="T41" s="6"/>
      <c r="U41" s="50" t="s">
        <v>97</v>
      </c>
      <c r="V41" s="6"/>
      <c r="W41" s="49" t="s">
        <v>260</v>
      </c>
      <c r="X41" s="5"/>
      <c r="Y41" s="5"/>
      <c r="Z41" s="5"/>
      <c r="AA41" s="5"/>
      <c r="AB41" s="5"/>
      <c r="AC41" s="6"/>
      <c r="AD41" s="48">
        <v>15.0</v>
      </c>
      <c r="AE41" s="5"/>
      <c r="AF41" s="6"/>
    </row>
    <row r="42" ht="30.0" customHeight="1">
      <c r="B42" s="47">
        <v>35.0</v>
      </c>
      <c r="C42" s="48" t="s">
        <v>261</v>
      </c>
      <c r="D42" s="5"/>
      <c r="E42" s="6"/>
      <c r="F42" s="49" t="s">
        <v>230</v>
      </c>
      <c r="G42" s="5"/>
      <c r="H42" s="5"/>
      <c r="I42" s="5"/>
      <c r="J42" s="5"/>
      <c r="K42" s="5"/>
      <c r="L42" s="6"/>
      <c r="M42" s="49" t="s">
        <v>262</v>
      </c>
      <c r="N42" s="5"/>
      <c r="O42" s="5"/>
      <c r="P42" s="5"/>
      <c r="Q42" s="5"/>
      <c r="R42" s="5"/>
      <c r="S42" s="5"/>
      <c r="T42" s="6"/>
      <c r="U42" s="51" t="s">
        <v>128</v>
      </c>
      <c r="V42" s="6"/>
      <c r="W42" s="49" t="s">
        <v>116</v>
      </c>
      <c r="X42" s="5"/>
      <c r="Y42" s="5"/>
      <c r="Z42" s="5"/>
      <c r="AA42" s="5"/>
      <c r="AB42" s="5"/>
      <c r="AC42" s="6"/>
      <c r="AD42" s="48">
        <v>30.0</v>
      </c>
      <c r="AE42" s="5"/>
      <c r="AF42" s="6"/>
    </row>
    <row r="43" ht="36.0" customHeight="1">
      <c r="B43" s="47">
        <v>36.0</v>
      </c>
      <c r="C43" s="48" t="s">
        <v>266</v>
      </c>
      <c r="D43" s="5"/>
      <c r="E43" s="6"/>
      <c r="F43" s="49" t="s">
        <v>230</v>
      </c>
      <c r="G43" s="5"/>
      <c r="H43" s="5"/>
      <c r="I43" s="5"/>
      <c r="J43" s="5"/>
      <c r="K43" s="5"/>
      <c r="L43" s="6"/>
      <c r="M43" s="49" t="s">
        <v>267</v>
      </c>
      <c r="N43" s="5"/>
      <c r="O43" s="5"/>
      <c r="P43" s="5"/>
      <c r="Q43" s="5"/>
      <c r="R43" s="5"/>
      <c r="S43" s="5"/>
      <c r="T43" s="6"/>
      <c r="U43" s="50" t="s">
        <v>97</v>
      </c>
      <c r="V43" s="6"/>
      <c r="W43" s="49" t="s">
        <v>242</v>
      </c>
      <c r="X43" s="5"/>
      <c r="Y43" s="5"/>
      <c r="Z43" s="5"/>
      <c r="AA43" s="5"/>
      <c r="AB43" s="5"/>
      <c r="AC43" s="6"/>
      <c r="AD43" s="48">
        <v>6.0</v>
      </c>
      <c r="AE43" s="5"/>
      <c r="AF43" s="6"/>
    </row>
    <row r="44" ht="30.0" customHeight="1">
      <c r="B44" s="47">
        <v>37.0</v>
      </c>
      <c r="C44" s="48" t="s">
        <v>268</v>
      </c>
      <c r="D44" s="5"/>
      <c r="E44" s="6"/>
      <c r="F44" s="49" t="s">
        <v>269</v>
      </c>
      <c r="G44" s="5"/>
      <c r="H44" s="5"/>
      <c r="I44" s="5"/>
      <c r="J44" s="5"/>
      <c r="K44" s="5"/>
      <c r="L44" s="6"/>
      <c r="M44" s="49" t="s">
        <v>270</v>
      </c>
      <c r="N44" s="5"/>
      <c r="O44" s="5"/>
      <c r="P44" s="5"/>
      <c r="Q44" s="5"/>
      <c r="R44" s="5"/>
      <c r="S44" s="5"/>
      <c r="T44" s="6"/>
      <c r="U44" s="58" t="s">
        <v>271</v>
      </c>
      <c r="V44" s="6"/>
      <c r="W44" s="49" t="s">
        <v>274</v>
      </c>
      <c r="X44" s="5"/>
      <c r="Y44" s="5"/>
      <c r="Z44" s="5"/>
      <c r="AA44" s="5"/>
      <c r="AB44" s="5"/>
      <c r="AC44" s="6"/>
      <c r="AD44" s="48">
        <v>60.0</v>
      </c>
      <c r="AE44" s="5"/>
      <c r="AF44" s="6"/>
    </row>
    <row r="45" ht="36.0" customHeight="1">
      <c r="B45" s="47">
        <v>38.0</v>
      </c>
      <c r="C45" s="48" t="s">
        <v>275</v>
      </c>
      <c r="D45" s="5"/>
      <c r="E45" s="6"/>
      <c r="F45" s="49" t="s">
        <v>269</v>
      </c>
      <c r="G45" s="5"/>
      <c r="H45" s="5"/>
      <c r="I45" s="5"/>
      <c r="J45" s="5"/>
      <c r="K45" s="5"/>
      <c r="L45" s="6"/>
      <c r="M45" s="49" t="s">
        <v>276</v>
      </c>
      <c r="N45" s="5"/>
      <c r="O45" s="5"/>
      <c r="P45" s="5"/>
      <c r="Q45" s="5"/>
      <c r="R45" s="5"/>
      <c r="S45" s="5"/>
      <c r="T45" s="6"/>
      <c r="U45" s="58" t="s">
        <v>271</v>
      </c>
      <c r="V45" s="6"/>
      <c r="W45" s="49" t="s">
        <v>274</v>
      </c>
      <c r="X45" s="5"/>
      <c r="Y45" s="5"/>
      <c r="Z45" s="5"/>
      <c r="AA45" s="5"/>
      <c r="AB45" s="5"/>
      <c r="AC45" s="6"/>
      <c r="AD45" s="48">
        <v>40.0</v>
      </c>
      <c r="AE45" s="5"/>
      <c r="AF45" s="6"/>
    </row>
    <row r="46" ht="30.0" customHeight="1">
      <c r="B46" s="47">
        <v>39.0</v>
      </c>
      <c r="C46" s="48" t="s">
        <v>277</v>
      </c>
      <c r="D46" s="5"/>
      <c r="E46" s="6"/>
      <c r="F46" s="49" t="s">
        <v>269</v>
      </c>
      <c r="G46" s="5"/>
      <c r="H46" s="5"/>
      <c r="I46" s="5"/>
      <c r="J46" s="5"/>
      <c r="K46" s="5"/>
      <c r="L46" s="6"/>
      <c r="M46" s="49" t="s">
        <v>279</v>
      </c>
      <c r="N46" s="5"/>
      <c r="O46" s="5"/>
      <c r="P46" s="5"/>
      <c r="Q46" s="5"/>
      <c r="R46" s="5"/>
      <c r="S46" s="5"/>
      <c r="T46" s="6"/>
      <c r="U46" s="58" t="s">
        <v>271</v>
      </c>
      <c r="V46" s="6"/>
      <c r="W46" s="49" t="s">
        <v>140</v>
      </c>
      <c r="X46" s="5"/>
      <c r="Y46" s="5"/>
      <c r="Z46" s="5"/>
      <c r="AA46" s="5"/>
      <c r="AB46" s="5"/>
      <c r="AC46" s="6"/>
      <c r="AD46" s="48">
        <v>25.0</v>
      </c>
      <c r="AE46" s="5"/>
      <c r="AF46" s="6"/>
    </row>
    <row r="47" ht="30.0" customHeight="1">
      <c r="B47" s="47">
        <v>40.0</v>
      </c>
      <c r="C47" s="48" t="s">
        <v>285</v>
      </c>
      <c r="D47" s="5"/>
      <c r="E47" s="6"/>
      <c r="F47" s="49" t="s">
        <v>269</v>
      </c>
      <c r="G47" s="5"/>
      <c r="H47" s="5"/>
      <c r="I47" s="5"/>
      <c r="J47" s="5"/>
      <c r="K47" s="5"/>
      <c r="L47" s="6"/>
      <c r="M47" s="49" t="s">
        <v>286</v>
      </c>
      <c r="N47" s="5"/>
      <c r="O47" s="5"/>
      <c r="P47" s="5"/>
      <c r="Q47" s="5"/>
      <c r="R47" s="5"/>
      <c r="S47" s="5"/>
      <c r="T47" s="6"/>
      <c r="U47" s="58" t="s">
        <v>271</v>
      </c>
      <c r="V47" s="6"/>
      <c r="W47" s="49" t="s">
        <v>116</v>
      </c>
      <c r="X47" s="5"/>
      <c r="Y47" s="5"/>
      <c r="Z47" s="5"/>
      <c r="AA47" s="5"/>
      <c r="AB47" s="5"/>
      <c r="AC47" s="6"/>
      <c r="AD47" s="48">
        <v>5.0</v>
      </c>
      <c r="AE47" s="5"/>
      <c r="AF47" s="6"/>
    </row>
    <row r="48" ht="30.0" customHeight="1">
      <c r="B48" s="47">
        <v>41.0</v>
      </c>
      <c r="C48" s="48" t="s">
        <v>287</v>
      </c>
      <c r="D48" s="5"/>
      <c r="E48" s="6"/>
      <c r="F48" s="49" t="s">
        <v>269</v>
      </c>
      <c r="G48" s="5"/>
      <c r="H48" s="5"/>
      <c r="I48" s="5"/>
      <c r="J48" s="5"/>
      <c r="K48" s="5"/>
      <c r="L48" s="6"/>
      <c r="M48" s="49" t="s">
        <v>290</v>
      </c>
      <c r="N48" s="5"/>
      <c r="O48" s="5"/>
      <c r="P48" s="5"/>
      <c r="Q48" s="5"/>
      <c r="R48" s="5"/>
      <c r="S48" s="5"/>
      <c r="T48" s="6"/>
      <c r="U48" s="50" t="s">
        <v>97</v>
      </c>
      <c r="V48" s="6"/>
      <c r="W48" s="49" t="s">
        <v>116</v>
      </c>
      <c r="X48" s="5"/>
      <c r="Y48" s="5"/>
      <c r="Z48" s="5"/>
      <c r="AA48" s="5"/>
      <c r="AB48" s="5"/>
      <c r="AC48" s="6"/>
      <c r="AD48" s="48">
        <v>5.0</v>
      </c>
      <c r="AE48" s="5"/>
      <c r="AF48" s="6"/>
    </row>
    <row r="49" ht="30.0" customHeight="1">
      <c r="B49" s="47">
        <v>42.0</v>
      </c>
      <c r="C49" s="48" t="s">
        <v>294</v>
      </c>
      <c r="D49" s="5"/>
      <c r="E49" s="6"/>
      <c r="F49" s="49" t="s">
        <v>269</v>
      </c>
      <c r="G49" s="5"/>
      <c r="H49" s="5"/>
      <c r="I49" s="5"/>
      <c r="J49" s="5"/>
      <c r="K49" s="5"/>
      <c r="L49" s="6"/>
      <c r="M49" s="49" t="s">
        <v>295</v>
      </c>
      <c r="N49" s="5"/>
      <c r="O49" s="5"/>
      <c r="P49" s="5"/>
      <c r="Q49" s="5"/>
      <c r="R49" s="5"/>
      <c r="S49" s="5"/>
      <c r="T49" s="6"/>
      <c r="U49" s="51" t="s">
        <v>128</v>
      </c>
      <c r="V49" s="6"/>
      <c r="W49" s="49" t="s">
        <v>296</v>
      </c>
      <c r="X49" s="5"/>
      <c r="Y49" s="5"/>
      <c r="Z49" s="5"/>
      <c r="AA49" s="5"/>
      <c r="AB49" s="5"/>
      <c r="AC49" s="6"/>
      <c r="AD49" s="48">
        <v>8.0</v>
      </c>
      <c r="AE49" s="5"/>
      <c r="AF49" s="6"/>
    </row>
    <row r="50" ht="30.0" customHeight="1">
      <c r="B50" s="47">
        <v>43.0</v>
      </c>
      <c r="C50" s="48" t="s">
        <v>297</v>
      </c>
      <c r="D50" s="5"/>
      <c r="E50" s="6"/>
      <c r="F50" s="49" t="s">
        <v>298</v>
      </c>
      <c r="G50" s="5"/>
      <c r="H50" s="5"/>
      <c r="I50" s="5"/>
      <c r="J50" s="5"/>
      <c r="K50" s="5"/>
      <c r="L50" s="6"/>
      <c r="M50" s="49" t="s">
        <v>300</v>
      </c>
      <c r="N50" s="5"/>
      <c r="O50" s="5"/>
      <c r="P50" s="5"/>
      <c r="Q50" s="5"/>
      <c r="R50" s="5"/>
      <c r="S50" s="5"/>
      <c r="T50" s="6"/>
      <c r="U50" s="51" t="s">
        <v>128</v>
      </c>
      <c r="V50" s="6"/>
      <c r="W50" s="49" t="s">
        <v>302</v>
      </c>
      <c r="X50" s="5"/>
      <c r="Y50" s="5"/>
      <c r="Z50" s="5"/>
      <c r="AA50" s="5"/>
      <c r="AB50" s="5"/>
      <c r="AC50" s="6"/>
      <c r="AD50" s="48">
        <v>12.0</v>
      </c>
      <c r="AE50" s="5"/>
      <c r="AF50" s="6"/>
    </row>
    <row r="51" ht="30.0" customHeight="1">
      <c r="B51" s="47">
        <v>44.0</v>
      </c>
      <c r="C51" s="48" t="s">
        <v>303</v>
      </c>
      <c r="D51" s="5"/>
      <c r="E51" s="6"/>
      <c r="F51" s="49" t="s">
        <v>298</v>
      </c>
      <c r="G51" s="5"/>
      <c r="H51" s="5"/>
      <c r="I51" s="5"/>
      <c r="J51" s="5"/>
      <c r="K51" s="5"/>
      <c r="L51" s="6"/>
      <c r="M51" s="49" t="s">
        <v>304</v>
      </c>
      <c r="N51" s="5"/>
      <c r="O51" s="5"/>
      <c r="P51" s="5"/>
      <c r="Q51" s="5"/>
      <c r="R51" s="5"/>
      <c r="S51" s="5"/>
      <c r="T51" s="6"/>
      <c r="U51" s="51" t="s">
        <v>128</v>
      </c>
      <c r="V51" s="6"/>
      <c r="W51" s="49" t="s">
        <v>306</v>
      </c>
      <c r="X51" s="5"/>
      <c r="Y51" s="5"/>
      <c r="Z51" s="5"/>
      <c r="AA51" s="5"/>
      <c r="AB51" s="5"/>
      <c r="AC51" s="6"/>
      <c r="AD51" s="48">
        <v>8.0</v>
      </c>
      <c r="AE51" s="5"/>
      <c r="AF51" s="6"/>
    </row>
    <row r="52" ht="22.5" customHeight="1">
      <c r="B52" s="59" t="s">
        <v>34</v>
      </c>
      <c r="C52" s="5"/>
      <c r="D52" s="5"/>
      <c r="E52" s="5"/>
      <c r="F52" s="5"/>
      <c r="G52" s="5"/>
      <c r="H52" s="5"/>
      <c r="I52" s="5"/>
      <c r="J52" s="5"/>
      <c r="K52" s="5"/>
      <c r="L52" s="5"/>
      <c r="M52" s="5"/>
      <c r="N52" s="5"/>
      <c r="O52" s="5"/>
      <c r="P52" s="5"/>
      <c r="Q52" s="5"/>
      <c r="R52" s="5"/>
      <c r="S52" s="5"/>
      <c r="T52" s="6"/>
      <c r="U52" s="28"/>
      <c r="V52" s="6"/>
      <c r="W52" s="28"/>
      <c r="X52" s="5"/>
      <c r="Y52" s="5"/>
      <c r="Z52" s="5"/>
      <c r="AA52" s="5"/>
      <c r="AB52" s="5"/>
      <c r="AC52" s="6"/>
      <c r="AD52" s="28">
        <f>SUM(AD8:AD51)</f>
        <v>1682</v>
      </c>
      <c r="AE52" s="5"/>
      <c r="AF52" s="6"/>
    </row>
    <row r="53" ht="15.75" customHeight="1"/>
    <row r="54" ht="19.5" customHeight="1">
      <c r="B54" s="31" t="s">
        <v>311</v>
      </c>
    </row>
    <row r="55" ht="15.75" customHeight="1"/>
    <row r="56" ht="28.5" customHeight="1">
      <c r="B56" s="46" t="s">
        <v>312</v>
      </c>
      <c r="C56" s="6"/>
      <c r="D56" s="46" t="s">
        <v>313</v>
      </c>
      <c r="E56" s="5"/>
      <c r="F56" s="6"/>
      <c r="G56" s="46" t="s">
        <v>314</v>
      </c>
      <c r="H56" s="5"/>
      <c r="I56" s="5"/>
      <c r="J56" s="5"/>
      <c r="K56" s="5"/>
      <c r="L56" s="6"/>
      <c r="M56" s="46" t="s">
        <v>315</v>
      </c>
      <c r="N56" s="6"/>
      <c r="O56" s="46" t="s">
        <v>316</v>
      </c>
      <c r="P56" s="5"/>
      <c r="Q56" s="6"/>
      <c r="R56" s="46" t="s">
        <v>317</v>
      </c>
      <c r="S56" s="5"/>
      <c r="T56" s="5"/>
      <c r="U56" s="5"/>
      <c r="V56" s="5"/>
      <c r="W56" s="5"/>
      <c r="X56" s="5"/>
      <c r="Y56" s="5"/>
      <c r="Z56" s="5"/>
      <c r="AA56" s="5"/>
      <c r="AB56" s="5"/>
      <c r="AC56" s="5"/>
      <c r="AD56" s="5"/>
      <c r="AE56" s="5"/>
      <c r="AF56" s="5"/>
      <c r="AG56" s="5"/>
      <c r="AH56" s="5"/>
      <c r="AI56" s="5"/>
      <c r="AJ56" s="5"/>
      <c r="AK56" s="6"/>
    </row>
    <row r="57" ht="36.0" customHeight="1">
      <c r="B57" s="60" t="s">
        <v>207</v>
      </c>
      <c r="C57" s="6"/>
      <c r="D57" s="48" t="s">
        <v>320</v>
      </c>
      <c r="E57" s="5"/>
      <c r="F57" s="6"/>
      <c r="G57" s="49" t="s">
        <v>322</v>
      </c>
      <c r="H57" s="5"/>
      <c r="I57" s="5"/>
      <c r="J57" s="5"/>
      <c r="K57" s="5"/>
      <c r="L57" s="6"/>
      <c r="M57" s="48">
        <v>10.0</v>
      </c>
      <c r="N57" s="6"/>
      <c r="O57" s="48" t="s">
        <v>97</v>
      </c>
      <c r="P57" s="5"/>
      <c r="Q57" s="6"/>
      <c r="R57" s="49" t="s">
        <v>324</v>
      </c>
      <c r="S57" s="5"/>
      <c r="T57" s="5"/>
      <c r="U57" s="5"/>
      <c r="V57" s="5"/>
      <c r="W57" s="5"/>
      <c r="X57" s="5"/>
      <c r="Y57" s="5"/>
      <c r="Z57" s="5"/>
      <c r="AA57" s="5"/>
      <c r="AB57" s="5"/>
      <c r="AC57" s="5"/>
      <c r="AD57" s="5"/>
      <c r="AE57" s="5"/>
      <c r="AF57" s="5"/>
      <c r="AG57" s="5"/>
      <c r="AH57" s="5"/>
      <c r="AI57" s="5"/>
      <c r="AJ57" s="5"/>
      <c r="AK57" s="6"/>
    </row>
    <row r="58" ht="30.0" customHeight="1">
      <c r="B58" s="60" t="s">
        <v>327</v>
      </c>
      <c r="C58" s="6"/>
      <c r="D58" s="48" t="s">
        <v>328</v>
      </c>
      <c r="E58" s="5"/>
      <c r="F58" s="6"/>
      <c r="G58" s="49" t="s">
        <v>330</v>
      </c>
      <c r="H58" s="5"/>
      <c r="I58" s="5"/>
      <c r="J58" s="5"/>
      <c r="K58" s="5"/>
      <c r="L58" s="6"/>
      <c r="M58" s="48">
        <v>9.0</v>
      </c>
      <c r="N58" s="6"/>
      <c r="O58" s="48" t="s">
        <v>128</v>
      </c>
      <c r="P58" s="5"/>
      <c r="Q58" s="6"/>
      <c r="R58" s="49" t="s">
        <v>332</v>
      </c>
      <c r="S58" s="5"/>
      <c r="T58" s="5"/>
      <c r="U58" s="5"/>
      <c r="V58" s="5"/>
      <c r="W58" s="5"/>
      <c r="X58" s="5"/>
      <c r="Y58" s="5"/>
      <c r="Z58" s="5"/>
      <c r="AA58" s="5"/>
      <c r="AB58" s="5"/>
      <c r="AC58" s="5"/>
      <c r="AD58" s="5"/>
      <c r="AE58" s="5"/>
      <c r="AF58" s="5"/>
      <c r="AG58" s="5"/>
      <c r="AH58" s="5"/>
      <c r="AI58" s="5"/>
      <c r="AJ58" s="5"/>
      <c r="AK58" s="6"/>
    </row>
    <row r="59" ht="36.0" customHeight="1">
      <c r="B59" s="60" t="s">
        <v>333</v>
      </c>
      <c r="C59" s="6"/>
      <c r="D59" s="48" t="s">
        <v>334</v>
      </c>
      <c r="E59" s="5"/>
      <c r="F59" s="6"/>
      <c r="G59" s="49" t="s">
        <v>335</v>
      </c>
      <c r="H59" s="5"/>
      <c r="I59" s="5"/>
      <c r="J59" s="5"/>
      <c r="K59" s="5"/>
      <c r="L59" s="6"/>
      <c r="M59" s="48">
        <v>8.0</v>
      </c>
      <c r="N59" s="6"/>
      <c r="O59" s="48" t="s">
        <v>97</v>
      </c>
      <c r="P59" s="5"/>
      <c r="Q59" s="6"/>
      <c r="R59" s="49" t="s">
        <v>336</v>
      </c>
      <c r="S59" s="5"/>
      <c r="T59" s="5"/>
      <c r="U59" s="5"/>
      <c r="V59" s="5"/>
      <c r="W59" s="5"/>
      <c r="X59" s="5"/>
      <c r="Y59" s="5"/>
      <c r="Z59" s="5"/>
      <c r="AA59" s="5"/>
      <c r="AB59" s="5"/>
      <c r="AC59" s="5"/>
      <c r="AD59" s="5"/>
      <c r="AE59" s="5"/>
      <c r="AF59" s="5"/>
      <c r="AG59" s="5"/>
      <c r="AH59" s="5"/>
      <c r="AI59" s="5"/>
      <c r="AJ59" s="5"/>
      <c r="AK59" s="6"/>
    </row>
    <row r="60" ht="36.0" customHeight="1">
      <c r="B60" s="60" t="s">
        <v>340</v>
      </c>
      <c r="C60" s="6"/>
      <c r="D60" s="48" t="s">
        <v>342</v>
      </c>
      <c r="E60" s="5"/>
      <c r="F60" s="6"/>
      <c r="G60" s="49" t="s">
        <v>343</v>
      </c>
      <c r="H60" s="5"/>
      <c r="I60" s="5"/>
      <c r="J60" s="5"/>
      <c r="K60" s="5"/>
      <c r="L60" s="6"/>
      <c r="M60" s="48">
        <v>9.0</v>
      </c>
      <c r="N60" s="6"/>
      <c r="O60" s="48" t="s">
        <v>97</v>
      </c>
      <c r="P60" s="5"/>
      <c r="Q60" s="6"/>
      <c r="R60" s="49" t="s">
        <v>344</v>
      </c>
      <c r="S60" s="5"/>
      <c r="T60" s="5"/>
      <c r="U60" s="5"/>
      <c r="V60" s="5"/>
      <c r="W60" s="5"/>
      <c r="X60" s="5"/>
      <c r="Y60" s="5"/>
      <c r="Z60" s="5"/>
      <c r="AA60" s="5"/>
      <c r="AB60" s="5"/>
      <c r="AC60" s="5"/>
      <c r="AD60" s="5"/>
      <c r="AE60" s="5"/>
      <c r="AF60" s="5"/>
      <c r="AG60" s="5"/>
      <c r="AH60" s="5"/>
      <c r="AI60" s="5"/>
      <c r="AJ60" s="5"/>
      <c r="AK60" s="6"/>
    </row>
    <row r="61" ht="36.0" customHeight="1">
      <c r="B61" s="60" t="s">
        <v>345</v>
      </c>
      <c r="C61" s="6"/>
      <c r="D61" s="48" t="s">
        <v>346</v>
      </c>
      <c r="E61" s="5"/>
      <c r="F61" s="6"/>
      <c r="G61" s="49" t="s">
        <v>347</v>
      </c>
      <c r="H61" s="5"/>
      <c r="I61" s="5"/>
      <c r="J61" s="5"/>
      <c r="K61" s="5"/>
      <c r="L61" s="6"/>
      <c r="M61" s="48">
        <v>6.0</v>
      </c>
      <c r="N61" s="6"/>
      <c r="O61" s="48" t="s">
        <v>351</v>
      </c>
      <c r="P61" s="5"/>
      <c r="Q61" s="6"/>
      <c r="R61" s="49" t="s">
        <v>352</v>
      </c>
      <c r="S61" s="5"/>
      <c r="T61" s="5"/>
      <c r="U61" s="5"/>
      <c r="V61" s="5"/>
      <c r="W61" s="5"/>
      <c r="X61" s="5"/>
      <c r="Y61" s="5"/>
      <c r="Z61" s="5"/>
      <c r="AA61" s="5"/>
      <c r="AB61" s="5"/>
      <c r="AC61" s="5"/>
      <c r="AD61" s="5"/>
      <c r="AE61" s="5"/>
      <c r="AF61" s="5"/>
      <c r="AG61" s="5"/>
      <c r="AH61" s="5"/>
      <c r="AI61" s="5"/>
      <c r="AJ61" s="5"/>
      <c r="AK61" s="6"/>
    </row>
    <row r="62" ht="30.0" customHeight="1">
      <c r="B62" s="60" t="s">
        <v>354</v>
      </c>
      <c r="C62" s="6"/>
      <c r="D62" s="48" t="s">
        <v>356</v>
      </c>
      <c r="E62" s="5"/>
      <c r="F62" s="6"/>
      <c r="G62" s="49" t="s">
        <v>357</v>
      </c>
      <c r="H62" s="5"/>
      <c r="I62" s="5"/>
      <c r="J62" s="5"/>
      <c r="K62" s="5"/>
      <c r="L62" s="6"/>
      <c r="M62" s="48">
        <v>2.0</v>
      </c>
      <c r="N62" s="6"/>
      <c r="O62" s="48" t="s">
        <v>128</v>
      </c>
      <c r="P62" s="5"/>
      <c r="Q62" s="6"/>
      <c r="R62" s="49" t="s">
        <v>358</v>
      </c>
      <c r="S62" s="5"/>
      <c r="T62" s="5"/>
      <c r="U62" s="5"/>
      <c r="V62" s="5"/>
      <c r="W62" s="5"/>
      <c r="X62" s="5"/>
      <c r="Y62" s="5"/>
      <c r="Z62" s="5"/>
      <c r="AA62" s="5"/>
      <c r="AB62" s="5"/>
      <c r="AC62" s="5"/>
      <c r="AD62" s="5"/>
      <c r="AE62" s="5"/>
      <c r="AF62" s="5"/>
      <c r="AG62" s="5"/>
      <c r="AH62" s="5"/>
      <c r="AI62" s="5"/>
      <c r="AJ62" s="5"/>
      <c r="AK62" s="6"/>
    </row>
    <row r="63" ht="15.75" customHeight="1"/>
    <row r="64" ht="30.0" customHeight="1">
      <c r="B64" s="61" t="s">
        <v>359</v>
      </c>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6"/>
    </row>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33">
    <mergeCell ref="F11:L11"/>
    <mergeCell ref="M11:T11"/>
    <mergeCell ref="W11:AC11"/>
    <mergeCell ref="AD11:AF11"/>
    <mergeCell ref="C11:E11"/>
    <mergeCell ref="C12:E12"/>
    <mergeCell ref="F12:L12"/>
    <mergeCell ref="M12:T12"/>
    <mergeCell ref="U12:V12"/>
    <mergeCell ref="W12:AC12"/>
    <mergeCell ref="AD12:AF12"/>
    <mergeCell ref="A1:I1"/>
    <mergeCell ref="J1:P1"/>
    <mergeCell ref="Q1:U1"/>
    <mergeCell ref="V1:Y1"/>
    <mergeCell ref="Z1:AC1"/>
    <mergeCell ref="AD1:AG1"/>
    <mergeCell ref="AH1:AK1"/>
    <mergeCell ref="J2:P3"/>
    <mergeCell ref="Q2:U3"/>
    <mergeCell ref="V2:Y3"/>
    <mergeCell ref="Z2:AC3"/>
    <mergeCell ref="AD2:AG3"/>
    <mergeCell ref="AH2:AK3"/>
    <mergeCell ref="B5:AK5"/>
    <mergeCell ref="A2:I3"/>
    <mergeCell ref="C7:E7"/>
    <mergeCell ref="F7:L7"/>
    <mergeCell ref="M7:T7"/>
    <mergeCell ref="U7:V7"/>
    <mergeCell ref="W7:AC7"/>
    <mergeCell ref="AD7:AF7"/>
    <mergeCell ref="U9:V9"/>
    <mergeCell ref="W9:AC9"/>
    <mergeCell ref="W10:AC10"/>
    <mergeCell ref="AD10:AF10"/>
    <mergeCell ref="C8:E8"/>
    <mergeCell ref="F8:L8"/>
    <mergeCell ref="M8:T8"/>
    <mergeCell ref="U8:V8"/>
    <mergeCell ref="W8:AC8"/>
    <mergeCell ref="AD8:AF8"/>
    <mergeCell ref="C9:E9"/>
    <mergeCell ref="AD9:AF9"/>
    <mergeCell ref="F9:L9"/>
    <mergeCell ref="M9:T9"/>
    <mergeCell ref="C10:E10"/>
    <mergeCell ref="F10:L10"/>
    <mergeCell ref="M10:T10"/>
    <mergeCell ref="U10:V10"/>
    <mergeCell ref="U11:V11"/>
    <mergeCell ref="U14:V14"/>
    <mergeCell ref="W14:AC14"/>
    <mergeCell ref="F20:L20"/>
    <mergeCell ref="M20:T20"/>
    <mergeCell ref="W20:AC20"/>
    <mergeCell ref="AD20:AF20"/>
    <mergeCell ref="C20:E20"/>
    <mergeCell ref="C21:E21"/>
    <mergeCell ref="F21:L21"/>
    <mergeCell ref="M21:T21"/>
    <mergeCell ref="U21:V21"/>
    <mergeCell ref="W21:AC21"/>
    <mergeCell ref="AD21:AF21"/>
    <mergeCell ref="F23:L23"/>
    <mergeCell ref="M23:T23"/>
    <mergeCell ref="C22:E22"/>
    <mergeCell ref="F22:L22"/>
    <mergeCell ref="M22:T22"/>
    <mergeCell ref="U22:V22"/>
    <mergeCell ref="W22:AC22"/>
    <mergeCell ref="AD22:AF22"/>
    <mergeCell ref="C23:E23"/>
    <mergeCell ref="AD23:AF23"/>
    <mergeCell ref="U23:V23"/>
    <mergeCell ref="W23:AC23"/>
    <mergeCell ref="F24:L24"/>
    <mergeCell ref="M24:T24"/>
    <mergeCell ref="U24:V24"/>
    <mergeCell ref="W24:AC24"/>
    <mergeCell ref="AD24:AF24"/>
    <mergeCell ref="C24:E24"/>
    <mergeCell ref="C25:E25"/>
    <mergeCell ref="F25:L25"/>
    <mergeCell ref="M25:T25"/>
    <mergeCell ref="U25:V25"/>
    <mergeCell ref="W25:AC25"/>
    <mergeCell ref="AD25:AF25"/>
    <mergeCell ref="F27:L27"/>
    <mergeCell ref="M27:T27"/>
    <mergeCell ref="C26:E26"/>
    <mergeCell ref="F26:L26"/>
    <mergeCell ref="M26:T26"/>
    <mergeCell ref="U26:V26"/>
    <mergeCell ref="W26:AC26"/>
    <mergeCell ref="AD26:AF26"/>
    <mergeCell ref="C27:E27"/>
    <mergeCell ref="AD27:AF27"/>
    <mergeCell ref="F31:L31"/>
    <mergeCell ref="M31:T31"/>
    <mergeCell ref="C30:E30"/>
    <mergeCell ref="F30:L30"/>
    <mergeCell ref="M30:T30"/>
    <mergeCell ref="U30:V30"/>
    <mergeCell ref="W30:AC30"/>
    <mergeCell ref="AD30:AF30"/>
    <mergeCell ref="C31:E31"/>
    <mergeCell ref="U42:V42"/>
    <mergeCell ref="W42:AC42"/>
    <mergeCell ref="F43:L43"/>
    <mergeCell ref="M43:T43"/>
    <mergeCell ref="U43:V43"/>
    <mergeCell ref="W43:AC43"/>
    <mergeCell ref="AD43:AF43"/>
    <mergeCell ref="C43:E43"/>
    <mergeCell ref="C44:E44"/>
    <mergeCell ref="F44:L44"/>
    <mergeCell ref="M44:T44"/>
    <mergeCell ref="U44:V44"/>
    <mergeCell ref="W44:AC44"/>
    <mergeCell ref="AD44:AF44"/>
    <mergeCell ref="F46:L46"/>
    <mergeCell ref="M46:T46"/>
    <mergeCell ref="C45:E45"/>
    <mergeCell ref="F45:L45"/>
    <mergeCell ref="M45:T45"/>
    <mergeCell ref="U45:V45"/>
    <mergeCell ref="W45:AC45"/>
    <mergeCell ref="AD45:AF45"/>
    <mergeCell ref="C46:E46"/>
    <mergeCell ref="AD46:AF46"/>
    <mergeCell ref="U46:V46"/>
    <mergeCell ref="W46:AC46"/>
    <mergeCell ref="F47:L47"/>
    <mergeCell ref="M47:T47"/>
    <mergeCell ref="U47:V47"/>
    <mergeCell ref="W47:AC47"/>
    <mergeCell ref="AD47:AF47"/>
    <mergeCell ref="C47:E47"/>
    <mergeCell ref="C48:E48"/>
    <mergeCell ref="F48:L48"/>
    <mergeCell ref="M48:T48"/>
    <mergeCell ref="U48:V48"/>
    <mergeCell ref="W48:AC48"/>
    <mergeCell ref="AD48:AF48"/>
    <mergeCell ref="C13:E13"/>
    <mergeCell ref="F13:L13"/>
    <mergeCell ref="M13:T13"/>
    <mergeCell ref="U13:V13"/>
    <mergeCell ref="W13:AC13"/>
    <mergeCell ref="AD13:AF13"/>
    <mergeCell ref="C14:E14"/>
    <mergeCell ref="AD14:AF14"/>
    <mergeCell ref="F14:L14"/>
    <mergeCell ref="M14:T14"/>
    <mergeCell ref="F15:L15"/>
    <mergeCell ref="M15:T15"/>
    <mergeCell ref="U15:V15"/>
    <mergeCell ref="W15:AC15"/>
    <mergeCell ref="AD15:AF15"/>
    <mergeCell ref="C15:E15"/>
    <mergeCell ref="C16:E16"/>
    <mergeCell ref="F16:L16"/>
    <mergeCell ref="M16:T16"/>
    <mergeCell ref="U16:V16"/>
    <mergeCell ref="W16:AC16"/>
    <mergeCell ref="AD16:AF16"/>
    <mergeCell ref="U18:V18"/>
    <mergeCell ref="W18:AC18"/>
    <mergeCell ref="W19:AC19"/>
    <mergeCell ref="AD19:AF19"/>
    <mergeCell ref="C17:E17"/>
    <mergeCell ref="F17:L17"/>
    <mergeCell ref="M17:T17"/>
    <mergeCell ref="U17:V17"/>
    <mergeCell ref="W17:AC17"/>
    <mergeCell ref="AD17:AF17"/>
    <mergeCell ref="C18:E18"/>
    <mergeCell ref="AD18:AF18"/>
    <mergeCell ref="F18:L18"/>
    <mergeCell ref="M18:T18"/>
    <mergeCell ref="C19:E19"/>
    <mergeCell ref="F19:L19"/>
    <mergeCell ref="M19:T19"/>
    <mergeCell ref="U19:V19"/>
    <mergeCell ref="U20:V20"/>
    <mergeCell ref="U50:V50"/>
    <mergeCell ref="W50:AC50"/>
    <mergeCell ref="C51:E51"/>
    <mergeCell ref="F51:L51"/>
    <mergeCell ref="M51:T51"/>
    <mergeCell ref="U51:V51"/>
    <mergeCell ref="W51:AC51"/>
    <mergeCell ref="AD51:AF51"/>
    <mergeCell ref="D61:F61"/>
    <mergeCell ref="G61:L61"/>
    <mergeCell ref="B62:C62"/>
    <mergeCell ref="D62:F62"/>
    <mergeCell ref="G62:L62"/>
    <mergeCell ref="M62:N62"/>
    <mergeCell ref="M61:N61"/>
    <mergeCell ref="O61:Q61"/>
    <mergeCell ref="O62:Q62"/>
    <mergeCell ref="B59:C59"/>
    <mergeCell ref="B60:C60"/>
    <mergeCell ref="D60:F60"/>
    <mergeCell ref="G60:L60"/>
    <mergeCell ref="M60:N60"/>
    <mergeCell ref="O60:Q60"/>
    <mergeCell ref="B61:C61"/>
    <mergeCell ref="C49:E49"/>
    <mergeCell ref="F49:L49"/>
    <mergeCell ref="M49:T49"/>
    <mergeCell ref="U49:V49"/>
    <mergeCell ref="W49:AC49"/>
    <mergeCell ref="AD49:AF49"/>
    <mergeCell ref="C50:E50"/>
    <mergeCell ref="AD50:AF50"/>
    <mergeCell ref="F50:L50"/>
    <mergeCell ref="M50:T50"/>
    <mergeCell ref="B52:T52"/>
    <mergeCell ref="U52:V52"/>
    <mergeCell ref="W52:AC52"/>
    <mergeCell ref="AD52:AF52"/>
    <mergeCell ref="B54:AK54"/>
    <mergeCell ref="M57:N57"/>
    <mergeCell ref="O57:Q57"/>
    <mergeCell ref="O58:Q58"/>
    <mergeCell ref="R57:AK57"/>
    <mergeCell ref="R58:AK58"/>
    <mergeCell ref="B56:C56"/>
    <mergeCell ref="D56:F56"/>
    <mergeCell ref="G56:L56"/>
    <mergeCell ref="M56:N56"/>
    <mergeCell ref="O56:Q56"/>
    <mergeCell ref="R56:AK56"/>
    <mergeCell ref="B57:C57"/>
    <mergeCell ref="D59:F59"/>
    <mergeCell ref="G59:L59"/>
    <mergeCell ref="O59:Q59"/>
    <mergeCell ref="R59:AK59"/>
    <mergeCell ref="R60:AK60"/>
    <mergeCell ref="R61:AK61"/>
    <mergeCell ref="R62:AK62"/>
    <mergeCell ref="B64:AK64"/>
    <mergeCell ref="D57:F57"/>
    <mergeCell ref="G57:L57"/>
    <mergeCell ref="B58:C58"/>
    <mergeCell ref="D58:F58"/>
    <mergeCell ref="G58:L58"/>
    <mergeCell ref="M58:N58"/>
    <mergeCell ref="M59:N59"/>
    <mergeCell ref="U27:V27"/>
    <mergeCell ref="W27:AC27"/>
    <mergeCell ref="F28:L28"/>
    <mergeCell ref="M28:T28"/>
    <mergeCell ref="U28:V28"/>
    <mergeCell ref="W28:AC28"/>
    <mergeCell ref="AD28:AF28"/>
    <mergeCell ref="C28:E28"/>
    <mergeCell ref="C29:E29"/>
    <mergeCell ref="F29:L29"/>
    <mergeCell ref="M29:T29"/>
    <mergeCell ref="U29:V29"/>
    <mergeCell ref="W29:AC29"/>
    <mergeCell ref="AD29:AF29"/>
    <mergeCell ref="W32:AC32"/>
    <mergeCell ref="AD32:AF32"/>
    <mergeCell ref="U31:V31"/>
    <mergeCell ref="W31:AC31"/>
    <mergeCell ref="AD31:AF31"/>
    <mergeCell ref="C32:E32"/>
    <mergeCell ref="F32:L32"/>
    <mergeCell ref="M32:T32"/>
    <mergeCell ref="U32:V32"/>
    <mergeCell ref="F34:L34"/>
    <mergeCell ref="M34:T34"/>
    <mergeCell ref="C33:E33"/>
    <mergeCell ref="F33:L33"/>
    <mergeCell ref="M33:T33"/>
    <mergeCell ref="U33:V33"/>
    <mergeCell ref="W33:AC33"/>
    <mergeCell ref="AD33:AF33"/>
    <mergeCell ref="C34:E34"/>
    <mergeCell ref="AD34:AF34"/>
    <mergeCell ref="U34:V34"/>
    <mergeCell ref="W34:AC34"/>
    <mergeCell ref="F35:L35"/>
    <mergeCell ref="M35:T35"/>
    <mergeCell ref="U35:V35"/>
    <mergeCell ref="W35:AC35"/>
    <mergeCell ref="AD35:AF35"/>
    <mergeCell ref="C35:E35"/>
    <mergeCell ref="C36:E36"/>
    <mergeCell ref="F36:L36"/>
    <mergeCell ref="M36:T36"/>
    <mergeCell ref="U36:V36"/>
    <mergeCell ref="W36:AC36"/>
    <mergeCell ref="AD36:AF36"/>
    <mergeCell ref="F38:L38"/>
    <mergeCell ref="M38:T38"/>
    <mergeCell ref="C37:E37"/>
    <mergeCell ref="F37:L37"/>
    <mergeCell ref="M37:T37"/>
    <mergeCell ref="U37:V37"/>
    <mergeCell ref="W37:AC37"/>
    <mergeCell ref="AD37:AF37"/>
    <mergeCell ref="C38:E38"/>
    <mergeCell ref="AD38:AF38"/>
    <mergeCell ref="U38:V38"/>
    <mergeCell ref="W38:AC38"/>
    <mergeCell ref="F39:L39"/>
    <mergeCell ref="M39:T39"/>
    <mergeCell ref="U39:V39"/>
    <mergeCell ref="W39:AC39"/>
    <mergeCell ref="AD39:AF39"/>
    <mergeCell ref="C39:E39"/>
    <mergeCell ref="C40:E40"/>
    <mergeCell ref="F40:L40"/>
    <mergeCell ref="M40:T40"/>
    <mergeCell ref="U40:V40"/>
    <mergeCell ref="W40:AC40"/>
    <mergeCell ref="AD40:AF40"/>
    <mergeCell ref="F42:L42"/>
    <mergeCell ref="M42:T42"/>
    <mergeCell ref="C41:E41"/>
    <mergeCell ref="F41:L41"/>
    <mergeCell ref="M41:T41"/>
    <mergeCell ref="U41:V41"/>
    <mergeCell ref="W41:AC41"/>
    <mergeCell ref="AD41:AF41"/>
    <mergeCell ref="C42:E42"/>
    <mergeCell ref="AD42:AF42"/>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69" width="4.0"/>
  </cols>
  <sheetData>
    <row r="1" ht="22.5" customHeight="1">
      <c r="A1" s="46" t="s">
        <v>100</v>
      </c>
      <c r="B1" s="5"/>
      <c r="C1" s="5"/>
      <c r="D1" s="5"/>
      <c r="E1" s="6"/>
      <c r="F1" s="15" t="s">
        <v>102</v>
      </c>
      <c r="G1" s="5"/>
      <c r="H1" s="5"/>
      <c r="I1" s="5"/>
      <c r="J1" s="5"/>
      <c r="K1" s="5"/>
      <c r="L1" s="5"/>
      <c r="M1" s="5"/>
      <c r="N1" s="5"/>
      <c r="O1" s="5"/>
      <c r="P1" s="5"/>
      <c r="Q1" s="6"/>
      <c r="R1" s="46" t="s">
        <v>104</v>
      </c>
      <c r="S1" s="5"/>
      <c r="T1" s="5"/>
      <c r="U1" s="5"/>
      <c r="V1" s="6"/>
      <c r="W1" s="15" t="s">
        <v>105</v>
      </c>
      <c r="X1" s="5"/>
      <c r="Y1" s="5"/>
      <c r="Z1" s="5"/>
      <c r="AA1" s="5"/>
      <c r="AB1" s="5"/>
      <c r="AC1" s="5"/>
      <c r="AD1" s="5"/>
      <c r="AE1" s="5"/>
      <c r="AF1" s="5"/>
      <c r="AG1" s="5"/>
      <c r="AH1" s="6"/>
    </row>
    <row r="2" ht="22.5" customHeight="1">
      <c r="A2" s="46" t="s">
        <v>10</v>
      </c>
      <c r="B2" s="5"/>
      <c r="C2" s="5"/>
      <c r="D2" s="5"/>
      <c r="E2" s="6"/>
      <c r="F2" s="15" t="s">
        <v>24</v>
      </c>
      <c r="G2" s="5"/>
      <c r="H2" s="5"/>
      <c r="I2" s="5"/>
      <c r="J2" s="5"/>
      <c r="K2" s="5"/>
      <c r="L2" s="5"/>
      <c r="M2" s="5"/>
      <c r="N2" s="5"/>
      <c r="O2" s="5"/>
      <c r="P2" s="5"/>
      <c r="Q2" s="6"/>
      <c r="R2" s="46" t="s">
        <v>8</v>
      </c>
      <c r="S2" s="5"/>
      <c r="T2" s="5"/>
      <c r="U2" s="5"/>
      <c r="V2" s="6"/>
      <c r="W2" s="23" t="s">
        <v>25</v>
      </c>
      <c r="X2" s="5"/>
      <c r="Y2" s="5"/>
      <c r="Z2" s="5"/>
      <c r="AA2" s="5"/>
      <c r="AB2" s="5"/>
      <c r="AC2" s="5"/>
      <c r="AD2" s="5"/>
      <c r="AE2" s="5"/>
      <c r="AF2" s="5"/>
      <c r="AG2" s="5"/>
      <c r="AH2" s="6"/>
    </row>
    <row r="3" ht="22.5" customHeight="1">
      <c r="A3" s="46" t="s">
        <v>11</v>
      </c>
      <c r="B3" s="5"/>
      <c r="C3" s="5"/>
      <c r="D3" s="5"/>
      <c r="E3" s="6"/>
      <c r="F3" s="15" t="s">
        <v>20</v>
      </c>
      <c r="G3" s="5"/>
      <c r="H3" s="5"/>
      <c r="I3" s="5"/>
      <c r="J3" s="5"/>
      <c r="K3" s="5"/>
      <c r="L3" s="5"/>
      <c r="M3" s="5"/>
      <c r="N3" s="5"/>
      <c r="O3" s="5"/>
      <c r="P3" s="5"/>
      <c r="Q3" s="6"/>
      <c r="R3" s="46" t="s">
        <v>111</v>
      </c>
      <c r="S3" s="5"/>
      <c r="T3" s="5"/>
      <c r="U3" s="5"/>
      <c r="V3" s="6"/>
      <c r="W3" s="23"/>
      <c r="X3" s="5"/>
      <c r="Y3" s="5"/>
      <c r="Z3" s="5"/>
      <c r="AA3" s="5"/>
      <c r="AB3" s="5"/>
      <c r="AC3" s="5"/>
      <c r="AD3" s="5"/>
      <c r="AE3" s="5"/>
      <c r="AF3" s="5"/>
      <c r="AG3" s="5"/>
      <c r="AH3" s="6"/>
    </row>
    <row r="4" ht="22.5" customHeight="1">
      <c r="A4" s="46" t="s">
        <v>113</v>
      </c>
      <c r="B4" s="5"/>
      <c r="C4" s="5"/>
      <c r="D4" s="5"/>
      <c r="E4" s="6"/>
      <c r="F4" s="15" t="s">
        <v>115</v>
      </c>
      <c r="G4" s="5"/>
      <c r="H4" s="5"/>
      <c r="I4" s="5"/>
      <c r="J4" s="5"/>
      <c r="K4" s="5"/>
      <c r="L4" s="5"/>
      <c r="M4" s="5"/>
      <c r="N4" s="5"/>
      <c r="O4" s="5"/>
      <c r="P4" s="5"/>
      <c r="Q4" s="5"/>
      <c r="R4" s="5"/>
      <c r="S4" s="5"/>
      <c r="T4" s="5"/>
      <c r="U4" s="5"/>
      <c r="V4" s="5"/>
      <c r="W4" s="5"/>
      <c r="X4" s="5"/>
      <c r="Y4" s="5"/>
      <c r="Z4" s="5"/>
      <c r="AA4" s="5"/>
      <c r="AB4" s="5"/>
      <c r="AC4" s="5"/>
      <c r="AD4" s="5"/>
      <c r="AE4" s="5"/>
      <c r="AF4" s="5"/>
      <c r="AG4" s="5"/>
      <c r="AH4" s="6"/>
    </row>
    <row r="5" ht="22.5" customHeight="1">
      <c r="A5" s="46" t="s">
        <v>117</v>
      </c>
      <c r="B5" s="5"/>
      <c r="C5" s="5"/>
      <c r="D5" s="5"/>
      <c r="E5" s="5"/>
      <c r="F5" s="5"/>
      <c r="G5" s="5"/>
      <c r="H5" s="5"/>
      <c r="I5" s="5"/>
      <c r="J5" s="5"/>
      <c r="K5" s="5"/>
      <c r="L5" s="5"/>
      <c r="M5" s="5"/>
      <c r="N5" s="5"/>
      <c r="O5" s="5"/>
      <c r="P5" s="5"/>
      <c r="Q5" s="5"/>
      <c r="R5" s="5"/>
      <c r="S5" s="6"/>
      <c r="T5" s="46" t="s">
        <v>38</v>
      </c>
      <c r="U5" s="5"/>
      <c r="V5" s="5"/>
      <c r="W5" s="5"/>
      <c r="X5" s="5"/>
      <c r="Y5" s="5"/>
      <c r="Z5" s="5"/>
      <c r="AA5" s="5"/>
      <c r="AB5" s="5"/>
      <c r="AC5" s="5"/>
      <c r="AD5" s="5"/>
      <c r="AE5" s="5"/>
      <c r="AF5" s="5"/>
      <c r="AG5" s="5"/>
      <c r="AH5" s="6"/>
    </row>
    <row r="6" ht="22.5" customHeight="1">
      <c r="A6" s="46" t="s">
        <v>120</v>
      </c>
      <c r="B6" s="5"/>
      <c r="C6" s="5"/>
      <c r="D6" s="5"/>
      <c r="E6" s="5"/>
      <c r="F6" s="5"/>
      <c r="G6" s="6"/>
      <c r="H6" s="46" t="s">
        <v>49</v>
      </c>
      <c r="I6" s="5"/>
      <c r="J6" s="6"/>
      <c r="K6" s="46" t="s">
        <v>52</v>
      </c>
      <c r="L6" s="5"/>
      <c r="M6" s="6"/>
      <c r="N6" s="46" t="s">
        <v>122</v>
      </c>
      <c r="O6" s="5"/>
      <c r="P6" s="6"/>
      <c r="Q6" s="46" t="s">
        <v>34</v>
      </c>
      <c r="R6" s="5"/>
      <c r="S6" s="6"/>
      <c r="T6" s="46" t="s">
        <v>56</v>
      </c>
      <c r="U6" s="5"/>
      <c r="V6" s="6"/>
      <c r="W6" s="46" t="s">
        <v>57</v>
      </c>
      <c r="X6" s="5"/>
      <c r="Y6" s="6"/>
      <c r="Z6" s="46" t="s">
        <v>58</v>
      </c>
      <c r="AA6" s="5"/>
      <c r="AB6" s="6"/>
      <c r="AC6" s="46" t="s">
        <v>59</v>
      </c>
      <c r="AD6" s="5"/>
      <c r="AE6" s="6"/>
      <c r="AF6" s="46" t="s">
        <v>34</v>
      </c>
      <c r="AG6" s="5"/>
      <c r="AH6" s="6"/>
    </row>
    <row r="7" ht="22.5" customHeight="1">
      <c r="A7" s="46" t="s">
        <v>125</v>
      </c>
      <c r="B7" s="5"/>
      <c r="C7" s="5"/>
      <c r="D7" s="5"/>
      <c r="E7" s="5"/>
      <c r="F7" s="5"/>
      <c r="G7" s="6"/>
      <c r="H7" s="19">
        <f t="shared" ref="H7:H8" si="1">COUNTIF($AE$12:$AF$1049,"N")</f>
        <v>36</v>
      </c>
      <c r="I7" s="5"/>
      <c r="J7" s="6"/>
      <c r="K7" s="19">
        <f t="shared" ref="K7:K8" si="2">COUNTIF($AE$12:$AF$1049,"A")</f>
        <v>28</v>
      </c>
      <c r="L7" s="5"/>
      <c r="M7" s="6"/>
      <c r="N7" s="19">
        <f t="shared" ref="N7:N8" si="3">COUNTIF($AE$12:$AF$1049,"B")</f>
        <v>6</v>
      </c>
      <c r="O7" s="5"/>
      <c r="P7" s="6"/>
      <c r="Q7" s="43">
        <f t="shared" ref="Q7:Q8" si="4">SUM(H7:P7)</f>
        <v>70</v>
      </c>
      <c r="R7" s="5"/>
      <c r="S7" s="6"/>
      <c r="T7" s="19">
        <f>COUNTIF($AG$12:$AI$1049,T$6)</f>
        <v>70</v>
      </c>
      <c r="U7" s="5"/>
      <c r="V7" s="6"/>
      <c r="W7" s="19">
        <f>COUNTIF($AG$12:$AI$1049,W$6)</f>
        <v>0</v>
      </c>
      <c r="X7" s="5"/>
      <c r="Y7" s="6"/>
      <c r="Z7" s="19">
        <f>COUNTIF($AG$12:$AI$1049,Z$6)</f>
        <v>0</v>
      </c>
      <c r="AA7" s="5"/>
      <c r="AB7" s="6"/>
      <c r="AC7" s="19">
        <f>COUNTIF($AG$12:$AI$1049,AC$6)</f>
        <v>0</v>
      </c>
      <c r="AD7" s="5"/>
      <c r="AE7" s="6"/>
      <c r="AF7" s="43">
        <f t="shared" ref="AF7:AF8" si="5">SUM(T7:AE7)</f>
        <v>70</v>
      </c>
      <c r="AG7" s="5"/>
      <c r="AH7" s="6"/>
    </row>
    <row r="8" ht="22.5" customHeight="1">
      <c r="A8" s="46" t="s">
        <v>135</v>
      </c>
      <c r="B8" s="5"/>
      <c r="C8" s="5"/>
      <c r="D8" s="5"/>
      <c r="E8" s="5"/>
      <c r="F8" s="5"/>
      <c r="G8" s="6"/>
      <c r="H8" s="19">
        <f t="shared" si="1"/>
        <v>36</v>
      </c>
      <c r="I8" s="5"/>
      <c r="J8" s="6"/>
      <c r="K8" s="19">
        <f t="shared" si="2"/>
        <v>28</v>
      </c>
      <c r="L8" s="5"/>
      <c r="M8" s="6"/>
      <c r="N8" s="19">
        <f t="shared" si="3"/>
        <v>6</v>
      </c>
      <c r="O8" s="5"/>
      <c r="P8" s="6"/>
      <c r="Q8" s="43">
        <f t="shared" si="4"/>
        <v>70</v>
      </c>
      <c r="R8" s="5"/>
      <c r="S8" s="6"/>
      <c r="T8" s="19">
        <f>COUNTIF($AV$12:$AX$1049,T$6)</f>
        <v>70</v>
      </c>
      <c r="U8" s="5"/>
      <c r="V8" s="6"/>
      <c r="W8" s="19">
        <f>COUNTIF($AV$12:$AX$1049,W$6)</f>
        <v>0</v>
      </c>
      <c r="X8" s="5"/>
      <c r="Y8" s="6"/>
      <c r="Z8" s="19">
        <f>COUNTIF($AV$12:$AX$1049,Z$6)</f>
        <v>0</v>
      </c>
      <c r="AA8" s="5"/>
      <c r="AB8" s="6"/>
      <c r="AC8" s="19">
        <f>COUNTIF($AV$12:$AX$1049,AC$6)</f>
        <v>0</v>
      </c>
      <c r="AD8" s="5"/>
      <c r="AE8" s="6"/>
      <c r="AF8" s="43">
        <f t="shared" si="5"/>
        <v>70</v>
      </c>
      <c r="AG8" s="5"/>
      <c r="AH8" s="6"/>
    </row>
    <row r="9" ht="12.75" customHeight="1"/>
    <row r="10" ht="36.0" customHeight="1">
      <c r="A10" s="52" t="s">
        <v>28</v>
      </c>
      <c r="B10" s="53" t="s">
        <v>144</v>
      </c>
      <c r="C10" s="14"/>
      <c r="D10" s="17"/>
      <c r="E10" s="53" t="s">
        <v>146</v>
      </c>
      <c r="F10" s="14"/>
      <c r="G10" s="14"/>
      <c r="H10" s="14"/>
      <c r="I10" s="17"/>
      <c r="J10" s="53" t="s">
        <v>147</v>
      </c>
      <c r="K10" s="14"/>
      <c r="L10" s="14"/>
      <c r="M10" s="14"/>
      <c r="N10" s="14"/>
      <c r="O10" s="14"/>
      <c r="P10" s="17"/>
      <c r="Q10" s="53" t="s">
        <v>148</v>
      </c>
      <c r="R10" s="14"/>
      <c r="S10" s="14"/>
      <c r="T10" s="14"/>
      <c r="U10" s="14"/>
      <c r="V10" s="14"/>
      <c r="W10" s="17"/>
      <c r="X10" s="53" t="s">
        <v>149</v>
      </c>
      <c r="Y10" s="14"/>
      <c r="Z10" s="14"/>
      <c r="AA10" s="14"/>
      <c r="AB10" s="14"/>
      <c r="AC10" s="14"/>
      <c r="AD10" s="17"/>
      <c r="AE10" s="53" t="s">
        <v>151</v>
      </c>
      <c r="AF10" s="17"/>
      <c r="AG10" s="46" t="s">
        <v>152</v>
      </c>
      <c r="AH10" s="5"/>
      <c r="AI10" s="5"/>
      <c r="AJ10" s="5"/>
      <c r="AK10" s="5"/>
      <c r="AL10" s="5"/>
      <c r="AM10" s="5"/>
      <c r="AN10" s="5"/>
      <c r="AO10" s="5"/>
      <c r="AP10" s="5"/>
      <c r="AQ10" s="5"/>
      <c r="AR10" s="5"/>
      <c r="AS10" s="5"/>
      <c r="AT10" s="5"/>
      <c r="AU10" s="6"/>
      <c r="AV10" s="46" t="s">
        <v>154</v>
      </c>
      <c r="AW10" s="5"/>
      <c r="AX10" s="5"/>
      <c r="AY10" s="5"/>
      <c r="AZ10" s="5"/>
      <c r="BA10" s="5"/>
      <c r="BB10" s="5"/>
      <c r="BC10" s="5"/>
      <c r="BD10" s="5"/>
      <c r="BE10" s="5"/>
      <c r="BF10" s="5"/>
      <c r="BG10" s="5"/>
      <c r="BH10" s="5"/>
      <c r="BI10" s="5"/>
      <c r="BJ10" s="6"/>
      <c r="BK10" s="53" t="s">
        <v>155</v>
      </c>
      <c r="BL10" s="14"/>
      <c r="BM10" s="14"/>
      <c r="BN10" s="14"/>
      <c r="BO10" s="14"/>
      <c r="BP10" s="14"/>
      <c r="BQ10" s="17"/>
    </row>
    <row r="11" ht="36.0" customHeight="1">
      <c r="A11" s="33"/>
      <c r="B11" s="26"/>
      <c r="C11" s="27"/>
      <c r="D11" s="29"/>
      <c r="E11" s="26"/>
      <c r="F11" s="27"/>
      <c r="G11" s="27"/>
      <c r="H11" s="27"/>
      <c r="I11" s="29"/>
      <c r="J11" s="26"/>
      <c r="K11" s="27"/>
      <c r="L11" s="27"/>
      <c r="M11" s="27"/>
      <c r="N11" s="27"/>
      <c r="O11" s="27"/>
      <c r="P11" s="29"/>
      <c r="Q11" s="26"/>
      <c r="R11" s="27"/>
      <c r="S11" s="27"/>
      <c r="T11" s="27"/>
      <c r="U11" s="27"/>
      <c r="V11" s="27"/>
      <c r="W11" s="29"/>
      <c r="X11" s="26"/>
      <c r="Y11" s="27"/>
      <c r="Z11" s="27"/>
      <c r="AA11" s="27"/>
      <c r="AB11" s="27"/>
      <c r="AC11" s="27"/>
      <c r="AD11" s="29"/>
      <c r="AE11" s="26"/>
      <c r="AF11" s="29"/>
      <c r="AG11" s="46" t="s">
        <v>158</v>
      </c>
      <c r="AH11" s="5"/>
      <c r="AI11" s="6"/>
      <c r="AJ11" s="46" t="s">
        <v>159</v>
      </c>
      <c r="AK11" s="5"/>
      <c r="AL11" s="6"/>
      <c r="AM11" s="46" t="s">
        <v>6</v>
      </c>
      <c r="AN11" s="5"/>
      <c r="AO11" s="6"/>
      <c r="AP11" s="46" t="s">
        <v>161</v>
      </c>
      <c r="AQ11" s="5"/>
      <c r="AR11" s="6"/>
      <c r="AS11" s="46" t="s">
        <v>163</v>
      </c>
      <c r="AT11" s="5"/>
      <c r="AU11" s="6"/>
      <c r="AV11" s="46" t="s">
        <v>158</v>
      </c>
      <c r="AW11" s="5"/>
      <c r="AX11" s="6"/>
      <c r="AY11" s="46" t="s">
        <v>159</v>
      </c>
      <c r="AZ11" s="5"/>
      <c r="BA11" s="6"/>
      <c r="BB11" s="46" t="s">
        <v>6</v>
      </c>
      <c r="BC11" s="5"/>
      <c r="BD11" s="6"/>
      <c r="BE11" s="46" t="s">
        <v>161</v>
      </c>
      <c r="BF11" s="5"/>
      <c r="BG11" s="6"/>
      <c r="BH11" s="46" t="s">
        <v>163</v>
      </c>
      <c r="BI11" s="5"/>
      <c r="BJ11" s="6"/>
      <c r="BK11" s="26"/>
      <c r="BL11" s="27"/>
      <c r="BM11" s="27"/>
      <c r="BN11" s="27"/>
      <c r="BO11" s="27"/>
      <c r="BP11" s="27"/>
      <c r="BQ11" s="29"/>
    </row>
    <row r="12" ht="22.5" customHeight="1">
      <c r="A12" s="11" t="s">
        <v>167</v>
      </c>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6"/>
    </row>
    <row r="13" ht="288.0" customHeight="1">
      <c r="A13" s="47">
        <v>1.0</v>
      </c>
      <c r="B13" s="49" t="s">
        <v>171</v>
      </c>
      <c r="C13" s="5"/>
      <c r="D13" s="6"/>
      <c r="E13" s="49" t="s">
        <v>173</v>
      </c>
      <c r="F13" s="5"/>
      <c r="G13" s="5"/>
      <c r="H13" s="5"/>
      <c r="I13" s="6"/>
      <c r="J13" s="49" t="s">
        <v>174</v>
      </c>
      <c r="K13" s="5"/>
      <c r="L13" s="5"/>
      <c r="M13" s="5"/>
      <c r="N13" s="5"/>
      <c r="O13" s="5"/>
      <c r="P13" s="6"/>
      <c r="Q13" s="54" t="s">
        <v>176</v>
      </c>
      <c r="R13" s="5"/>
      <c r="S13" s="5"/>
      <c r="T13" s="5"/>
      <c r="U13" s="5"/>
      <c r="V13" s="5"/>
      <c r="W13" s="6"/>
      <c r="X13" s="49" t="s">
        <v>179</v>
      </c>
      <c r="Y13" s="5"/>
      <c r="Z13" s="5"/>
      <c r="AA13" s="5"/>
      <c r="AB13" s="5"/>
      <c r="AC13" s="5"/>
      <c r="AD13" s="6"/>
      <c r="AE13" s="48" t="s">
        <v>180</v>
      </c>
      <c r="AF13" s="6"/>
      <c r="AG13" s="55" t="s">
        <v>56</v>
      </c>
      <c r="AH13" s="5"/>
      <c r="AI13" s="6"/>
      <c r="AJ13" s="48"/>
      <c r="AK13" s="5"/>
      <c r="AL13" s="6"/>
      <c r="AM13" s="56" t="s">
        <v>183</v>
      </c>
      <c r="AN13" s="5"/>
      <c r="AO13" s="6"/>
      <c r="AP13" s="57">
        <v>46190.0</v>
      </c>
      <c r="AQ13" s="5"/>
      <c r="AR13" s="6"/>
      <c r="AS13" s="48"/>
      <c r="AT13" s="5"/>
      <c r="AU13" s="6"/>
      <c r="AV13" s="55" t="s">
        <v>56</v>
      </c>
      <c r="AW13" s="5"/>
      <c r="AX13" s="6"/>
      <c r="AY13" s="48"/>
      <c r="AZ13" s="5"/>
      <c r="BA13" s="6"/>
      <c r="BB13" s="55" t="s">
        <v>186</v>
      </c>
      <c r="BC13" s="5"/>
      <c r="BD13" s="6"/>
      <c r="BE13" s="57">
        <v>46246.0</v>
      </c>
      <c r="BF13" s="5"/>
      <c r="BG13" s="6"/>
      <c r="BH13" s="48"/>
      <c r="BI13" s="5"/>
      <c r="BJ13" s="6"/>
      <c r="BK13" s="49"/>
      <c r="BL13" s="5"/>
      <c r="BM13" s="5"/>
      <c r="BN13" s="5"/>
      <c r="BO13" s="5"/>
      <c r="BP13" s="5"/>
      <c r="BQ13" s="6"/>
    </row>
    <row r="14" ht="207.75" customHeight="1">
      <c r="A14" s="47">
        <v>2.0</v>
      </c>
      <c r="B14" s="49" t="s">
        <v>189</v>
      </c>
      <c r="C14" s="5"/>
      <c r="D14" s="6"/>
      <c r="E14" s="49" t="s">
        <v>190</v>
      </c>
      <c r="F14" s="5"/>
      <c r="G14" s="5"/>
      <c r="H14" s="5"/>
      <c r="I14" s="6"/>
      <c r="J14" s="49" t="s">
        <v>192</v>
      </c>
      <c r="K14" s="5"/>
      <c r="L14" s="5"/>
      <c r="M14" s="5"/>
      <c r="N14" s="5"/>
      <c r="O14" s="5"/>
      <c r="P14" s="6"/>
      <c r="Q14" s="54" t="s">
        <v>193</v>
      </c>
      <c r="R14" s="5"/>
      <c r="S14" s="5"/>
      <c r="T14" s="5"/>
      <c r="U14" s="5"/>
      <c r="V14" s="5"/>
      <c r="W14" s="6"/>
      <c r="X14" s="54" t="s">
        <v>195</v>
      </c>
      <c r="Y14" s="5"/>
      <c r="Z14" s="5"/>
      <c r="AA14" s="5"/>
      <c r="AB14" s="5"/>
      <c r="AC14" s="5"/>
      <c r="AD14" s="6"/>
      <c r="AE14" s="48" t="s">
        <v>180</v>
      </c>
      <c r="AF14" s="6"/>
      <c r="AG14" s="55" t="s">
        <v>56</v>
      </c>
      <c r="AH14" s="5"/>
      <c r="AI14" s="6"/>
      <c r="AJ14" s="48"/>
      <c r="AK14" s="5"/>
      <c r="AL14" s="6"/>
      <c r="AM14" s="56" t="s">
        <v>183</v>
      </c>
      <c r="AN14" s="5"/>
      <c r="AO14" s="6"/>
      <c r="AP14" s="57">
        <v>46190.0</v>
      </c>
      <c r="AQ14" s="5"/>
      <c r="AR14" s="6"/>
      <c r="AS14" s="48"/>
      <c r="AT14" s="5"/>
      <c r="AU14" s="6"/>
      <c r="AV14" s="55" t="s">
        <v>56</v>
      </c>
      <c r="AW14" s="5"/>
      <c r="AX14" s="6"/>
      <c r="AY14" s="48"/>
      <c r="AZ14" s="5"/>
      <c r="BA14" s="6"/>
      <c r="BB14" s="55" t="s">
        <v>186</v>
      </c>
      <c r="BC14" s="5"/>
      <c r="BD14" s="6"/>
      <c r="BE14" s="57">
        <v>46246.0</v>
      </c>
      <c r="BF14" s="5"/>
      <c r="BG14" s="6"/>
      <c r="BH14" s="48"/>
      <c r="BI14" s="5"/>
      <c r="BJ14" s="6"/>
      <c r="BK14" s="49"/>
      <c r="BL14" s="5"/>
      <c r="BM14" s="5"/>
      <c r="BN14" s="5"/>
      <c r="BO14" s="5"/>
      <c r="BP14" s="5"/>
      <c r="BQ14" s="6"/>
    </row>
    <row r="15" ht="447.75" customHeight="1">
      <c r="A15" s="47">
        <v>3.0</v>
      </c>
      <c r="B15" s="49" t="s">
        <v>200</v>
      </c>
      <c r="C15" s="5"/>
      <c r="D15" s="6"/>
      <c r="E15" s="49" t="s">
        <v>201</v>
      </c>
      <c r="F15" s="5"/>
      <c r="G15" s="5"/>
      <c r="H15" s="5"/>
      <c r="I15" s="6"/>
      <c r="J15" s="49" t="s">
        <v>202</v>
      </c>
      <c r="K15" s="5"/>
      <c r="L15" s="5"/>
      <c r="M15" s="5"/>
      <c r="N15" s="5"/>
      <c r="O15" s="5"/>
      <c r="P15" s="6"/>
      <c r="Q15" s="54" t="s">
        <v>204</v>
      </c>
      <c r="R15" s="5"/>
      <c r="S15" s="5"/>
      <c r="T15" s="5"/>
      <c r="U15" s="5"/>
      <c r="V15" s="5"/>
      <c r="W15" s="6"/>
      <c r="X15" s="49" t="s">
        <v>205</v>
      </c>
      <c r="Y15" s="5"/>
      <c r="Z15" s="5"/>
      <c r="AA15" s="5"/>
      <c r="AB15" s="5"/>
      <c r="AC15" s="5"/>
      <c r="AD15" s="6"/>
      <c r="AE15" s="48" t="s">
        <v>207</v>
      </c>
      <c r="AF15" s="6"/>
      <c r="AG15" s="55" t="s">
        <v>56</v>
      </c>
      <c r="AH15" s="5"/>
      <c r="AI15" s="6"/>
      <c r="AJ15" s="48"/>
      <c r="AK15" s="5"/>
      <c r="AL15" s="6"/>
      <c r="AM15" s="56" t="s">
        <v>183</v>
      </c>
      <c r="AN15" s="5"/>
      <c r="AO15" s="6"/>
      <c r="AP15" s="57">
        <v>46190.0</v>
      </c>
      <c r="AQ15" s="5"/>
      <c r="AR15" s="6"/>
      <c r="AS15" s="48"/>
      <c r="AT15" s="5"/>
      <c r="AU15" s="6"/>
      <c r="AV15" s="55" t="s">
        <v>56</v>
      </c>
      <c r="AW15" s="5"/>
      <c r="AX15" s="6"/>
      <c r="AY15" s="48"/>
      <c r="AZ15" s="5"/>
      <c r="BA15" s="6"/>
      <c r="BB15" s="55" t="s">
        <v>186</v>
      </c>
      <c r="BC15" s="5"/>
      <c r="BD15" s="6"/>
      <c r="BE15" s="57">
        <v>46246.0</v>
      </c>
      <c r="BF15" s="5"/>
      <c r="BG15" s="6"/>
      <c r="BH15" s="48"/>
      <c r="BI15" s="5"/>
      <c r="BJ15" s="6"/>
      <c r="BK15" s="49" t="s">
        <v>211</v>
      </c>
      <c r="BL15" s="5"/>
      <c r="BM15" s="5"/>
      <c r="BN15" s="5"/>
      <c r="BO15" s="5"/>
      <c r="BP15" s="5"/>
      <c r="BQ15" s="6"/>
    </row>
    <row r="16" ht="447.75" customHeight="1">
      <c r="A16" s="47">
        <v>4.0</v>
      </c>
      <c r="B16" s="49" t="s">
        <v>212</v>
      </c>
      <c r="C16" s="5"/>
      <c r="D16" s="6"/>
      <c r="E16" s="49" t="s">
        <v>213</v>
      </c>
      <c r="F16" s="5"/>
      <c r="G16" s="5"/>
      <c r="H16" s="5"/>
      <c r="I16" s="6"/>
      <c r="J16" s="49" t="s">
        <v>215</v>
      </c>
      <c r="K16" s="5"/>
      <c r="L16" s="5"/>
      <c r="M16" s="5"/>
      <c r="N16" s="5"/>
      <c r="O16" s="5"/>
      <c r="P16" s="6"/>
      <c r="Q16" s="54" t="s">
        <v>216</v>
      </c>
      <c r="R16" s="5"/>
      <c r="S16" s="5"/>
      <c r="T16" s="5"/>
      <c r="U16" s="5"/>
      <c r="V16" s="5"/>
      <c r="W16" s="6"/>
      <c r="X16" s="49" t="s">
        <v>218</v>
      </c>
      <c r="Y16" s="5"/>
      <c r="Z16" s="5"/>
      <c r="AA16" s="5"/>
      <c r="AB16" s="5"/>
      <c r="AC16" s="5"/>
      <c r="AD16" s="6"/>
      <c r="AE16" s="48" t="s">
        <v>207</v>
      </c>
      <c r="AF16" s="6"/>
      <c r="AG16" s="55" t="s">
        <v>56</v>
      </c>
      <c r="AH16" s="5"/>
      <c r="AI16" s="6"/>
      <c r="AJ16" s="48"/>
      <c r="AK16" s="5"/>
      <c r="AL16" s="6"/>
      <c r="AM16" s="56" t="s">
        <v>183</v>
      </c>
      <c r="AN16" s="5"/>
      <c r="AO16" s="6"/>
      <c r="AP16" s="57">
        <v>46190.0</v>
      </c>
      <c r="AQ16" s="5"/>
      <c r="AR16" s="6"/>
      <c r="AS16" s="48"/>
      <c r="AT16" s="5"/>
      <c r="AU16" s="6"/>
      <c r="AV16" s="55" t="s">
        <v>56</v>
      </c>
      <c r="AW16" s="5"/>
      <c r="AX16" s="6"/>
      <c r="AY16" s="48"/>
      <c r="AZ16" s="5"/>
      <c r="BA16" s="6"/>
      <c r="BB16" s="55" t="s">
        <v>186</v>
      </c>
      <c r="BC16" s="5"/>
      <c r="BD16" s="6"/>
      <c r="BE16" s="57">
        <v>46246.0</v>
      </c>
      <c r="BF16" s="5"/>
      <c r="BG16" s="6"/>
      <c r="BH16" s="48"/>
      <c r="BI16" s="5"/>
      <c r="BJ16" s="6"/>
      <c r="BK16" s="49" t="s">
        <v>211</v>
      </c>
      <c r="BL16" s="5"/>
      <c r="BM16" s="5"/>
      <c r="BN16" s="5"/>
      <c r="BO16" s="5"/>
      <c r="BP16" s="5"/>
      <c r="BQ16" s="6"/>
    </row>
    <row r="17" ht="447.75" customHeight="1">
      <c r="A17" s="47">
        <v>5.0</v>
      </c>
      <c r="B17" s="49" t="s">
        <v>223</v>
      </c>
      <c r="C17" s="5"/>
      <c r="D17" s="6"/>
      <c r="E17" s="49" t="s">
        <v>224</v>
      </c>
      <c r="F17" s="5"/>
      <c r="G17" s="5"/>
      <c r="H17" s="5"/>
      <c r="I17" s="6"/>
      <c r="J17" s="49" t="s">
        <v>226</v>
      </c>
      <c r="K17" s="5"/>
      <c r="L17" s="5"/>
      <c r="M17" s="5"/>
      <c r="N17" s="5"/>
      <c r="O17" s="5"/>
      <c r="P17" s="6"/>
      <c r="Q17" s="49" t="s">
        <v>228</v>
      </c>
      <c r="R17" s="5"/>
      <c r="S17" s="5"/>
      <c r="T17" s="5"/>
      <c r="U17" s="5"/>
      <c r="V17" s="5"/>
      <c r="W17" s="6"/>
      <c r="X17" s="49" t="s">
        <v>231</v>
      </c>
      <c r="Y17" s="5"/>
      <c r="Z17" s="5"/>
      <c r="AA17" s="5"/>
      <c r="AB17" s="5"/>
      <c r="AC17" s="5"/>
      <c r="AD17" s="6"/>
      <c r="AE17" s="48" t="s">
        <v>207</v>
      </c>
      <c r="AF17" s="6"/>
      <c r="AG17" s="55" t="s">
        <v>56</v>
      </c>
      <c r="AH17" s="5"/>
      <c r="AI17" s="6"/>
      <c r="AJ17" s="48"/>
      <c r="AK17" s="5"/>
      <c r="AL17" s="6"/>
      <c r="AM17" s="56" t="s">
        <v>183</v>
      </c>
      <c r="AN17" s="5"/>
      <c r="AO17" s="6"/>
      <c r="AP17" s="57">
        <v>46190.0</v>
      </c>
      <c r="AQ17" s="5"/>
      <c r="AR17" s="6"/>
      <c r="AS17" s="48"/>
      <c r="AT17" s="5"/>
      <c r="AU17" s="6"/>
      <c r="AV17" s="55" t="s">
        <v>56</v>
      </c>
      <c r="AW17" s="5"/>
      <c r="AX17" s="6"/>
      <c r="AY17" s="48"/>
      <c r="AZ17" s="5"/>
      <c r="BA17" s="6"/>
      <c r="BB17" s="55" t="s">
        <v>186</v>
      </c>
      <c r="BC17" s="5"/>
      <c r="BD17" s="6"/>
      <c r="BE17" s="57">
        <v>46246.0</v>
      </c>
      <c r="BF17" s="5"/>
      <c r="BG17" s="6"/>
      <c r="BH17" s="48"/>
      <c r="BI17" s="5"/>
      <c r="BJ17" s="6"/>
      <c r="BK17" s="49" t="s">
        <v>211</v>
      </c>
      <c r="BL17" s="5"/>
      <c r="BM17" s="5"/>
      <c r="BN17" s="5"/>
      <c r="BO17" s="5"/>
      <c r="BP17" s="5"/>
      <c r="BQ17" s="6"/>
    </row>
    <row r="18" ht="271.5" customHeight="1">
      <c r="A18" s="47">
        <v>6.0</v>
      </c>
      <c r="B18" s="49" t="s">
        <v>237</v>
      </c>
      <c r="C18" s="5"/>
      <c r="D18" s="6"/>
      <c r="E18" s="49" t="s">
        <v>238</v>
      </c>
      <c r="F18" s="5"/>
      <c r="G18" s="5"/>
      <c r="H18" s="5"/>
      <c r="I18" s="6"/>
      <c r="J18" s="49" t="s">
        <v>239</v>
      </c>
      <c r="K18" s="5"/>
      <c r="L18" s="5"/>
      <c r="M18" s="5"/>
      <c r="N18" s="5"/>
      <c r="O18" s="5"/>
      <c r="P18" s="6"/>
      <c r="Q18" s="49" t="s">
        <v>241</v>
      </c>
      <c r="R18" s="5"/>
      <c r="S18" s="5"/>
      <c r="T18" s="5"/>
      <c r="U18" s="5"/>
      <c r="V18" s="5"/>
      <c r="W18" s="6"/>
      <c r="X18" s="49" t="s">
        <v>243</v>
      </c>
      <c r="Y18" s="5"/>
      <c r="Z18" s="5"/>
      <c r="AA18" s="5"/>
      <c r="AB18" s="5"/>
      <c r="AC18" s="5"/>
      <c r="AD18" s="6"/>
      <c r="AE18" s="48" t="s">
        <v>207</v>
      </c>
      <c r="AF18" s="6"/>
      <c r="AG18" s="55" t="s">
        <v>56</v>
      </c>
      <c r="AH18" s="5"/>
      <c r="AI18" s="6"/>
      <c r="AJ18" s="48"/>
      <c r="AK18" s="5"/>
      <c r="AL18" s="6"/>
      <c r="AM18" s="56" t="s">
        <v>183</v>
      </c>
      <c r="AN18" s="5"/>
      <c r="AO18" s="6"/>
      <c r="AP18" s="57">
        <v>46190.0</v>
      </c>
      <c r="AQ18" s="5"/>
      <c r="AR18" s="6"/>
      <c r="AS18" s="48"/>
      <c r="AT18" s="5"/>
      <c r="AU18" s="6"/>
      <c r="AV18" s="55" t="s">
        <v>56</v>
      </c>
      <c r="AW18" s="5"/>
      <c r="AX18" s="6"/>
      <c r="AY18" s="48"/>
      <c r="AZ18" s="5"/>
      <c r="BA18" s="6"/>
      <c r="BB18" s="55" t="s">
        <v>186</v>
      </c>
      <c r="BC18" s="5"/>
      <c r="BD18" s="6"/>
      <c r="BE18" s="57">
        <v>46246.0</v>
      </c>
      <c r="BF18" s="5"/>
      <c r="BG18" s="6"/>
      <c r="BH18" s="48"/>
      <c r="BI18" s="5"/>
      <c r="BJ18" s="6"/>
      <c r="BK18" s="49" t="s">
        <v>247</v>
      </c>
      <c r="BL18" s="5"/>
      <c r="BM18" s="5"/>
      <c r="BN18" s="5"/>
      <c r="BO18" s="5"/>
      <c r="BP18" s="5"/>
      <c r="BQ18" s="6"/>
    </row>
    <row r="19" ht="207.75" customHeight="1">
      <c r="A19" s="47">
        <v>7.0</v>
      </c>
      <c r="B19" s="49" t="s">
        <v>250</v>
      </c>
      <c r="C19" s="5"/>
      <c r="D19" s="6"/>
      <c r="E19" s="49" t="s">
        <v>251</v>
      </c>
      <c r="F19" s="5"/>
      <c r="G19" s="5"/>
      <c r="H19" s="5"/>
      <c r="I19" s="6"/>
      <c r="J19" s="49" t="s">
        <v>253</v>
      </c>
      <c r="K19" s="5"/>
      <c r="L19" s="5"/>
      <c r="M19" s="5"/>
      <c r="N19" s="5"/>
      <c r="O19" s="5"/>
      <c r="P19" s="6"/>
      <c r="Q19" s="49" t="s">
        <v>255</v>
      </c>
      <c r="R19" s="5"/>
      <c r="S19" s="5"/>
      <c r="T19" s="5"/>
      <c r="U19" s="5"/>
      <c r="V19" s="5"/>
      <c r="W19" s="6"/>
      <c r="X19" s="49" t="s">
        <v>256</v>
      </c>
      <c r="Y19" s="5"/>
      <c r="Z19" s="5"/>
      <c r="AA19" s="5"/>
      <c r="AB19" s="5"/>
      <c r="AC19" s="5"/>
      <c r="AD19" s="6"/>
      <c r="AE19" s="48" t="s">
        <v>207</v>
      </c>
      <c r="AF19" s="6"/>
      <c r="AG19" s="55" t="s">
        <v>56</v>
      </c>
      <c r="AH19" s="5"/>
      <c r="AI19" s="6"/>
      <c r="AJ19" s="48"/>
      <c r="AK19" s="5"/>
      <c r="AL19" s="6"/>
      <c r="AM19" s="56" t="s">
        <v>183</v>
      </c>
      <c r="AN19" s="5"/>
      <c r="AO19" s="6"/>
      <c r="AP19" s="57">
        <v>46190.0</v>
      </c>
      <c r="AQ19" s="5"/>
      <c r="AR19" s="6"/>
      <c r="AS19" s="48"/>
      <c r="AT19" s="5"/>
      <c r="AU19" s="6"/>
      <c r="AV19" s="55" t="s">
        <v>56</v>
      </c>
      <c r="AW19" s="5"/>
      <c r="AX19" s="6"/>
      <c r="AY19" s="48"/>
      <c r="AZ19" s="5"/>
      <c r="BA19" s="6"/>
      <c r="BB19" s="55" t="s">
        <v>186</v>
      </c>
      <c r="BC19" s="5"/>
      <c r="BD19" s="6"/>
      <c r="BE19" s="57">
        <v>46246.0</v>
      </c>
      <c r="BF19" s="5"/>
      <c r="BG19" s="6"/>
      <c r="BH19" s="48"/>
      <c r="BI19" s="5"/>
      <c r="BJ19" s="6"/>
      <c r="BK19" s="49"/>
      <c r="BL19" s="5"/>
      <c r="BM19" s="5"/>
      <c r="BN19" s="5"/>
      <c r="BO19" s="5"/>
      <c r="BP19" s="5"/>
      <c r="BQ19" s="6"/>
    </row>
    <row r="20" ht="288.0" customHeight="1">
      <c r="A20" s="47">
        <v>8.0</v>
      </c>
      <c r="B20" s="49" t="s">
        <v>263</v>
      </c>
      <c r="C20" s="5"/>
      <c r="D20" s="6"/>
      <c r="E20" s="49" t="s">
        <v>264</v>
      </c>
      <c r="F20" s="5"/>
      <c r="G20" s="5"/>
      <c r="H20" s="5"/>
      <c r="I20" s="6"/>
      <c r="J20" s="49" t="s">
        <v>265</v>
      </c>
      <c r="K20" s="5"/>
      <c r="L20" s="5"/>
      <c r="M20" s="5"/>
      <c r="N20" s="5"/>
      <c r="O20" s="5"/>
      <c r="P20" s="6"/>
      <c r="Q20" s="49" t="s">
        <v>272</v>
      </c>
      <c r="R20" s="5"/>
      <c r="S20" s="5"/>
      <c r="T20" s="5"/>
      <c r="U20" s="5"/>
      <c r="V20" s="5"/>
      <c r="W20" s="6"/>
      <c r="X20" s="49" t="s">
        <v>273</v>
      </c>
      <c r="Y20" s="5"/>
      <c r="Z20" s="5"/>
      <c r="AA20" s="5"/>
      <c r="AB20" s="5"/>
      <c r="AC20" s="5"/>
      <c r="AD20" s="6"/>
      <c r="AE20" s="48" t="s">
        <v>180</v>
      </c>
      <c r="AF20" s="6"/>
      <c r="AG20" s="55" t="s">
        <v>56</v>
      </c>
      <c r="AH20" s="5"/>
      <c r="AI20" s="6"/>
      <c r="AJ20" s="48"/>
      <c r="AK20" s="5"/>
      <c r="AL20" s="6"/>
      <c r="AM20" s="56" t="s">
        <v>183</v>
      </c>
      <c r="AN20" s="5"/>
      <c r="AO20" s="6"/>
      <c r="AP20" s="57">
        <v>46190.0</v>
      </c>
      <c r="AQ20" s="5"/>
      <c r="AR20" s="6"/>
      <c r="AS20" s="48"/>
      <c r="AT20" s="5"/>
      <c r="AU20" s="6"/>
      <c r="AV20" s="55" t="s">
        <v>56</v>
      </c>
      <c r="AW20" s="5"/>
      <c r="AX20" s="6"/>
      <c r="AY20" s="48"/>
      <c r="AZ20" s="5"/>
      <c r="BA20" s="6"/>
      <c r="BB20" s="55" t="s">
        <v>186</v>
      </c>
      <c r="BC20" s="5"/>
      <c r="BD20" s="6"/>
      <c r="BE20" s="57">
        <v>46246.0</v>
      </c>
      <c r="BF20" s="5"/>
      <c r="BG20" s="6"/>
      <c r="BH20" s="48"/>
      <c r="BI20" s="5"/>
      <c r="BJ20" s="6"/>
      <c r="BK20" s="49" t="s">
        <v>278</v>
      </c>
      <c r="BL20" s="5"/>
      <c r="BM20" s="5"/>
      <c r="BN20" s="5"/>
      <c r="BO20" s="5"/>
      <c r="BP20" s="5"/>
      <c r="BQ20" s="6"/>
    </row>
    <row r="21" ht="367.5" customHeight="1">
      <c r="A21" s="47">
        <v>9.0</v>
      </c>
      <c r="B21" s="49" t="s">
        <v>280</v>
      </c>
      <c r="C21" s="5"/>
      <c r="D21" s="6"/>
      <c r="E21" s="49" t="s">
        <v>281</v>
      </c>
      <c r="F21" s="5"/>
      <c r="G21" s="5"/>
      <c r="H21" s="5"/>
      <c r="I21" s="6"/>
      <c r="J21" s="49" t="s">
        <v>282</v>
      </c>
      <c r="K21" s="5"/>
      <c r="L21" s="5"/>
      <c r="M21" s="5"/>
      <c r="N21" s="5"/>
      <c r="O21" s="5"/>
      <c r="P21" s="6"/>
      <c r="Q21" s="54" t="s">
        <v>283</v>
      </c>
      <c r="R21" s="5"/>
      <c r="S21" s="5"/>
      <c r="T21" s="5"/>
      <c r="U21" s="5"/>
      <c r="V21" s="5"/>
      <c r="W21" s="6"/>
      <c r="X21" s="54" t="s">
        <v>284</v>
      </c>
      <c r="Y21" s="5"/>
      <c r="Z21" s="5"/>
      <c r="AA21" s="5"/>
      <c r="AB21" s="5"/>
      <c r="AC21" s="5"/>
      <c r="AD21" s="6"/>
      <c r="AE21" s="48" t="s">
        <v>207</v>
      </c>
      <c r="AF21" s="6"/>
      <c r="AG21" s="55" t="s">
        <v>56</v>
      </c>
      <c r="AH21" s="5"/>
      <c r="AI21" s="6"/>
      <c r="AJ21" s="48"/>
      <c r="AK21" s="5"/>
      <c r="AL21" s="6"/>
      <c r="AM21" s="56" t="s">
        <v>183</v>
      </c>
      <c r="AN21" s="5"/>
      <c r="AO21" s="6"/>
      <c r="AP21" s="57">
        <v>46190.0</v>
      </c>
      <c r="AQ21" s="5"/>
      <c r="AR21" s="6"/>
      <c r="AS21" s="48"/>
      <c r="AT21" s="5"/>
      <c r="AU21" s="6"/>
      <c r="AV21" s="55" t="s">
        <v>56</v>
      </c>
      <c r="AW21" s="5"/>
      <c r="AX21" s="6"/>
      <c r="AY21" s="48"/>
      <c r="AZ21" s="5"/>
      <c r="BA21" s="6"/>
      <c r="BB21" s="55" t="s">
        <v>186</v>
      </c>
      <c r="BC21" s="5"/>
      <c r="BD21" s="6"/>
      <c r="BE21" s="57">
        <v>46246.0</v>
      </c>
      <c r="BF21" s="5"/>
      <c r="BG21" s="6"/>
      <c r="BH21" s="48"/>
      <c r="BI21" s="5"/>
      <c r="BJ21" s="6"/>
      <c r="BK21" s="49"/>
      <c r="BL21" s="5"/>
      <c r="BM21" s="5"/>
      <c r="BN21" s="5"/>
      <c r="BO21" s="5"/>
      <c r="BP21" s="5"/>
      <c r="BQ21" s="6"/>
    </row>
    <row r="22" ht="319.5" customHeight="1">
      <c r="A22" s="47">
        <v>10.0</v>
      </c>
      <c r="B22" s="49" t="s">
        <v>288</v>
      </c>
      <c r="C22" s="5"/>
      <c r="D22" s="6"/>
      <c r="E22" s="49" t="s">
        <v>289</v>
      </c>
      <c r="F22" s="5"/>
      <c r="G22" s="5"/>
      <c r="H22" s="5"/>
      <c r="I22" s="6"/>
      <c r="J22" s="49" t="s">
        <v>291</v>
      </c>
      <c r="K22" s="5"/>
      <c r="L22" s="5"/>
      <c r="M22" s="5"/>
      <c r="N22" s="5"/>
      <c r="O22" s="5"/>
      <c r="P22" s="6"/>
      <c r="Q22" s="49" t="s">
        <v>292</v>
      </c>
      <c r="R22" s="5"/>
      <c r="S22" s="5"/>
      <c r="T22" s="5"/>
      <c r="U22" s="5"/>
      <c r="V22" s="5"/>
      <c r="W22" s="6"/>
      <c r="X22" s="49" t="s">
        <v>293</v>
      </c>
      <c r="Y22" s="5"/>
      <c r="Z22" s="5"/>
      <c r="AA22" s="5"/>
      <c r="AB22" s="5"/>
      <c r="AC22" s="5"/>
      <c r="AD22" s="6"/>
      <c r="AE22" s="48" t="s">
        <v>207</v>
      </c>
      <c r="AF22" s="6"/>
      <c r="AG22" s="55" t="s">
        <v>56</v>
      </c>
      <c r="AH22" s="5"/>
      <c r="AI22" s="6"/>
      <c r="AJ22" s="48"/>
      <c r="AK22" s="5"/>
      <c r="AL22" s="6"/>
      <c r="AM22" s="56" t="s">
        <v>183</v>
      </c>
      <c r="AN22" s="5"/>
      <c r="AO22" s="6"/>
      <c r="AP22" s="57">
        <v>46190.0</v>
      </c>
      <c r="AQ22" s="5"/>
      <c r="AR22" s="6"/>
      <c r="AS22" s="48"/>
      <c r="AT22" s="5"/>
      <c r="AU22" s="6"/>
      <c r="AV22" s="55" t="s">
        <v>56</v>
      </c>
      <c r="AW22" s="5"/>
      <c r="AX22" s="6"/>
      <c r="AY22" s="48"/>
      <c r="AZ22" s="5"/>
      <c r="BA22" s="6"/>
      <c r="BB22" s="55" t="s">
        <v>186</v>
      </c>
      <c r="BC22" s="5"/>
      <c r="BD22" s="6"/>
      <c r="BE22" s="57">
        <v>46246.0</v>
      </c>
      <c r="BF22" s="5"/>
      <c r="BG22" s="6"/>
      <c r="BH22" s="48"/>
      <c r="BI22" s="5"/>
      <c r="BJ22" s="6"/>
      <c r="BK22" s="49" t="s">
        <v>299</v>
      </c>
      <c r="BL22" s="5"/>
      <c r="BM22" s="5"/>
      <c r="BN22" s="5"/>
      <c r="BO22" s="5"/>
      <c r="BP22" s="5"/>
      <c r="BQ22" s="6"/>
    </row>
    <row r="23" ht="22.5" customHeight="1">
      <c r="A23" s="11" t="s">
        <v>301</v>
      </c>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6"/>
    </row>
    <row r="24" ht="336.0" customHeight="1">
      <c r="A24" s="47">
        <v>11.0</v>
      </c>
      <c r="B24" s="49" t="s">
        <v>305</v>
      </c>
      <c r="C24" s="5"/>
      <c r="D24" s="6"/>
      <c r="E24" s="49" t="s">
        <v>307</v>
      </c>
      <c r="F24" s="5"/>
      <c r="G24" s="5"/>
      <c r="H24" s="5"/>
      <c r="I24" s="6"/>
      <c r="J24" s="49" t="s">
        <v>308</v>
      </c>
      <c r="K24" s="5"/>
      <c r="L24" s="5"/>
      <c r="M24" s="5"/>
      <c r="N24" s="5"/>
      <c r="O24" s="5"/>
      <c r="P24" s="6"/>
      <c r="Q24" s="54" t="s">
        <v>309</v>
      </c>
      <c r="R24" s="5"/>
      <c r="S24" s="5"/>
      <c r="T24" s="5"/>
      <c r="U24" s="5"/>
      <c r="V24" s="5"/>
      <c r="W24" s="6"/>
      <c r="X24" s="54" t="s">
        <v>310</v>
      </c>
      <c r="Y24" s="5"/>
      <c r="Z24" s="5"/>
      <c r="AA24" s="5"/>
      <c r="AB24" s="5"/>
      <c r="AC24" s="5"/>
      <c r="AD24" s="6"/>
      <c r="AE24" s="48" t="s">
        <v>180</v>
      </c>
      <c r="AF24" s="6"/>
      <c r="AG24" s="55" t="s">
        <v>56</v>
      </c>
      <c r="AH24" s="5"/>
      <c r="AI24" s="6"/>
      <c r="AJ24" s="48"/>
      <c r="AK24" s="5"/>
      <c r="AL24" s="6"/>
      <c r="AM24" s="56" t="s">
        <v>183</v>
      </c>
      <c r="AN24" s="5"/>
      <c r="AO24" s="6"/>
      <c r="AP24" s="57">
        <v>46190.0</v>
      </c>
      <c r="AQ24" s="5"/>
      <c r="AR24" s="6"/>
      <c r="AS24" s="48"/>
      <c r="AT24" s="5"/>
      <c r="AU24" s="6"/>
      <c r="AV24" s="55" t="s">
        <v>56</v>
      </c>
      <c r="AW24" s="5"/>
      <c r="AX24" s="6"/>
      <c r="AY24" s="48"/>
      <c r="AZ24" s="5"/>
      <c r="BA24" s="6"/>
      <c r="BB24" s="55" t="s">
        <v>186</v>
      </c>
      <c r="BC24" s="5"/>
      <c r="BD24" s="6"/>
      <c r="BE24" s="57">
        <v>46247.0</v>
      </c>
      <c r="BF24" s="5"/>
      <c r="BG24" s="6"/>
      <c r="BH24" s="48"/>
      <c r="BI24" s="5"/>
      <c r="BJ24" s="6"/>
      <c r="BK24" s="49"/>
      <c r="BL24" s="5"/>
      <c r="BM24" s="5"/>
      <c r="BN24" s="5"/>
      <c r="BO24" s="5"/>
      <c r="BP24" s="5"/>
      <c r="BQ24" s="6"/>
    </row>
    <row r="25" ht="271.5" customHeight="1">
      <c r="A25" s="47">
        <v>12.0</v>
      </c>
      <c r="B25" s="49" t="s">
        <v>318</v>
      </c>
      <c r="C25" s="5"/>
      <c r="D25" s="6"/>
      <c r="E25" s="49" t="s">
        <v>319</v>
      </c>
      <c r="F25" s="5"/>
      <c r="G25" s="5"/>
      <c r="H25" s="5"/>
      <c r="I25" s="6"/>
      <c r="J25" s="49" t="s">
        <v>308</v>
      </c>
      <c r="K25" s="5"/>
      <c r="L25" s="5"/>
      <c r="M25" s="5"/>
      <c r="N25" s="5"/>
      <c r="O25" s="5"/>
      <c r="P25" s="6"/>
      <c r="Q25" s="54" t="s">
        <v>321</v>
      </c>
      <c r="R25" s="5"/>
      <c r="S25" s="5"/>
      <c r="T25" s="5"/>
      <c r="U25" s="5"/>
      <c r="V25" s="5"/>
      <c r="W25" s="6"/>
      <c r="X25" s="49" t="s">
        <v>323</v>
      </c>
      <c r="Y25" s="5"/>
      <c r="Z25" s="5"/>
      <c r="AA25" s="5"/>
      <c r="AB25" s="5"/>
      <c r="AC25" s="5"/>
      <c r="AD25" s="6"/>
      <c r="AE25" s="48" t="s">
        <v>180</v>
      </c>
      <c r="AF25" s="6"/>
      <c r="AG25" s="55" t="s">
        <v>56</v>
      </c>
      <c r="AH25" s="5"/>
      <c r="AI25" s="6"/>
      <c r="AJ25" s="48"/>
      <c r="AK25" s="5"/>
      <c r="AL25" s="6"/>
      <c r="AM25" s="56" t="s">
        <v>183</v>
      </c>
      <c r="AN25" s="5"/>
      <c r="AO25" s="6"/>
      <c r="AP25" s="57">
        <v>46190.0</v>
      </c>
      <c r="AQ25" s="5"/>
      <c r="AR25" s="6"/>
      <c r="AS25" s="48"/>
      <c r="AT25" s="5"/>
      <c r="AU25" s="6"/>
      <c r="AV25" s="55" t="s">
        <v>56</v>
      </c>
      <c r="AW25" s="5"/>
      <c r="AX25" s="6"/>
      <c r="AY25" s="48"/>
      <c r="AZ25" s="5"/>
      <c r="BA25" s="6"/>
      <c r="BB25" s="55" t="s">
        <v>186</v>
      </c>
      <c r="BC25" s="5"/>
      <c r="BD25" s="6"/>
      <c r="BE25" s="57">
        <v>46247.0</v>
      </c>
      <c r="BF25" s="5"/>
      <c r="BG25" s="6"/>
      <c r="BH25" s="48"/>
      <c r="BI25" s="5"/>
      <c r="BJ25" s="6"/>
      <c r="BK25" s="49"/>
      <c r="BL25" s="5"/>
      <c r="BM25" s="5"/>
      <c r="BN25" s="5"/>
      <c r="BO25" s="5"/>
      <c r="BP25" s="5"/>
      <c r="BQ25" s="6"/>
    </row>
    <row r="26" ht="223.5" customHeight="1">
      <c r="A26" s="47">
        <v>13.0</v>
      </c>
      <c r="B26" s="49" t="s">
        <v>325</v>
      </c>
      <c r="C26" s="5"/>
      <c r="D26" s="6"/>
      <c r="E26" s="49" t="s">
        <v>326</v>
      </c>
      <c r="F26" s="5"/>
      <c r="G26" s="5"/>
      <c r="H26" s="5"/>
      <c r="I26" s="6"/>
      <c r="J26" s="49" t="s">
        <v>308</v>
      </c>
      <c r="K26" s="5"/>
      <c r="L26" s="5"/>
      <c r="M26" s="5"/>
      <c r="N26" s="5"/>
      <c r="O26" s="5"/>
      <c r="P26" s="6"/>
      <c r="Q26" s="49" t="s">
        <v>329</v>
      </c>
      <c r="R26" s="5"/>
      <c r="S26" s="5"/>
      <c r="T26" s="5"/>
      <c r="U26" s="5"/>
      <c r="V26" s="5"/>
      <c r="W26" s="6"/>
      <c r="X26" s="49" t="s">
        <v>331</v>
      </c>
      <c r="Y26" s="5"/>
      <c r="Z26" s="5"/>
      <c r="AA26" s="5"/>
      <c r="AB26" s="5"/>
      <c r="AC26" s="5"/>
      <c r="AD26" s="6"/>
      <c r="AE26" s="48" t="s">
        <v>180</v>
      </c>
      <c r="AF26" s="6"/>
      <c r="AG26" s="55" t="s">
        <v>56</v>
      </c>
      <c r="AH26" s="5"/>
      <c r="AI26" s="6"/>
      <c r="AJ26" s="48"/>
      <c r="AK26" s="5"/>
      <c r="AL26" s="6"/>
      <c r="AM26" s="56" t="s">
        <v>183</v>
      </c>
      <c r="AN26" s="5"/>
      <c r="AO26" s="6"/>
      <c r="AP26" s="57">
        <v>46190.0</v>
      </c>
      <c r="AQ26" s="5"/>
      <c r="AR26" s="6"/>
      <c r="AS26" s="48"/>
      <c r="AT26" s="5"/>
      <c r="AU26" s="6"/>
      <c r="AV26" s="55" t="s">
        <v>56</v>
      </c>
      <c r="AW26" s="5"/>
      <c r="AX26" s="6"/>
      <c r="AY26" s="48"/>
      <c r="AZ26" s="5"/>
      <c r="BA26" s="6"/>
      <c r="BB26" s="55" t="s">
        <v>186</v>
      </c>
      <c r="BC26" s="5"/>
      <c r="BD26" s="6"/>
      <c r="BE26" s="57">
        <v>46247.0</v>
      </c>
      <c r="BF26" s="5"/>
      <c r="BG26" s="6"/>
      <c r="BH26" s="48"/>
      <c r="BI26" s="5"/>
      <c r="BJ26" s="6"/>
      <c r="BK26" s="49"/>
      <c r="BL26" s="5"/>
      <c r="BM26" s="5"/>
      <c r="BN26" s="5"/>
      <c r="BO26" s="5"/>
      <c r="BP26" s="5"/>
      <c r="BQ26" s="6"/>
    </row>
    <row r="27" ht="223.5" customHeight="1">
      <c r="A27" s="47">
        <v>14.0</v>
      </c>
      <c r="B27" s="49" t="s">
        <v>337</v>
      </c>
      <c r="C27" s="5"/>
      <c r="D27" s="6"/>
      <c r="E27" s="49" t="s">
        <v>338</v>
      </c>
      <c r="F27" s="5"/>
      <c r="G27" s="5"/>
      <c r="H27" s="5"/>
      <c r="I27" s="6"/>
      <c r="J27" s="49" t="s">
        <v>308</v>
      </c>
      <c r="K27" s="5"/>
      <c r="L27" s="5"/>
      <c r="M27" s="5"/>
      <c r="N27" s="5"/>
      <c r="O27" s="5"/>
      <c r="P27" s="6"/>
      <c r="Q27" s="54" t="s">
        <v>339</v>
      </c>
      <c r="R27" s="5"/>
      <c r="S27" s="5"/>
      <c r="T27" s="5"/>
      <c r="U27" s="5"/>
      <c r="V27" s="5"/>
      <c r="W27" s="6"/>
      <c r="X27" s="49" t="s">
        <v>341</v>
      </c>
      <c r="Y27" s="5"/>
      <c r="Z27" s="5"/>
      <c r="AA27" s="5"/>
      <c r="AB27" s="5"/>
      <c r="AC27" s="5"/>
      <c r="AD27" s="6"/>
      <c r="AE27" s="48" t="s">
        <v>180</v>
      </c>
      <c r="AF27" s="6"/>
      <c r="AG27" s="55" t="s">
        <v>56</v>
      </c>
      <c r="AH27" s="5"/>
      <c r="AI27" s="6"/>
      <c r="AJ27" s="48"/>
      <c r="AK27" s="5"/>
      <c r="AL27" s="6"/>
      <c r="AM27" s="56" t="s">
        <v>183</v>
      </c>
      <c r="AN27" s="5"/>
      <c r="AO27" s="6"/>
      <c r="AP27" s="57">
        <v>46190.0</v>
      </c>
      <c r="AQ27" s="5"/>
      <c r="AR27" s="6"/>
      <c r="AS27" s="48"/>
      <c r="AT27" s="5"/>
      <c r="AU27" s="6"/>
      <c r="AV27" s="55" t="s">
        <v>56</v>
      </c>
      <c r="AW27" s="5"/>
      <c r="AX27" s="6"/>
      <c r="AY27" s="48"/>
      <c r="AZ27" s="5"/>
      <c r="BA27" s="6"/>
      <c r="BB27" s="55" t="s">
        <v>186</v>
      </c>
      <c r="BC27" s="5"/>
      <c r="BD27" s="6"/>
      <c r="BE27" s="57">
        <v>46247.0</v>
      </c>
      <c r="BF27" s="5"/>
      <c r="BG27" s="6"/>
      <c r="BH27" s="48"/>
      <c r="BI27" s="5"/>
      <c r="BJ27" s="6"/>
      <c r="BK27" s="49"/>
      <c r="BL27" s="5"/>
      <c r="BM27" s="5"/>
      <c r="BN27" s="5"/>
      <c r="BO27" s="5"/>
      <c r="BP27" s="5"/>
      <c r="BQ27" s="6"/>
    </row>
    <row r="28" ht="207.75" customHeight="1">
      <c r="A28" s="47">
        <v>15.0</v>
      </c>
      <c r="B28" s="49" t="s">
        <v>348</v>
      </c>
      <c r="C28" s="5"/>
      <c r="D28" s="6"/>
      <c r="E28" s="49" t="s">
        <v>349</v>
      </c>
      <c r="F28" s="5"/>
      <c r="G28" s="5"/>
      <c r="H28" s="5"/>
      <c r="I28" s="6"/>
      <c r="J28" s="49" t="s">
        <v>350</v>
      </c>
      <c r="K28" s="5"/>
      <c r="L28" s="5"/>
      <c r="M28" s="5"/>
      <c r="N28" s="5"/>
      <c r="O28" s="5"/>
      <c r="P28" s="6"/>
      <c r="Q28" s="54" t="s">
        <v>353</v>
      </c>
      <c r="R28" s="5"/>
      <c r="S28" s="5"/>
      <c r="T28" s="5"/>
      <c r="U28" s="5"/>
      <c r="V28" s="5"/>
      <c r="W28" s="6"/>
      <c r="X28" s="49" t="s">
        <v>355</v>
      </c>
      <c r="Y28" s="5"/>
      <c r="Z28" s="5"/>
      <c r="AA28" s="5"/>
      <c r="AB28" s="5"/>
      <c r="AC28" s="5"/>
      <c r="AD28" s="6"/>
      <c r="AE28" s="48" t="s">
        <v>180</v>
      </c>
      <c r="AF28" s="6"/>
      <c r="AG28" s="55" t="s">
        <v>56</v>
      </c>
      <c r="AH28" s="5"/>
      <c r="AI28" s="6"/>
      <c r="AJ28" s="48"/>
      <c r="AK28" s="5"/>
      <c r="AL28" s="6"/>
      <c r="AM28" s="56" t="s">
        <v>183</v>
      </c>
      <c r="AN28" s="5"/>
      <c r="AO28" s="6"/>
      <c r="AP28" s="57">
        <v>46190.0</v>
      </c>
      <c r="AQ28" s="5"/>
      <c r="AR28" s="6"/>
      <c r="AS28" s="48"/>
      <c r="AT28" s="5"/>
      <c r="AU28" s="6"/>
      <c r="AV28" s="55" t="s">
        <v>56</v>
      </c>
      <c r="AW28" s="5"/>
      <c r="AX28" s="6"/>
      <c r="AY28" s="48"/>
      <c r="AZ28" s="5"/>
      <c r="BA28" s="6"/>
      <c r="BB28" s="55" t="s">
        <v>186</v>
      </c>
      <c r="BC28" s="5"/>
      <c r="BD28" s="6"/>
      <c r="BE28" s="57">
        <v>46247.0</v>
      </c>
      <c r="BF28" s="5"/>
      <c r="BG28" s="6"/>
      <c r="BH28" s="48"/>
      <c r="BI28" s="5"/>
      <c r="BJ28" s="6"/>
      <c r="BK28" s="49"/>
      <c r="BL28" s="5"/>
      <c r="BM28" s="5"/>
      <c r="BN28" s="5"/>
      <c r="BO28" s="5"/>
      <c r="BP28" s="5"/>
      <c r="BQ28" s="6"/>
    </row>
    <row r="29" ht="240.0" customHeight="1">
      <c r="A29" s="47">
        <v>16.0</v>
      </c>
      <c r="B29" s="49" t="s">
        <v>360</v>
      </c>
      <c r="C29" s="5"/>
      <c r="D29" s="6"/>
      <c r="E29" s="49" t="s">
        <v>361</v>
      </c>
      <c r="F29" s="5"/>
      <c r="G29" s="5"/>
      <c r="H29" s="5"/>
      <c r="I29" s="6"/>
      <c r="J29" s="49" t="s">
        <v>362</v>
      </c>
      <c r="K29" s="5"/>
      <c r="L29" s="5"/>
      <c r="M29" s="5"/>
      <c r="N29" s="5"/>
      <c r="O29" s="5"/>
      <c r="P29" s="6"/>
      <c r="Q29" s="54" t="s">
        <v>363</v>
      </c>
      <c r="R29" s="5"/>
      <c r="S29" s="5"/>
      <c r="T29" s="5"/>
      <c r="U29" s="5"/>
      <c r="V29" s="5"/>
      <c r="W29" s="6"/>
      <c r="X29" s="54" t="s">
        <v>364</v>
      </c>
      <c r="Y29" s="5"/>
      <c r="Z29" s="5"/>
      <c r="AA29" s="5"/>
      <c r="AB29" s="5"/>
      <c r="AC29" s="5"/>
      <c r="AD29" s="6"/>
      <c r="AE29" s="48" t="s">
        <v>180</v>
      </c>
      <c r="AF29" s="6"/>
      <c r="AG29" s="55" t="s">
        <v>56</v>
      </c>
      <c r="AH29" s="5"/>
      <c r="AI29" s="6"/>
      <c r="AJ29" s="48"/>
      <c r="AK29" s="5"/>
      <c r="AL29" s="6"/>
      <c r="AM29" s="56" t="s">
        <v>183</v>
      </c>
      <c r="AN29" s="5"/>
      <c r="AO29" s="6"/>
      <c r="AP29" s="57">
        <v>46190.0</v>
      </c>
      <c r="AQ29" s="5"/>
      <c r="AR29" s="6"/>
      <c r="AS29" s="48"/>
      <c r="AT29" s="5"/>
      <c r="AU29" s="6"/>
      <c r="AV29" s="55" t="s">
        <v>56</v>
      </c>
      <c r="AW29" s="5"/>
      <c r="AX29" s="6"/>
      <c r="AY29" s="48"/>
      <c r="AZ29" s="5"/>
      <c r="BA29" s="6"/>
      <c r="BB29" s="55" t="s">
        <v>186</v>
      </c>
      <c r="BC29" s="5"/>
      <c r="BD29" s="6"/>
      <c r="BE29" s="57">
        <v>46247.0</v>
      </c>
      <c r="BF29" s="5"/>
      <c r="BG29" s="6"/>
      <c r="BH29" s="48"/>
      <c r="BI29" s="5"/>
      <c r="BJ29" s="6"/>
      <c r="BK29" s="49"/>
      <c r="BL29" s="5"/>
      <c r="BM29" s="5"/>
      <c r="BN29" s="5"/>
      <c r="BO29" s="5"/>
      <c r="BP29" s="5"/>
      <c r="BQ29" s="6"/>
    </row>
    <row r="30" ht="144.0" customHeight="1">
      <c r="A30" s="47">
        <v>17.0</v>
      </c>
      <c r="B30" s="49" t="s">
        <v>365</v>
      </c>
      <c r="C30" s="5"/>
      <c r="D30" s="6"/>
      <c r="E30" s="49" t="s">
        <v>366</v>
      </c>
      <c r="F30" s="5"/>
      <c r="G30" s="5"/>
      <c r="H30" s="5"/>
      <c r="I30" s="6"/>
      <c r="J30" s="49" t="s">
        <v>367</v>
      </c>
      <c r="K30" s="5"/>
      <c r="L30" s="5"/>
      <c r="M30" s="5"/>
      <c r="N30" s="5"/>
      <c r="O30" s="5"/>
      <c r="P30" s="6"/>
      <c r="Q30" s="49" t="s">
        <v>368</v>
      </c>
      <c r="R30" s="5"/>
      <c r="S30" s="5"/>
      <c r="T30" s="5"/>
      <c r="U30" s="5"/>
      <c r="V30" s="5"/>
      <c r="W30" s="6"/>
      <c r="X30" s="49" t="s">
        <v>369</v>
      </c>
      <c r="Y30" s="5"/>
      <c r="Z30" s="5"/>
      <c r="AA30" s="5"/>
      <c r="AB30" s="5"/>
      <c r="AC30" s="5"/>
      <c r="AD30" s="6"/>
      <c r="AE30" s="48" t="s">
        <v>180</v>
      </c>
      <c r="AF30" s="6"/>
      <c r="AG30" s="55" t="s">
        <v>56</v>
      </c>
      <c r="AH30" s="5"/>
      <c r="AI30" s="6"/>
      <c r="AJ30" s="48"/>
      <c r="AK30" s="5"/>
      <c r="AL30" s="6"/>
      <c r="AM30" s="56" t="s">
        <v>183</v>
      </c>
      <c r="AN30" s="5"/>
      <c r="AO30" s="6"/>
      <c r="AP30" s="57">
        <v>46190.0</v>
      </c>
      <c r="AQ30" s="5"/>
      <c r="AR30" s="6"/>
      <c r="AS30" s="48"/>
      <c r="AT30" s="5"/>
      <c r="AU30" s="6"/>
      <c r="AV30" s="55" t="s">
        <v>56</v>
      </c>
      <c r="AW30" s="5"/>
      <c r="AX30" s="6"/>
      <c r="AY30" s="48"/>
      <c r="AZ30" s="5"/>
      <c r="BA30" s="6"/>
      <c r="BB30" s="55" t="s">
        <v>186</v>
      </c>
      <c r="BC30" s="5"/>
      <c r="BD30" s="6"/>
      <c r="BE30" s="57">
        <v>46247.0</v>
      </c>
      <c r="BF30" s="5"/>
      <c r="BG30" s="6"/>
      <c r="BH30" s="48"/>
      <c r="BI30" s="5"/>
      <c r="BJ30" s="6"/>
      <c r="BK30" s="49"/>
      <c r="BL30" s="5"/>
      <c r="BM30" s="5"/>
      <c r="BN30" s="5"/>
      <c r="BO30" s="5"/>
      <c r="BP30" s="5"/>
      <c r="BQ30" s="6"/>
    </row>
    <row r="31" ht="192.0" customHeight="1">
      <c r="A31" s="47">
        <v>18.0</v>
      </c>
      <c r="B31" s="49" t="s">
        <v>370</v>
      </c>
      <c r="C31" s="5"/>
      <c r="D31" s="6"/>
      <c r="E31" s="49" t="s">
        <v>371</v>
      </c>
      <c r="F31" s="5"/>
      <c r="G31" s="5"/>
      <c r="H31" s="5"/>
      <c r="I31" s="6"/>
      <c r="J31" s="49" t="s">
        <v>308</v>
      </c>
      <c r="K31" s="5"/>
      <c r="L31" s="5"/>
      <c r="M31" s="5"/>
      <c r="N31" s="5"/>
      <c r="O31" s="5"/>
      <c r="P31" s="6"/>
      <c r="Q31" s="49" t="s">
        <v>372</v>
      </c>
      <c r="R31" s="5"/>
      <c r="S31" s="5"/>
      <c r="T31" s="5"/>
      <c r="U31" s="5"/>
      <c r="V31" s="5"/>
      <c r="W31" s="6"/>
      <c r="X31" s="49" t="s">
        <v>373</v>
      </c>
      <c r="Y31" s="5"/>
      <c r="Z31" s="5"/>
      <c r="AA31" s="5"/>
      <c r="AB31" s="5"/>
      <c r="AC31" s="5"/>
      <c r="AD31" s="6"/>
      <c r="AE31" s="48" t="s">
        <v>180</v>
      </c>
      <c r="AF31" s="6"/>
      <c r="AG31" s="55" t="s">
        <v>56</v>
      </c>
      <c r="AH31" s="5"/>
      <c r="AI31" s="6"/>
      <c r="AJ31" s="48"/>
      <c r="AK31" s="5"/>
      <c r="AL31" s="6"/>
      <c r="AM31" s="56" t="s">
        <v>183</v>
      </c>
      <c r="AN31" s="5"/>
      <c r="AO31" s="6"/>
      <c r="AP31" s="57">
        <v>46190.0</v>
      </c>
      <c r="AQ31" s="5"/>
      <c r="AR31" s="6"/>
      <c r="AS31" s="48"/>
      <c r="AT31" s="5"/>
      <c r="AU31" s="6"/>
      <c r="AV31" s="55" t="s">
        <v>56</v>
      </c>
      <c r="AW31" s="5"/>
      <c r="AX31" s="6"/>
      <c r="AY31" s="48"/>
      <c r="AZ31" s="5"/>
      <c r="BA31" s="6"/>
      <c r="BB31" s="55" t="s">
        <v>186</v>
      </c>
      <c r="BC31" s="5"/>
      <c r="BD31" s="6"/>
      <c r="BE31" s="57">
        <v>46247.0</v>
      </c>
      <c r="BF31" s="5"/>
      <c r="BG31" s="6"/>
      <c r="BH31" s="48"/>
      <c r="BI31" s="5"/>
      <c r="BJ31" s="6"/>
      <c r="BK31" s="49"/>
      <c r="BL31" s="5"/>
      <c r="BM31" s="5"/>
      <c r="BN31" s="5"/>
      <c r="BO31" s="5"/>
      <c r="BP31" s="5"/>
      <c r="BQ31" s="6"/>
    </row>
    <row r="32" ht="319.5" customHeight="1">
      <c r="A32" s="47">
        <v>19.0</v>
      </c>
      <c r="B32" s="49" t="s">
        <v>374</v>
      </c>
      <c r="C32" s="5"/>
      <c r="D32" s="6"/>
      <c r="E32" s="49" t="s">
        <v>375</v>
      </c>
      <c r="F32" s="5"/>
      <c r="G32" s="5"/>
      <c r="H32" s="5"/>
      <c r="I32" s="6"/>
      <c r="J32" s="49" t="s">
        <v>308</v>
      </c>
      <c r="K32" s="5"/>
      <c r="L32" s="5"/>
      <c r="M32" s="5"/>
      <c r="N32" s="5"/>
      <c r="O32" s="5"/>
      <c r="P32" s="6"/>
      <c r="Q32" s="49" t="s">
        <v>376</v>
      </c>
      <c r="R32" s="5"/>
      <c r="S32" s="5"/>
      <c r="T32" s="5"/>
      <c r="U32" s="5"/>
      <c r="V32" s="5"/>
      <c r="W32" s="6"/>
      <c r="X32" s="49" t="s">
        <v>377</v>
      </c>
      <c r="Y32" s="5"/>
      <c r="Z32" s="5"/>
      <c r="AA32" s="5"/>
      <c r="AB32" s="5"/>
      <c r="AC32" s="5"/>
      <c r="AD32" s="6"/>
      <c r="AE32" s="48" t="s">
        <v>180</v>
      </c>
      <c r="AF32" s="6"/>
      <c r="AG32" s="55" t="s">
        <v>56</v>
      </c>
      <c r="AH32" s="5"/>
      <c r="AI32" s="6"/>
      <c r="AJ32" s="48"/>
      <c r="AK32" s="5"/>
      <c r="AL32" s="6"/>
      <c r="AM32" s="56" t="s">
        <v>183</v>
      </c>
      <c r="AN32" s="5"/>
      <c r="AO32" s="6"/>
      <c r="AP32" s="57">
        <v>46190.0</v>
      </c>
      <c r="AQ32" s="5"/>
      <c r="AR32" s="6"/>
      <c r="AS32" s="48"/>
      <c r="AT32" s="5"/>
      <c r="AU32" s="6"/>
      <c r="AV32" s="55" t="s">
        <v>56</v>
      </c>
      <c r="AW32" s="5"/>
      <c r="AX32" s="6"/>
      <c r="AY32" s="48"/>
      <c r="AZ32" s="5"/>
      <c r="BA32" s="6"/>
      <c r="BB32" s="55" t="s">
        <v>186</v>
      </c>
      <c r="BC32" s="5"/>
      <c r="BD32" s="6"/>
      <c r="BE32" s="57">
        <v>46247.0</v>
      </c>
      <c r="BF32" s="5"/>
      <c r="BG32" s="6"/>
      <c r="BH32" s="48"/>
      <c r="BI32" s="5"/>
      <c r="BJ32" s="6"/>
      <c r="BK32" s="49" t="s">
        <v>378</v>
      </c>
      <c r="BL32" s="5"/>
      <c r="BM32" s="5"/>
      <c r="BN32" s="5"/>
      <c r="BO32" s="5"/>
      <c r="BP32" s="5"/>
      <c r="BQ32" s="6"/>
    </row>
    <row r="33" ht="22.5" customHeight="1">
      <c r="A33" s="11" t="s">
        <v>379</v>
      </c>
      <c r="B33" s="5"/>
      <c r="C33" s="5"/>
      <c r="D33" s="5"/>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c r="BP33" s="5"/>
      <c r="BQ33" s="6"/>
    </row>
    <row r="34" ht="127.5" customHeight="1">
      <c r="A34" s="47">
        <v>20.0</v>
      </c>
      <c r="B34" s="49" t="s">
        <v>380</v>
      </c>
      <c r="C34" s="5"/>
      <c r="D34" s="6"/>
      <c r="E34" s="49" t="s">
        <v>381</v>
      </c>
      <c r="F34" s="5"/>
      <c r="G34" s="5"/>
      <c r="H34" s="5"/>
      <c r="I34" s="6"/>
      <c r="J34" s="49" t="s">
        <v>308</v>
      </c>
      <c r="K34" s="5"/>
      <c r="L34" s="5"/>
      <c r="M34" s="5"/>
      <c r="N34" s="5"/>
      <c r="O34" s="5"/>
      <c r="P34" s="6"/>
      <c r="Q34" s="49" t="s">
        <v>382</v>
      </c>
      <c r="R34" s="5"/>
      <c r="S34" s="5"/>
      <c r="T34" s="5"/>
      <c r="U34" s="5"/>
      <c r="V34" s="5"/>
      <c r="W34" s="6"/>
      <c r="X34" s="49" t="s">
        <v>383</v>
      </c>
      <c r="Y34" s="5"/>
      <c r="Z34" s="5"/>
      <c r="AA34" s="5"/>
      <c r="AB34" s="5"/>
      <c r="AC34" s="5"/>
      <c r="AD34" s="6"/>
      <c r="AE34" s="48" t="s">
        <v>180</v>
      </c>
      <c r="AF34" s="6"/>
      <c r="AG34" s="55" t="s">
        <v>56</v>
      </c>
      <c r="AH34" s="5"/>
      <c r="AI34" s="6"/>
      <c r="AJ34" s="48"/>
      <c r="AK34" s="5"/>
      <c r="AL34" s="6"/>
      <c r="AM34" s="56" t="s">
        <v>183</v>
      </c>
      <c r="AN34" s="5"/>
      <c r="AO34" s="6"/>
      <c r="AP34" s="57">
        <v>46190.0</v>
      </c>
      <c r="AQ34" s="5"/>
      <c r="AR34" s="6"/>
      <c r="AS34" s="48"/>
      <c r="AT34" s="5"/>
      <c r="AU34" s="6"/>
      <c r="AV34" s="55" t="s">
        <v>56</v>
      </c>
      <c r="AW34" s="5"/>
      <c r="AX34" s="6"/>
      <c r="AY34" s="48"/>
      <c r="AZ34" s="5"/>
      <c r="BA34" s="6"/>
      <c r="BB34" s="55" t="s">
        <v>186</v>
      </c>
      <c r="BC34" s="5"/>
      <c r="BD34" s="6"/>
      <c r="BE34" s="57">
        <v>46247.0</v>
      </c>
      <c r="BF34" s="5"/>
      <c r="BG34" s="6"/>
      <c r="BH34" s="48"/>
      <c r="BI34" s="5"/>
      <c r="BJ34" s="6"/>
      <c r="BK34" s="49"/>
      <c r="BL34" s="5"/>
      <c r="BM34" s="5"/>
      <c r="BN34" s="5"/>
      <c r="BO34" s="5"/>
      <c r="BP34" s="5"/>
      <c r="BQ34" s="6"/>
    </row>
    <row r="35" ht="48.0" customHeight="1">
      <c r="A35" s="47">
        <v>21.0</v>
      </c>
      <c r="B35" s="49" t="s">
        <v>384</v>
      </c>
      <c r="C35" s="5"/>
      <c r="D35" s="6"/>
      <c r="E35" s="49" t="s">
        <v>385</v>
      </c>
      <c r="F35" s="5"/>
      <c r="G35" s="5"/>
      <c r="H35" s="5"/>
      <c r="I35" s="6"/>
      <c r="J35" s="49" t="s">
        <v>308</v>
      </c>
      <c r="K35" s="5"/>
      <c r="L35" s="5"/>
      <c r="M35" s="5"/>
      <c r="N35" s="5"/>
      <c r="O35" s="5"/>
      <c r="P35" s="6"/>
      <c r="Q35" s="49" t="s">
        <v>386</v>
      </c>
      <c r="R35" s="5"/>
      <c r="S35" s="5"/>
      <c r="T35" s="5"/>
      <c r="U35" s="5"/>
      <c r="V35" s="5"/>
      <c r="W35" s="6"/>
      <c r="X35" s="54" t="s">
        <v>387</v>
      </c>
      <c r="Y35" s="5"/>
      <c r="Z35" s="5"/>
      <c r="AA35" s="5"/>
      <c r="AB35" s="5"/>
      <c r="AC35" s="5"/>
      <c r="AD35" s="6"/>
      <c r="AE35" s="48" t="s">
        <v>180</v>
      </c>
      <c r="AF35" s="6"/>
      <c r="AG35" s="55" t="s">
        <v>56</v>
      </c>
      <c r="AH35" s="5"/>
      <c r="AI35" s="6"/>
      <c r="AJ35" s="48"/>
      <c r="AK35" s="5"/>
      <c r="AL35" s="6"/>
      <c r="AM35" s="56" t="s">
        <v>183</v>
      </c>
      <c r="AN35" s="5"/>
      <c r="AO35" s="6"/>
      <c r="AP35" s="57">
        <v>46190.0</v>
      </c>
      <c r="AQ35" s="5"/>
      <c r="AR35" s="6"/>
      <c r="AS35" s="48"/>
      <c r="AT35" s="5"/>
      <c r="AU35" s="6"/>
      <c r="AV35" s="55" t="s">
        <v>56</v>
      </c>
      <c r="AW35" s="5"/>
      <c r="AX35" s="6"/>
      <c r="AY35" s="48"/>
      <c r="AZ35" s="5"/>
      <c r="BA35" s="6"/>
      <c r="BB35" s="55" t="s">
        <v>186</v>
      </c>
      <c r="BC35" s="5"/>
      <c r="BD35" s="6"/>
      <c r="BE35" s="57">
        <v>46247.0</v>
      </c>
      <c r="BF35" s="5"/>
      <c r="BG35" s="6"/>
      <c r="BH35" s="48"/>
      <c r="BI35" s="5"/>
      <c r="BJ35" s="6"/>
      <c r="BK35" s="49"/>
      <c r="BL35" s="5"/>
      <c r="BM35" s="5"/>
      <c r="BN35" s="5"/>
      <c r="BO35" s="5"/>
      <c r="BP35" s="5"/>
      <c r="BQ35" s="6"/>
    </row>
    <row r="36" ht="63.75" customHeight="1">
      <c r="A36" s="47">
        <v>22.0</v>
      </c>
      <c r="B36" s="49" t="s">
        <v>388</v>
      </c>
      <c r="C36" s="5"/>
      <c r="D36" s="6"/>
      <c r="E36" s="49" t="s">
        <v>389</v>
      </c>
      <c r="F36" s="5"/>
      <c r="G36" s="5"/>
      <c r="H36" s="5"/>
      <c r="I36" s="6"/>
      <c r="J36" s="49" t="s">
        <v>308</v>
      </c>
      <c r="K36" s="5"/>
      <c r="L36" s="5"/>
      <c r="M36" s="5"/>
      <c r="N36" s="5"/>
      <c r="O36" s="5"/>
      <c r="P36" s="6"/>
      <c r="Q36" s="49" t="s">
        <v>390</v>
      </c>
      <c r="R36" s="5"/>
      <c r="S36" s="5"/>
      <c r="T36" s="5"/>
      <c r="U36" s="5"/>
      <c r="V36" s="5"/>
      <c r="W36" s="6"/>
      <c r="X36" s="49" t="s">
        <v>391</v>
      </c>
      <c r="Y36" s="5"/>
      <c r="Z36" s="5"/>
      <c r="AA36" s="5"/>
      <c r="AB36" s="5"/>
      <c r="AC36" s="5"/>
      <c r="AD36" s="6"/>
      <c r="AE36" s="48" t="s">
        <v>180</v>
      </c>
      <c r="AF36" s="6"/>
      <c r="AG36" s="55" t="s">
        <v>56</v>
      </c>
      <c r="AH36" s="5"/>
      <c r="AI36" s="6"/>
      <c r="AJ36" s="48"/>
      <c r="AK36" s="5"/>
      <c r="AL36" s="6"/>
      <c r="AM36" s="56" t="s">
        <v>183</v>
      </c>
      <c r="AN36" s="5"/>
      <c r="AO36" s="6"/>
      <c r="AP36" s="57">
        <v>46190.0</v>
      </c>
      <c r="AQ36" s="5"/>
      <c r="AR36" s="6"/>
      <c r="AS36" s="48"/>
      <c r="AT36" s="5"/>
      <c r="AU36" s="6"/>
      <c r="AV36" s="55" t="s">
        <v>56</v>
      </c>
      <c r="AW36" s="5"/>
      <c r="AX36" s="6"/>
      <c r="AY36" s="48"/>
      <c r="AZ36" s="5"/>
      <c r="BA36" s="6"/>
      <c r="BB36" s="55" t="s">
        <v>186</v>
      </c>
      <c r="BC36" s="5"/>
      <c r="BD36" s="6"/>
      <c r="BE36" s="57">
        <v>46247.0</v>
      </c>
      <c r="BF36" s="5"/>
      <c r="BG36" s="6"/>
      <c r="BH36" s="48"/>
      <c r="BI36" s="5"/>
      <c r="BJ36" s="6"/>
      <c r="BK36" s="49"/>
      <c r="BL36" s="5"/>
      <c r="BM36" s="5"/>
      <c r="BN36" s="5"/>
      <c r="BO36" s="5"/>
      <c r="BP36" s="5"/>
      <c r="BQ36" s="6"/>
    </row>
    <row r="37" ht="111.75" customHeight="1">
      <c r="A37" s="47">
        <v>23.0</v>
      </c>
      <c r="B37" s="49" t="s">
        <v>392</v>
      </c>
      <c r="C37" s="5"/>
      <c r="D37" s="6"/>
      <c r="E37" s="49" t="s">
        <v>393</v>
      </c>
      <c r="F37" s="5"/>
      <c r="G37" s="5"/>
      <c r="H37" s="5"/>
      <c r="I37" s="6"/>
      <c r="J37" s="49" t="s">
        <v>308</v>
      </c>
      <c r="K37" s="5"/>
      <c r="L37" s="5"/>
      <c r="M37" s="5"/>
      <c r="N37" s="5"/>
      <c r="O37" s="5"/>
      <c r="P37" s="6"/>
      <c r="Q37" s="54" t="s">
        <v>394</v>
      </c>
      <c r="R37" s="5"/>
      <c r="S37" s="5"/>
      <c r="T37" s="5"/>
      <c r="U37" s="5"/>
      <c r="V37" s="5"/>
      <c r="W37" s="6"/>
      <c r="X37" s="49" t="s">
        <v>395</v>
      </c>
      <c r="Y37" s="5"/>
      <c r="Z37" s="5"/>
      <c r="AA37" s="5"/>
      <c r="AB37" s="5"/>
      <c r="AC37" s="5"/>
      <c r="AD37" s="6"/>
      <c r="AE37" s="48" t="s">
        <v>180</v>
      </c>
      <c r="AF37" s="6"/>
      <c r="AG37" s="55" t="s">
        <v>56</v>
      </c>
      <c r="AH37" s="5"/>
      <c r="AI37" s="6"/>
      <c r="AJ37" s="48"/>
      <c r="AK37" s="5"/>
      <c r="AL37" s="6"/>
      <c r="AM37" s="56" t="s">
        <v>183</v>
      </c>
      <c r="AN37" s="5"/>
      <c r="AO37" s="6"/>
      <c r="AP37" s="57">
        <v>46190.0</v>
      </c>
      <c r="AQ37" s="5"/>
      <c r="AR37" s="6"/>
      <c r="AS37" s="48"/>
      <c r="AT37" s="5"/>
      <c r="AU37" s="6"/>
      <c r="AV37" s="55" t="s">
        <v>56</v>
      </c>
      <c r="AW37" s="5"/>
      <c r="AX37" s="6"/>
      <c r="AY37" s="48"/>
      <c r="AZ37" s="5"/>
      <c r="BA37" s="6"/>
      <c r="BB37" s="55" t="s">
        <v>186</v>
      </c>
      <c r="BC37" s="5"/>
      <c r="BD37" s="6"/>
      <c r="BE37" s="57">
        <v>46247.0</v>
      </c>
      <c r="BF37" s="5"/>
      <c r="BG37" s="6"/>
      <c r="BH37" s="48"/>
      <c r="BI37" s="5"/>
      <c r="BJ37" s="6"/>
      <c r="BK37" s="49" t="s">
        <v>378</v>
      </c>
      <c r="BL37" s="5"/>
      <c r="BM37" s="5"/>
      <c r="BN37" s="5"/>
      <c r="BO37" s="5"/>
      <c r="BP37" s="5"/>
      <c r="BQ37" s="6"/>
    </row>
    <row r="38" ht="22.5" customHeight="1">
      <c r="A38" s="11" t="s">
        <v>396</v>
      </c>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c r="BH38" s="5"/>
      <c r="BI38" s="5"/>
      <c r="BJ38" s="5"/>
      <c r="BK38" s="5"/>
      <c r="BL38" s="5"/>
      <c r="BM38" s="5"/>
      <c r="BN38" s="5"/>
      <c r="BO38" s="5"/>
      <c r="BP38" s="5"/>
      <c r="BQ38" s="6"/>
    </row>
    <row r="39" ht="144.0" customHeight="1">
      <c r="A39" s="47">
        <v>24.0</v>
      </c>
      <c r="B39" s="49" t="s">
        <v>397</v>
      </c>
      <c r="C39" s="5"/>
      <c r="D39" s="6"/>
      <c r="E39" s="49" t="s">
        <v>398</v>
      </c>
      <c r="F39" s="5"/>
      <c r="G39" s="5"/>
      <c r="H39" s="5"/>
      <c r="I39" s="6"/>
      <c r="J39" s="49" t="s">
        <v>308</v>
      </c>
      <c r="K39" s="5"/>
      <c r="L39" s="5"/>
      <c r="M39" s="5"/>
      <c r="N39" s="5"/>
      <c r="O39" s="5"/>
      <c r="P39" s="6"/>
      <c r="Q39" s="54" t="s">
        <v>399</v>
      </c>
      <c r="R39" s="5"/>
      <c r="S39" s="5"/>
      <c r="T39" s="5"/>
      <c r="U39" s="5"/>
      <c r="V39" s="5"/>
      <c r="W39" s="6"/>
      <c r="X39" s="49" t="s">
        <v>400</v>
      </c>
      <c r="Y39" s="5"/>
      <c r="Z39" s="5"/>
      <c r="AA39" s="5"/>
      <c r="AB39" s="5"/>
      <c r="AC39" s="5"/>
      <c r="AD39" s="6"/>
      <c r="AE39" s="48" t="s">
        <v>207</v>
      </c>
      <c r="AF39" s="6"/>
      <c r="AG39" s="55" t="s">
        <v>56</v>
      </c>
      <c r="AH39" s="5"/>
      <c r="AI39" s="6"/>
      <c r="AJ39" s="48"/>
      <c r="AK39" s="5"/>
      <c r="AL39" s="6"/>
      <c r="AM39" s="56" t="s">
        <v>183</v>
      </c>
      <c r="AN39" s="5"/>
      <c r="AO39" s="6"/>
      <c r="AP39" s="57">
        <v>46190.0</v>
      </c>
      <c r="AQ39" s="5"/>
      <c r="AR39" s="6"/>
      <c r="AS39" s="48"/>
      <c r="AT39" s="5"/>
      <c r="AU39" s="6"/>
      <c r="AV39" s="55" t="s">
        <v>56</v>
      </c>
      <c r="AW39" s="5"/>
      <c r="AX39" s="6"/>
      <c r="AY39" s="48"/>
      <c r="AZ39" s="5"/>
      <c r="BA39" s="6"/>
      <c r="BB39" s="55" t="s">
        <v>186</v>
      </c>
      <c r="BC39" s="5"/>
      <c r="BD39" s="6"/>
      <c r="BE39" s="57">
        <v>46247.0</v>
      </c>
      <c r="BF39" s="5"/>
      <c r="BG39" s="6"/>
      <c r="BH39" s="48"/>
      <c r="BI39" s="5"/>
      <c r="BJ39" s="6"/>
      <c r="BK39" s="49"/>
      <c r="BL39" s="5"/>
      <c r="BM39" s="5"/>
      <c r="BN39" s="5"/>
      <c r="BO39" s="5"/>
      <c r="BP39" s="5"/>
      <c r="BQ39" s="6"/>
    </row>
    <row r="40" ht="144.0" customHeight="1">
      <c r="A40" s="47">
        <v>25.0</v>
      </c>
      <c r="B40" s="49" t="s">
        <v>401</v>
      </c>
      <c r="C40" s="5"/>
      <c r="D40" s="6"/>
      <c r="E40" s="49" t="s">
        <v>402</v>
      </c>
      <c r="F40" s="5"/>
      <c r="G40" s="5"/>
      <c r="H40" s="5"/>
      <c r="I40" s="6"/>
      <c r="J40" s="49" t="s">
        <v>308</v>
      </c>
      <c r="K40" s="5"/>
      <c r="L40" s="5"/>
      <c r="M40" s="5"/>
      <c r="N40" s="5"/>
      <c r="O40" s="5"/>
      <c r="P40" s="6"/>
      <c r="Q40" s="49" t="s">
        <v>403</v>
      </c>
      <c r="R40" s="5"/>
      <c r="S40" s="5"/>
      <c r="T40" s="5"/>
      <c r="U40" s="5"/>
      <c r="V40" s="5"/>
      <c r="W40" s="6"/>
      <c r="X40" s="54" t="s">
        <v>404</v>
      </c>
      <c r="Y40" s="5"/>
      <c r="Z40" s="5"/>
      <c r="AA40" s="5"/>
      <c r="AB40" s="5"/>
      <c r="AC40" s="5"/>
      <c r="AD40" s="6"/>
      <c r="AE40" s="48" t="s">
        <v>207</v>
      </c>
      <c r="AF40" s="6"/>
      <c r="AG40" s="55" t="s">
        <v>56</v>
      </c>
      <c r="AH40" s="5"/>
      <c r="AI40" s="6"/>
      <c r="AJ40" s="48"/>
      <c r="AK40" s="5"/>
      <c r="AL40" s="6"/>
      <c r="AM40" s="56" t="s">
        <v>183</v>
      </c>
      <c r="AN40" s="5"/>
      <c r="AO40" s="6"/>
      <c r="AP40" s="57">
        <v>46190.0</v>
      </c>
      <c r="AQ40" s="5"/>
      <c r="AR40" s="6"/>
      <c r="AS40" s="48"/>
      <c r="AT40" s="5"/>
      <c r="AU40" s="6"/>
      <c r="AV40" s="55" t="s">
        <v>56</v>
      </c>
      <c r="AW40" s="5"/>
      <c r="AX40" s="6"/>
      <c r="AY40" s="48"/>
      <c r="AZ40" s="5"/>
      <c r="BA40" s="6"/>
      <c r="BB40" s="55" t="s">
        <v>186</v>
      </c>
      <c r="BC40" s="5"/>
      <c r="BD40" s="6"/>
      <c r="BE40" s="57">
        <v>46247.0</v>
      </c>
      <c r="BF40" s="5"/>
      <c r="BG40" s="6"/>
      <c r="BH40" s="48"/>
      <c r="BI40" s="5"/>
      <c r="BJ40" s="6"/>
      <c r="BK40" s="49"/>
      <c r="BL40" s="5"/>
      <c r="BM40" s="5"/>
      <c r="BN40" s="5"/>
      <c r="BO40" s="5"/>
      <c r="BP40" s="5"/>
      <c r="BQ40" s="6"/>
    </row>
    <row r="41" ht="175.5" customHeight="1">
      <c r="A41" s="47">
        <v>26.0</v>
      </c>
      <c r="B41" s="49" t="s">
        <v>405</v>
      </c>
      <c r="C41" s="5"/>
      <c r="D41" s="6"/>
      <c r="E41" s="49" t="s">
        <v>406</v>
      </c>
      <c r="F41" s="5"/>
      <c r="G41" s="5"/>
      <c r="H41" s="5"/>
      <c r="I41" s="6"/>
      <c r="J41" s="49" t="s">
        <v>308</v>
      </c>
      <c r="K41" s="5"/>
      <c r="L41" s="5"/>
      <c r="M41" s="5"/>
      <c r="N41" s="5"/>
      <c r="O41" s="5"/>
      <c r="P41" s="6"/>
      <c r="Q41" s="49" t="s">
        <v>407</v>
      </c>
      <c r="R41" s="5"/>
      <c r="S41" s="5"/>
      <c r="T41" s="5"/>
      <c r="U41" s="5"/>
      <c r="V41" s="5"/>
      <c r="W41" s="6"/>
      <c r="X41" s="49" t="s">
        <v>408</v>
      </c>
      <c r="Y41" s="5"/>
      <c r="Z41" s="5"/>
      <c r="AA41" s="5"/>
      <c r="AB41" s="5"/>
      <c r="AC41" s="5"/>
      <c r="AD41" s="6"/>
      <c r="AE41" s="48" t="s">
        <v>207</v>
      </c>
      <c r="AF41" s="6"/>
      <c r="AG41" s="55" t="s">
        <v>56</v>
      </c>
      <c r="AH41" s="5"/>
      <c r="AI41" s="6"/>
      <c r="AJ41" s="48"/>
      <c r="AK41" s="5"/>
      <c r="AL41" s="6"/>
      <c r="AM41" s="56" t="s">
        <v>183</v>
      </c>
      <c r="AN41" s="5"/>
      <c r="AO41" s="6"/>
      <c r="AP41" s="57">
        <v>46190.0</v>
      </c>
      <c r="AQ41" s="5"/>
      <c r="AR41" s="6"/>
      <c r="AS41" s="48"/>
      <c r="AT41" s="5"/>
      <c r="AU41" s="6"/>
      <c r="AV41" s="55" t="s">
        <v>56</v>
      </c>
      <c r="AW41" s="5"/>
      <c r="AX41" s="6"/>
      <c r="AY41" s="48"/>
      <c r="AZ41" s="5"/>
      <c r="BA41" s="6"/>
      <c r="BB41" s="55" t="s">
        <v>186</v>
      </c>
      <c r="BC41" s="5"/>
      <c r="BD41" s="6"/>
      <c r="BE41" s="57">
        <v>46247.0</v>
      </c>
      <c r="BF41" s="5"/>
      <c r="BG41" s="6"/>
      <c r="BH41" s="48"/>
      <c r="BI41" s="5"/>
      <c r="BJ41" s="6"/>
      <c r="BK41" s="49"/>
      <c r="BL41" s="5"/>
      <c r="BM41" s="5"/>
      <c r="BN41" s="5"/>
      <c r="BO41" s="5"/>
      <c r="BP41" s="5"/>
      <c r="BQ41" s="6"/>
    </row>
    <row r="42" ht="144.0" customHeight="1">
      <c r="A42" s="47">
        <v>27.0</v>
      </c>
      <c r="B42" s="49" t="s">
        <v>409</v>
      </c>
      <c r="C42" s="5"/>
      <c r="D42" s="6"/>
      <c r="E42" s="49" t="s">
        <v>410</v>
      </c>
      <c r="F42" s="5"/>
      <c r="G42" s="5"/>
      <c r="H42" s="5"/>
      <c r="I42" s="6"/>
      <c r="J42" s="49" t="s">
        <v>308</v>
      </c>
      <c r="K42" s="5"/>
      <c r="L42" s="5"/>
      <c r="M42" s="5"/>
      <c r="N42" s="5"/>
      <c r="O42" s="5"/>
      <c r="P42" s="6"/>
      <c r="Q42" s="54" t="s">
        <v>411</v>
      </c>
      <c r="R42" s="5"/>
      <c r="S42" s="5"/>
      <c r="T42" s="5"/>
      <c r="U42" s="5"/>
      <c r="V42" s="5"/>
      <c r="W42" s="6"/>
      <c r="X42" s="54" t="s">
        <v>412</v>
      </c>
      <c r="Y42" s="5"/>
      <c r="Z42" s="5"/>
      <c r="AA42" s="5"/>
      <c r="AB42" s="5"/>
      <c r="AC42" s="5"/>
      <c r="AD42" s="6"/>
      <c r="AE42" s="48" t="s">
        <v>207</v>
      </c>
      <c r="AF42" s="6"/>
      <c r="AG42" s="55" t="s">
        <v>56</v>
      </c>
      <c r="AH42" s="5"/>
      <c r="AI42" s="6"/>
      <c r="AJ42" s="48"/>
      <c r="AK42" s="5"/>
      <c r="AL42" s="6"/>
      <c r="AM42" s="56" t="s">
        <v>183</v>
      </c>
      <c r="AN42" s="5"/>
      <c r="AO42" s="6"/>
      <c r="AP42" s="57">
        <v>46190.0</v>
      </c>
      <c r="AQ42" s="5"/>
      <c r="AR42" s="6"/>
      <c r="AS42" s="48"/>
      <c r="AT42" s="5"/>
      <c r="AU42" s="6"/>
      <c r="AV42" s="55" t="s">
        <v>56</v>
      </c>
      <c r="AW42" s="5"/>
      <c r="AX42" s="6"/>
      <c r="AY42" s="48"/>
      <c r="AZ42" s="5"/>
      <c r="BA42" s="6"/>
      <c r="BB42" s="55" t="s">
        <v>186</v>
      </c>
      <c r="BC42" s="5"/>
      <c r="BD42" s="6"/>
      <c r="BE42" s="57">
        <v>46247.0</v>
      </c>
      <c r="BF42" s="5"/>
      <c r="BG42" s="6"/>
      <c r="BH42" s="48"/>
      <c r="BI42" s="5"/>
      <c r="BJ42" s="6"/>
      <c r="BK42" s="49"/>
      <c r="BL42" s="5"/>
      <c r="BM42" s="5"/>
      <c r="BN42" s="5"/>
      <c r="BO42" s="5"/>
      <c r="BP42" s="5"/>
      <c r="BQ42" s="6"/>
    </row>
    <row r="43" ht="159.75" customHeight="1">
      <c r="A43" s="47">
        <v>28.0</v>
      </c>
      <c r="B43" s="49" t="s">
        <v>413</v>
      </c>
      <c r="C43" s="5"/>
      <c r="D43" s="6"/>
      <c r="E43" s="49" t="s">
        <v>414</v>
      </c>
      <c r="F43" s="5"/>
      <c r="G43" s="5"/>
      <c r="H43" s="5"/>
      <c r="I43" s="6"/>
      <c r="J43" s="49" t="s">
        <v>415</v>
      </c>
      <c r="K43" s="5"/>
      <c r="L43" s="5"/>
      <c r="M43" s="5"/>
      <c r="N43" s="5"/>
      <c r="O43" s="5"/>
      <c r="P43" s="6"/>
      <c r="Q43" s="49" t="s">
        <v>416</v>
      </c>
      <c r="R43" s="5"/>
      <c r="S43" s="5"/>
      <c r="T43" s="5"/>
      <c r="U43" s="5"/>
      <c r="V43" s="5"/>
      <c r="W43" s="6"/>
      <c r="X43" s="54" t="s">
        <v>417</v>
      </c>
      <c r="Y43" s="5"/>
      <c r="Z43" s="5"/>
      <c r="AA43" s="5"/>
      <c r="AB43" s="5"/>
      <c r="AC43" s="5"/>
      <c r="AD43" s="6"/>
      <c r="AE43" s="48" t="s">
        <v>327</v>
      </c>
      <c r="AF43" s="6"/>
      <c r="AG43" s="55" t="s">
        <v>56</v>
      </c>
      <c r="AH43" s="5"/>
      <c r="AI43" s="6"/>
      <c r="AJ43" s="48"/>
      <c r="AK43" s="5"/>
      <c r="AL43" s="6"/>
      <c r="AM43" s="56" t="s">
        <v>183</v>
      </c>
      <c r="AN43" s="5"/>
      <c r="AO43" s="6"/>
      <c r="AP43" s="57">
        <v>46190.0</v>
      </c>
      <c r="AQ43" s="5"/>
      <c r="AR43" s="6"/>
      <c r="AS43" s="48"/>
      <c r="AT43" s="5"/>
      <c r="AU43" s="6"/>
      <c r="AV43" s="55" t="s">
        <v>56</v>
      </c>
      <c r="AW43" s="5"/>
      <c r="AX43" s="6"/>
      <c r="AY43" s="48"/>
      <c r="AZ43" s="5"/>
      <c r="BA43" s="6"/>
      <c r="BB43" s="55" t="s">
        <v>186</v>
      </c>
      <c r="BC43" s="5"/>
      <c r="BD43" s="6"/>
      <c r="BE43" s="57">
        <v>46247.0</v>
      </c>
      <c r="BF43" s="5"/>
      <c r="BG43" s="6"/>
      <c r="BH43" s="48"/>
      <c r="BI43" s="5"/>
      <c r="BJ43" s="6"/>
      <c r="BK43" s="49"/>
      <c r="BL43" s="5"/>
      <c r="BM43" s="5"/>
      <c r="BN43" s="5"/>
      <c r="BO43" s="5"/>
      <c r="BP43" s="5"/>
      <c r="BQ43" s="6"/>
    </row>
    <row r="44" ht="255.75" customHeight="1">
      <c r="A44" s="47">
        <v>29.0</v>
      </c>
      <c r="B44" s="49" t="s">
        <v>418</v>
      </c>
      <c r="C44" s="5"/>
      <c r="D44" s="6"/>
      <c r="E44" s="49" t="s">
        <v>419</v>
      </c>
      <c r="F44" s="5"/>
      <c r="G44" s="5"/>
      <c r="H44" s="5"/>
      <c r="I44" s="6"/>
      <c r="J44" s="49" t="s">
        <v>420</v>
      </c>
      <c r="K44" s="5"/>
      <c r="L44" s="5"/>
      <c r="M44" s="5"/>
      <c r="N44" s="5"/>
      <c r="O44" s="5"/>
      <c r="P44" s="6"/>
      <c r="Q44" s="49" t="s">
        <v>421</v>
      </c>
      <c r="R44" s="5"/>
      <c r="S44" s="5"/>
      <c r="T44" s="5"/>
      <c r="U44" s="5"/>
      <c r="V44" s="5"/>
      <c r="W44" s="6"/>
      <c r="X44" s="49" t="s">
        <v>422</v>
      </c>
      <c r="Y44" s="5"/>
      <c r="Z44" s="5"/>
      <c r="AA44" s="5"/>
      <c r="AB44" s="5"/>
      <c r="AC44" s="5"/>
      <c r="AD44" s="6"/>
      <c r="AE44" s="48" t="s">
        <v>327</v>
      </c>
      <c r="AF44" s="6"/>
      <c r="AG44" s="55" t="s">
        <v>56</v>
      </c>
      <c r="AH44" s="5"/>
      <c r="AI44" s="6"/>
      <c r="AJ44" s="48"/>
      <c r="AK44" s="5"/>
      <c r="AL44" s="6"/>
      <c r="AM44" s="56" t="s">
        <v>183</v>
      </c>
      <c r="AN44" s="5"/>
      <c r="AO44" s="6"/>
      <c r="AP44" s="57">
        <v>46190.0</v>
      </c>
      <c r="AQ44" s="5"/>
      <c r="AR44" s="6"/>
      <c r="AS44" s="48"/>
      <c r="AT44" s="5"/>
      <c r="AU44" s="6"/>
      <c r="AV44" s="55" t="s">
        <v>56</v>
      </c>
      <c r="AW44" s="5"/>
      <c r="AX44" s="6"/>
      <c r="AY44" s="48"/>
      <c r="AZ44" s="5"/>
      <c r="BA44" s="6"/>
      <c r="BB44" s="55" t="s">
        <v>186</v>
      </c>
      <c r="BC44" s="5"/>
      <c r="BD44" s="6"/>
      <c r="BE44" s="57">
        <v>46247.0</v>
      </c>
      <c r="BF44" s="5"/>
      <c r="BG44" s="6"/>
      <c r="BH44" s="48"/>
      <c r="BI44" s="5"/>
      <c r="BJ44" s="6"/>
      <c r="BK44" s="49" t="s">
        <v>423</v>
      </c>
      <c r="BL44" s="5"/>
      <c r="BM44" s="5"/>
      <c r="BN44" s="5"/>
      <c r="BO44" s="5"/>
      <c r="BP44" s="5"/>
      <c r="BQ44" s="6"/>
    </row>
    <row r="45" ht="223.5" customHeight="1">
      <c r="A45" s="47">
        <v>30.0</v>
      </c>
      <c r="B45" s="49" t="s">
        <v>424</v>
      </c>
      <c r="C45" s="5"/>
      <c r="D45" s="6"/>
      <c r="E45" s="49" t="s">
        <v>425</v>
      </c>
      <c r="F45" s="5"/>
      <c r="G45" s="5"/>
      <c r="H45" s="5"/>
      <c r="I45" s="6"/>
      <c r="J45" s="49" t="s">
        <v>426</v>
      </c>
      <c r="K45" s="5"/>
      <c r="L45" s="5"/>
      <c r="M45" s="5"/>
      <c r="N45" s="5"/>
      <c r="O45" s="5"/>
      <c r="P45" s="6"/>
      <c r="Q45" s="49" t="s">
        <v>427</v>
      </c>
      <c r="R45" s="5"/>
      <c r="S45" s="5"/>
      <c r="T45" s="5"/>
      <c r="U45" s="5"/>
      <c r="V45" s="5"/>
      <c r="W45" s="6"/>
      <c r="X45" s="49" t="s">
        <v>428</v>
      </c>
      <c r="Y45" s="5"/>
      <c r="Z45" s="5"/>
      <c r="AA45" s="5"/>
      <c r="AB45" s="5"/>
      <c r="AC45" s="5"/>
      <c r="AD45" s="6"/>
      <c r="AE45" s="48" t="s">
        <v>180</v>
      </c>
      <c r="AF45" s="6"/>
      <c r="AG45" s="55" t="s">
        <v>56</v>
      </c>
      <c r="AH45" s="5"/>
      <c r="AI45" s="6"/>
      <c r="AJ45" s="48"/>
      <c r="AK45" s="5"/>
      <c r="AL45" s="6"/>
      <c r="AM45" s="56" t="s">
        <v>183</v>
      </c>
      <c r="AN45" s="5"/>
      <c r="AO45" s="6"/>
      <c r="AP45" s="57">
        <v>46190.0</v>
      </c>
      <c r="AQ45" s="5"/>
      <c r="AR45" s="6"/>
      <c r="AS45" s="48"/>
      <c r="AT45" s="5"/>
      <c r="AU45" s="6"/>
      <c r="AV45" s="55" t="s">
        <v>56</v>
      </c>
      <c r="AW45" s="5"/>
      <c r="AX45" s="6"/>
      <c r="AY45" s="48"/>
      <c r="AZ45" s="5"/>
      <c r="BA45" s="6"/>
      <c r="BB45" s="55" t="s">
        <v>186</v>
      </c>
      <c r="BC45" s="5"/>
      <c r="BD45" s="6"/>
      <c r="BE45" s="57">
        <v>46247.0</v>
      </c>
      <c r="BF45" s="5"/>
      <c r="BG45" s="6"/>
      <c r="BH45" s="48"/>
      <c r="BI45" s="5"/>
      <c r="BJ45" s="6"/>
      <c r="BK45" s="49" t="s">
        <v>429</v>
      </c>
      <c r="BL45" s="5"/>
      <c r="BM45" s="5"/>
      <c r="BN45" s="5"/>
      <c r="BO45" s="5"/>
      <c r="BP45" s="5"/>
      <c r="BQ45" s="6"/>
    </row>
    <row r="46" ht="192.0" customHeight="1">
      <c r="A46" s="47">
        <v>31.0</v>
      </c>
      <c r="B46" s="49" t="s">
        <v>430</v>
      </c>
      <c r="C46" s="5"/>
      <c r="D46" s="6"/>
      <c r="E46" s="49" t="s">
        <v>431</v>
      </c>
      <c r="F46" s="5"/>
      <c r="G46" s="5"/>
      <c r="H46" s="5"/>
      <c r="I46" s="6"/>
      <c r="J46" s="49" t="s">
        <v>432</v>
      </c>
      <c r="K46" s="5"/>
      <c r="L46" s="5"/>
      <c r="M46" s="5"/>
      <c r="N46" s="5"/>
      <c r="O46" s="5"/>
      <c r="P46" s="6"/>
      <c r="Q46" s="49" t="s">
        <v>433</v>
      </c>
      <c r="R46" s="5"/>
      <c r="S46" s="5"/>
      <c r="T46" s="5"/>
      <c r="U46" s="5"/>
      <c r="V46" s="5"/>
      <c r="W46" s="6"/>
      <c r="X46" s="49" t="s">
        <v>434</v>
      </c>
      <c r="Y46" s="5"/>
      <c r="Z46" s="5"/>
      <c r="AA46" s="5"/>
      <c r="AB46" s="5"/>
      <c r="AC46" s="5"/>
      <c r="AD46" s="6"/>
      <c r="AE46" s="48" t="s">
        <v>207</v>
      </c>
      <c r="AF46" s="6"/>
      <c r="AG46" s="55" t="s">
        <v>56</v>
      </c>
      <c r="AH46" s="5"/>
      <c r="AI46" s="6"/>
      <c r="AJ46" s="48"/>
      <c r="AK46" s="5"/>
      <c r="AL46" s="6"/>
      <c r="AM46" s="56" t="s">
        <v>183</v>
      </c>
      <c r="AN46" s="5"/>
      <c r="AO46" s="6"/>
      <c r="AP46" s="57">
        <v>46190.0</v>
      </c>
      <c r="AQ46" s="5"/>
      <c r="AR46" s="6"/>
      <c r="AS46" s="48"/>
      <c r="AT46" s="5"/>
      <c r="AU46" s="6"/>
      <c r="AV46" s="55" t="s">
        <v>56</v>
      </c>
      <c r="AW46" s="5"/>
      <c r="AX46" s="6"/>
      <c r="AY46" s="48"/>
      <c r="AZ46" s="5"/>
      <c r="BA46" s="6"/>
      <c r="BB46" s="55" t="s">
        <v>186</v>
      </c>
      <c r="BC46" s="5"/>
      <c r="BD46" s="6"/>
      <c r="BE46" s="57">
        <v>46247.0</v>
      </c>
      <c r="BF46" s="5"/>
      <c r="BG46" s="6"/>
      <c r="BH46" s="48"/>
      <c r="BI46" s="5"/>
      <c r="BJ46" s="6"/>
      <c r="BK46" s="49"/>
      <c r="BL46" s="5"/>
      <c r="BM46" s="5"/>
      <c r="BN46" s="5"/>
      <c r="BO46" s="5"/>
      <c r="BP46" s="5"/>
      <c r="BQ46" s="6"/>
    </row>
    <row r="47" ht="192.0" customHeight="1">
      <c r="A47" s="47">
        <v>32.0</v>
      </c>
      <c r="B47" s="49" t="s">
        <v>435</v>
      </c>
      <c r="C47" s="5"/>
      <c r="D47" s="6"/>
      <c r="E47" s="49" t="s">
        <v>436</v>
      </c>
      <c r="F47" s="5"/>
      <c r="G47" s="5"/>
      <c r="H47" s="5"/>
      <c r="I47" s="6"/>
      <c r="J47" s="49" t="s">
        <v>437</v>
      </c>
      <c r="K47" s="5"/>
      <c r="L47" s="5"/>
      <c r="M47" s="5"/>
      <c r="N47" s="5"/>
      <c r="O47" s="5"/>
      <c r="P47" s="6"/>
      <c r="Q47" s="49" t="s">
        <v>438</v>
      </c>
      <c r="R47" s="5"/>
      <c r="S47" s="5"/>
      <c r="T47" s="5"/>
      <c r="U47" s="5"/>
      <c r="V47" s="5"/>
      <c r="W47" s="6"/>
      <c r="X47" s="49" t="s">
        <v>439</v>
      </c>
      <c r="Y47" s="5"/>
      <c r="Z47" s="5"/>
      <c r="AA47" s="5"/>
      <c r="AB47" s="5"/>
      <c r="AC47" s="5"/>
      <c r="AD47" s="6"/>
      <c r="AE47" s="48" t="s">
        <v>327</v>
      </c>
      <c r="AF47" s="6"/>
      <c r="AG47" s="55" t="s">
        <v>56</v>
      </c>
      <c r="AH47" s="5"/>
      <c r="AI47" s="6"/>
      <c r="AJ47" s="48"/>
      <c r="AK47" s="5"/>
      <c r="AL47" s="6"/>
      <c r="AM47" s="56" t="s">
        <v>183</v>
      </c>
      <c r="AN47" s="5"/>
      <c r="AO47" s="6"/>
      <c r="AP47" s="57">
        <v>46190.0</v>
      </c>
      <c r="AQ47" s="5"/>
      <c r="AR47" s="6"/>
      <c r="AS47" s="48"/>
      <c r="AT47" s="5"/>
      <c r="AU47" s="6"/>
      <c r="AV47" s="55" t="s">
        <v>56</v>
      </c>
      <c r="AW47" s="5"/>
      <c r="AX47" s="6"/>
      <c r="AY47" s="48"/>
      <c r="AZ47" s="5"/>
      <c r="BA47" s="6"/>
      <c r="BB47" s="55" t="s">
        <v>186</v>
      </c>
      <c r="BC47" s="5"/>
      <c r="BD47" s="6"/>
      <c r="BE47" s="57">
        <v>46247.0</v>
      </c>
      <c r="BF47" s="5"/>
      <c r="BG47" s="6"/>
      <c r="BH47" s="48"/>
      <c r="BI47" s="5"/>
      <c r="BJ47" s="6"/>
      <c r="BK47" s="49"/>
      <c r="BL47" s="5"/>
      <c r="BM47" s="5"/>
      <c r="BN47" s="5"/>
      <c r="BO47" s="5"/>
      <c r="BP47" s="5"/>
      <c r="BQ47" s="6"/>
    </row>
    <row r="48" ht="336.0" customHeight="1">
      <c r="A48" s="47">
        <v>33.0</v>
      </c>
      <c r="B48" s="49" t="s">
        <v>440</v>
      </c>
      <c r="C48" s="5"/>
      <c r="D48" s="6"/>
      <c r="E48" s="49" t="s">
        <v>441</v>
      </c>
      <c r="F48" s="5"/>
      <c r="G48" s="5"/>
      <c r="H48" s="5"/>
      <c r="I48" s="6"/>
      <c r="J48" s="49" t="s">
        <v>442</v>
      </c>
      <c r="K48" s="5"/>
      <c r="L48" s="5"/>
      <c r="M48" s="5"/>
      <c r="N48" s="5"/>
      <c r="O48" s="5"/>
      <c r="P48" s="6"/>
      <c r="Q48" s="54" t="s">
        <v>443</v>
      </c>
      <c r="R48" s="5"/>
      <c r="S48" s="5"/>
      <c r="T48" s="5"/>
      <c r="U48" s="5"/>
      <c r="V48" s="5"/>
      <c r="W48" s="6"/>
      <c r="X48" s="49" t="s">
        <v>444</v>
      </c>
      <c r="Y48" s="5"/>
      <c r="Z48" s="5"/>
      <c r="AA48" s="5"/>
      <c r="AB48" s="5"/>
      <c r="AC48" s="5"/>
      <c r="AD48" s="6"/>
      <c r="AE48" s="48" t="s">
        <v>207</v>
      </c>
      <c r="AF48" s="6"/>
      <c r="AG48" s="55" t="s">
        <v>56</v>
      </c>
      <c r="AH48" s="5"/>
      <c r="AI48" s="6"/>
      <c r="AJ48" s="48"/>
      <c r="AK48" s="5"/>
      <c r="AL48" s="6"/>
      <c r="AM48" s="56" t="s">
        <v>183</v>
      </c>
      <c r="AN48" s="5"/>
      <c r="AO48" s="6"/>
      <c r="AP48" s="57">
        <v>46190.0</v>
      </c>
      <c r="AQ48" s="5"/>
      <c r="AR48" s="6"/>
      <c r="AS48" s="48"/>
      <c r="AT48" s="5"/>
      <c r="AU48" s="6"/>
      <c r="AV48" s="55" t="s">
        <v>56</v>
      </c>
      <c r="AW48" s="5"/>
      <c r="AX48" s="6"/>
      <c r="AY48" s="48"/>
      <c r="AZ48" s="5"/>
      <c r="BA48" s="6"/>
      <c r="BB48" s="55" t="s">
        <v>186</v>
      </c>
      <c r="BC48" s="5"/>
      <c r="BD48" s="6"/>
      <c r="BE48" s="57">
        <v>46247.0</v>
      </c>
      <c r="BF48" s="5"/>
      <c r="BG48" s="6"/>
      <c r="BH48" s="48"/>
      <c r="BI48" s="5"/>
      <c r="BJ48" s="6"/>
      <c r="BK48" s="49"/>
      <c r="BL48" s="5"/>
      <c r="BM48" s="5"/>
      <c r="BN48" s="5"/>
      <c r="BO48" s="5"/>
      <c r="BP48" s="5"/>
      <c r="BQ48" s="6"/>
    </row>
    <row r="49" ht="288.0" customHeight="1">
      <c r="A49" s="47">
        <v>34.0</v>
      </c>
      <c r="B49" s="49" t="s">
        <v>445</v>
      </c>
      <c r="C49" s="5"/>
      <c r="D49" s="6"/>
      <c r="E49" s="49" t="s">
        <v>446</v>
      </c>
      <c r="F49" s="5"/>
      <c r="G49" s="5"/>
      <c r="H49" s="5"/>
      <c r="I49" s="6"/>
      <c r="J49" s="49" t="s">
        <v>308</v>
      </c>
      <c r="K49" s="5"/>
      <c r="L49" s="5"/>
      <c r="M49" s="5"/>
      <c r="N49" s="5"/>
      <c r="O49" s="5"/>
      <c r="P49" s="6"/>
      <c r="Q49" s="54" t="s">
        <v>447</v>
      </c>
      <c r="R49" s="5"/>
      <c r="S49" s="5"/>
      <c r="T49" s="5"/>
      <c r="U49" s="5"/>
      <c r="V49" s="5"/>
      <c r="W49" s="6"/>
      <c r="X49" s="54" t="s">
        <v>448</v>
      </c>
      <c r="Y49" s="5"/>
      <c r="Z49" s="5"/>
      <c r="AA49" s="5"/>
      <c r="AB49" s="5"/>
      <c r="AC49" s="5"/>
      <c r="AD49" s="6"/>
      <c r="AE49" s="48" t="s">
        <v>327</v>
      </c>
      <c r="AF49" s="6"/>
      <c r="AG49" s="55" t="s">
        <v>56</v>
      </c>
      <c r="AH49" s="5"/>
      <c r="AI49" s="6"/>
      <c r="AJ49" s="48"/>
      <c r="AK49" s="5"/>
      <c r="AL49" s="6"/>
      <c r="AM49" s="56" t="s">
        <v>183</v>
      </c>
      <c r="AN49" s="5"/>
      <c r="AO49" s="6"/>
      <c r="AP49" s="57">
        <v>46190.0</v>
      </c>
      <c r="AQ49" s="5"/>
      <c r="AR49" s="6"/>
      <c r="AS49" s="48"/>
      <c r="AT49" s="5"/>
      <c r="AU49" s="6"/>
      <c r="AV49" s="55" t="s">
        <v>56</v>
      </c>
      <c r="AW49" s="5"/>
      <c r="AX49" s="6"/>
      <c r="AY49" s="48"/>
      <c r="AZ49" s="5"/>
      <c r="BA49" s="6"/>
      <c r="BB49" s="55" t="s">
        <v>186</v>
      </c>
      <c r="BC49" s="5"/>
      <c r="BD49" s="6"/>
      <c r="BE49" s="57">
        <v>46247.0</v>
      </c>
      <c r="BF49" s="5"/>
      <c r="BG49" s="6"/>
      <c r="BH49" s="48"/>
      <c r="BI49" s="5"/>
      <c r="BJ49" s="6"/>
      <c r="BK49" s="49"/>
      <c r="BL49" s="5"/>
      <c r="BM49" s="5"/>
      <c r="BN49" s="5"/>
      <c r="BO49" s="5"/>
      <c r="BP49" s="5"/>
      <c r="BQ49" s="6"/>
    </row>
    <row r="50" ht="319.5" customHeight="1">
      <c r="A50" s="47">
        <v>35.0</v>
      </c>
      <c r="B50" s="49" t="s">
        <v>449</v>
      </c>
      <c r="C50" s="5"/>
      <c r="D50" s="6"/>
      <c r="E50" s="49" t="s">
        <v>450</v>
      </c>
      <c r="F50" s="5"/>
      <c r="G50" s="5"/>
      <c r="H50" s="5"/>
      <c r="I50" s="6"/>
      <c r="J50" s="49" t="s">
        <v>451</v>
      </c>
      <c r="K50" s="5"/>
      <c r="L50" s="5"/>
      <c r="M50" s="5"/>
      <c r="N50" s="5"/>
      <c r="O50" s="5"/>
      <c r="P50" s="6"/>
      <c r="Q50" s="54" t="s">
        <v>452</v>
      </c>
      <c r="R50" s="5"/>
      <c r="S50" s="5"/>
      <c r="T50" s="5"/>
      <c r="U50" s="5"/>
      <c r="V50" s="5"/>
      <c r="W50" s="6"/>
      <c r="X50" s="49" t="s">
        <v>453</v>
      </c>
      <c r="Y50" s="5"/>
      <c r="Z50" s="5"/>
      <c r="AA50" s="5"/>
      <c r="AB50" s="5"/>
      <c r="AC50" s="5"/>
      <c r="AD50" s="6"/>
      <c r="AE50" s="48" t="s">
        <v>207</v>
      </c>
      <c r="AF50" s="6"/>
      <c r="AG50" s="55" t="s">
        <v>56</v>
      </c>
      <c r="AH50" s="5"/>
      <c r="AI50" s="6"/>
      <c r="AJ50" s="48"/>
      <c r="AK50" s="5"/>
      <c r="AL50" s="6"/>
      <c r="AM50" s="56" t="s">
        <v>183</v>
      </c>
      <c r="AN50" s="5"/>
      <c r="AO50" s="6"/>
      <c r="AP50" s="57">
        <v>46190.0</v>
      </c>
      <c r="AQ50" s="5"/>
      <c r="AR50" s="6"/>
      <c r="AS50" s="48"/>
      <c r="AT50" s="5"/>
      <c r="AU50" s="6"/>
      <c r="AV50" s="55" t="s">
        <v>56</v>
      </c>
      <c r="AW50" s="5"/>
      <c r="AX50" s="6"/>
      <c r="AY50" s="48"/>
      <c r="AZ50" s="5"/>
      <c r="BA50" s="6"/>
      <c r="BB50" s="55" t="s">
        <v>186</v>
      </c>
      <c r="BC50" s="5"/>
      <c r="BD50" s="6"/>
      <c r="BE50" s="57">
        <v>46247.0</v>
      </c>
      <c r="BF50" s="5"/>
      <c r="BG50" s="6"/>
      <c r="BH50" s="48"/>
      <c r="BI50" s="5"/>
      <c r="BJ50" s="6"/>
      <c r="BK50" s="49"/>
      <c r="BL50" s="5"/>
      <c r="BM50" s="5"/>
      <c r="BN50" s="5"/>
      <c r="BO50" s="5"/>
      <c r="BP50" s="5"/>
      <c r="BQ50" s="6"/>
    </row>
    <row r="51" ht="271.5" customHeight="1">
      <c r="A51" s="47">
        <v>36.0</v>
      </c>
      <c r="B51" s="49" t="s">
        <v>454</v>
      </c>
      <c r="C51" s="5"/>
      <c r="D51" s="6"/>
      <c r="E51" s="49" t="s">
        <v>455</v>
      </c>
      <c r="F51" s="5"/>
      <c r="G51" s="5"/>
      <c r="H51" s="5"/>
      <c r="I51" s="6"/>
      <c r="J51" s="49" t="s">
        <v>456</v>
      </c>
      <c r="K51" s="5"/>
      <c r="L51" s="5"/>
      <c r="M51" s="5"/>
      <c r="N51" s="5"/>
      <c r="O51" s="5"/>
      <c r="P51" s="6"/>
      <c r="Q51" s="54" t="s">
        <v>457</v>
      </c>
      <c r="R51" s="5"/>
      <c r="S51" s="5"/>
      <c r="T51" s="5"/>
      <c r="U51" s="5"/>
      <c r="V51" s="5"/>
      <c r="W51" s="6"/>
      <c r="X51" s="49" t="s">
        <v>458</v>
      </c>
      <c r="Y51" s="5"/>
      <c r="Z51" s="5"/>
      <c r="AA51" s="5"/>
      <c r="AB51" s="5"/>
      <c r="AC51" s="5"/>
      <c r="AD51" s="6"/>
      <c r="AE51" s="48" t="s">
        <v>180</v>
      </c>
      <c r="AF51" s="6"/>
      <c r="AG51" s="55" t="s">
        <v>56</v>
      </c>
      <c r="AH51" s="5"/>
      <c r="AI51" s="6"/>
      <c r="AJ51" s="48"/>
      <c r="AK51" s="5"/>
      <c r="AL51" s="6"/>
      <c r="AM51" s="56" t="s">
        <v>183</v>
      </c>
      <c r="AN51" s="5"/>
      <c r="AO51" s="6"/>
      <c r="AP51" s="57">
        <v>46190.0</v>
      </c>
      <c r="AQ51" s="5"/>
      <c r="AR51" s="6"/>
      <c r="AS51" s="48"/>
      <c r="AT51" s="5"/>
      <c r="AU51" s="6"/>
      <c r="AV51" s="55" t="s">
        <v>56</v>
      </c>
      <c r="AW51" s="5"/>
      <c r="AX51" s="6"/>
      <c r="AY51" s="48"/>
      <c r="AZ51" s="5"/>
      <c r="BA51" s="6"/>
      <c r="BB51" s="55" t="s">
        <v>186</v>
      </c>
      <c r="BC51" s="5"/>
      <c r="BD51" s="6"/>
      <c r="BE51" s="57">
        <v>46247.0</v>
      </c>
      <c r="BF51" s="5"/>
      <c r="BG51" s="6"/>
      <c r="BH51" s="48"/>
      <c r="BI51" s="5"/>
      <c r="BJ51" s="6"/>
      <c r="BK51" s="49"/>
      <c r="BL51" s="5"/>
      <c r="BM51" s="5"/>
      <c r="BN51" s="5"/>
      <c r="BO51" s="5"/>
      <c r="BP51" s="5"/>
      <c r="BQ51" s="6"/>
    </row>
    <row r="52" ht="271.5" customHeight="1">
      <c r="A52" s="47">
        <v>37.0</v>
      </c>
      <c r="B52" s="49" t="s">
        <v>459</v>
      </c>
      <c r="C52" s="5"/>
      <c r="D52" s="6"/>
      <c r="E52" s="49" t="s">
        <v>460</v>
      </c>
      <c r="F52" s="5"/>
      <c r="G52" s="5"/>
      <c r="H52" s="5"/>
      <c r="I52" s="6"/>
      <c r="J52" s="49" t="s">
        <v>308</v>
      </c>
      <c r="K52" s="5"/>
      <c r="L52" s="5"/>
      <c r="M52" s="5"/>
      <c r="N52" s="5"/>
      <c r="O52" s="5"/>
      <c r="P52" s="6"/>
      <c r="Q52" s="54" t="s">
        <v>461</v>
      </c>
      <c r="R52" s="5"/>
      <c r="S52" s="5"/>
      <c r="T52" s="5"/>
      <c r="U52" s="5"/>
      <c r="V52" s="5"/>
      <c r="W52" s="6"/>
      <c r="X52" s="54" t="s">
        <v>462</v>
      </c>
      <c r="Y52" s="5"/>
      <c r="Z52" s="5"/>
      <c r="AA52" s="5"/>
      <c r="AB52" s="5"/>
      <c r="AC52" s="5"/>
      <c r="AD52" s="6"/>
      <c r="AE52" s="48" t="s">
        <v>207</v>
      </c>
      <c r="AF52" s="6"/>
      <c r="AG52" s="55" t="s">
        <v>56</v>
      </c>
      <c r="AH52" s="5"/>
      <c r="AI52" s="6"/>
      <c r="AJ52" s="48"/>
      <c r="AK52" s="5"/>
      <c r="AL52" s="6"/>
      <c r="AM52" s="56" t="s">
        <v>183</v>
      </c>
      <c r="AN52" s="5"/>
      <c r="AO52" s="6"/>
      <c r="AP52" s="57">
        <v>46190.0</v>
      </c>
      <c r="AQ52" s="5"/>
      <c r="AR52" s="6"/>
      <c r="AS52" s="48"/>
      <c r="AT52" s="5"/>
      <c r="AU52" s="6"/>
      <c r="AV52" s="55" t="s">
        <v>56</v>
      </c>
      <c r="AW52" s="5"/>
      <c r="AX52" s="6"/>
      <c r="AY52" s="48"/>
      <c r="AZ52" s="5"/>
      <c r="BA52" s="6"/>
      <c r="BB52" s="55" t="s">
        <v>186</v>
      </c>
      <c r="BC52" s="5"/>
      <c r="BD52" s="6"/>
      <c r="BE52" s="57">
        <v>46247.0</v>
      </c>
      <c r="BF52" s="5"/>
      <c r="BG52" s="6"/>
      <c r="BH52" s="48"/>
      <c r="BI52" s="5"/>
      <c r="BJ52" s="6"/>
      <c r="BK52" s="49" t="s">
        <v>378</v>
      </c>
      <c r="BL52" s="5"/>
      <c r="BM52" s="5"/>
      <c r="BN52" s="5"/>
      <c r="BO52" s="5"/>
      <c r="BP52" s="5"/>
      <c r="BQ52" s="6"/>
    </row>
    <row r="53" ht="22.5" customHeight="1">
      <c r="A53" s="11" t="s">
        <v>463</v>
      </c>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c r="BH53" s="5"/>
      <c r="BI53" s="5"/>
      <c r="BJ53" s="5"/>
      <c r="BK53" s="5"/>
      <c r="BL53" s="5"/>
      <c r="BM53" s="5"/>
      <c r="BN53" s="5"/>
      <c r="BO53" s="5"/>
      <c r="BP53" s="5"/>
      <c r="BQ53" s="6"/>
    </row>
    <row r="54" ht="192.0" customHeight="1">
      <c r="A54" s="47">
        <v>38.0</v>
      </c>
      <c r="B54" s="49" t="s">
        <v>464</v>
      </c>
      <c r="C54" s="5"/>
      <c r="D54" s="6"/>
      <c r="E54" s="49" t="s">
        <v>465</v>
      </c>
      <c r="F54" s="5"/>
      <c r="G54" s="5"/>
      <c r="H54" s="5"/>
      <c r="I54" s="6"/>
      <c r="J54" s="49" t="s">
        <v>308</v>
      </c>
      <c r="K54" s="5"/>
      <c r="L54" s="5"/>
      <c r="M54" s="5"/>
      <c r="N54" s="5"/>
      <c r="O54" s="5"/>
      <c r="P54" s="6"/>
      <c r="Q54" s="54" t="s">
        <v>466</v>
      </c>
      <c r="R54" s="5"/>
      <c r="S54" s="5"/>
      <c r="T54" s="5"/>
      <c r="U54" s="5"/>
      <c r="V54" s="5"/>
      <c r="W54" s="6"/>
      <c r="X54" s="49" t="s">
        <v>467</v>
      </c>
      <c r="Y54" s="5"/>
      <c r="Z54" s="5"/>
      <c r="AA54" s="5"/>
      <c r="AB54" s="5"/>
      <c r="AC54" s="5"/>
      <c r="AD54" s="6"/>
      <c r="AE54" s="48" t="s">
        <v>180</v>
      </c>
      <c r="AF54" s="6"/>
      <c r="AG54" s="55" t="s">
        <v>56</v>
      </c>
      <c r="AH54" s="5"/>
      <c r="AI54" s="6"/>
      <c r="AJ54" s="48"/>
      <c r="AK54" s="5"/>
      <c r="AL54" s="6"/>
      <c r="AM54" s="56" t="s">
        <v>183</v>
      </c>
      <c r="AN54" s="5"/>
      <c r="AO54" s="6"/>
      <c r="AP54" s="57">
        <v>46190.0</v>
      </c>
      <c r="AQ54" s="5"/>
      <c r="AR54" s="6"/>
      <c r="AS54" s="48"/>
      <c r="AT54" s="5"/>
      <c r="AU54" s="6"/>
      <c r="AV54" s="55" t="s">
        <v>56</v>
      </c>
      <c r="AW54" s="5"/>
      <c r="AX54" s="6"/>
      <c r="AY54" s="48"/>
      <c r="AZ54" s="5"/>
      <c r="BA54" s="6"/>
      <c r="BB54" s="55" t="s">
        <v>186</v>
      </c>
      <c r="BC54" s="5"/>
      <c r="BD54" s="6"/>
      <c r="BE54" s="57">
        <v>46247.0</v>
      </c>
      <c r="BF54" s="5"/>
      <c r="BG54" s="6"/>
      <c r="BH54" s="48"/>
      <c r="BI54" s="5"/>
      <c r="BJ54" s="6"/>
      <c r="BK54" s="49"/>
      <c r="BL54" s="5"/>
      <c r="BM54" s="5"/>
      <c r="BN54" s="5"/>
      <c r="BO54" s="5"/>
      <c r="BP54" s="5"/>
      <c r="BQ54" s="6"/>
    </row>
    <row r="55" ht="223.5" customHeight="1">
      <c r="A55" s="47">
        <v>39.0</v>
      </c>
      <c r="B55" s="49" t="s">
        <v>468</v>
      </c>
      <c r="C55" s="5"/>
      <c r="D55" s="6"/>
      <c r="E55" s="49" t="s">
        <v>469</v>
      </c>
      <c r="F55" s="5"/>
      <c r="G55" s="5"/>
      <c r="H55" s="5"/>
      <c r="I55" s="6"/>
      <c r="J55" s="49" t="s">
        <v>308</v>
      </c>
      <c r="K55" s="5"/>
      <c r="L55" s="5"/>
      <c r="M55" s="5"/>
      <c r="N55" s="5"/>
      <c r="O55" s="5"/>
      <c r="P55" s="6"/>
      <c r="Q55" s="54" t="s">
        <v>470</v>
      </c>
      <c r="R55" s="5"/>
      <c r="S55" s="5"/>
      <c r="T55" s="5"/>
      <c r="U55" s="5"/>
      <c r="V55" s="5"/>
      <c r="W55" s="6"/>
      <c r="X55" s="49" t="s">
        <v>471</v>
      </c>
      <c r="Y55" s="5"/>
      <c r="Z55" s="5"/>
      <c r="AA55" s="5"/>
      <c r="AB55" s="5"/>
      <c r="AC55" s="5"/>
      <c r="AD55" s="6"/>
      <c r="AE55" s="48" t="s">
        <v>180</v>
      </c>
      <c r="AF55" s="6"/>
      <c r="AG55" s="55" t="s">
        <v>56</v>
      </c>
      <c r="AH55" s="5"/>
      <c r="AI55" s="6"/>
      <c r="AJ55" s="48"/>
      <c r="AK55" s="5"/>
      <c r="AL55" s="6"/>
      <c r="AM55" s="56" t="s">
        <v>183</v>
      </c>
      <c r="AN55" s="5"/>
      <c r="AO55" s="6"/>
      <c r="AP55" s="57">
        <v>46190.0</v>
      </c>
      <c r="AQ55" s="5"/>
      <c r="AR55" s="6"/>
      <c r="AS55" s="48"/>
      <c r="AT55" s="5"/>
      <c r="AU55" s="6"/>
      <c r="AV55" s="55" t="s">
        <v>56</v>
      </c>
      <c r="AW55" s="5"/>
      <c r="AX55" s="6"/>
      <c r="AY55" s="48"/>
      <c r="AZ55" s="5"/>
      <c r="BA55" s="6"/>
      <c r="BB55" s="55" t="s">
        <v>186</v>
      </c>
      <c r="BC55" s="5"/>
      <c r="BD55" s="6"/>
      <c r="BE55" s="57">
        <v>46247.0</v>
      </c>
      <c r="BF55" s="5"/>
      <c r="BG55" s="6"/>
      <c r="BH55" s="48"/>
      <c r="BI55" s="5"/>
      <c r="BJ55" s="6"/>
      <c r="BK55" s="49"/>
      <c r="BL55" s="5"/>
      <c r="BM55" s="5"/>
      <c r="BN55" s="5"/>
      <c r="BO55" s="5"/>
      <c r="BP55" s="5"/>
      <c r="BQ55" s="6"/>
    </row>
    <row r="56" ht="384.0" customHeight="1">
      <c r="A56" s="47">
        <v>40.0</v>
      </c>
      <c r="B56" s="49" t="s">
        <v>472</v>
      </c>
      <c r="C56" s="5"/>
      <c r="D56" s="6"/>
      <c r="E56" s="49" t="s">
        <v>473</v>
      </c>
      <c r="F56" s="5"/>
      <c r="G56" s="5"/>
      <c r="H56" s="5"/>
      <c r="I56" s="6"/>
      <c r="J56" s="49" t="s">
        <v>308</v>
      </c>
      <c r="K56" s="5"/>
      <c r="L56" s="5"/>
      <c r="M56" s="5"/>
      <c r="N56" s="5"/>
      <c r="O56" s="5"/>
      <c r="P56" s="6"/>
      <c r="Q56" s="54" t="s">
        <v>474</v>
      </c>
      <c r="R56" s="5"/>
      <c r="S56" s="5"/>
      <c r="T56" s="5"/>
      <c r="U56" s="5"/>
      <c r="V56" s="5"/>
      <c r="W56" s="6"/>
      <c r="X56" s="49" t="s">
        <v>475</v>
      </c>
      <c r="Y56" s="5"/>
      <c r="Z56" s="5"/>
      <c r="AA56" s="5"/>
      <c r="AB56" s="5"/>
      <c r="AC56" s="5"/>
      <c r="AD56" s="6"/>
      <c r="AE56" s="48" t="s">
        <v>180</v>
      </c>
      <c r="AF56" s="6"/>
      <c r="AG56" s="55" t="s">
        <v>56</v>
      </c>
      <c r="AH56" s="5"/>
      <c r="AI56" s="6"/>
      <c r="AJ56" s="48"/>
      <c r="AK56" s="5"/>
      <c r="AL56" s="6"/>
      <c r="AM56" s="56" t="s">
        <v>183</v>
      </c>
      <c r="AN56" s="5"/>
      <c r="AO56" s="6"/>
      <c r="AP56" s="57">
        <v>46190.0</v>
      </c>
      <c r="AQ56" s="5"/>
      <c r="AR56" s="6"/>
      <c r="AS56" s="48"/>
      <c r="AT56" s="5"/>
      <c r="AU56" s="6"/>
      <c r="AV56" s="55" t="s">
        <v>56</v>
      </c>
      <c r="AW56" s="5"/>
      <c r="AX56" s="6"/>
      <c r="AY56" s="48"/>
      <c r="AZ56" s="5"/>
      <c r="BA56" s="6"/>
      <c r="BB56" s="55" t="s">
        <v>186</v>
      </c>
      <c r="BC56" s="5"/>
      <c r="BD56" s="6"/>
      <c r="BE56" s="57">
        <v>46247.0</v>
      </c>
      <c r="BF56" s="5"/>
      <c r="BG56" s="6"/>
      <c r="BH56" s="48"/>
      <c r="BI56" s="5"/>
      <c r="BJ56" s="6"/>
      <c r="BK56" s="49"/>
      <c r="BL56" s="5"/>
      <c r="BM56" s="5"/>
      <c r="BN56" s="5"/>
      <c r="BO56" s="5"/>
      <c r="BP56" s="5"/>
      <c r="BQ56" s="6"/>
    </row>
    <row r="57" ht="303.75" customHeight="1">
      <c r="A57" s="47">
        <v>41.0</v>
      </c>
      <c r="B57" s="49" t="s">
        <v>476</v>
      </c>
      <c r="C57" s="5"/>
      <c r="D57" s="6"/>
      <c r="E57" s="49" t="s">
        <v>477</v>
      </c>
      <c r="F57" s="5"/>
      <c r="G57" s="5"/>
      <c r="H57" s="5"/>
      <c r="I57" s="6"/>
      <c r="J57" s="49" t="s">
        <v>308</v>
      </c>
      <c r="K57" s="5"/>
      <c r="L57" s="5"/>
      <c r="M57" s="5"/>
      <c r="N57" s="5"/>
      <c r="O57" s="5"/>
      <c r="P57" s="6"/>
      <c r="Q57" s="54" t="s">
        <v>478</v>
      </c>
      <c r="R57" s="5"/>
      <c r="S57" s="5"/>
      <c r="T57" s="5"/>
      <c r="U57" s="5"/>
      <c r="V57" s="5"/>
      <c r="W57" s="6"/>
      <c r="X57" s="49" t="s">
        <v>479</v>
      </c>
      <c r="Y57" s="5"/>
      <c r="Z57" s="5"/>
      <c r="AA57" s="5"/>
      <c r="AB57" s="5"/>
      <c r="AC57" s="5"/>
      <c r="AD57" s="6"/>
      <c r="AE57" s="48" t="s">
        <v>180</v>
      </c>
      <c r="AF57" s="6"/>
      <c r="AG57" s="55" t="s">
        <v>56</v>
      </c>
      <c r="AH57" s="5"/>
      <c r="AI57" s="6"/>
      <c r="AJ57" s="48"/>
      <c r="AK57" s="5"/>
      <c r="AL57" s="6"/>
      <c r="AM57" s="56" t="s">
        <v>183</v>
      </c>
      <c r="AN57" s="5"/>
      <c r="AO57" s="6"/>
      <c r="AP57" s="57">
        <v>46190.0</v>
      </c>
      <c r="AQ57" s="5"/>
      <c r="AR57" s="6"/>
      <c r="AS57" s="48"/>
      <c r="AT57" s="5"/>
      <c r="AU57" s="6"/>
      <c r="AV57" s="55" t="s">
        <v>56</v>
      </c>
      <c r="AW57" s="5"/>
      <c r="AX57" s="6"/>
      <c r="AY57" s="48"/>
      <c r="AZ57" s="5"/>
      <c r="BA57" s="6"/>
      <c r="BB57" s="55" t="s">
        <v>186</v>
      </c>
      <c r="BC57" s="5"/>
      <c r="BD57" s="6"/>
      <c r="BE57" s="57">
        <v>46247.0</v>
      </c>
      <c r="BF57" s="5"/>
      <c r="BG57" s="6"/>
      <c r="BH57" s="48"/>
      <c r="BI57" s="5"/>
      <c r="BJ57" s="6"/>
      <c r="BK57" s="49"/>
      <c r="BL57" s="5"/>
      <c r="BM57" s="5"/>
      <c r="BN57" s="5"/>
      <c r="BO57" s="5"/>
      <c r="BP57" s="5"/>
      <c r="BQ57" s="6"/>
    </row>
    <row r="58" ht="384.0" customHeight="1">
      <c r="A58" s="47">
        <v>42.0</v>
      </c>
      <c r="B58" s="49" t="s">
        <v>480</v>
      </c>
      <c r="C58" s="5"/>
      <c r="D58" s="6"/>
      <c r="E58" s="49" t="s">
        <v>481</v>
      </c>
      <c r="F58" s="5"/>
      <c r="G58" s="5"/>
      <c r="H58" s="5"/>
      <c r="I58" s="6"/>
      <c r="J58" s="49" t="s">
        <v>308</v>
      </c>
      <c r="K58" s="5"/>
      <c r="L58" s="5"/>
      <c r="M58" s="5"/>
      <c r="N58" s="5"/>
      <c r="O58" s="5"/>
      <c r="P58" s="6"/>
      <c r="Q58" s="49" t="s">
        <v>482</v>
      </c>
      <c r="R58" s="5"/>
      <c r="S58" s="5"/>
      <c r="T58" s="5"/>
      <c r="U58" s="5"/>
      <c r="V58" s="5"/>
      <c r="W58" s="6"/>
      <c r="X58" s="49" t="s">
        <v>483</v>
      </c>
      <c r="Y58" s="5"/>
      <c r="Z58" s="5"/>
      <c r="AA58" s="5"/>
      <c r="AB58" s="5"/>
      <c r="AC58" s="5"/>
      <c r="AD58" s="6"/>
      <c r="AE58" s="48" t="s">
        <v>180</v>
      </c>
      <c r="AF58" s="6"/>
      <c r="AG58" s="55" t="s">
        <v>56</v>
      </c>
      <c r="AH58" s="5"/>
      <c r="AI58" s="6"/>
      <c r="AJ58" s="48"/>
      <c r="AK58" s="5"/>
      <c r="AL58" s="6"/>
      <c r="AM58" s="56" t="s">
        <v>183</v>
      </c>
      <c r="AN58" s="5"/>
      <c r="AO58" s="6"/>
      <c r="AP58" s="57">
        <v>46190.0</v>
      </c>
      <c r="AQ58" s="5"/>
      <c r="AR58" s="6"/>
      <c r="AS58" s="48"/>
      <c r="AT58" s="5"/>
      <c r="AU58" s="6"/>
      <c r="AV58" s="55" t="s">
        <v>56</v>
      </c>
      <c r="AW58" s="5"/>
      <c r="AX58" s="6"/>
      <c r="AY58" s="48"/>
      <c r="AZ58" s="5"/>
      <c r="BA58" s="6"/>
      <c r="BB58" s="55" t="s">
        <v>186</v>
      </c>
      <c r="BC58" s="5"/>
      <c r="BD58" s="6"/>
      <c r="BE58" s="57">
        <v>46247.0</v>
      </c>
      <c r="BF58" s="5"/>
      <c r="BG58" s="6"/>
      <c r="BH58" s="48"/>
      <c r="BI58" s="5"/>
      <c r="BJ58" s="6"/>
      <c r="BK58" s="49"/>
      <c r="BL58" s="5"/>
      <c r="BM58" s="5"/>
      <c r="BN58" s="5"/>
      <c r="BO58" s="5"/>
      <c r="BP58" s="5"/>
      <c r="BQ58" s="6"/>
    </row>
    <row r="59" ht="432.0" customHeight="1">
      <c r="A59" s="47">
        <v>43.0</v>
      </c>
      <c r="B59" s="49" t="s">
        <v>484</v>
      </c>
      <c r="C59" s="5"/>
      <c r="D59" s="6"/>
      <c r="E59" s="49" t="s">
        <v>485</v>
      </c>
      <c r="F59" s="5"/>
      <c r="G59" s="5"/>
      <c r="H59" s="5"/>
      <c r="I59" s="6"/>
      <c r="J59" s="49" t="s">
        <v>308</v>
      </c>
      <c r="K59" s="5"/>
      <c r="L59" s="5"/>
      <c r="M59" s="5"/>
      <c r="N59" s="5"/>
      <c r="O59" s="5"/>
      <c r="P59" s="6"/>
      <c r="Q59" s="54" t="s">
        <v>486</v>
      </c>
      <c r="R59" s="5"/>
      <c r="S59" s="5"/>
      <c r="T59" s="5"/>
      <c r="U59" s="5"/>
      <c r="V59" s="5"/>
      <c r="W59" s="6"/>
      <c r="X59" s="54" t="s">
        <v>487</v>
      </c>
      <c r="Y59" s="5"/>
      <c r="Z59" s="5"/>
      <c r="AA59" s="5"/>
      <c r="AB59" s="5"/>
      <c r="AC59" s="5"/>
      <c r="AD59" s="6"/>
      <c r="AE59" s="48" t="s">
        <v>180</v>
      </c>
      <c r="AF59" s="6"/>
      <c r="AG59" s="55" t="s">
        <v>56</v>
      </c>
      <c r="AH59" s="5"/>
      <c r="AI59" s="6"/>
      <c r="AJ59" s="48"/>
      <c r="AK59" s="5"/>
      <c r="AL59" s="6"/>
      <c r="AM59" s="56" t="s">
        <v>183</v>
      </c>
      <c r="AN59" s="5"/>
      <c r="AO59" s="6"/>
      <c r="AP59" s="57">
        <v>46190.0</v>
      </c>
      <c r="AQ59" s="5"/>
      <c r="AR59" s="6"/>
      <c r="AS59" s="48"/>
      <c r="AT59" s="5"/>
      <c r="AU59" s="6"/>
      <c r="AV59" s="55" t="s">
        <v>56</v>
      </c>
      <c r="AW59" s="5"/>
      <c r="AX59" s="6"/>
      <c r="AY59" s="48"/>
      <c r="AZ59" s="5"/>
      <c r="BA59" s="6"/>
      <c r="BB59" s="55" t="s">
        <v>186</v>
      </c>
      <c r="BC59" s="5"/>
      <c r="BD59" s="6"/>
      <c r="BE59" s="57">
        <v>46247.0</v>
      </c>
      <c r="BF59" s="5"/>
      <c r="BG59" s="6"/>
      <c r="BH59" s="48"/>
      <c r="BI59" s="5"/>
      <c r="BJ59" s="6"/>
      <c r="BK59" s="49"/>
      <c r="BL59" s="5"/>
      <c r="BM59" s="5"/>
      <c r="BN59" s="5"/>
      <c r="BO59" s="5"/>
      <c r="BP59" s="5"/>
      <c r="BQ59" s="6"/>
    </row>
    <row r="60" ht="399.75" customHeight="1">
      <c r="A60" s="47">
        <v>44.0</v>
      </c>
      <c r="B60" s="49" t="s">
        <v>488</v>
      </c>
      <c r="C60" s="5"/>
      <c r="D60" s="6"/>
      <c r="E60" s="49" t="s">
        <v>489</v>
      </c>
      <c r="F60" s="5"/>
      <c r="G60" s="5"/>
      <c r="H60" s="5"/>
      <c r="I60" s="6"/>
      <c r="J60" s="49" t="s">
        <v>308</v>
      </c>
      <c r="K60" s="5"/>
      <c r="L60" s="5"/>
      <c r="M60" s="5"/>
      <c r="N60" s="5"/>
      <c r="O60" s="5"/>
      <c r="P60" s="6"/>
      <c r="Q60" s="54" t="s">
        <v>490</v>
      </c>
      <c r="R60" s="5"/>
      <c r="S60" s="5"/>
      <c r="T60" s="5"/>
      <c r="U60" s="5"/>
      <c r="V60" s="5"/>
      <c r="W60" s="6"/>
      <c r="X60" s="54" t="s">
        <v>491</v>
      </c>
      <c r="Y60" s="5"/>
      <c r="Z60" s="5"/>
      <c r="AA60" s="5"/>
      <c r="AB60" s="5"/>
      <c r="AC60" s="5"/>
      <c r="AD60" s="6"/>
      <c r="AE60" s="48" t="s">
        <v>180</v>
      </c>
      <c r="AF60" s="6"/>
      <c r="AG60" s="55" t="s">
        <v>56</v>
      </c>
      <c r="AH60" s="5"/>
      <c r="AI60" s="6"/>
      <c r="AJ60" s="48"/>
      <c r="AK60" s="5"/>
      <c r="AL60" s="6"/>
      <c r="AM60" s="56" t="s">
        <v>183</v>
      </c>
      <c r="AN60" s="5"/>
      <c r="AO60" s="6"/>
      <c r="AP60" s="57">
        <v>46190.0</v>
      </c>
      <c r="AQ60" s="5"/>
      <c r="AR60" s="6"/>
      <c r="AS60" s="48"/>
      <c r="AT60" s="5"/>
      <c r="AU60" s="6"/>
      <c r="AV60" s="55" t="s">
        <v>56</v>
      </c>
      <c r="AW60" s="5"/>
      <c r="AX60" s="6"/>
      <c r="AY60" s="48"/>
      <c r="AZ60" s="5"/>
      <c r="BA60" s="6"/>
      <c r="BB60" s="55" t="s">
        <v>186</v>
      </c>
      <c r="BC60" s="5"/>
      <c r="BD60" s="6"/>
      <c r="BE60" s="57">
        <v>46247.0</v>
      </c>
      <c r="BF60" s="5"/>
      <c r="BG60" s="6"/>
      <c r="BH60" s="48"/>
      <c r="BI60" s="5"/>
      <c r="BJ60" s="6"/>
      <c r="BK60" s="49"/>
      <c r="BL60" s="5"/>
      <c r="BM60" s="5"/>
      <c r="BN60" s="5"/>
      <c r="BO60" s="5"/>
      <c r="BP60" s="5"/>
      <c r="BQ60" s="6"/>
    </row>
    <row r="61" ht="319.5" customHeight="1">
      <c r="A61" s="47">
        <v>45.0</v>
      </c>
      <c r="B61" s="49" t="s">
        <v>492</v>
      </c>
      <c r="C61" s="5"/>
      <c r="D61" s="6"/>
      <c r="E61" s="49" t="s">
        <v>493</v>
      </c>
      <c r="F61" s="5"/>
      <c r="G61" s="5"/>
      <c r="H61" s="5"/>
      <c r="I61" s="6"/>
      <c r="J61" s="49" t="s">
        <v>308</v>
      </c>
      <c r="K61" s="5"/>
      <c r="L61" s="5"/>
      <c r="M61" s="5"/>
      <c r="N61" s="5"/>
      <c r="O61" s="5"/>
      <c r="P61" s="6"/>
      <c r="Q61" s="49" t="s">
        <v>494</v>
      </c>
      <c r="R61" s="5"/>
      <c r="S61" s="5"/>
      <c r="T61" s="5"/>
      <c r="U61" s="5"/>
      <c r="V61" s="5"/>
      <c r="W61" s="6"/>
      <c r="X61" s="49" t="s">
        <v>495</v>
      </c>
      <c r="Y61" s="5"/>
      <c r="Z61" s="5"/>
      <c r="AA61" s="5"/>
      <c r="AB61" s="5"/>
      <c r="AC61" s="5"/>
      <c r="AD61" s="6"/>
      <c r="AE61" s="48" t="s">
        <v>180</v>
      </c>
      <c r="AF61" s="6"/>
      <c r="AG61" s="55" t="s">
        <v>56</v>
      </c>
      <c r="AH61" s="5"/>
      <c r="AI61" s="6"/>
      <c r="AJ61" s="48"/>
      <c r="AK61" s="5"/>
      <c r="AL61" s="6"/>
      <c r="AM61" s="56" t="s">
        <v>183</v>
      </c>
      <c r="AN61" s="5"/>
      <c r="AO61" s="6"/>
      <c r="AP61" s="57">
        <v>46190.0</v>
      </c>
      <c r="AQ61" s="5"/>
      <c r="AR61" s="6"/>
      <c r="AS61" s="48"/>
      <c r="AT61" s="5"/>
      <c r="AU61" s="6"/>
      <c r="AV61" s="55" t="s">
        <v>56</v>
      </c>
      <c r="AW61" s="5"/>
      <c r="AX61" s="6"/>
      <c r="AY61" s="48"/>
      <c r="AZ61" s="5"/>
      <c r="BA61" s="6"/>
      <c r="BB61" s="55" t="s">
        <v>186</v>
      </c>
      <c r="BC61" s="5"/>
      <c r="BD61" s="6"/>
      <c r="BE61" s="57">
        <v>46247.0</v>
      </c>
      <c r="BF61" s="5"/>
      <c r="BG61" s="6"/>
      <c r="BH61" s="48"/>
      <c r="BI61" s="5"/>
      <c r="BJ61" s="6"/>
      <c r="BK61" s="49"/>
      <c r="BL61" s="5"/>
      <c r="BM61" s="5"/>
      <c r="BN61" s="5"/>
      <c r="BO61" s="5"/>
      <c r="BP61" s="5"/>
      <c r="BQ61" s="6"/>
    </row>
    <row r="62" ht="367.5" customHeight="1">
      <c r="A62" s="47">
        <v>46.0</v>
      </c>
      <c r="B62" s="49" t="s">
        <v>496</v>
      </c>
      <c r="C62" s="5"/>
      <c r="D62" s="6"/>
      <c r="E62" s="49" t="s">
        <v>497</v>
      </c>
      <c r="F62" s="5"/>
      <c r="G62" s="5"/>
      <c r="H62" s="5"/>
      <c r="I62" s="6"/>
      <c r="J62" s="49" t="s">
        <v>498</v>
      </c>
      <c r="K62" s="5"/>
      <c r="L62" s="5"/>
      <c r="M62" s="5"/>
      <c r="N62" s="5"/>
      <c r="O62" s="5"/>
      <c r="P62" s="6"/>
      <c r="Q62" s="54" t="s">
        <v>499</v>
      </c>
      <c r="R62" s="5"/>
      <c r="S62" s="5"/>
      <c r="T62" s="5"/>
      <c r="U62" s="5"/>
      <c r="V62" s="5"/>
      <c r="W62" s="6"/>
      <c r="X62" s="54" t="s">
        <v>500</v>
      </c>
      <c r="Y62" s="5"/>
      <c r="Z62" s="5"/>
      <c r="AA62" s="5"/>
      <c r="AB62" s="5"/>
      <c r="AC62" s="5"/>
      <c r="AD62" s="6"/>
      <c r="AE62" s="48" t="s">
        <v>180</v>
      </c>
      <c r="AF62" s="6"/>
      <c r="AG62" s="55" t="s">
        <v>56</v>
      </c>
      <c r="AH62" s="5"/>
      <c r="AI62" s="6"/>
      <c r="AJ62" s="48"/>
      <c r="AK62" s="5"/>
      <c r="AL62" s="6"/>
      <c r="AM62" s="56" t="s">
        <v>183</v>
      </c>
      <c r="AN62" s="5"/>
      <c r="AO62" s="6"/>
      <c r="AP62" s="57">
        <v>46190.0</v>
      </c>
      <c r="AQ62" s="5"/>
      <c r="AR62" s="6"/>
      <c r="AS62" s="48"/>
      <c r="AT62" s="5"/>
      <c r="AU62" s="6"/>
      <c r="AV62" s="55" t="s">
        <v>56</v>
      </c>
      <c r="AW62" s="5"/>
      <c r="AX62" s="6"/>
      <c r="AY62" s="48"/>
      <c r="AZ62" s="5"/>
      <c r="BA62" s="6"/>
      <c r="BB62" s="55" t="s">
        <v>186</v>
      </c>
      <c r="BC62" s="5"/>
      <c r="BD62" s="6"/>
      <c r="BE62" s="57">
        <v>46247.0</v>
      </c>
      <c r="BF62" s="5"/>
      <c r="BG62" s="6"/>
      <c r="BH62" s="48"/>
      <c r="BI62" s="5"/>
      <c r="BJ62" s="6"/>
      <c r="BK62" s="49"/>
      <c r="BL62" s="5"/>
      <c r="BM62" s="5"/>
      <c r="BN62" s="5"/>
      <c r="BO62" s="5"/>
      <c r="BP62" s="5"/>
      <c r="BQ62" s="6"/>
    </row>
    <row r="63" ht="303.75" customHeight="1">
      <c r="A63" s="47">
        <v>47.0</v>
      </c>
      <c r="B63" s="49" t="s">
        <v>501</v>
      </c>
      <c r="C63" s="5"/>
      <c r="D63" s="6"/>
      <c r="E63" s="49" t="s">
        <v>502</v>
      </c>
      <c r="F63" s="5"/>
      <c r="G63" s="5"/>
      <c r="H63" s="5"/>
      <c r="I63" s="6"/>
      <c r="J63" s="49" t="s">
        <v>503</v>
      </c>
      <c r="K63" s="5"/>
      <c r="L63" s="5"/>
      <c r="M63" s="5"/>
      <c r="N63" s="5"/>
      <c r="O63" s="5"/>
      <c r="P63" s="6"/>
      <c r="Q63" s="54" t="s">
        <v>504</v>
      </c>
      <c r="R63" s="5"/>
      <c r="S63" s="5"/>
      <c r="T63" s="5"/>
      <c r="U63" s="5"/>
      <c r="V63" s="5"/>
      <c r="W63" s="6"/>
      <c r="X63" s="54" t="s">
        <v>505</v>
      </c>
      <c r="Y63" s="5"/>
      <c r="Z63" s="5"/>
      <c r="AA63" s="5"/>
      <c r="AB63" s="5"/>
      <c r="AC63" s="5"/>
      <c r="AD63" s="6"/>
      <c r="AE63" s="48" t="s">
        <v>207</v>
      </c>
      <c r="AF63" s="6"/>
      <c r="AG63" s="55" t="s">
        <v>56</v>
      </c>
      <c r="AH63" s="5"/>
      <c r="AI63" s="6"/>
      <c r="AJ63" s="48"/>
      <c r="AK63" s="5"/>
      <c r="AL63" s="6"/>
      <c r="AM63" s="56" t="s">
        <v>183</v>
      </c>
      <c r="AN63" s="5"/>
      <c r="AO63" s="6"/>
      <c r="AP63" s="57">
        <v>46190.0</v>
      </c>
      <c r="AQ63" s="5"/>
      <c r="AR63" s="6"/>
      <c r="AS63" s="48"/>
      <c r="AT63" s="5"/>
      <c r="AU63" s="6"/>
      <c r="AV63" s="55" t="s">
        <v>56</v>
      </c>
      <c r="AW63" s="5"/>
      <c r="AX63" s="6"/>
      <c r="AY63" s="48"/>
      <c r="AZ63" s="5"/>
      <c r="BA63" s="6"/>
      <c r="BB63" s="55" t="s">
        <v>186</v>
      </c>
      <c r="BC63" s="5"/>
      <c r="BD63" s="6"/>
      <c r="BE63" s="57">
        <v>46247.0</v>
      </c>
      <c r="BF63" s="5"/>
      <c r="BG63" s="6"/>
      <c r="BH63" s="48"/>
      <c r="BI63" s="5"/>
      <c r="BJ63" s="6"/>
      <c r="BK63" s="49"/>
      <c r="BL63" s="5"/>
      <c r="BM63" s="5"/>
      <c r="BN63" s="5"/>
      <c r="BO63" s="5"/>
      <c r="BP63" s="5"/>
      <c r="BQ63" s="6"/>
    </row>
    <row r="64" ht="303.75" customHeight="1">
      <c r="A64" s="47">
        <v>48.0</v>
      </c>
      <c r="B64" s="49" t="s">
        <v>506</v>
      </c>
      <c r="C64" s="5"/>
      <c r="D64" s="6"/>
      <c r="E64" s="49" t="s">
        <v>507</v>
      </c>
      <c r="F64" s="5"/>
      <c r="G64" s="5"/>
      <c r="H64" s="5"/>
      <c r="I64" s="6"/>
      <c r="J64" s="49" t="s">
        <v>508</v>
      </c>
      <c r="K64" s="5"/>
      <c r="L64" s="5"/>
      <c r="M64" s="5"/>
      <c r="N64" s="5"/>
      <c r="O64" s="5"/>
      <c r="P64" s="6"/>
      <c r="Q64" s="49" t="s">
        <v>509</v>
      </c>
      <c r="R64" s="5"/>
      <c r="S64" s="5"/>
      <c r="T64" s="5"/>
      <c r="U64" s="5"/>
      <c r="V64" s="5"/>
      <c r="W64" s="6"/>
      <c r="X64" s="49" t="s">
        <v>510</v>
      </c>
      <c r="Y64" s="5"/>
      <c r="Z64" s="5"/>
      <c r="AA64" s="5"/>
      <c r="AB64" s="5"/>
      <c r="AC64" s="5"/>
      <c r="AD64" s="6"/>
      <c r="AE64" s="48" t="s">
        <v>207</v>
      </c>
      <c r="AF64" s="6"/>
      <c r="AG64" s="55" t="s">
        <v>56</v>
      </c>
      <c r="AH64" s="5"/>
      <c r="AI64" s="6"/>
      <c r="AJ64" s="48"/>
      <c r="AK64" s="5"/>
      <c r="AL64" s="6"/>
      <c r="AM64" s="56" t="s">
        <v>183</v>
      </c>
      <c r="AN64" s="5"/>
      <c r="AO64" s="6"/>
      <c r="AP64" s="57">
        <v>46190.0</v>
      </c>
      <c r="AQ64" s="5"/>
      <c r="AR64" s="6"/>
      <c r="AS64" s="48"/>
      <c r="AT64" s="5"/>
      <c r="AU64" s="6"/>
      <c r="AV64" s="55" t="s">
        <v>56</v>
      </c>
      <c r="AW64" s="5"/>
      <c r="AX64" s="6"/>
      <c r="AY64" s="48"/>
      <c r="AZ64" s="5"/>
      <c r="BA64" s="6"/>
      <c r="BB64" s="55" t="s">
        <v>186</v>
      </c>
      <c r="BC64" s="5"/>
      <c r="BD64" s="6"/>
      <c r="BE64" s="57">
        <v>46247.0</v>
      </c>
      <c r="BF64" s="5"/>
      <c r="BG64" s="6"/>
      <c r="BH64" s="48"/>
      <c r="BI64" s="5"/>
      <c r="BJ64" s="6"/>
      <c r="BK64" s="49"/>
      <c r="BL64" s="5"/>
      <c r="BM64" s="5"/>
      <c r="BN64" s="5"/>
      <c r="BO64" s="5"/>
      <c r="BP64" s="5"/>
      <c r="BQ64" s="6"/>
    </row>
    <row r="65" ht="288.0" customHeight="1">
      <c r="A65" s="47">
        <v>49.0</v>
      </c>
      <c r="B65" s="49" t="s">
        <v>511</v>
      </c>
      <c r="C65" s="5"/>
      <c r="D65" s="6"/>
      <c r="E65" s="49" t="s">
        <v>512</v>
      </c>
      <c r="F65" s="5"/>
      <c r="G65" s="5"/>
      <c r="H65" s="5"/>
      <c r="I65" s="6"/>
      <c r="J65" s="49" t="s">
        <v>308</v>
      </c>
      <c r="K65" s="5"/>
      <c r="L65" s="5"/>
      <c r="M65" s="5"/>
      <c r="N65" s="5"/>
      <c r="O65" s="5"/>
      <c r="P65" s="6"/>
      <c r="Q65" s="49" t="s">
        <v>513</v>
      </c>
      <c r="R65" s="5"/>
      <c r="S65" s="5"/>
      <c r="T65" s="5"/>
      <c r="U65" s="5"/>
      <c r="V65" s="5"/>
      <c r="W65" s="6"/>
      <c r="X65" s="49" t="s">
        <v>514</v>
      </c>
      <c r="Y65" s="5"/>
      <c r="Z65" s="5"/>
      <c r="AA65" s="5"/>
      <c r="AB65" s="5"/>
      <c r="AC65" s="5"/>
      <c r="AD65" s="6"/>
      <c r="AE65" s="48" t="s">
        <v>180</v>
      </c>
      <c r="AF65" s="6"/>
      <c r="AG65" s="55" t="s">
        <v>56</v>
      </c>
      <c r="AH65" s="5"/>
      <c r="AI65" s="6"/>
      <c r="AJ65" s="48"/>
      <c r="AK65" s="5"/>
      <c r="AL65" s="6"/>
      <c r="AM65" s="56" t="s">
        <v>183</v>
      </c>
      <c r="AN65" s="5"/>
      <c r="AO65" s="6"/>
      <c r="AP65" s="57">
        <v>46190.0</v>
      </c>
      <c r="AQ65" s="5"/>
      <c r="AR65" s="6"/>
      <c r="AS65" s="48"/>
      <c r="AT65" s="5"/>
      <c r="AU65" s="6"/>
      <c r="AV65" s="55" t="s">
        <v>56</v>
      </c>
      <c r="AW65" s="5"/>
      <c r="AX65" s="6"/>
      <c r="AY65" s="48"/>
      <c r="AZ65" s="5"/>
      <c r="BA65" s="6"/>
      <c r="BB65" s="55" t="s">
        <v>186</v>
      </c>
      <c r="BC65" s="5"/>
      <c r="BD65" s="6"/>
      <c r="BE65" s="57">
        <v>46247.0</v>
      </c>
      <c r="BF65" s="5"/>
      <c r="BG65" s="6"/>
      <c r="BH65" s="48"/>
      <c r="BI65" s="5"/>
      <c r="BJ65" s="6"/>
      <c r="BK65" s="49" t="s">
        <v>378</v>
      </c>
      <c r="BL65" s="5"/>
      <c r="BM65" s="5"/>
      <c r="BN65" s="5"/>
      <c r="BO65" s="5"/>
      <c r="BP65" s="5"/>
      <c r="BQ65" s="6"/>
    </row>
    <row r="66" ht="22.5" customHeight="1">
      <c r="A66" s="11" t="s">
        <v>515</v>
      </c>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c r="BH66" s="5"/>
      <c r="BI66" s="5"/>
      <c r="BJ66" s="5"/>
      <c r="BK66" s="5"/>
      <c r="BL66" s="5"/>
      <c r="BM66" s="5"/>
      <c r="BN66" s="5"/>
      <c r="BO66" s="5"/>
      <c r="BP66" s="5"/>
      <c r="BQ66" s="6"/>
    </row>
    <row r="67" ht="271.5" customHeight="1">
      <c r="A67" s="47">
        <v>50.0</v>
      </c>
      <c r="B67" s="49" t="s">
        <v>516</v>
      </c>
      <c r="C67" s="5"/>
      <c r="D67" s="6"/>
      <c r="E67" s="49" t="s">
        <v>517</v>
      </c>
      <c r="F67" s="5"/>
      <c r="G67" s="5"/>
      <c r="H67" s="5"/>
      <c r="I67" s="6"/>
      <c r="J67" s="49" t="s">
        <v>518</v>
      </c>
      <c r="K67" s="5"/>
      <c r="L67" s="5"/>
      <c r="M67" s="5"/>
      <c r="N67" s="5"/>
      <c r="O67" s="5"/>
      <c r="P67" s="6"/>
      <c r="Q67" s="49" t="s">
        <v>519</v>
      </c>
      <c r="R67" s="5"/>
      <c r="S67" s="5"/>
      <c r="T67" s="5"/>
      <c r="U67" s="5"/>
      <c r="V67" s="5"/>
      <c r="W67" s="6"/>
      <c r="X67" s="49" t="s">
        <v>520</v>
      </c>
      <c r="Y67" s="5"/>
      <c r="Z67" s="5"/>
      <c r="AA67" s="5"/>
      <c r="AB67" s="5"/>
      <c r="AC67" s="5"/>
      <c r="AD67" s="6"/>
      <c r="AE67" s="48" t="s">
        <v>180</v>
      </c>
      <c r="AF67" s="6"/>
      <c r="AG67" s="55" t="s">
        <v>56</v>
      </c>
      <c r="AH67" s="5"/>
      <c r="AI67" s="6"/>
      <c r="AJ67" s="48"/>
      <c r="AK67" s="5"/>
      <c r="AL67" s="6"/>
      <c r="AM67" s="56" t="s">
        <v>183</v>
      </c>
      <c r="AN67" s="5"/>
      <c r="AO67" s="6"/>
      <c r="AP67" s="57">
        <v>46190.0</v>
      </c>
      <c r="AQ67" s="5"/>
      <c r="AR67" s="6"/>
      <c r="AS67" s="48"/>
      <c r="AT67" s="5"/>
      <c r="AU67" s="6"/>
      <c r="AV67" s="55" t="s">
        <v>56</v>
      </c>
      <c r="AW67" s="5"/>
      <c r="AX67" s="6"/>
      <c r="AY67" s="48"/>
      <c r="AZ67" s="5"/>
      <c r="BA67" s="6"/>
      <c r="BB67" s="55" t="s">
        <v>186</v>
      </c>
      <c r="BC67" s="5"/>
      <c r="BD67" s="6"/>
      <c r="BE67" s="57">
        <v>46247.0</v>
      </c>
      <c r="BF67" s="5"/>
      <c r="BG67" s="6"/>
      <c r="BH67" s="48"/>
      <c r="BI67" s="5"/>
      <c r="BJ67" s="6"/>
      <c r="BK67" s="49"/>
      <c r="BL67" s="5"/>
      <c r="BM67" s="5"/>
      <c r="BN67" s="5"/>
      <c r="BO67" s="5"/>
      <c r="BP67" s="5"/>
      <c r="BQ67" s="6"/>
    </row>
    <row r="68" ht="384.0" customHeight="1">
      <c r="A68" s="47">
        <v>51.0</v>
      </c>
      <c r="B68" s="49" t="s">
        <v>521</v>
      </c>
      <c r="C68" s="5"/>
      <c r="D68" s="6"/>
      <c r="E68" s="49" t="s">
        <v>522</v>
      </c>
      <c r="F68" s="5"/>
      <c r="G68" s="5"/>
      <c r="H68" s="5"/>
      <c r="I68" s="6"/>
      <c r="J68" s="49" t="s">
        <v>518</v>
      </c>
      <c r="K68" s="5"/>
      <c r="L68" s="5"/>
      <c r="M68" s="5"/>
      <c r="N68" s="5"/>
      <c r="O68" s="5"/>
      <c r="P68" s="6"/>
      <c r="Q68" s="54" t="s">
        <v>523</v>
      </c>
      <c r="R68" s="5"/>
      <c r="S68" s="5"/>
      <c r="T68" s="5"/>
      <c r="U68" s="5"/>
      <c r="V68" s="5"/>
      <c r="W68" s="6"/>
      <c r="X68" s="49" t="s">
        <v>524</v>
      </c>
      <c r="Y68" s="5"/>
      <c r="Z68" s="5"/>
      <c r="AA68" s="5"/>
      <c r="AB68" s="5"/>
      <c r="AC68" s="5"/>
      <c r="AD68" s="6"/>
      <c r="AE68" s="48" t="s">
        <v>180</v>
      </c>
      <c r="AF68" s="6"/>
      <c r="AG68" s="55" t="s">
        <v>56</v>
      </c>
      <c r="AH68" s="5"/>
      <c r="AI68" s="6"/>
      <c r="AJ68" s="48"/>
      <c r="AK68" s="5"/>
      <c r="AL68" s="6"/>
      <c r="AM68" s="56" t="s">
        <v>183</v>
      </c>
      <c r="AN68" s="5"/>
      <c r="AO68" s="6"/>
      <c r="AP68" s="57">
        <v>46190.0</v>
      </c>
      <c r="AQ68" s="5"/>
      <c r="AR68" s="6"/>
      <c r="AS68" s="48"/>
      <c r="AT68" s="5"/>
      <c r="AU68" s="6"/>
      <c r="AV68" s="55" t="s">
        <v>56</v>
      </c>
      <c r="AW68" s="5"/>
      <c r="AX68" s="6"/>
      <c r="AY68" s="48"/>
      <c r="AZ68" s="5"/>
      <c r="BA68" s="6"/>
      <c r="BB68" s="55" t="s">
        <v>186</v>
      </c>
      <c r="BC68" s="5"/>
      <c r="BD68" s="6"/>
      <c r="BE68" s="57">
        <v>46247.0</v>
      </c>
      <c r="BF68" s="5"/>
      <c r="BG68" s="6"/>
      <c r="BH68" s="48"/>
      <c r="BI68" s="5"/>
      <c r="BJ68" s="6"/>
      <c r="BK68" s="49"/>
      <c r="BL68" s="5"/>
      <c r="BM68" s="5"/>
      <c r="BN68" s="5"/>
      <c r="BO68" s="5"/>
      <c r="BP68" s="5"/>
      <c r="BQ68" s="6"/>
    </row>
    <row r="69" ht="319.5" customHeight="1">
      <c r="A69" s="47">
        <v>52.0</v>
      </c>
      <c r="B69" s="49" t="s">
        <v>525</v>
      </c>
      <c r="C69" s="5"/>
      <c r="D69" s="6"/>
      <c r="E69" s="49" t="s">
        <v>526</v>
      </c>
      <c r="F69" s="5"/>
      <c r="G69" s="5"/>
      <c r="H69" s="5"/>
      <c r="I69" s="6"/>
      <c r="J69" s="49" t="s">
        <v>527</v>
      </c>
      <c r="K69" s="5"/>
      <c r="L69" s="5"/>
      <c r="M69" s="5"/>
      <c r="N69" s="5"/>
      <c r="O69" s="5"/>
      <c r="P69" s="6"/>
      <c r="Q69" s="49" t="s">
        <v>528</v>
      </c>
      <c r="R69" s="5"/>
      <c r="S69" s="5"/>
      <c r="T69" s="5"/>
      <c r="U69" s="5"/>
      <c r="V69" s="5"/>
      <c r="W69" s="6"/>
      <c r="X69" s="49" t="s">
        <v>529</v>
      </c>
      <c r="Y69" s="5"/>
      <c r="Z69" s="5"/>
      <c r="AA69" s="5"/>
      <c r="AB69" s="5"/>
      <c r="AC69" s="5"/>
      <c r="AD69" s="6"/>
      <c r="AE69" s="48" t="s">
        <v>180</v>
      </c>
      <c r="AF69" s="6"/>
      <c r="AG69" s="55" t="s">
        <v>56</v>
      </c>
      <c r="AH69" s="5"/>
      <c r="AI69" s="6"/>
      <c r="AJ69" s="48"/>
      <c r="AK69" s="5"/>
      <c r="AL69" s="6"/>
      <c r="AM69" s="56" t="s">
        <v>183</v>
      </c>
      <c r="AN69" s="5"/>
      <c r="AO69" s="6"/>
      <c r="AP69" s="57">
        <v>46190.0</v>
      </c>
      <c r="AQ69" s="5"/>
      <c r="AR69" s="6"/>
      <c r="AS69" s="48"/>
      <c r="AT69" s="5"/>
      <c r="AU69" s="6"/>
      <c r="AV69" s="55" t="s">
        <v>56</v>
      </c>
      <c r="AW69" s="5"/>
      <c r="AX69" s="6"/>
      <c r="AY69" s="48"/>
      <c r="AZ69" s="5"/>
      <c r="BA69" s="6"/>
      <c r="BB69" s="55" t="s">
        <v>186</v>
      </c>
      <c r="BC69" s="5"/>
      <c r="BD69" s="6"/>
      <c r="BE69" s="57">
        <v>46247.0</v>
      </c>
      <c r="BF69" s="5"/>
      <c r="BG69" s="6"/>
      <c r="BH69" s="48"/>
      <c r="BI69" s="5"/>
      <c r="BJ69" s="6"/>
      <c r="BK69" s="49"/>
      <c r="BL69" s="5"/>
      <c r="BM69" s="5"/>
      <c r="BN69" s="5"/>
      <c r="BO69" s="5"/>
      <c r="BP69" s="5"/>
      <c r="BQ69" s="6"/>
    </row>
    <row r="70" ht="271.5" customHeight="1">
      <c r="A70" s="47">
        <v>53.0</v>
      </c>
      <c r="B70" s="49" t="s">
        <v>530</v>
      </c>
      <c r="C70" s="5"/>
      <c r="D70" s="6"/>
      <c r="E70" s="49" t="s">
        <v>531</v>
      </c>
      <c r="F70" s="5"/>
      <c r="G70" s="5"/>
      <c r="H70" s="5"/>
      <c r="I70" s="6"/>
      <c r="J70" s="49" t="s">
        <v>308</v>
      </c>
      <c r="K70" s="5"/>
      <c r="L70" s="5"/>
      <c r="M70" s="5"/>
      <c r="N70" s="5"/>
      <c r="O70" s="5"/>
      <c r="P70" s="6"/>
      <c r="Q70" s="54" t="s">
        <v>532</v>
      </c>
      <c r="R70" s="5"/>
      <c r="S70" s="5"/>
      <c r="T70" s="5"/>
      <c r="U70" s="5"/>
      <c r="V70" s="5"/>
      <c r="W70" s="6"/>
      <c r="X70" s="54" t="s">
        <v>533</v>
      </c>
      <c r="Y70" s="5"/>
      <c r="Z70" s="5"/>
      <c r="AA70" s="5"/>
      <c r="AB70" s="5"/>
      <c r="AC70" s="5"/>
      <c r="AD70" s="6"/>
      <c r="AE70" s="48" t="s">
        <v>180</v>
      </c>
      <c r="AF70" s="6"/>
      <c r="AG70" s="55" t="s">
        <v>56</v>
      </c>
      <c r="AH70" s="5"/>
      <c r="AI70" s="6"/>
      <c r="AJ70" s="48"/>
      <c r="AK70" s="5"/>
      <c r="AL70" s="6"/>
      <c r="AM70" s="56" t="s">
        <v>183</v>
      </c>
      <c r="AN70" s="5"/>
      <c r="AO70" s="6"/>
      <c r="AP70" s="57">
        <v>46190.0</v>
      </c>
      <c r="AQ70" s="5"/>
      <c r="AR70" s="6"/>
      <c r="AS70" s="48"/>
      <c r="AT70" s="5"/>
      <c r="AU70" s="6"/>
      <c r="AV70" s="55" t="s">
        <v>56</v>
      </c>
      <c r="AW70" s="5"/>
      <c r="AX70" s="6"/>
      <c r="AY70" s="48"/>
      <c r="AZ70" s="5"/>
      <c r="BA70" s="6"/>
      <c r="BB70" s="55" t="s">
        <v>186</v>
      </c>
      <c r="BC70" s="5"/>
      <c r="BD70" s="6"/>
      <c r="BE70" s="57">
        <v>46247.0</v>
      </c>
      <c r="BF70" s="5"/>
      <c r="BG70" s="6"/>
      <c r="BH70" s="48"/>
      <c r="BI70" s="5"/>
      <c r="BJ70" s="6"/>
      <c r="BK70" s="49"/>
      <c r="BL70" s="5"/>
      <c r="BM70" s="5"/>
      <c r="BN70" s="5"/>
      <c r="BO70" s="5"/>
      <c r="BP70" s="5"/>
      <c r="BQ70" s="6"/>
    </row>
    <row r="71" ht="240.0" customHeight="1">
      <c r="A71" s="47">
        <v>54.0</v>
      </c>
      <c r="B71" s="49" t="s">
        <v>534</v>
      </c>
      <c r="C71" s="5"/>
      <c r="D71" s="6"/>
      <c r="E71" s="49" t="s">
        <v>535</v>
      </c>
      <c r="F71" s="5"/>
      <c r="G71" s="5"/>
      <c r="H71" s="5"/>
      <c r="I71" s="6"/>
      <c r="J71" s="49" t="s">
        <v>536</v>
      </c>
      <c r="K71" s="5"/>
      <c r="L71" s="5"/>
      <c r="M71" s="5"/>
      <c r="N71" s="5"/>
      <c r="O71" s="5"/>
      <c r="P71" s="6"/>
      <c r="Q71" s="49" t="s">
        <v>537</v>
      </c>
      <c r="R71" s="5"/>
      <c r="S71" s="5"/>
      <c r="T71" s="5"/>
      <c r="U71" s="5"/>
      <c r="V71" s="5"/>
      <c r="W71" s="6"/>
      <c r="X71" s="49" t="s">
        <v>538</v>
      </c>
      <c r="Y71" s="5"/>
      <c r="Z71" s="5"/>
      <c r="AA71" s="5"/>
      <c r="AB71" s="5"/>
      <c r="AC71" s="5"/>
      <c r="AD71" s="6"/>
      <c r="AE71" s="48" t="s">
        <v>207</v>
      </c>
      <c r="AF71" s="6"/>
      <c r="AG71" s="55" t="s">
        <v>56</v>
      </c>
      <c r="AH71" s="5"/>
      <c r="AI71" s="6"/>
      <c r="AJ71" s="48"/>
      <c r="AK71" s="5"/>
      <c r="AL71" s="6"/>
      <c r="AM71" s="56" t="s">
        <v>183</v>
      </c>
      <c r="AN71" s="5"/>
      <c r="AO71" s="6"/>
      <c r="AP71" s="57">
        <v>46190.0</v>
      </c>
      <c r="AQ71" s="5"/>
      <c r="AR71" s="6"/>
      <c r="AS71" s="48"/>
      <c r="AT71" s="5"/>
      <c r="AU71" s="6"/>
      <c r="AV71" s="55" t="s">
        <v>56</v>
      </c>
      <c r="AW71" s="5"/>
      <c r="AX71" s="6"/>
      <c r="AY71" s="48"/>
      <c r="AZ71" s="5"/>
      <c r="BA71" s="6"/>
      <c r="BB71" s="55" t="s">
        <v>186</v>
      </c>
      <c r="BC71" s="5"/>
      <c r="BD71" s="6"/>
      <c r="BE71" s="57">
        <v>46247.0</v>
      </c>
      <c r="BF71" s="5"/>
      <c r="BG71" s="6"/>
      <c r="BH71" s="48"/>
      <c r="BI71" s="5"/>
      <c r="BJ71" s="6"/>
      <c r="BK71" s="49" t="s">
        <v>378</v>
      </c>
      <c r="BL71" s="5"/>
      <c r="BM71" s="5"/>
      <c r="BN71" s="5"/>
      <c r="BO71" s="5"/>
      <c r="BP71" s="5"/>
      <c r="BQ71" s="6"/>
    </row>
    <row r="72" ht="22.5" customHeight="1">
      <c r="A72" s="11" t="s">
        <v>539</v>
      </c>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c r="BC72" s="5"/>
      <c r="BD72" s="5"/>
      <c r="BE72" s="5"/>
      <c r="BF72" s="5"/>
      <c r="BG72" s="5"/>
      <c r="BH72" s="5"/>
      <c r="BI72" s="5"/>
      <c r="BJ72" s="5"/>
      <c r="BK72" s="5"/>
      <c r="BL72" s="5"/>
      <c r="BM72" s="5"/>
      <c r="BN72" s="5"/>
      <c r="BO72" s="5"/>
      <c r="BP72" s="5"/>
      <c r="BQ72" s="6"/>
    </row>
    <row r="73" ht="255.75" customHeight="1">
      <c r="A73" s="47">
        <v>55.0</v>
      </c>
      <c r="B73" s="49" t="s">
        <v>540</v>
      </c>
      <c r="C73" s="5"/>
      <c r="D73" s="6"/>
      <c r="E73" s="49" t="s">
        <v>541</v>
      </c>
      <c r="F73" s="5"/>
      <c r="G73" s="5"/>
      <c r="H73" s="5"/>
      <c r="I73" s="6"/>
      <c r="J73" s="49" t="s">
        <v>542</v>
      </c>
      <c r="K73" s="5"/>
      <c r="L73" s="5"/>
      <c r="M73" s="5"/>
      <c r="N73" s="5"/>
      <c r="O73" s="5"/>
      <c r="P73" s="6"/>
      <c r="Q73" s="49" t="s">
        <v>543</v>
      </c>
      <c r="R73" s="5"/>
      <c r="S73" s="5"/>
      <c r="T73" s="5"/>
      <c r="U73" s="5"/>
      <c r="V73" s="5"/>
      <c r="W73" s="6"/>
      <c r="X73" s="49" t="s">
        <v>544</v>
      </c>
      <c r="Y73" s="5"/>
      <c r="Z73" s="5"/>
      <c r="AA73" s="5"/>
      <c r="AB73" s="5"/>
      <c r="AC73" s="5"/>
      <c r="AD73" s="6"/>
      <c r="AE73" s="48" t="s">
        <v>180</v>
      </c>
      <c r="AF73" s="6"/>
      <c r="AG73" s="55" t="s">
        <v>56</v>
      </c>
      <c r="AH73" s="5"/>
      <c r="AI73" s="6"/>
      <c r="AJ73" s="48"/>
      <c r="AK73" s="5"/>
      <c r="AL73" s="6"/>
      <c r="AM73" s="56" t="s">
        <v>183</v>
      </c>
      <c r="AN73" s="5"/>
      <c r="AO73" s="6"/>
      <c r="AP73" s="57">
        <v>46190.0</v>
      </c>
      <c r="AQ73" s="5"/>
      <c r="AR73" s="6"/>
      <c r="AS73" s="48"/>
      <c r="AT73" s="5"/>
      <c r="AU73" s="6"/>
      <c r="AV73" s="55" t="s">
        <v>56</v>
      </c>
      <c r="AW73" s="5"/>
      <c r="AX73" s="6"/>
      <c r="AY73" s="48"/>
      <c r="AZ73" s="5"/>
      <c r="BA73" s="6"/>
      <c r="BB73" s="55" t="s">
        <v>186</v>
      </c>
      <c r="BC73" s="5"/>
      <c r="BD73" s="6"/>
      <c r="BE73" s="57">
        <v>46247.0</v>
      </c>
      <c r="BF73" s="5"/>
      <c r="BG73" s="6"/>
      <c r="BH73" s="48"/>
      <c r="BI73" s="5"/>
      <c r="BJ73" s="6"/>
      <c r="BK73" s="49"/>
      <c r="BL73" s="5"/>
      <c r="BM73" s="5"/>
      <c r="BN73" s="5"/>
      <c r="BO73" s="5"/>
      <c r="BP73" s="5"/>
      <c r="BQ73" s="6"/>
    </row>
    <row r="74" ht="415.5" customHeight="1">
      <c r="A74" s="47">
        <v>56.0</v>
      </c>
      <c r="B74" s="49" t="s">
        <v>545</v>
      </c>
      <c r="C74" s="5"/>
      <c r="D74" s="6"/>
      <c r="E74" s="49" t="s">
        <v>546</v>
      </c>
      <c r="F74" s="5"/>
      <c r="G74" s="5"/>
      <c r="H74" s="5"/>
      <c r="I74" s="6"/>
      <c r="J74" s="49" t="s">
        <v>547</v>
      </c>
      <c r="K74" s="5"/>
      <c r="L74" s="5"/>
      <c r="M74" s="5"/>
      <c r="N74" s="5"/>
      <c r="O74" s="5"/>
      <c r="P74" s="6"/>
      <c r="Q74" s="54" t="s">
        <v>548</v>
      </c>
      <c r="R74" s="5"/>
      <c r="S74" s="5"/>
      <c r="T74" s="5"/>
      <c r="U74" s="5"/>
      <c r="V74" s="5"/>
      <c r="W74" s="6"/>
      <c r="X74" s="49" t="s">
        <v>549</v>
      </c>
      <c r="Y74" s="5"/>
      <c r="Z74" s="5"/>
      <c r="AA74" s="5"/>
      <c r="AB74" s="5"/>
      <c r="AC74" s="5"/>
      <c r="AD74" s="6"/>
      <c r="AE74" s="48" t="s">
        <v>180</v>
      </c>
      <c r="AF74" s="6"/>
      <c r="AG74" s="55" t="s">
        <v>56</v>
      </c>
      <c r="AH74" s="5"/>
      <c r="AI74" s="6"/>
      <c r="AJ74" s="48"/>
      <c r="AK74" s="5"/>
      <c r="AL74" s="6"/>
      <c r="AM74" s="56" t="s">
        <v>183</v>
      </c>
      <c r="AN74" s="5"/>
      <c r="AO74" s="6"/>
      <c r="AP74" s="57">
        <v>46190.0</v>
      </c>
      <c r="AQ74" s="5"/>
      <c r="AR74" s="6"/>
      <c r="AS74" s="48"/>
      <c r="AT74" s="5"/>
      <c r="AU74" s="6"/>
      <c r="AV74" s="55" t="s">
        <v>56</v>
      </c>
      <c r="AW74" s="5"/>
      <c r="AX74" s="6"/>
      <c r="AY74" s="48"/>
      <c r="AZ74" s="5"/>
      <c r="BA74" s="6"/>
      <c r="BB74" s="55" t="s">
        <v>186</v>
      </c>
      <c r="BC74" s="5"/>
      <c r="BD74" s="6"/>
      <c r="BE74" s="57">
        <v>46247.0</v>
      </c>
      <c r="BF74" s="5"/>
      <c r="BG74" s="6"/>
      <c r="BH74" s="48"/>
      <c r="BI74" s="5"/>
      <c r="BJ74" s="6"/>
      <c r="BK74" s="49"/>
      <c r="BL74" s="5"/>
      <c r="BM74" s="5"/>
      <c r="BN74" s="5"/>
      <c r="BO74" s="5"/>
      <c r="BP74" s="5"/>
      <c r="BQ74" s="6"/>
    </row>
    <row r="75" ht="336.0" customHeight="1">
      <c r="A75" s="47">
        <v>57.0</v>
      </c>
      <c r="B75" s="49" t="s">
        <v>550</v>
      </c>
      <c r="C75" s="5"/>
      <c r="D75" s="6"/>
      <c r="E75" s="49" t="s">
        <v>551</v>
      </c>
      <c r="F75" s="5"/>
      <c r="G75" s="5"/>
      <c r="H75" s="5"/>
      <c r="I75" s="6"/>
      <c r="J75" s="49" t="s">
        <v>552</v>
      </c>
      <c r="K75" s="5"/>
      <c r="L75" s="5"/>
      <c r="M75" s="5"/>
      <c r="N75" s="5"/>
      <c r="O75" s="5"/>
      <c r="P75" s="6"/>
      <c r="Q75" s="54" t="s">
        <v>553</v>
      </c>
      <c r="R75" s="5"/>
      <c r="S75" s="5"/>
      <c r="T75" s="5"/>
      <c r="U75" s="5"/>
      <c r="V75" s="5"/>
      <c r="W75" s="6"/>
      <c r="X75" s="49" t="s">
        <v>554</v>
      </c>
      <c r="Y75" s="5"/>
      <c r="Z75" s="5"/>
      <c r="AA75" s="5"/>
      <c r="AB75" s="5"/>
      <c r="AC75" s="5"/>
      <c r="AD75" s="6"/>
      <c r="AE75" s="48" t="s">
        <v>180</v>
      </c>
      <c r="AF75" s="6"/>
      <c r="AG75" s="55" t="s">
        <v>56</v>
      </c>
      <c r="AH75" s="5"/>
      <c r="AI75" s="6"/>
      <c r="AJ75" s="48"/>
      <c r="AK75" s="5"/>
      <c r="AL75" s="6"/>
      <c r="AM75" s="56" t="s">
        <v>183</v>
      </c>
      <c r="AN75" s="5"/>
      <c r="AO75" s="6"/>
      <c r="AP75" s="57">
        <v>46190.0</v>
      </c>
      <c r="AQ75" s="5"/>
      <c r="AR75" s="6"/>
      <c r="AS75" s="48"/>
      <c r="AT75" s="5"/>
      <c r="AU75" s="6"/>
      <c r="AV75" s="55" t="s">
        <v>56</v>
      </c>
      <c r="AW75" s="5"/>
      <c r="AX75" s="6"/>
      <c r="AY75" s="48"/>
      <c r="AZ75" s="5"/>
      <c r="BA75" s="6"/>
      <c r="BB75" s="55" t="s">
        <v>186</v>
      </c>
      <c r="BC75" s="5"/>
      <c r="BD75" s="6"/>
      <c r="BE75" s="57">
        <v>46247.0</v>
      </c>
      <c r="BF75" s="5"/>
      <c r="BG75" s="6"/>
      <c r="BH75" s="48"/>
      <c r="BI75" s="5"/>
      <c r="BJ75" s="6"/>
      <c r="BK75" s="49"/>
      <c r="BL75" s="5"/>
      <c r="BM75" s="5"/>
      <c r="BN75" s="5"/>
      <c r="BO75" s="5"/>
      <c r="BP75" s="5"/>
      <c r="BQ75" s="6"/>
    </row>
    <row r="76" ht="223.5" customHeight="1">
      <c r="A76" s="47">
        <v>58.0</v>
      </c>
      <c r="B76" s="49" t="s">
        <v>555</v>
      </c>
      <c r="C76" s="5"/>
      <c r="D76" s="6"/>
      <c r="E76" s="49" t="s">
        <v>556</v>
      </c>
      <c r="F76" s="5"/>
      <c r="G76" s="5"/>
      <c r="H76" s="5"/>
      <c r="I76" s="6"/>
      <c r="J76" s="49" t="s">
        <v>557</v>
      </c>
      <c r="K76" s="5"/>
      <c r="L76" s="5"/>
      <c r="M76" s="5"/>
      <c r="N76" s="5"/>
      <c r="O76" s="5"/>
      <c r="P76" s="6"/>
      <c r="Q76" s="49" t="s">
        <v>558</v>
      </c>
      <c r="R76" s="5"/>
      <c r="S76" s="5"/>
      <c r="T76" s="5"/>
      <c r="U76" s="5"/>
      <c r="V76" s="5"/>
      <c r="W76" s="6"/>
      <c r="X76" s="49" t="s">
        <v>559</v>
      </c>
      <c r="Y76" s="5"/>
      <c r="Z76" s="5"/>
      <c r="AA76" s="5"/>
      <c r="AB76" s="5"/>
      <c r="AC76" s="5"/>
      <c r="AD76" s="6"/>
      <c r="AE76" s="48" t="s">
        <v>327</v>
      </c>
      <c r="AF76" s="6"/>
      <c r="AG76" s="55" t="s">
        <v>56</v>
      </c>
      <c r="AH76" s="5"/>
      <c r="AI76" s="6"/>
      <c r="AJ76" s="48"/>
      <c r="AK76" s="5"/>
      <c r="AL76" s="6"/>
      <c r="AM76" s="56" t="s">
        <v>183</v>
      </c>
      <c r="AN76" s="5"/>
      <c r="AO76" s="6"/>
      <c r="AP76" s="57">
        <v>46190.0</v>
      </c>
      <c r="AQ76" s="5"/>
      <c r="AR76" s="6"/>
      <c r="AS76" s="48"/>
      <c r="AT76" s="5"/>
      <c r="AU76" s="6"/>
      <c r="AV76" s="55" t="s">
        <v>56</v>
      </c>
      <c r="AW76" s="5"/>
      <c r="AX76" s="6"/>
      <c r="AY76" s="48"/>
      <c r="AZ76" s="5"/>
      <c r="BA76" s="6"/>
      <c r="BB76" s="55" t="s">
        <v>186</v>
      </c>
      <c r="BC76" s="5"/>
      <c r="BD76" s="6"/>
      <c r="BE76" s="57">
        <v>46247.0</v>
      </c>
      <c r="BF76" s="5"/>
      <c r="BG76" s="6"/>
      <c r="BH76" s="48"/>
      <c r="BI76" s="5"/>
      <c r="BJ76" s="6"/>
      <c r="BK76" s="49"/>
      <c r="BL76" s="5"/>
      <c r="BM76" s="5"/>
      <c r="BN76" s="5"/>
      <c r="BO76" s="5"/>
      <c r="BP76" s="5"/>
      <c r="BQ76" s="6"/>
    </row>
    <row r="77" ht="271.5" customHeight="1">
      <c r="A77" s="47">
        <v>59.0</v>
      </c>
      <c r="B77" s="49" t="s">
        <v>560</v>
      </c>
      <c r="C77" s="5"/>
      <c r="D77" s="6"/>
      <c r="E77" s="49" t="s">
        <v>561</v>
      </c>
      <c r="F77" s="5"/>
      <c r="G77" s="5"/>
      <c r="H77" s="5"/>
      <c r="I77" s="6"/>
      <c r="J77" s="49" t="s">
        <v>308</v>
      </c>
      <c r="K77" s="5"/>
      <c r="L77" s="5"/>
      <c r="M77" s="5"/>
      <c r="N77" s="5"/>
      <c r="O77" s="5"/>
      <c r="P77" s="6"/>
      <c r="Q77" s="49" t="s">
        <v>562</v>
      </c>
      <c r="R77" s="5"/>
      <c r="S77" s="5"/>
      <c r="T77" s="5"/>
      <c r="U77" s="5"/>
      <c r="V77" s="5"/>
      <c r="W77" s="6"/>
      <c r="X77" s="49" t="s">
        <v>563</v>
      </c>
      <c r="Y77" s="5"/>
      <c r="Z77" s="5"/>
      <c r="AA77" s="5"/>
      <c r="AB77" s="5"/>
      <c r="AC77" s="5"/>
      <c r="AD77" s="6"/>
      <c r="AE77" s="48" t="s">
        <v>207</v>
      </c>
      <c r="AF77" s="6"/>
      <c r="AG77" s="55" t="s">
        <v>56</v>
      </c>
      <c r="AH77" s="5"/>
      <c r="AI77" s="6"/>
      <c r="AJ77" s="48"/>
      <c r="AK77" s="5"/>
      <c r="AL77" s="6"/>
      <c r="AM77" s="56" t="s">
        <v>183</v>
      </c>
      <c r="AN77" s="5"/>
      <c r="AO77" s="6"/>
      <c r="AP77" s="57">
        <v>46190.0</v>
      </c>
      <c r="AQ77" s="5"/>
      <c r="AR77" s="6"/>
      <c r="AS77" s="48"/>
      <c r="AT77" s="5"/>
      <c r="AU77" s="6"/>
      <c r="AV77" s="55" t="s">
        <v>56</v>
      </c>
      <c r="AW77" s="5"/>
      <c r="AX77" s="6"/>
      <c r="AY77" s="48"/>
      <c r="AZ77" s="5"/>
      <c r="BA77" s="6"/>
      <c r="BB77" s="55" t="s">
        <v>186</v>
      </c>
      <c r="BC77" s="5"/>
      <c r="BD77" s="6"/>
      <c r="BE77" s="57">
        <v>46247.0</v>
      </c>
      <c r="BF77" s="5"/>
      <c r="BG77" s="6"/>
      <c r="BH77" s="48"/>
      <c r="BI77" s="5"/>
      <c r="BJ77" s="6"/>
      <c r="BK77" s="49"/>
      <c r="BL77" s="5"/>
      <c r="BM77" s="5"/>
      <c r="BN77" s="5"/>
      <c r="BO77" s="5"/>
      <c r="BP77" s="5"/>
      <c r="BQ77" s="6"/>
    </row>
    <row r="78" ht="336.0" customHeight="1">
      <c r="A78" s="47">
        <v>60.0</v>
      </c>
      <c r="B78" s="49" t="s">
        <v>564</v>
      </c>
      <c r="C78" s="5"/>
      <c r="D78" s="6"/>
      <c r="E78" s="49" t="s">
        <v>565</v>
      </c>
      <c r="F78" s="5"/>
      <c r="G78" s="5"/>
      <c r="H78" s="5"/>
      <c r="I78" s="6"/>
      <c r="J78" s="49" t="s">
        <v>566</v>
      </c>
      <c r="K78" s="5"/>
      <c r="L78" s="5"/>
      <c r="M78" s="5"/>
      <c r="N78" s="5"/>
      <c r="O78" s="5"/>
      <c r="P78" s="6"/>
      <c r="Q78" s="49" t="s">
        <v>567</v>
      </c>
      <c r="R78" s="5"/>
      <c r="S78" s="5"/>
      <c r="T78" s="5"/>
      <c r="U78" s="5"/>
      <c r="V78" s="5"/>
      <c r="W78" s="6"/>
      <c r="X78" s="49" t="s">
        <v>568</v>
      </c>
      <c r="Y78" s="5"/>
      <c r="Z78" s="5"/>
      <c r="AA78" s="5"/>
      <c r="AB78" s="5"/>
      <c r="AC78" s="5"/>
      <c r="AD78" s="6"/>
      <c r="AE78" s="48" t="s">
        <v>207</v>
      </c>
      <c r="AF78" s="6"/>
      <c r="AG78" s="55" t="s">
        <v>56</v>
      </c>
      <c r="AH78" s="5"/>
      <c r="AI78" s="6"/>
      <c r="AJ78" s="48"/>
      <c r="AK78" s="5"/>
      <c r="AL78" s="6"/>
      <c r="AM78" s="56" t="s">
        <v>183</v>
      </c>
      <c r="AN78" s="5"/>
      <c r="AO78" s="6"/>
      <c r="AP78" s="57">
        <v>46190.0</v>
      </c>
      <c r="AQ78" s="5"/>
      <c r="AR78" s="6"/>
      <c r="AS78" s="48"/>
      <c r="AT78" s="5"/>
      <c r="AU78" s="6"/>
      <c r="AV78" s="55" t="s">
        <v>56</v>
      </c>
      <c r="AW78" s="5"/>
      <c r="AX78" s="6"/>
      <c r="AY78" s="48"/>
      <c r="AZ78" s="5"/>
      <c r="BA78" s="6"/>
      <c r="BB78" s="55" t="s">
        <v>186</v>
      </c>
      <c r="BC78" s="5"/>
      <c r="BD78" s="6"/>
      <c r="BE78" s="57">
        <v>46247.0</v>
      </c>
      <c r="BF78" s="5"/>
      <c r="BG78" s="6"/>
      <c r="BH78" s="48"/>
      <c r="BI78" s="5"/>
      <c r="BJ78" s="6"/>
      <c r="BK78" s="49"/>
      <c r="BL78" s="5"/>
      <c r="BM78" s="5"/>
      <c r="BN78" s="5"/>
      <c r="BO78" s="5"/>
      <c r="BP78" s="5"/>
      <c r="BQ78" s="6"/>
    </row>
    <row r="79" ht="288.0" customHeight="1">
      <c r="A79" s="47">
        <v>61.0</v>
      </c>
      <c r="B79" s="49" t="s">
        <v>569</v>
      </c>
      <c r="C79" s="5"/>
      <c r="D79" s="6"/>
      <c r="E79" s="49" t="s">
        <v>570</v>
      </c>
      <c r="F79" s="5"/>
      <c r="G79" s="5"/>
      <c r="H79" s="5"/>
      <c r="I79" s="6"/>
      <c r="J79" s="49" t="s">
        <v>308</v>
      </c>
      <c r="K79" s="5"/>
      <c r="L79" s="5"/>
      <c r="M79" s="5"/>
      <c r="N79" s="5"/>
      <c r="O79" s="5"/>
      <c r="P79" s="6"/>
      <c r="Q79" s="49" t="s">
        <v>571</v>
      </c>
      <c r="R79" s="5"/>
      <c r="S79" s="5"/>
      <c r="T79" s="5"/>
      <c r="U79" s="5"/>
      <c r="V79" s="5"/>
      <c r="W79" s="6"/>
      <c r="X79" s="49" t="s">
        <v>572</v>
      </c>
      <c r="Y79" s="5"/>
      <c r="Z79" s="5"/>
      <c r="AA79" s="5"/>
      <c r="AB79" s="5"/>
      <c r="AC79" s="5"/>
      <c r="AD79" s="6"/>
      <c r="AE79" s="48" t="s">
        <v>207</v>
      </c>
      <c r="AF79" s="6"/>
      <c r="AG79" s="55" t="s">
        <v>56</v>
      </c>
      <c r="AH79" s="5"/>
      <c r="AI79" s="6"/>
      <c r="AJ79" s="48"/>
      <c r="AK79" s="5"/>
      <c r="AL79" s="6"/>
      <c r="AM79" s="56" t="s">
        <v>183</v>
      </c>
      <c r="AN79" s="5"/>
      <c r="AO79" s="6"/>
      <c r="AP79" s="57">
        <v>46190.0</v>
      </c>
      <c r="AQ79" s="5"/>
      <c r="AR79" s="6"/>
      <c r="AS79" s="48"/>
      <c r="AT79" s="5"/>
      <c r="AU79" s="6"/>
      <c r="AV79" s="55" t="s">
        <v>56</v>
      </c>
      <c r="AW79" s="5"/>
      <c r="AX79" s="6"/>
      <c r="AY79" s="48"/>
      <c r="AZ79" s="5"/>
      <c r="BA79" s="6"/>
      <c r="BB79" s="55" t="s">
        <v>186</v>
      </c>
      <c r="BC79" s="5"/>
      <c r="BD79" s="6"/>
      <c r="BE79" s="57">
        <v>46247.0</v>
      </c>
      <c r="BF79" s="5"/>
      <c r="BG79" s="6"/>
      <c r="BH79" s="48"/>
      <c r="BI79" s="5"/>
      <c r="BJ79" s="6"/>
      <c r="BK79" s="49" t="s">
        <v>378</v>
      </c>
      <c r="BL79" s="5"/>
      <c r="BM79" s="5"/>
      <c r="BN79" s="5"/>
      <c r="BO79" s="5"/>
      <c r="BP79" s="5"/>
      <c r="BQ79" s="6"/>
    </row>
    <row r="80" ht="22.5" customHeight="1">
      <c r="A80" s="11" t="s">
        <v>573</v>
      </c>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c r="BC80" s="5"/>
      <c r="BD80" s="5"/>
      <c r="BE80" s="5"/>
      <c r="BF80" s="5"/>
      <c r="BG80" s="5"/>
      <c r="BH80" s="5"/>
      <c r="BI80" s="5"/>
      <c r="BJ80" s="5"/>
      <c r="BK80" s="5"/>
      <c r="BL80" s="5"/>
      <c r="BM80" s="5"/>
      <c r="BN80" s="5"/>
      <c r="BO80" s="5"/>
      <c r="BP80" s="5"/>
      <c r="BQ80" s="6"/>
    </row>
    <row r="81" ht="271.5" customHeight="1">
      <c r="A81" s="47">
        <v>62.0</v>
      </c>
      <c r="B81" s="49" t="s">
        <v>574</v>
      </c>
      <c r="C81" s="5"/>
      <c r="D81" s="6"/>
      <c r="E81" s="49" t="s">
        <v>575</v>
      </c>
      <c r="F81" s="5"/>
      <c r="G81" s="5"/>
      <c r="H81" s="5"/>
      <c r="I81" s="6"/>
      <c r="J81" s="49" t="s">
        <v>576</v>
      </c>
      <c r="K81" s="5"/>
      <c r="L81" s="5"/>
      <c r="M81" s="5"/>
      <c r="N81" s="5"/>
      <c r="O81" s="5"/>
      <c r="P81" s="6"/>
      <c r="Q81" s="49" t="s">
        <v>577</v>
      </c>
      <c r="R81" s="5"/>
      <c r="S81" s="5"/>
      <c r="T81" s="5"/>
      <c r="U81" s="5"/>
      <c r="V81" s="5"/>
      <c r="W81" s="6"/>
      <c r="X81" s="49" t="s">
        <v>578</v>
      </c>
      <c r="Y81" s="5"/>
      <c r="Z81" s="5"/>
      <c r="AA81" s="5"/>
      <c r="AB81" s="5"/>
      <c r="AC81" s="5"/>
      <c r="AD81" s="6"/>
      <c r="AE81" s="48" t="s">
        <v>207</v>
      </c>
      <c r="AF81" s="6"/>
      <c r="AG81" s="55" t="s">
        <v>56</v>
      </c>
      <c r="AH81" s="5"/>
      <c r="AI81" s="6"/>
      <c r="AJ81" s="48"/>
      <c r="AK81" s="5"/>
      <c r="AL81" s="6"/>
      <c r="AM81" s="56" t="s">
        <v>183</v>
      </c>
      <c r="AN81" s="5"/>
      <c r="AO81" s="6"/>
      <c r="AP81" s="57">
        <v>46190.0</v>
      </c>
      <c r="AQ81" s="5"/>
      <c r="AR81" s="6"/>
      <c r="AS81" s="48"/>
      <c r="AT81" s="5"/>
      <c r="AU81" s="6"/>
      <c r="AV81" s="55" t="s">
        <v>56</v>
      </c>
      <c r="AW81" s="5"/>
      <c r="AX81" s="6"/>
      <c r="AY81" s="48"/>
      <c r="AZ81" s="5"/>
      <c r="BA81" s="6"/>
      <c r="BB81" s="55" t="s">
        <v>186</v>
      </c>
      <c r="BC81" s="5"/>
      <c r="BD81" s="6"/>
      <c r="BE81" s="57">
        <v>46247.0</v>
      </c>
      <c r="BF81" s="5"/>
      <c r="BG81" s="6"/>
      <c r="BH81" s="48"/>
      <c r="BI81" s="5"/>
      <c r="BJ81" s="6"/>
      <c r="BK81" s="49"/>
      <c r="BL81" s="5"/>
      <c r="BM81" s="5"/>
      <c r="BN81" s="5"/>
      <c r="BO81" s="5"/>
      <c r="BP81" s="5"/>
      <c r="BQ81" s="6"/>
    </row>
    <row r="82" ht="319.5" customHeight="1">
      <c r="A82" s="47">
        <v>63.0</v>
      </c>
      <c r="B82" s="49" t="s">
        <v>579</v>
      </c>
      <c r="C82" s="5"/>
      <c r="D82" s="6"/>
      <c r="E82" s="49" t="s">
        <v>580</v>
      </c>
      <c r="F82" s="5"/>
      <c r="G82" s="5"/>
      <c r="H82" s="5"/>
      <c r="I82" s="6"/>
      <c r="J82" s="49" t="s">
        <v>308</v>
      </c>
      <c r="K82" s="5"/>
      <c r="L82" s="5"/>
      <c r="M82" s="5"/>
      <c r="N82" s="5"/>
      <c r="O82" s="5"/>
      <c r="P82" s="6"/>
      <c r="Q82" s="54" t="s">
        <v>581</v>
      </c>
      <c r="R82" s="5"/>
      <c r="S82" s="5"/>
      <c r="T82" s="5"/>
      <c r="U82" s="5"/>
      <c r="V82" s="5"/>
      <c r="W82" s="6"/>
      <c r="X82" s="49" t="s">
        <v>582</v>
      </c>
      <c r="Y82" s="5"/>
      <c r="Z82" s="5"/>
      <c r="AA82" s="5"/>
      <c r="AB82" s="5"/>
      <c r="AC82" s="5"/>
      <c r="AD82" s="6"/>
      <c r="AE82" s="48" t="s">
        <v>327</v>
      </c>
      <c r="AF82" s="6"/>
      <c r="AG82" s="55" t="s">
        <v>56</v>
      </c>
      <c r="AH82" s="5"/>
      <c r="AI82" s="6"/>
      <c r="AJ82" s="48"/>
      <c r="AK82" s="5"/>
      <c r="AL82" s="6"/>
      <c r="AM82" s="56" t="s">
        <v>183</v>
      </c>
      <c r="AN82" s="5"/>
      <c r="AO82" s="6"/>
      <c r="AP82" s="57">
        <v>46190.0</v>
      </c>
      <c r="AQ82" s="5"/>
      <c r="AR82" s="6"/>
      <c r="AS82" s="48"/>
      <c r="AT82" s="5"/>
      <c r="AU82" s="6"/>
      <c r="AV82" s="55" t="s">
        <v>56</v>
      </c>
      <c r="AW82" s="5"/>
      <c r="AX82" s="6"/>
      <c r="AY82" s="48"/>
      <c r="AZ82" s="5"/>
      <c r="BA82" s="6"/>
      <c r="BB82" s="55" t="s">
        <v>186</v>
      </c>
      <c r="BC82" s="5"/>
      <c r="BD82" s="6"/>
      <c r="BE82" s="57">
        <v>46247.0</v>
      </c>
      <c r="BF82" s="5"/>
      <c r="BG82" s="6"/>
      <c r="BH82" s="48"/>
      <c r="BI82" s="5"/>
      <c r="BJ82" s="6"/>
      <c r="BK82" s="49"/>
      <c r="BL82" s="5"/>
      <c r="BM82" s="5"/>
      <c r="BN82" s="5"/>
      <c r="BO82" s="5"/>
      <c r="BP82" s="5"/>
      <c r="BQ82" s="6"/>
    </row>
    <row r="83" ht="271.5" customHeight="1">
      <c r="A83" s="47">
        <v>64.0</v>
      </c>
      <c r="B83" s="49" t="s">
        <v>583</v>
      </c>
      <c r="C83" s="5"/>
      <c r="D83" s="6"/>
      <c r="E83" s="49" t="s">
        <v>584</v>
      </c>
      <c r="F83" s="5"/>
      <c r="G83" s="5"/>
      <c r="H83" s="5"/>
      <c r="I83" s="6"/>
      <c r="J83" s="49" t="s">
        <v>308</v>
      </c>
      <c r="K83" s="5"/>
      <c r="L83" s="5"/>
      <c r="M83" s="5"/>
      <c r="N83" s="5"/>
      <c r="O83" s="5"/>
      <c r="P83" s="6"/>
      <c r="Q83" s="49" t="s">
        <v>585</v>
      </c>
      <c r="R83" s="5"/>
      <c r="S83" s="5"/>
      <c r="T83" s="5"/>
      <c r="U83" s="5"/>
      <c r="V83" s="5"/>
      <c r="W83" s="6"/>
      <c r="X83" s="49" t="s">
        <v>586</v>
      </c>
      <c r="Y83" s="5"/>
      <c r="Z83" s="5"/>
      <c r="AA83" s="5"/>
      <c r="AB83" s="5"/>
      <c r="AC83" s="5"/>
      <c r="AD83" s="6"/>
      <c r="AE83" s="48" t="s">
        <v>207</v>
      </c>
      <c r="AF83" s="6"/>
      <c r="AG83" s="55" t="s">
        <v>56</v>
      </c>
      <c r="AH83" s="5"/>
      <c r="AI83" s="6"/>
      <c r="AJ83" s="48"/>
      <c r="AK83" s="5"/>
      <c r="AL83" s="6"/>
      <c r="AM83" s="56" t="s">
        <v>183</v>
      </c>
      <c r="AN83" s="5"/>
      <c r="AO83" s="6"/>
      <c r="AP83" s="57">
        <v>46190.0</v>
      </c>
      <c r="AQ83" s="5"/>
      <c r="AR83" s="6"/>
      <c r="AS83" s="48"/>
      <c r="AT83" s="5"/>
      <c r="AU83" s="6"/>
      <c r="AV83" s="55" t="s">
        <v>56</v>
      </c>
      <c r="AW83" s="5"/>
      <c r="AX83" s="6"/>
      <c r="AY83" s="48"/>
      <c r="AZ83" s="5"/>
      <c r="BA83" s="6"/>
      <c r="BB83" s="55" t="s">
        <v>186</v>
      </c>
      <c r="BC83" s="5"/>
      <c r="BD83" s="6"/>
      <c r="BE83" s="57">
        <v>46247.0</v>
      </c>
      <c r="BF83" s="5"/>
      <c r="BG83" s="6"/>
      <c r="BH83" s="48"/>
      <c r="BI83" s="5"/>
      <c r="BJ83" s="6"/>
      <c r="BK83" s="49"/>
      <c r="BL83" s="5"/>
      <c r="BM83" s="5"/>
      <c r="BN83" s="5"/>
      <c r="BO83" s="5"/>
      <c r="BP83" s="5"/>
      <c r="BQ83" s="6"/>
    </row>
    <row r="84" ht="319.5" customHeight="1">
      <c r="A84" s="47">
        <v>65.0</v>
      </c>
      <c r="B84" s="49" t="s">
        <v>587</v>
      </c>
      <c r="C84" s="5"/>
      <c r="D84" s="6"/>
      <c r="E84" s="49" t="s">
        <v>588</v>
      </c>
      <c r="F84" s="5"/>
      <c r="G84" s="5"/>
      <c r="H84" s="5"/>
      <c r="I84" s="6"/>
      <c r="J84" s="49" t="s">
        <v>308</v>
      </c>
      <c r="K84" s="5"/>
      <c r="L84" s="5"/>
      <c r="M84" s="5"/>
      <c r="N84" s="5"/>
      <c r="O84" s="5"/>
      <c r="P84" s="6"/>
      <c r="Q84" s="49" t="s">
        <v>589</v>
      </c>
      <c r="R84" s="5"/>
      <c r="S84" s="5"/>
      <c r="T84" s="5"/>
      <c r="U84" s="5"/>
      <c r="V84" s="5"/>
      <c r="W84" s="6"/>
      <c r="X84" s="49" t="s">
        <v>590</v>
      </c>
      <c r="Y84" s="5"/>
      <c r="Z84" s="5"/>
      <c r="AA84" s="5"/>
      <c r="AB84" s="5"/>
      <c r="AC84" s="5"/>
      <c r="AD84" s="6"/>
      <c r="AE84" s="48" t="s">
        <v>207</v>
      </c>
      <c r="AF84" s="6"/>
      <c r="AG84" s="55" t="s">
        <v>56</v>
      </c>
      <c r="AH84" s="5"/>
      <c r="AI84" s="6"/>
      <c r="AJ84" s="48"/>
      <c r="AK84" s="5"/>
      <c r="AL84" s="6"/>
      <c r="AM84" s="56" t="s">
        <v>183</v>
      </c>
      <c r="AN84" s="5"/>
      <c r="AO84" s="6"/>
      <c r="AP84" s="57">
        <v>46190.0</v>
      </c>
      <c r="AQ84" s="5"/>
      <c r="AR84" s="6"/>
      <c r="AS84" s="48"/>
      <c r="AT84" s="5"/>
      <c r="AU84" s="6"/>
      <c r="AV84" s="55" t="s">
        <v>56</v>
      </c>
      <c r="AW84" s="5"/>
      <c r="AX84" s="6"/>
      <c r="AY84" s="48"/>
      <c r="AZ84" s="5"/>
      <c r="BA84" s="6"/>
      <c r="BB84" s="55" t="s">
        <v>186</v>
      </c>
      <c r="BC84" s="5"/>
      <c r="BD84" s="6"/>
      <c r="BE84" s="57">
        <v>46247.0</v>
      </c>
      <c r="BF84" s="5"/>
      <c r="BG84" s="6"/>
      <c r="BH84" s="48"/>
      <c r="BI84" s="5"/>
      <c r="BJ84" s="6"/>
      <c r="BK84" s="49"/>
      <c r="BL84" s="5"/>
      <c r="BM84" s="5"/>
      <c r="BN84" s="5"/>
      <c r="BO84" s="5"/>
      <c r="BP84" s="5"/>
      <c r="BQ84" s="6"/>
    </row>
    <row r="85" ht="255.75" customHeight="1">
      <c r="A85" s="47">
        <v>66.0</v>
      </c>
      <c r="B85" s="49" t="s">
        <v>591</v>
      </c>
      <c r="C85" s="5"/>
      <c r="D85" s="6"/>
      <c r="E85" s="49" t="s">
        <v>592</v>
      </c>
      <c r="F85" s="5"/>
      <c r="G85" s="5"/>
      <c r="H85" s="5"/>
      <c r="I85" s="6"/>
      <c r="J85" s="49" t="s">
        <v>593</v>
      </c>
      <c r="K85" s="5"/>
      <c r="L85" s="5"/>
      <c r="M85" s="5"/>
      <c r="N85" s="5"/>
      <c r="O85" s="5"/>
      <c r="P85" s="6"/>
      <c r="Q85" s="49" t="s">
        <v>594</v>
      </c>
      <c r="R85" s="5"/>
      <c r="S85" s="5"/>
      <c r="T85" s="5"/>
      <c r="U85" s="5"/>
      <c r="V85" s="5"/>
      <c r="W85" s="6"/>
      <c r="X85" s="49" t="s">
        <v>595</v>
      </c>
      <c r="Y85" s="5"/>
      <c r="Z85" s="5"/>
      <c r="AA85" s="5"/>
      <c r="AB85" s="5"/>
      <c r="AC85" s="5"/>
      <c r="AD85" s="6"/>
      <c r="AE85" s="48" t="s">
        <v>207</v>
      </c>
      <c r="AF85" s="6"/>
      <c r="AG85" s="55" t="s">
        <v>56</v>
      </c>
      <c r="AH85" s="5"/>
      <c r="AI85" s="6"/>
      <c r="AJ85" s="48"/>
      <c r="AK85" s="5"/>
      <c r="AL85" s="6"/>
      <c r="AM85" s="56" t="s">
        <v>183</v>
      </c>
      <c r="AN85" s="5"/>
      <c r="AO85" s="6"/>
      <c r="AP85" s="57">
        <v>46190.0</v>
      </c>
      <c r="AQ85" s="5"/>
      <c r="AR85" s="6"/>
      <c r="AS85" s="48"/>
      <c r="AT85" s="5"/>
      <c r="AU85" s="6"/>
      <c r="AV85" s="55" t="s">
        <v>56</v>
      </c>
      <c r="AW85" s="5"/>
      <c r="AX85" s="6"/>
      <c r="AY85" s="48"/>
      <c r="AZ85" s="5"/>
      <c r="BA85" s="6"/>
      <c r="BB85" s="55" t="s">
        <v>186</v>
      </c>
      <c r="BC85" s="5"/>
      <c r="BD85" s="6"/>
      <c r="BE85" s="57">
        <v>46247.0</v>
      </c>
      <c r="BF85" s="5"/>
      <c r="BG85" s="6"/>
      <c r="BH85" s="48"/>
      <c r="BI85" s="5"/>
      <c r="BJ85" s="6"/>
      <c r="BK85" s="49"/>
      <c r="BL85" s="5"/>
      <c r="BM85" s="5"/>
      <c r="BN85" s="5"/>
      <c r="BO85" s="5"/>
      <c r="BP85" s="5"/>
      <c r="BQ85" s="6"/>
    </row>
    <row r="86" ht="271.5" customHeight="1">
      <c r="A86" s="47">
        <v>67.0</v>
      </c>
      <c r="B86" s="49" t="s">
        <v>596</v>
      </c>
      <c r="C86" s="5"/>
      <c r="D86" s="6"/>
      <c r="E86" s="49" t="s">
        <v>597</v>
      </c>
      <c r="F86" s="5"/>
      <c r="G86" s="5"/>
      <c r="H86" s="5"/>
      <c r="I86" s="6"/>
      <c r="J86" s="49" t="s">
        <v>308</v>
      </c>
      <c r="K86" s="5"/>
      <c r="L86" s="5"/>
      <c r="M86" s="5"/>
      <c r="N86" s="5"/>
      <c r="O86" s="5"/>
      <c r="P86" s="6"/>
      <c r="Q86" s="49" t="s">
        <v>598</v>
      </c>
      <c r="R86" s="5"/>
      <c r="S86" s="5"/>
      <c r="T86" s="5"/>
      <c r="U86" s="5"/>
      <c r="V86" s="5"/>
      <c r="W86" s="6"/>
      <c r="X86" s="49" t="s">
        <v>599</v>
      </c>
      <c r="Y86" s="5"/>
      <c r="Z86" s="5"/>
      <c r="AA86" s="5"/>
      <c r="AB86" s="5"/>
      <c r="AC86" s="5"/>
      <c r="AD86" s="6"/>
      <c r="AE86" s="48" t="s">
        <v>207</v>
      </c>
      <c r="AF86" s="6"/>
      <c r="AG86" s="55" t="s">
        <v>56</v>
      </c>
      <c r="AH86" s="5"/>
      <c r="AI86" s="6"/>
      <c r="AJ86" s="48"/>
      <c r="AK86" s="5"/>
      <c r="AL86" s="6"/>
      <c r="AM86" s="56" t="s">
        <v>183</v>
      </c>
      <c r="AN86" s="5"/>
      <c r="AO86" s="6"/>
      <c r="AP86" s="57">
        <v>46190.0</v>
      </c>
      <c r="AQ86" s="5"/>
      <c r="AR86" s="6"/>
      <c r="AS86" s="48"/>
      <c r="AT86" s="5"/>
      <c r="AU86" s="6"/>
      <c r="AV86" s="55" t="s">
        <v>56</v>
      </c>
      <c r="AW86" s="5"/>
      <c r="AX86" s="6"/>
      <c r="AY86" s="48"/>
      <c r="AZ86" s="5"/>
      <c r="BA86" s="6"/>
      <c r="BB86" s="55" t="s">
        <v>186</v>
      </c>
      <c r="BC86" s="5"/>
      <c r="BD86" s="6"/>
      <c r="BE86" s="57">
        <v>46247.0</v>
      </c>
      <c r="BF86" s="5"/>
      <c r="BG86" s="6"/>
      <c r="BH86" s="48"/>
      <c r="BI86" s="5"/>
      <c r="BJ86" s="6"/>
      <c r="BK86" s="49"/>
      <c r="BL86" s="5"/>
      <c r="BM86" s="5"/>
      <c r="BN86" s="5"/>
      <c r="BO86" s="5"/>
      <c r="BP86" s="5"/>
      <c r="BQ86" s="6"/>
    </row>
    <row r="87" ht="207.75" customHeight="1">
      <c r="A87" s="47">
        <v>68.0</v>
      </c>
      <c r="B87" s="49" t="s">
        <v>600</v>
      </c>
      <c r="C87" s="5"/>
      <c r="D87" s="6"/>
      <c r="E87" s="49" t="s">
        <v>601</v>
      </c>
      <c r="F87" s="5"/>
      <c r="G87" s="5"/>
      <c r="H87" s="5"/>
      <c r="I87" s="6"/>
      <c r="J87" s="49" t="s">
        <v>308</v>
      </c>
      <c r="K87" s="5"/>
      <c r="L87" s="5"/>
      <c r="M87" s="5"/>
      <c r="N87" s="5"/>
      <c r="O87" s="5"/>
      <c r="P87" s="6"/>
      <c r="Q87" s="49" t="s">
        <v>602</v>
      </c>
      <c r="R87" s="5"/>
      <c r="S87" s="5"/>
      <c r="T87" s="5"/>
      <c r="U87" s="5"/>
      <c r="V87" s="5"/>
      <c r="W87" s="6"/>
      <c r="X87" s="49" t="s">
        <v>603</v>
      </c>
      <c r="Y87" s="5"/>
      <c r="Z87" s="5"/>
      <c r="AA87" s="5"/>
      <c r="AB87" s="5"/>
      <c r="AC87" s="5"/>
      <c r="AD87" s="6"/>
      <c r="AE87" s="48" t="s">
        <v>207</v>
      </c>
      <c r="AF87" s="6"/>
      <c r="AG87" s="55" t="s">
        <v>56</v>
      </c>
      <c r="AH87" s="5"/>
      <c r="AI87" s="6"/>
      <c r="AJ87" s="48"/>
      <c r="AK87" s="5"/>
      <c r="AL87" s="6"/>
      <c r="AM87" s="56" t="s">
        <v>183</v>
      </c>
      <c r="AN87" s="5"/>
      <c r="AO87" s="6"/>
      <c r="AP87" s="57">
        <v>46190.0</v>
      </c>
      <c r="AQ87" s="5"/>
      <c r="AR87" s="6"/>
      <c r="AS87" s="48"/>
      <c r="AT87" s="5"/>
      <c r="AU87" s="6"/>
      <c r="AV87" s="55" t="s">
        <v>56</v>
      </c>
      <c r="AW87" s="5"/>
      <c r="AX87" s="6"/>
      <c r="AY87" s="48"/>
      <c r="AZ87" s="5"/>
      <c r="BA87" s="6"/>
      <c r="BB87" s="55" t="s">
        <v>186</v>
      </c>
      <c r="BC87" s="5"/>
      <c r="BD87" s="6"/>
      <c r="BE87" s="57">
        <v>46247.0</v>
      </c>
      <c r="BF87" s="5"/>
      <c r="BG87" s="6"/>
      <c r="BH87" s="48"/>
      <c r="BI87" s="5"/>
      <c r="BJ87" s="6"/>
      <c r="BK87" s="49"/>
      <c r="BL87" s="5"/>
      <c r="BM87" s="5"/>
      <c r="BN87" s="5"/>
      <c r="BO87" s="5"/>
      <c r="BP87" s="5"/>
      <c r="BQ87" s="6"/>
    </row>
    <row r="88" ht="415.5" customHeight="1">
      <c r="A88" s="47">
        <v>69.0</v>
      </c>
      <c r="B88" s="49" t="s">
        <v>604</v>
      </c>
      <c r="C88" s="5"/>
      <c r="D88" s="6"/>
      <c r="E88" s="49" t="s">
        <v>605</v>
      </c>
      <c r="F88" s="5"/>
      <c r="G88" s="5"/>
      <c r="H88" s="5"/>
      <c r="I88" s="6"/>
      <c r="J88" s="49" t="s">
        <v>308</v>
      </c>
      <c r="K88" s="5"/>
      <c r="L88" s="5"/>
      <c r="M88" s="5"/>
      <c r="N88" s="5"/>
      <c r="O88" s="5"/>
      <c r="P88" s="6"/>
      <c r="Q88" s="49" t="s">
        <v>606</v>
      </c>
      <c r="R88" s="5"/>
      <c r="S88" s="5"/>
      <c r="T88" s="5"/>
      <c r="U88" s="5"/>
      <c r="V88" s="5"/>
      <c r="W88" s="6"/>
      <c r="X88" s="49" t="s">
        <v>607</v>
      </c>
      <c r="Y88" s="5"/>
      <c r="Z88" s="5"/>
      <c r="AA88" s="5"/>
      <c r="AB88" s="5"/>
      <c r="AC88" s="5"/>
      <c r="AD88" s="6"/>
      <c r="AE88" s="48" t="s">
        <v>207</v>
      </c>
      <c r="AF88" s="6"/>
      <c r="AG88" s="55" t="s">
        <v>56</v>
      </c>
      <c r="AH88" s="5"/>
      <c r="AI88" s="6"/>
      <c r="AJ88" s="48"/>
      <c r="AK88" s="5"/>
      <c r="AL88" s="6"/>
      <c r="AM88" s="56" t="s">
        <v>183</v>
      </c>
      <c r="AN88" s="5"/>
      <c r="AO88" s="6"/>
      <c r="AP88" s="57">
        <v>46190.0</v>
      </c>
      <c r="AQ88" s="5"/>
      <c r="AR88" s="6"/>
      <c r="AS88" s="48"/>
      <c r="AT88" s="5"/>
      <c r="AU88" s="6"/>
      <c r="AV88" s="55" t="s">
        <v>56</v>
      </c>
      <c r="AW88" s="5"/>
      <c r="AX88" s="6"/>
      <c r="AY88" s="48"/>
      <c r="AZ88" s="5"/>
      <c r="BA88" s="6"/>
      <c r="BB88" s="55" t="s">
        <v>186</v>
      </c>
      <c r="BC88" s="5"/>
      <c r="BD88" s="6"/>
      <c r="BE88" s="57">
        <v>46247.0</v>
      </c>
      <c r="BF88" s="5"/>
      <c r="BG88" s="6"/>
      <c r="BH88" s="48"/>
      <c r="BI88" s="5"/>
      <c r="BJ88" s="6"/>
      <c r="BK88" s="49"/>
      <c r="BL88" s="5"/>
      <c r="BM88" s="5"/>
      <c r="BN88" s="5"/>
      <c r="BO88" s="5"/>
      <c r="BP88" s="5"/>
      <c r="BQ88" s="6"/>
    </row>
    <row r="89" ht="271.5" customHeight="1">
      <c r="A89" s="47">
        <v>70.0</v>
      </c>
      <c r="B89" s="49" t="s">
        <v>608</v>
      </c>
      <c r="C89" s="5"/>
      <c r="D89" s="6"/>
      <c r="E89" s="49" t="s">
        <v>609</v>
      </c>
      <c r="F89" s="5"/>
      <c r="G89" s="5"/>
      <c r="H89" s="5"/>
      <c r="I89" s="6"/>
      <c r="J89" s="49" t="s">
        <v>610</v>
      </c>
      <c r="K89" s="5"/>
      <c r="L89" s="5"/>
      <c r="M89" s="5"/>
      <c r="N89" s="5"/>
      <c r="O89" s="5"/>
      <c r="P89" s="6"/>
      <c r="Q89" s="49" t="s">
        <v>611</v>
      </c>
      <c r="R89" s="5"/>
      <c r="S89" s="5"/>
      <c r="T89" s="5"/>
      <c r="U89" s="5"/>
      <c r="V89" s="5"/>
      <c r="W89" s="6"/>
      <c r="X89" s="49" t="s">
        <v>612</v>
      </c>
      <c r="Y89" s="5"/>
      <c r="Z89" s="5"/>
      <c r="AA89" s="5"/>
      <c r="AB89" s="5"/>
      <c r="AC89" s="5"/>
      <c r="AD89" s="6"/>
      <c r="AE89" s="48" t="s">
        <v>180</v>
      </c>
      <c r="AF89" s="6"/>
      <c r="AG89" s="55" t="s">
        <v>56</v>
      </c>
      <c r="AH89" s="5"/>
      <c r="AI89" s="6"/>
      <c r="AJ89" s="48"/>
      <c r="AK89" s="5"/>
      <c r="AL89" s="6"/>
      <c r="AM89" s="56" t="s">
        <v>183</v>
      </c>
      <c r="AN89" s="5"/>
      <c r="AO89" s="6"/>
      <c r="AP89" s="57">
        <v>46190.0</v>
      </c>
      <c r="AQ89" s="5"/>
      <c r="AR89" s="6"/>
      <c r="AS89" s="48"/>
      <c r="AT89" s="5"/>
      <c r="AU89" s="6"/>
      <c r="AV89" s="55" t="s">
        <v>56</v>
      </c>
      <c r="AW89" s="5"/>
      <c r="AX89" s="6"/>
      <c r="AY89" s="48"/>
      <c r="AZ89" s="5"/>
      <c r="BA89" s="6"/>
      <c r="BB89" s="55" t="s">
        <v>186</v>
      </c>
      <c r="BC89" s="5"/>
      <c r="BD89" s="6"/>
      <c r="BE89" s="57">
        <v>46247.0</v>
      </c>
      <c r="BF89" s="5"/>
      <c r="BG89" s="6"/>
      <c r="BH89" s="48"/>
      <c r="BI89" s="5"/>
      <c r="BJ89" s="6"/>
      <c r="BK89" s="49"/>
      <c r="BL89" s="5"/>
      <c r="BM89" s="5"/>
      <c r="BN89" s="5"/>
      <c r="BO89" s="5"/>
      <c r="BP89" s="5"/>
      <c r="BQ89" s="6"/>
    </row>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64">
    <mergeCell ref="BE21:BG21"/>
    <mergeCell ref="BH21:BJ21"/>
    <mergeCell ref="AJ21:AL21"/>
    <mergeCell ref="AM21:AO21"/>
    <mergeCell ref="AP21:AR21"/>
    <mergeCell ref="AS21:AU21"/>
    <mergeCell ref="AV21:AX21"/>
    <mergeCell ref="AY21:BA21"/>
    <mergeCell ref="BB21:BD21"/>
    <mergeCell ref="BE19:BG19"/>
    <mergeCell ref="BH19:BJ19"/>
    <mergeCell ref="BK19:BQ19"/>
    <mergeCell ref="AJ19:AL19"/>
    <mergeCell ref="AM19:AO19"/>
    <mergeCell ref="AP19:AR19"/>
    <mergeCell ref="AS19:AU19"/>
    <mergeCell ref="AV19:AX19"/>
    <mergeCell ref="AY19:BA19"/>
    <mergeCell ref="BB19:BD19"/>
    <mergeCell ref="B19:D19"/>
    <mergeCell ref="E19:I19"/>
    <mergeCell ref="J19:P19"/>
    <mergeCell ref="Q19:W19"/>
    <mergeCell ref="X19:AD19"/>
    <mergeCell ref="AE19:AF19"/>
    <mergeCell ref="AG19:AI19"/>
    <mergeCell ref="BE20:BG20"/>
    <mergeCell ref="BH20:BJ20"/>
    <mergeCell ref="BK20:BQ20"/>
    <mergeCell ref="BK21:BQ21"/>
    <mergeCell ref="AJ20:AL20"/>
    <mergeCell ref="AM20:AO20"/>
    <mergeCell ref="AP20:AR20"/>
    <mergeCell ref="AS20:AU20"/>
    <mergeCell ref="AV20:AX20"/>
    <mergeCell ref="AY20:BA20"/>
    <mergeCell ref="BB20:BD20"/>
    <mergeCell ref="B20:D20"/>
    <mergeCell ref="E20:I20"/>
    <mergeCell ref="J20:P20"/>
    <mergeCell ref="Q20:W20"/>
    <mergeCell ref="X20:AD20"/>
    <mergeCell ref="AE20:AF20"/>
    <mergeCell ref="AG20:AI20"/>
    <mergeCell ref="B21:D21"/>
    <mergeCell ref="E21:I21"/>
    <mergeCell ref="J21:P21"/>
    <mergeCell ref="Q21:W21"/>
    <mergeCell ref="X21:AD21"/>
    <mergeCell ref="AE21:AF21"/>
    <mergeCell ref="AG21:AI21"/>
    <mergeCell ref="BE25:BG25"/>
    <mergeCell ref="BH25:BJ25"/>
    <mergeCell ref="AJ25:AL25"/>
    <mergeCell ref="AM25:AO25"/>
    <mergeCell ref="AP25:AR25"/>
    <mergeCell ref="AS25:AU25"/>
    <mergeCell ref="AV25:AX25"/>
    <mergeCell ref="AY25:BA25"/>
    <mergeCell ref="BB25:BD25"/>
    <mergeCell ref="BE22:BG22"/>
    <mergeCell ref="BH22:BJ22"/>
    <mergeCell ref="BK22:BQ22"/>
    <mergeCell ref="AJ22:AL22"/>
    <mergeCell ref="AM22:AO22"/>
    <mergeCell ref="AP22:AR22"/>
    <mergeCell ref="AS22:AU22"/>
    <mergeCell ref="AV22:AX22"/>
    <mergeCell ref="AY22:BA22"/>
    <mergeCell ref="BB22:BD22"/>
    <mergeCell ref="E22:I22"/>
    <mergeCell ref="J22:P22"/>
    <mergeCell ref="Q22:W22"/>
    <mergeCell ref="X22:AD22"/>
    <mergeCell ref="AE22:AF22"/>
    <mergeCell ref="AG22:AI22"/>
    <mergeCell ref="A23:BQ23"/>
    <mergeCell ref="BB24:BD24"/>
    <mergeCell ref="BE24:BG24"/>
    <mergeCell ref="BH24:BJ24"/>
    <mergeCell ref="BK24:BQ24"/>
    <mergeCell ref="BK25:BQ25"/>
    <mergeCell ref="AG24:AI24"/>
    <mergeCell ref="AJ24:AL24"/>
    <mergeCell ref="AM24:AO24"/>
    <mergeCell ref="AP24:AR24"/>
    <mergeCell ref="AS24:AU24"/>
    <mergeCell ref="AV24:AX24"/>
    <mergeCell ref="AY24:BA24"/>
    <mergeCell ref="B22:D22"/>
    <mergeCell ref="B24:D24"/>
    <mergeCell ref="E24:I24"/>
    <mergeCell ref="J24:P24"/>
    <mergeCell ref="Q24:W24"/>
    <mergeCell ref="X24:AD24"/>
    <mergeCell ref="AE24:AF24"/>
    <mergeCell ref="B25:D25"/>
    <mergeCell ref="E25:I25"/>
    <mergeCell ref="J25:P25"/>
    <mergeCell ref="Q25:W25"/>
    <mergeCell ref="X25:AD25"/>
    <mergeCell ref="AE25:AF25"/>
    <mergeCell ref="AG25:AI25"/>
    <mergeCell ref="BE28:BG28"/>
    <mergeCell ref="BH28:BJ28"/>
    <mergeCell ref="AJ28:AL28"/>
    <mergeCell ref="AM28:AO28"/>
    <mergeCell ref="AP28:AR28"/>
    <mergeCell ref="AS28:AU28"/>
    <mergeCell ref="AV28:AX28"/>
    <mergeCell ref="AY28:BA28"/>
    <mergeCell ref="BB28:BD28"/>
    <mergeCell ref="BE26:BG26"/>
    <mergeCell ref="BH26:BJ26"/>
    <mergeCell ref="BK26:BQ26"/>
    <mergeCell ref="AJ26:AL26"/>
    <mergeCell ref="AM26:AO26"/>
    <mergeCell ref="AP26:AR26"/>
    <mergeCell ref="AS26:AU26"/>
    <mergeCell ref="AV26:AX26"/>
    <mergeCell ref="AY26:BA26"/>
    <mergeCell ref="BB26:BD26"/>
    <mergeCell ref="B26:D26"/>
    <mergeCell ref="E26:I26"/>
    <mergeCell ref="J26:P26"/>
    <mergeCell ref="Q26:W26"/>
    <mergeCell ref="X26:AD26"/>
    <mergeCell ref="AE26:AF26"/>
    <mergeCell ref="AG26:AI26"/>
    <mergeCell ref="BE27:BG27"/>
    <mergeCell ref="BH27:BJ27"/>
    <mergeCell ref="BK27:BQ27"/>
    <mergeCell ref="BK28:BQ28"/>
    <mergeCell ref="AJ27:AL27"/>
    <mergeCell ref="AM27:AO27"/>
    <mergeCell ref="AP27:AR27"/>
    <mergeCell ref="AS27:AU27"/>
    <mergeCell ref="AV27:AX27"/>
    <mergeCell ref="AY27:BA27"/>
    <mergeCell ref="BB27:BD27"/>
    <mergeCell ref="B27:D27"/>
    <mergeCell ref="E27:I27"/>
    <mergeCell ref="J27:P27"/>
    <mergeCell ref="Q27:W27"/>
    <mergeCell ref="X27:AD27"/>
    <mergeCell ref="AE27:AF27"/>
    <mergeCell ref="AG27:AI27"/>
    <mergeCell ref="B28:D28"/>
    <mergeCell ref="E28:I28"/>
    <mergeCell ref="J28:P28"/>
    <mergeCell ref="Q28:W28"/>
    <mergeCell ref="X28:AD28"/>
    <mergeCell ref="AE28:AF28"/>
    <mergeCell ref="AG28:AI28"/>
    <mergeCell ref="BE31:BG31"/>
    <mergeCell ref="BH31:BJ31"/>
    <mergeCell ref="AJ31:AL31"/>
    <mergeCell ref="AM31:AO31"/>
    <mergeCell ref="AP31:AR31"/>
    <mergeCell ref="AS31:AU31"/>
    <mergeCell ref="AV31:AX31"/>
    <mergeCell ref="AY31:BA31"/>
    <mergeCell ref="BB31:BD31"/>
    <mergeCell ref="BE29:BG29"/>
    <mergeCell ref="BH29:BJ29"/>
    <mergeCell ref="BK29:BQ29"/>
    <mergeCell ref="AJ29:AL29"/>
    <mergeCell ref="AM29:AO29"/>
    <mergeCell ref="AP29:AR29"/>
    <mergeCell ref="AS29:AU29"/>
    <mergeCell ref="AV29:AX29"/>
    <mergeCell ref="AY29:BA29"/>
    <mergeCell ref="BB29:BD29"/>
    <mergeCell ref="B29:D29"/>
    <mergeCell ref="E29:I29"/>
    <mergeCell ref="J29:P29"/>
    <mergeCell ref="Q29:W29"/>
    <mergeCell ref="X29:AD29"/>
    <mergeCell ref="AE29:AF29"/>
    <mergeCell ref="AG29:AI29"/>
    <mergeCell ref="BE30:BG30"/>
    <mergeCell ref="BH30:BJ30"/>
    <mergeCell ref="BK30:BQ30"/>
    <mergeCell ref="BK31:BQ31"/>
    <mergeCell ref="AJ30:AL30"/>
    <mergeCell ref="AM30:AO30"/>
    <mergeCell ref="AP30:AR30"/>
    <mergeCell ref="AS30:AU30"/>
    <mergeCell ref="AV30:AX30"/>
    <mergeCell ref="AY30:BA30"/>
    <mergeCell ref="BB30:BD30"/>
    <mergeCell ref="B30:D30"/>
    <mergeCell ref="E30:I30"/>
    <mergeCell ref="J30:P30"/>
    <mergeCell ref="Q30:W30"/>
    <mergeCell ref="X30:AD30"/>
    <mergeCell ref="AE30:AF30"/>
    <mergeCell ref="AG30:AI30"/>
    <mergeCell ref="B31:D31"/>
    <mergeCell ref="E31:I31"/>
    <mergeCell ref="J31:P31"/>
    <mergeCell ref="Q31:W31"/>
    <mergeCell ref="X31:AD31"/>
    <mergeCell ref="AE31:AF31"/>
    <mergeCell ref="AG31:AI31"/>
    <mergeCell ref="BE35:BG35"/>
    <mergeCell ref="BH35:BJ35"/>
    <mergeCell ref="AJ35:AL35"/>
    <mergeCell ref="AM35:AO35"/>
    <mergeCell ref="AP35:AR35"/>
    <mergeCell ref="AS35:AU35"/>
    <mergeCell ref="AV35:AX35"/>
    <mergeCell ref="AY35:BA35"/>
    <mergeCell ref="BB35:BD35"/>
    <mergeCell ref="BE32:BG32"/>
    <mergeCell ref="BH32:BJ32"/>
    <mergeCell ref="BK32:BQ32"/>
    <mergeCell ref="AJ32:AL32"/>
    <mergeCell ref="AM32:AO32"/>
    <mergeCell ref="AP32:AR32"/>
    <mergeCell ref="AS32:AU32"/>
    <mergeCell ref="AV32:AX32"/>
    <mergeCell ref="AY32:BA32"/>
    <mergeCell ref="BB32:BD32"/>
    <mergeCell ref="E32:I32"/>
    <mergeCell ref="J32:P32"/>
    <mergeCell ref="Q32:W32"/>
    <mergeCell ref="X32:AD32"/>
    <mergeCell ref="AE32:AF32"/>
    <mergeCell ref="AG32:AI32"/>
    <mergeCell ref="A33:BQ33"/>
    <mergeCell ref="BB34:BD34"/>
    <mergeCell ref="BE34:BG34"/>
    <mergeCell ref="BH34:BJ34"/>
    <mergeCell ref="BK34:BQ34"/>
    <mergeCell ref="BK35:BQ35"/>
    <mergeCell ref="AG34:AI34"/>
    <mergeCell ref="AJ34:AL34"/>
    <mergeCell ref="AM34:AO34"/>
    <mergeCell ref="AP34:AR34"/>
    <mergeCell ref="AS34:AU34"/>
    <mergeCell ref="AV34:AX34"/>
    <mergeCell ref="AY34:BA34"/>
    <mergeCell ref="B32:D32"/>
    <mergeCell ref="B34:D34"/>
    <mergeCell ref="E34:I34"/>
    <mergeCell ref="J34:P34"/>
    <mergeCell ref="Q34:W34"/>
    <mergeCell ref="X34:AD34"/>
    <mergeCell ref="AE34:AF34"/>
    <mergeCell ref="B35:D35"/>
    <mergeCell ref="E35:I35"/>
    <mergeCell ref="J35:P35"/>
    <mergeCell ref="Q35:W35"/>
    <mergeCell ref="X35:AD35"/>
    <mergeCell ref="AE35:AF35"/>
    <mergeCell ref="AG35:AI35"/>
    <mergeCell ref="BE42:BG42"/>
    <mergeCell ref="BH42:BJ42"/>
    <mergeCell ref="AJ42:AL42"/>
    <mergeCell ref="AM42:AO42"/>
    <mergeCell ref="AP42:AR42"/>
    <mergeCell ref="AS42:AU42"/>
    <mergeCell ref="AV42:AX42"/>
    <mergeCell ref="AY42:BA42"/>
    <mergeCell ref="BB42:BD42"/>
    <mergeCell ref="BE40:BG40"/>
    <mergeCell ref="BH40:BJ40"/>
    <mergeCell ref="BK40:BQ40"/>
    <mergeCell ref="AJ40:AL40"/>
    <mergeCell ref="AM40:AO40"/>
    <mergeCell ref="AP40:AR40"/>
    <mergeCell ref="AS40:AU40"/>
    <mergeCell ref="AV40:AX40"/>
    <mergeCell ref="AY40:BA40"/>
    <mergeCell ref="BB40:BD40"/>
    <mergeCell ref="B40:D40"/>
    <mergeCell ref="E40:I40"/>
    <mergeCell ref="J40:P40"/>
    <mergeCell ref="Q40:W40"/>
    <mergeCell ref="X40:AD40"/>
    <mergeCell ref="AE40:AF40"/>
    <mergeCell ref="AG40:AI40"/>
    <mergeCell ref="BE41:BG41"/>
    <mergeCell ref="BH41:BJ41"/>
    <mergeCell ref="BK41:BQ41"/>
    <mergeCell ref="BK42:BQ42"/>
    <mergeCell ref="AJ41:AL41"/>
    <mergeCell ref="AM41:AO41"/>
    <mergeCell ref="AP41:AR41"/>
    <mergeCell ref="AS41:AU41"/>
    <mergeCell ref="AV41:AX41"/>
    <mergeCell ref="AY41:BA41"/>
    <mergeCell ref="BB41:BD41"/>
    <mergeCell ref="B41:D41"/>
    <mergeCell ref="E41:I41"/>
    <mergeCell ref="J41:P41"/>
    <mergeCell ref="Q41:W41"/>
    <mergeCell ref="X41:AD41"/>
    <mergeCell ref="AE41:AF41"/>
    <mergeCell ref="AG41:AI41"/>
    <mergeCell ref="B42:D42"/>
    <mergeCell ref="E42:I42"/>
    <mergeCell ref="J42:P42"/>
    <mergeCell ref="Q42:W42"/>
    <mergeCell ref="X42:AD42"/>
    <mergeCell ref="AE42:AF42"/>
    <mergeCell ref="AG42:AI42"/>
    <mergeCell ref="BE45:BG45"/>
    <mergeCell ref="BH45:BJ45"/>
    <mergeCell ref="AJ45:AL45"/>
    <mergeCell ref="AM45:AO45"/>
    <mergeCell ref="AP45:AR45"/>
    <mergeCell ref="AS45:AU45"/>
    <mergeCell ref="AV45:AX45"/>
    <mergeCell ref="AY45:BA45"/>
    <mergeCell ref="BB45:BD45"/>
    <mergeCell ref="BE43:BG43"/>
    <mergeCell ref="BH43:BJ43"/>
    <mergeCell ref="BK43:BQ43"/>
    <mergeCell ref="AJ43:AL43"/>
    <mergeCell ref="AM43:AO43"/>
    <mergeCell ref="AP43:AR43"/>
    <mergeCell ref="AS43:AU43"/>
    <mergeCell ref="AV43:AX43"/>
    <mergeCell ref="AY43:BA43"/>
    <mergeCell ref="BB43:BD43"/>
    <mergeCell ref="B43:D43"/>
    <mergeCell ref="E43:I43"/>
    <mergeCell ref="J43:P43"/>
    <mergeCell ref="Q43:W43"/>
    <mergeCell ref="X43:AD43"/>
    <mergeCell ref="AE43:AF43"/>
    <mergeCell ref="AG43:AI43"/>
    <mergeCell ref="BE44:BG44"/>
    <mergeCell ref="BH44:BJ44"/>
    <mergeCell ref="BK44:BQ44"/>
    <mergeCell ref="BK45:BQ45"/>
    <mergeCell ref="AJ44:AL44"/>
    <mergeCell ref="AM44:AO44"/>
    <mergeCell ref="AP44:AR44"/>
    <mergeCell ref="AS44:AU44"/>
    <mergeCell ref="AV44:AX44"/>
    <mergeCell ref="AY44:BA44"/>
    <mergeCell ref="BB44:BD44"/>
    <mergeCell ref="B44:D44"/>
    <mergeCell ref="E44:I44"/>
    <mergeCell ref="J44:P44"/>
    <mergeCell ref="Q44:W44"/>
    <mergeCell ref="X44:AD44"/>
    <mergeCell ref="AE44:AF44"/>
    <mergeCell ref="AG44:AI44"/>
    <mergeCell ref="B45:D45"/>
    <mergeCell ref="E45:I45"/>
    <mergeCell ref="J45:P45"/>
    <mergeCell ref="Q45:W45"/>
    <mergeCell ref="X45:AD45"/>
    <mergeCell ref="AE45:AF45"/>
    <mergeCell ref="AG45:AI45"/>
    <mergeCell ref="BE68:BG68"/>
    <mergeCell ref="BH68:BJ68"/>
    <mergeCell ref="AJ68:AL68"/>
    <mergeCell ref="AM68:AO68"/>
    <mergeCell ref="AP68:AR68"/>
    <mergeCell ref="AS68:AU68"/>
    <mergeCell ref="AV68:AX68"/>
    <mergeCell ref="AY68:BA68"/>
    <mergeCell ref="BB68:BD68"/>
    <mergeCell ref="BE65:BG65"/>
    <mergeCell ref="BH65:BJ65"/>
    <mergeCell ref="BK65:BQ65"/>
    <mergeCell ref="AJ65:AL65"/>
    <mergeCell ref="AM65:AO65"/>
    <mergeCell ref="AP65:AR65"/>
    <mergeCell ref="AS65:AU65"/>
    <mergeCell ref="AV65:AX65"/>
    <mergeCell ref="AY65:BA65"/>
    <mergeCell ref="BB65:BD65"/>
    <mergeCell ref="E65:I65"/>
    <mergeCell ref="J65:P65"/>
    <mergeCell ref="Q65:W65"/>
    <mergeCell ref="X65:AD65"/>
    <mergeCell ref="AE65:AF65"/>
    <mergeCell ref="AG65:AI65"/>
    <mergeCell ref="A66:BQ66"/>
    <mergeCell ref="BB67:BD67"/>
    <mergeCell ref="BE67:BG67"/>
    <mergeCell ref="BH67:BJ67"/>
    <mergeCell ref="BK67:BQ67"/>
    <mergeCell ref="BK68:BQ68"/>
    <mergeCell ref="AG67:AI67"/>
    <mergeCell ref="AJ67:AL67"/>
    <mergeCell ref="AM67:AO67"/>
    <mergeCell ref="AP67:AR67"/>
    <mergeCell ref="AS67:AU67"/>
    <mergeCell ref="AV67:AX67"/>
    <mergeCell ref="AY67:BA67"/>
    <mergeCell ref="B65:D65"/>
    <mergeCell ref="B67:D67"/>
    <mergeCell ref="E67:I67"/>
    <mergeCell ref="J67:P67"/>
    <mergeCell ref="Q67:W67"/>
    <mergeCell ref="X67:AD67"/>
    <mergeCell ref="AE67:AF67"/>
    <mergeCell ref="B68:D68"/>
    <mergeCell ref="E68:I68"/>
    <mergeCell ref="J68:P68"/>
    <mergeCell ref="Q68:W68"/>
    <mergeCell ref="X68:AD68"/>
    <mergeCell ref="AE68:AF68"/>
    <mergeCell ref="AG68:AI68"/>
    <mergeCell ref="A1:E1"/>
    <mergeCell ref="F1:Q1"/>
    <mergeCell ref="R1:V1"/>
    <mergeCell ref="W1:AH1"/>
    <mergeCell ref="F2:Q2"/>
    <mergeCell ref="R2:V2"/>
    <mergeCell ref="W2:AH2"/>
    <mergeCell ref="A2:E2"/>
    <mergeCell ref="A3:E3"/>
    <mergeCell ref="F3:Q3"/>
    <mergeCell ref="R3:V3"/>
    <mergeCell ref="W3:AH3"/>
    <mergeCell ref="A4:E4"/>
    <mergeCell ref="F4:AH4"/>
    <mergeCell ref="T6:V6"/>
    <mergeCell ref="W6:Y6"/>
    <mergeCell ref="Z6:AB6"/>
    <mergeCell ref="AC6:AE6"/>
    <mergeCell ref="A5:S5"/>
    <mergeCell ref="T5:AH5"/>
    <mergeCell ref="H6:J6"/>
    <mergeCell ref="K6:M6"/>
    <mergeCell ref="N6:P6"/>
    <mergeCell ref="Q6:S6"/>
    <mergeCell ref="AF6:AH6"/>
    <mergeCell ref="W7:Y7"/>
    <mergeCell ref="Z7:AB7"/>
    <mergeCell ref="AC7:AE7"/>
    <mergeCell ref="AF7:AH7"/>
    <mergeCell ref="A6:G6"/>
    <mergeCell ref="A7:G7"/>
    <mergeCell ref="H7:J7"/>
    <mergeCell ref="K7:M7"/>
    <mergeCell ref="N7:P7"/>
    <mergeCell ref="Q7:S7"/>
    <mergeCell ref="T7:V7"/>
    <mergeCell ref="Z8:AB8"/>
    <mergeCell ref="AC8:AE8"/>
    <mergeCell ref="AF8:AH8"/>
    <mergeCell ref="A8:G8"/>
    <mergeCell ref="H8:J8"/>
    <mergeCell ref="K8:M8"/>
    <mergeCell ref="N8:P8"/>
    <mergeCell ref="Q8:S8"/>
    <mergeCell ref="T8:V8"/>
    <mergeCell ref="W8:Y8"/>
    <mergeCell ref="AS11:AU11"/>
    <mergeCell ref="AV11:AX11"/>
    <mergeCell ref="AY11:BA11"/>
    <mergeCell ref="BB11:BD11"/>
    <mergeCell ref="BE11:BG11"/>
    <mergeCell ref="BH11:BJ11"/>
    <mergeCell ref="A12:BQ12"/>
    <mergeCell ref="AG10:AU10"/>
    <mergeCell ref="AV10:BJ10"/>
    <mergeCell ref="BK10:BQ11"/>
    <mergeCell ref="AG11:AI11"/>
    <mergeCell ref="AJ11:AL11"/>
    <mergeCell ref="AM11:AO11"/>
    <mergeCell ref="AP11:AR11"/>
    <mergeCell ref="A10:A11"/>
    <mergeCell ref="B10:D11"/>
    <mergeCell ref="E10:I11"/>
    <mergeCell ref="J10:P11"/>
    <mergeCell ref="Q10:W11"/>
    <mergeCell ref="X10:AD11"/>
    <mergeCell ref="AE10:AF11"/>
    <mergeCell ref="BE15:BG15"/>
    <mergeCell ref="BH15:BJ15"/>
    <mergeCell ref="AJ15:AL15"/>
    <mergeCell ref="AM15:AO15"/>
    <mergeCell ref="AP15:AR15"/>
    <mergeCell ref="AS15:AU15"/>
    <mergeCell ref="AV15:AX15"/>
    <mergeCell ref="AY15:BA15"/>
    <mergeCell ref="BB15:BD15"/>
    <mergeCell ref="BE13:BG13"/>
    <mergeCell ref="BH13:BJ13"/>
    <mergeCell ref="BK13:BQ13"/>
    <mergeCell ref="AJ13:AL13"/>
    <mergeCell ref="AM13:AO13"/>
    <mergeCell ref="AP13:AR13"/>
    <mergeCell ref="AS13:AU13"/>
    <mergeCell ref="AV13:AX13"/>
    <mergeCell ref="AY13:BA13"/>
    <mergeCell ref="BB13:BD13"/>
    <mergeCell ref="B13:D13"/>
    <mergeCell ref="E13:I13"/>
    <mergeCell ref="J13:P13"/>
    <mergeCell ref="Q13:W13"/>
    <mergeCell ref="X13:AD13"/>
    <mergeCell ref="AE13:AF13"/>
    <mergeCell ref="AG13:AI13"/>
    <mergeCell ref="BE14:BG14"/>
    <mergeCell ref="BH14:BJ14"/>
    <mergeCell ref="BK14:BQ14"/>
    <mergeCell ref="BK15:BQ15"/>
    <mergeCell ref="AJ14:AL14"/>
    <mergeCell ref="AM14:AO14"/>
    <mergeCell ref="AP14:AR14"/>
    <mergeCell ref="AS14:AU14"/>
    <mergeCell ref="AV14:AX14"/>
    <mergeCell ref="AY14:BA14"/>
    <mergeCell ref="BB14:BD14"/>
    <mergeCell ref="B14:D14"/>
    <mergeCell ref="E14:I14"/>
    <mergeCell ref="J14:P14"/>
    <mergeCell ref="Q14:W14"/>
    <mergeCell ref="X14:AD14"/>
    <mergeCell ref="AE14:AF14"/>
    <mergeCell ref="AG14:AI14"/>
    <mergeCell ref="B15:D15"/>
    <mergeCell ref="E15:I15"/>
    <mergeCell ref="J15:P15"/>
    <mergeCell ref="Q15:W15"/>
    <mergeCell ref="X15:AD15"/>
    <mergeCell ref="AE15:AF15"/>
    <mergeCell ref="AG15:AI15"/>
    <mergeCell ref="BE18:BG18"/>
    <mergeCell ref="BH18:BJ18"/>
    <mergeCell ref="AJ18:AL18"/>
    <mergeCell ref="AM18:AO18"/>
    <mergeCell ref="AP18:AR18"/>
    <mergeCell ref="AS18:AU18"/>
    <mergeCell ref="AV18:AX18"/>
    <mergeCell ref="AY18:BA18"/>
    <mergeCell ref="BB18:BD18"/>
    <mergeCell ref="BE16:BG16"/>
    <mergeCell ref="BH16:BJ16"/>
    <mergeCell ref="BK16:BQ16"/>
    <mergeCell ref="AJ16:AL16"/>
    <mergeCell ref="AM16:AO16"/>
    <mergeCell ref="AP16:AR16"/>
    <mergeCell ref="AS16:AU16"/>
    <mergeCell ref="AV16:AX16"/>
    <mergeCell ref="AY16:BA16"/>
    <mergeCell ref="BB16:BD16"/>
    <mergeCell ref="B16:D16"/>
    <mergeCell ref="E16:I16"/>
    <mergeCell ref="J16:P16"/>
    <mergeCell ref="Q16:W16"/>
    <mergeCell ref="X16:AD16"/>
    <mergeCell ref="AE16:AF16"/>
    <mergeCell ref="AG16:AI16"/>
    <mergeCell ref="BE17:BG17"/>
    <mergeCell ref="BH17:BJ17"/>
    <mergeCell ref="BK17:BQ17"/>
    <mergeCell ref="BK18:BQ18"/>
    <mergeCell ref="AJ17:AL17"/>
    <mergeCell ref="AM17:AO17"/>
    <mergeCell ref="AP17:AR17"/>
    <mergeCell ref="AS17:AU17"/>
    <mergeCell ref="AV17:AX17"/>
    <mergeCell ref="AY17:BA17"/>
    <mergeCell ref="BB17:BD17"/>
    <mergeCell ref="B17:D17"/>
    <mergeCell ref="E17:I17"/>
    <mergeCell ref="J17:P17"/>
    <mergeCell ref="Q17:W17"/>
    <mergeCell ref="X17:AD17"/>
    <mergeCell ref="AE17:AF17"/>
    <mergeCell ref="AG17:AI17"/>
    <mergeCell ref="B18:D18"/>
    <mergeCell ref="E18:I18"/>
    <mergeCell ref="J18:P18"/>
    <mergeCell ref="Q18:W18"/>
    <mergeCell ref="X18:AD18"/>
    <mergeCell ref="AE18:AF18"/>
    <mergeCell ref="AG18:AI18"/>
    <mergeCell ref="BE71:BG71"/>
    <mergeCell ref="BH71:BJ71"/>
    <mergeCell ref="BE63:BG63"/>
    <mergeCell ref="BB63:BD63"/>
    <mergeCell ref="AJ71:AL71"/>
    <mergeCell ref="AM71:AO71"/>
    <mergeCell ref="AP71:AR71"/>
    <mergeCell ref="AS71:AU71"/>
    <mergeCell ref="AV71:AX71"/>
    <mergeCell ref="AY71:BA71"/>
    <mergeCell ref="BB71:BD71"/>
    <mergeCell ref="BE84:BG84"/>
    <mergeCell ref="BH84:BJ84"/>
    <mergeCell ref="AJ84:AL84"/>
    <mergeCell ref="AM84:AO84"/>
    <mergeCell ref="AP84:AR84"/>
    <mergeCell ref="AS84:AU84"/>
    <mergeCell ref="AV84:AX84"/>
    <mergeCell ref="AY84:BA84"/>
    <mergeCell ref="BB84:BD84"/>
    <mergeCell ref="BE82:BG82"/>
    <mergeCell ref="BH82:BJ82"/>
    <mergeCell ref="BK82:BQ82"/>
    <mergeCell ref="AJ82:AL82"/>
    <mergeCell ref="AM82:AO82"/>
    <mergeCell ref="AP82:AR82"/>
    <mergeCell ref="AS82:AU82"/>
    <mergeCell ref="AV82:AX82"/>
    <mergeCell ref="AY82:BA82"/>
    <mergeCell ref="BB82:BD82"/>
    <mergeCell ref="B82:D82"/>
    <mergeCell ref="E82:I82"/>
    <mergeCell ref="J82:P82"/>
    <mergeCell ref="Q82:W82"/>
    <mergeCell ref="X82:AD82"/>
    <mergeCell ref="AE82:AF82"/>
    <mergeCell ref="AG82:AI82"/>
    <mergeCell ref="BE83:BG83"/>
    <mergeCell ref="BH83:BJ83"/>
    <mergeCell ref="BK83:BQ83"/>
    <mergeCell ref="BK84:BQ84"/>
    <mergeCell ref="AJ83:AL83"/>
    <mergeCell ref="AM83:AO83"/>
    <mergeCell ref="AP83:AR83"/>
    <mergeCell ref="AS83:AU83"/>
    <mergeCell ref="AV83:AX83"/>
    <mergeCell ref="AY83:BA83"/>
    <mergeCell ref="BB83:BD83"/>
    <mergeCell ref="B83:D83"/>
    <mergeCell ref="E83:I83"/>
    <mergeCell ref="J83:P83"/>
    <mergeCell ref="Q83:W83"/>
    <mergeCell ref="X83:AD83"/>
    <mergeCell ref="AE83:AF83"/>
    <mergeCell ref="AG83:AI83"/>
    <mergeCell ref="B84:D84"/>
    <mergeCell ref="E84:I84"/>
    <mergeCell ref="J84:P84"/>
    <mergeCell ref="Q84:W84"/>
    <mergeCell ref="X84:AD84"/>
    <mergeCell ref="AE84:AF84"/>
    <mergeCell ref="AG84:AI84"/>
    <mergeCell ref="BE87:BG87"/>
    <mergeCell ref="BH87:BJ87"/>
    <mergeCell ref="AJ87:AL87"/>
    <mergeCell ref="AM87:AO87"/>
    <mergeCell ref="AP87:AR87"/>
    <mergeCell ref="AS87:AU87"/>
    <mergeCell ref="AV87:AX87"/>
    <mergeCell ref="AY87:BA87"/>
    <mergeCell ref="BB87:BD87"/>
    <mergeCell ref="BE88:BG88"/>
    <mergeCell ref="BH88:BJ88"/>
    <mergeCell ref="BK88:BQ88"/>
    <mergeCell ref="AJ88:AL88"/>
    <mergeCell ref="AM88:AO88"/>
    <mergeCell ref="AP88:AR88"/>
    <mergeCell ref="AS88:AU88"/>
    <mergeCell ref="AV88:AX88"/>
    <mergeCell ref="AY88:BA88"/>
    <mergeCell ref="BB88:BD88"/>
    <mergeCell ref="B88:D88"/>
    <mergeCell ref="E88:I88"/>
    <mergeCell ref="J88:P88"/>
    <mergeCell ref="Q88:W88"/>
    <mergeCell ref="X88:AD88"/>
    <mergeCell ref="AE88:AF88"/>
    <mergeCell ref="AG88:AI88"/>
    <mergeCell ref="B89:D89"/>
    <mergeCell ref="E89:I89"/>
    <mergeCell ref="J89:P89"/>
    <mergeCell ref="Q89:W89"/>
    <mergeCell ref="X89:AD89"/>
    <mergeCell ref="AE89:AF89"/>
    <mergeCell ref="AG89:AI89"/>
    <mergeCell ref="BE89:BG89"/>
    <mergeCell ref="BH89:BJ89"/>
    <mergeCell ref="BK89:BQ89"/>
    <mergeCell ref="AJ89:AL89"/>
    <mergeCell ref="AM89:AO89"/>
    <mergeCell ref="AP89:AR89"/>
    <mergeCell ref="AS89:AU89"/>
    <mergeCell ref="AV89:AX89"/>
    <mergeCell ref="AY89:BA89"/>
    <mergeCell ref="BB89:BD89"/>
    <mergeCell ref="BE85:BG85"/>
    <mergeCell ref="BH85:BJ85"/>
    <mergeCell ref="BK85:BQ85"/>
    <mergeCell ref="AJ85:AL85"/>
    <mergeCell ref="AM85:AO85"/>
    <mergeCell ref="AP85:AR85"/>
    <mergeCell ref="AS85:AU85"/>
    <mergeCell ref="AV85:AX85"/>
    <mergeCell ref="AY85:BA85"/>
    <mergeCell ref="BB85:BD85"/>
    <mergeCell ref="B85:D85"/>
    <mergeCell ref="E85:I85"/>
    <mergeCell ref="J85:P85"/>
    <mergeCell ref="Q85:W85"/>
    <mergeCell ref="X85:AD85"/>
    <mergeCell ref="AE85:AF85"/>
    <mergeCell ref="AG85:AI85"/>
    <mergeCell ref="BE86:BG86"/>
    <mergeCell ref="BH86:BJ86"/>
    <mergeCell ref="BK86:BQ86"/>
    <mergeCell ref="BK87:BQ87"/>
    <mergeCell ref="AJ86:AL86"/>
    <mergeCell ref="AM86:AO86"/>
    <mergeCell ref="AP86:AR86"/>
    <mergeCell ref="AS86:AU86"/>
    <mergeCell ref="AV86:AX86"/>
    <mergeCell ref="AY86:BA86"/>
    <mergeCell ref="BB86:BD86"/>
    <mergeCell ref="B86:D86"/>
    <mergeCell ref="E86:I86"/>
    <mergeCell ref="J86:P86"/>
    <mergeCell ref="Q86:W86"/>
    <mergeCell ref="X86:AD86"/>
    <mergeCell ref="AE86:AF86"/>
    <mergeCell ref="AG86:AI86"/>
    <mergeCell ref="B87:D87"/>
    <mergeCell ref="E87:I87"/>
    <mergeCell ref="J87:P87"/>
    <mergeCell ref="Q87:W87"/>
    <mergeCell ref="X87:AD87"/>
    <mergeCell ref="AE87:AF87"/>
    <mergeCell ref="AG87:AI87"/>
    <mergeCell ref="E71:I71"/>
    <mergeCell ref="J71:P71"/>
    <mergeCell ref="Q71:W71"/>
    <mergeCell ref="X71:AD71"/>
    <mergeCell ref="AE71:AF71"/>
    <mergeCell ref="AG71:AI71"/>
    <mergeCell ref="A72:BQ72"/>
    <mergeCell ref="B71:D71"/>
    <mergeCell ref="B73:D73"/>
    <mergeCell ref="E73:I73"/>
    <mergeCell ref="J73:P73"/>
    <mergeCell ref="Q73:W73"/>
    <mergeCell ref="X73:AD73"/>
    <mergeCell ref="AE73:AF73"/>
    <mergeCell ref="BH73:BJ73"/>
    <mergeCell ref="BK73:BQ73"/>
    <mergeCell ref="AM73:AO73"/>
    <mergeCell ref="AP73:AR73"/>
    <mergeCell ref="AS73:AU73"/>
    <mergeCell ref="AV73:AX73"/>
    <mergeCell ref="AY73:BA73"/>
    <mergeCell ref="BB73:BD73"/>
    <mergeCell ref="BE73:BG73"/>
    <mergeCell ref="BE69:BG69"/>
    <mergeCell ref="BH69:BJ69"/>
    <mergeCell ref="BK69:BQ69"/>
    <mergeCell ref="AJ69:AL69"/>
    <mergeCell ref="AM69:AO69"/>
    <mergeCell ref="AP69:AR69"/>
    <mergeCell ref="AS69:AU69"/>
    <mergeCell ref="AV69:AX69"/>
    <mergeCell ref="AY69:BA69"/>
    <mergeCell ref="BB69:BD69"/>
    <mergeCell ref="B69:D69"/>
    <mergeCell ref="E69:I69"/>
    <mergeCell ref="J69:P69"/>
    <mergeCell ref="Q69:W69"/>
    <mergeCell ref="X69:AD69"/>
    <mergeCell ref="AE69:AF69"/>
    <mergeCell ref="AG69:AI69"/>
    <mergeCell ref="BE70:BG70"/>
    <mergeCell ref="BH70:BJ70"/>
    <mergeCell ref="BK70:BQ70"/>
    <mergeCell ref="BK71:BQ71"/>
    <mergeCell ref="AJ70:AL70"/>
    <mergeCell ref="AM70:AO70"/>
    <mergeCell ref="AP70:AR70"/>
    <mergeCell ref="AS70:AU70"/>
    <mergeCell ref="AV70:AX70"/>
    <mergeCell ref="AY70:BA70"/>
    <mergeCell ref="BB70:BD70"/>
    <mergeCell ref="B70:D70"/>
    <mergeCell ref="E70:I70"/>
    <mergeCell ref="J70:P70"/>
    <mergeCell ref="Q70:W70"/>
    <mergeCell ref="X70:AD70"/>
    <mergeCell ref="AE70:AF70"/>
    <mergeCell ref="AG70:AI70"/>
    <mergeCell ref="BE74:BG74"/>
    <mergeCell ref="BH74:BJ74"/>
    <mergeCell ref="BK74:BQ74"/>
    <mergeCell ref="AJ74:AL74"/>
    <mergeCell ref="AM74:AO74"/>
    <mergeCell ref="AP74:AR74"/>
    <mergeCell ref="AS74:AU74"/>
    <mergeCell ref="AV74:AX74"/>
    <mergeCell ref="AY74:BA74"/>
    <mergeCell ref="BB74:BD74"/>
    <mergeCell ref="AJ76:AL76"/>
    <mergeCell ref="AM76:AO76"/>
    <mergeCell ref="AP76:AR76"/>
    <mergeCell ref="AS76:AU76"/>
    <mergeCell ref="AV76:AX76"/>
    <mergeCell ref="AY76:BA76"/>
    <mergeCell ref="BB76:BD76"/>
    <mergeCell ref="B76:D76"/>
    <mergeCell ref="E76:I76"/>
    <mergeCell ref="J76:P76"/>
    <mergeCell ref="Q76:W76"/>
    <mergeCell ref="X76:AD76"/>
    <mergeCell ref="AE76:AF76"/>
    <mergeCell ref="AG76:AI76"/>
    <mergeCell ref="BE77:BG77"/>
    <mergeCell ref="BH77:BJ77"/>
    <mergeCell ref="AJ77:AL77"/>
    <mergeCell ref="AM77:AO77"/>
    <mergeCell ref="AP77:AR77"/>
    <mergeCell ref="AS77:AU77"/>
    <mergeCell ref="AV77:AX77"/>
    <mergeCell ref="AY77:BA77"/>
    <mergeCell ref="BB77:BD77"/>
    <mergeCell ref="AE74:AF74"/>
    <mergeCell ref="AG74:AI74"/>
    <mergeCell ref="AG73:AI73"/>
    <mergeCell ref="AJ73:AL73"/>
    <mergeCell ref="B74:D74"/>
    <mergeCell ref="E74:I74"/>
    <mergeCell ref="J74:P74"/>
    <mergeCell ref="Q74:W74"/>
    <mergeCell ref="X74:AD74"/>
    <mergeCell ref="BE75:BG75"/>
    <mergeCell ref="BH75:BJ75"/>
    <mergeCell ref="BK75:BQ75"/>
    <mergeCell ref="AJ75:AL75"/>
    <mergeCell ref="AM75:AO75"/>
    <mergeCell ref="AP75:AR75"/>
    <mergeCell ref="AS75:AU75"/>
    <mergeCell ref="AV75:AX75"/>
    <mergeCell ref="AY75:BA75"/>
    <mergeCell ref="BB75:BD75"/>
    <mergeCell ref="B75:D75"/>
    <mergeCell ref="E75:I75"/>
    <mergeCell ref="J75:P75"/>
    <mergeCell ref="Q75:W75"/>
    <mergeCell ref="X75:AD75"/>
    <mergeCell ref="AE75:AF75"/>
    <mergeCell ref="AG75:AI75"/>
    <mergeCell ref="BE76:BG76"/>
    <mergeCell ref="BH76:BJ76"/>
    <mergeCell ref="BK76:BQ76"/>
    <mergeCell ref="BK77:BQ77"/>
    <mergeCell ref="B77:D77"/>
    <mergeCell ref="E77:I77"/>
    <mergeCell ref="J77:P77"/>
    <mergeCell ref="Q77:W77"/>
    <mergeCell ref="X77:AD77"/>
    <mergeCell ref="AE77:AF77"/>
    <mergeCell ref="AG77:AI77"/>
    <mergeCell ref="BB81:BD81"/>
    <mergeCell ref="BE81:BG81"/>
    <mergeCell ref="AG81:AI81"/>
    <mergeCell ref="AJ81:AL81"/>
    <mergeCell ref="AM81:AO81"/>
    <mergeCell ref="AP81:AR81"/>
    <mergeCell ref="AS81:AU81"/>
    <mergeCell ref="AV81:AX81"/>
    <mergeCell ref="AY81:BA81"/>
    <mergeCell ref="BE78:BG78"/>
    <mergeCell ref="BH78:BJ78"/>
    <mergeCell ref="BK78:BQ78"/>
    <mergeCell ref="AJ78:AL78"/>
    <mergeCell ref="AM78:AO78"/>
    <mergeCell ref="AP78:AR78"/>
    <mergeCell ref="AS78:AU78"/>
    <mergeCell ref="AV78:AX78"/>
    <mergeCell ref="AY78:BA78"/>
    <mergeCell ref="BB78:BD78"/>
    <mergeCell ref="B78:D78"/>
    <mergeCell ref="E78:I78"/>
    <mergeCell ref="J78:P78"/>
    <mergeCell ref="Q78:W78"/>
    <mergeCell ref="X78:AD78"/>
    <mergeCell ref="AE78:AF78"/>
    <mergeCell ref="AG78:AI78"/>
    <mergeCell ref="BE79:BG79"/>
    <mergeCell ref="BH79:BJ79"/>
    <mergeCell ref="BK79:BQ79"/>
    <mergeCell ref="BH81:BJ81"/>
    <mergeCell ref="BK81:BQ81"/>
    <mergeCell ref="AJ79:AL79"/>
    <mergeCell ref="AM79:AO79"/>
    <mergeCell ref="AP79:AR79"/>
    <mergeCell ref="AS79:AU79"/>
    <mergeCell ref="AV79:AX79"/>
    <mergeCell ref="AY79:BA79"/>
    <mergeCell ref="BB79:BD79"/>
    <mergeCell ref="E79:I79"/>
    <mergeCell ref="J79:P79"/>
    <mergeCell ref="Q79:W79"/>
    <mergeCell ref="X79:AD79"/>
    <mergeCell ref="AE79:AF79"/>
    <mergeCell ref="AG79:AI79"/>
    <mergeCell ref="A80:BQ80"/>
    <mergeCell ref="B79:D79"/>
    <mergeCell ref="B81:D81"/>
    <mergeCell ref="E81:I81"/>
    <mergeCell ref="J81:P81"/>
    <mergeCell ref="Q81:W81"/>
    <mergeCell ref="X81:AD81"/>
    <mergeCell ref="AE81:AF81"/>
    <mergeCell ref="BB39:BD39"/>
    <mergeCell ref="BE39:BG39"/>
    <mergeCell ref="AG39:AI39"/>
    <mergeCell ref="AJ39:AL39"/>
    <mergeCell ref="AM39:AO39"/>
    <mergeCell ref="AP39:AR39"/>
    <mergeCell ref="AS39:AU39"/>
    <mergeCell ref="AV39:AX39"/>
    <mergeCell ref="AY39:BA39"/>
    <mergeCell ref="BE36:BG36"/>
    <mergeCell ref="BH36:BJ36"/>
    <mergeCell ref="BK36:BQ36"/>
    <mergeCell ref="AJ36:AL36"/>
    <mergeCell ref="AM36:AO36"/>
    <mergeCell ref="AP36:AR36"/>
    <mergeCell ref="AS36:AU36"/>
    <mergeCell ref="AV36:AX36"/>
    <mergeCell ref="AY36:BA36"/>
    <mergeCell ref="BB36:BD36"/>
    <mergeCell ref="B36:D36"/>
    <mergeCell ref="E36:I36"/>
    <mergeCell ref="J36:P36"/>
    <mergeCell ref="Q36:W36"/>
    <mergeCell ref="X36:AD36"/>
    <mergeCell ref="AE36:AF36"/>
    <mergeCell ref="AG36:AI36"/>
    <mergeCell ref="BE37:BG37"/>
    <mergeCell ref="BH37:BJ37"/>
    <mergeCell ref="BK37:BQ37"/>
    <mergeCell ref="BH39:BJ39"/>
    <mergeCell ref="BK39:BQ39"/>
    <mergeCell ref="AJ37:AL37"/>
    <mergeCell ref="AM37:AO37"/>
    <mergeCell ref="AP37:AR37"/>
    <mergeCell ref="AS37:AU37"/>
    <mergeCell ref="AV37:AX37"/>
    <mergeCell ref="AY37:BA37"/>
    <mergeCell ref="BB37:BD37"/>
    <mergeCell ref="E37:I37"/>
    <mergeCell ref="J37:P37"/>
    <mergeCell ref="Q37:W37"/>
    <mergeCell ref="X37:AD37"/>
    <mergeCell ref="AE37:AF37"/>
    <mergeCell ref="AG37:AI37"/>
    <mergeCell ref="A38:BQ38"/>
    <mergeCell ref="B37:D37"/>
    <mergeCell ref="B39:D39"/>
    <mergeCell ref="E39:I39"/>
    <mergeCell ref="J39:P39"/>
    <mergeCell ref="Q39:W39"/>
    <mergeCell ref="X39:AD39"/>
    <mergeCell ref="AE39:AF39"/>
    <mergeCell ref="BE48:BG48"/>
    <mergeCell ref="BH48:BJ48"/>
    <mergeCell ref="AJ48:AL48"/>
    <mergeCell ref="AM48:AO48"/>
    <mergeCell ref="AP48:AR48"/>
    <mergeCell ref="AS48:AU48"/>
    <mergeCell ref="AV48:AX48"/>
    <mergeCell ref="AY48:BA48"/>
    <mergeCell ref="BB48:BD48"/>
    <mergeCell ref="BE46:BG46"/>
    <mergeCell ref="BH46:BJ46"/>
    <mergeCell ref="BK46:BQ46"/>
    <mergeCell ref="AJ46:AL46"/>
    <mergeCell ref="AM46:AO46"/>
    <mergeCell ref="AP46:AR46"/>
    <mergeCell ref="AS46:AU46"/>
    <mergeCell ref="AV46:AX46"/>
    <mergeCell ref="AY46:BA46"/>
    <mergeCell ref="BB46:BD46"/>
    <mergeCell ref="B46:D46"/>
    <mergeCell ref="E46:I46"/>
    <mergeCell ref="J46:P46"/>
    <mergeCell ref="Q46:W46"/>
    <mergeCell ref="X46:AD46"/>
    <mergeCell ref="AE46:AF46"/>
    <mergeCell ref="AG46:AI46"/>
    <mergeCell ref="BE47:BG47"/>
    <mergeCell ref="BH47:BJ47"/>
    <mergeCell ref="BK47:BQ47"/>
    <mergeCell ref="BK48:BQ48"/>
    <mergeCell ref="AJ47:AL47"/>
    <mergeCell ref="AM47:AO47"/>
    <mergeCell ref="AP47:AR47"/>
    <mergeCell ref="AS47:AU47"/>
    <mergeCell ref="AV47:AX47"/>
    <mergeCell ref="AY47:BA47"/>
    <mergeCell ref="BB47:BD47"/>
    <mergeCell ref="B47:D47"/>
    <mergeCell ref="E47:I47"/>
    <mergeCell ref="J47:P47"/>
    <mergeCell ref="Q47:W47"/>
    <mergeCell ref="X47:AD47"/>
    <mergeCell ref="AE47:AF47"/>
    <mergeCell ref="AG47:AI47"/>
    <mergeCell ref="B48:D48"/>
    <mergeCell ref="E48:I48"/>
    <mergeCell ref="J48:P48"/>
    <mergeCell ref="Q48:W48"/>
    <mergeCell ref="X48:AD48"/>
    <mergeCell ref="AE48:AF48"/>
    <mergeCell ref="AG48:AI48"/>
    <mergeCell ref="BE51:BG51"/>
    <mergeCell ref="BH51:BJ51"/>
    <mergeCell ref="AJ51:AL51"/>
    <mergeCell ref="AM51:AO51"/>
    <mergeCell ref="AP51:AR51"/>
    <mergeCell ref="AS51:AU51"/>
    <mergeCell ref="AV51:AX51"/>
    <mergeCell ref="AY51:BA51"/>
    <mergeCell ref="BB51:BD51"/>
    <mergeCell ref="BE49:BG49"/>
    <mergeCell ref="BH49:BJ49"/>
    <mergeCell ref="BK49:BQ49"/>
    <mergeCell ref="AJ49:AL49"/>
    <mergeCell ref="AM49:AO49"/>
    <mergeCell ref="AP49:AR49"/>
    <mergeCell ref="AS49:AU49"/>
    <mergeCell ref="AV49:AX49"/>
    <mergeCell ref="AY49:BA49"/>
    <mergeCell ref="BB49:BD49"/>
    <mergeCell ref="B49:D49"/>
    <mergeCell ref="E49:I49"/>
    <mergeCell ref="J49:P49"/>
    <mergeCell ref="Q49:W49"/>
    <mergeCell ref="X49:AD49"/>
    <mergeCell ref="AE49:AF49"/>
    <mergeCell ref="AG49:AI49"/>
    <mergeCell ref="BE50:BG50"/>
    <mergeCell ref="BH50:BJ50"/>
    <mergeCell ref="BK50:BQ50"/>
    <mergeCell ref="BK51:BQ51"/>
    <mergeCell ref="AJ50:AL50"/>
    <mergeCell ref="AM50:AO50"/>
    <mergeCell ref="AP50:AR50"/>
    <mergeCell ref="AS50:AU50"/>
    <mergeCell ref="AV50:AX50"/>
    <mergeCell ref="AY50:BA50"/>
    <mergeCell ref="BB50:BD50"/>
    <mergeCell ref="B50:D50"/>
    <mergeCell ref="E50:I50"/>
    <mergeCell ref="J50:P50"/>
    <mergeCell ref="Q50:W50"/>
    <mergeCell ref="X50:AD50"/>
    <mergeCell ref="AE50:AF50"/>
    <mergeCell ref="AG50:AI50"/>
    <mergeCell ref="B51:D51"/>
    <mergeCell ref="E51:I51"/>
    <mergeCell ref="J51:P51"/>
    <mergeCell ref="Q51:W51"/>
    <mergeCell ref="X51:AD51"/>
    <mergeCell ref="AE51:AF51"/>
    <mergeCell ref="AG51:AI51"/>
    <mergeCell ref="BE55:BG55"/>
    <mergeCell ref="BH55:BJ55"/>
    <mergeCell ref="AJ55:AL55"/>
    <mergeCell ref="AM55:AO55"/>
    <mergeCell ref="AP55:AR55"/>
    <mergeCell ref="AS55:AU55"/>
    <mergeCell ref="AV55:AX55"/>
    <mergeCell ref="AY55:BA55"/>
    <mergeCell ref="BB55:BD55"/>
    <mergeCell ref="BE52:BG52"/>
    <mergeCell ref="BH52:BJ52"/>
    <mergeCell ref="BK52:BQ52"/>
    <mergeCell ref="AJ52:AL52"/>
    <mergeCell ref="AM52:AO52"/>
    <mergeCell ref="AP52:AR52"/>
    <mergeCell ref="AS52:AU52"/>
    <mergeCell ref="AV52:AX52"/>
    <mergeCell ref="AY52:BA52"/>
    <mergeCell ref="BB52:BD52"/>
    <mergeCell ref="E52:I52"/>
    <mergeCell ref="J52:P52"/>
    <mergeCell ref="Q52:W52"/>
    <mergeCell ref="X52:AD52"/>
    <mergeCell ref="AE52:AF52"/>
    <mergeCell ref="AG52:AI52"/>
    <mergeCell ref="A53:BQ53"/>
    <mergeCell ref="BB54:BD54"/>
    <mergeCell ref="BE54:BG54"/>
    <mergeCell ref="BH54:BJ54"/>
    <mergeCell ref="BK54:BQ54"/>
    <mergeCell ref="BK55:BQ55"/>
    <mergeCell ref="AG54:AI54"/>
    <mergeCell ref="AJ54:AL54"/>
    <mergeCell ref="AM54:AO54"/>
    <mergeCell ref="AP54:AR54"/>
    <mergeCell ref="AS54:AU54"/>
    <mergeCell ref="AV54:AX54"/>
    <mergeCell ref="AY54:BA54"/>
    <mergeCell ref="B52:D52"/>
    <mergeCell ref="B54:D54"/>
    <mergeCell ref="E54:I54"/>
    <mergeCell ref="J54:P54"/>
    <mergeCell ref="Q54:W54"/>
    <mergeCell ref="X54:AD54"/>
    <mergeCell ref="AE54:AF54"/>
    <mergeCell ref="B55:D55"/>
    <mergeCell ref="E55:I55"/>
    <mergeCell ref="J55:P55"/>
    <mergeCell ref="Q55:W55"/>
    <mergeCell ref="X55:AD55"/>
    <mergeCell ref="AE55:AF55"/>
    <mergeCell ref="AG55:AI55"/>
    <mergeCell ref="BE58:BG58"/>
    <mergeCell ref="BH58:BJ58"/>
    <mergeCell ref="AJ58:AL58"/>
    <mergeCell ref="AM58:AO58"/>
    <mergeCell ref="AP58:AR58"/>
    <mergeCell ref="AS58:AU58"/>
    <mergeCell ref="AV58:AX58"/>
    <mergeCell ref="AY58:BA58"/>
    <mergeCell ref="BB58:BD58"/>
    <mergeCell ref="BE56:BG56"/>
    <mergeCell ref="BH56:BJ56"/>
    <mergeCell ref="BK56:BQ56"/>
    <mergeCell ref="AJ56:AL56"/>
    <mergeCell ref="AM56:AO56"/>
    <mergeCell ref="AP56:AR56"/>
    <mergeCell ref="AS56:AU56"/>
    <mergeCell ref="AV56:AX56"/>
    <mergeCell ref="AY56:BA56"/>
    <mergeCell ref="BB56:BD56"/>
    <mergeCell ref="B56:D56"/>
    <mergeCell ref="E56:I56"/>
    <mergeCell ref="J56:P56"/>
    <mergeCell ref="Q56:W56"/>
    <mergeCell ref="X56:AD56"/>
    <mergeCell ref="AE56:AF56"/>
    <mergeCell ref="AG56:AI56"/>
    <mergeCell ref="BE57:BG57"/>
    <mergeCell ref="BH57:BJ57"/>
    <mergeCell ref="BK57:BQ57"/>
    <mergeCell ref="BK58:BQ58"/>
    <mergeCell ref="AJ57:AL57"/>
    <mergeCell ref="AM57:AO57"/>
    <mergeCell ref="AP57:AR57"/>
    <mergeCell ref="AS57:AU57"/>
    <mergeCell ref="AV57:AX57"/>
    <mergeCell ref="AY57:BA57"/>
    <mergeCell ref="BB57:BD57"/>
    <mergeCell ref="B57:D57"/>
    <mergeCell ref="E57:I57"/>
    <mergeCell ref="J57:P57"/>
    <mergeCell ref="Q57:W57"/>
    <mergeCell ref="X57:AD57"/>
    <mergeCell ref="AE57:AF57"/>
    <mergeCell ref="AG57:AI57"/>
    <mergeCell ref="B58:D58"/>
    <mergeCell ref="E58:I58"/>
    <mergeCell ref="J58:P58"/>
    <mergeCell ref="Q58:W58"/>
    <mergeCell ref="X58:AD58"/>
    <mergeCell ref="AE58:AF58"/>
    <mergeCell ref="AG58:AI58"/>
    <mergeCell ref="BE61:BG61"/>
    <mergeCell ref="BH61:BJ61"/>
    <mergeCell ref="AJ61:AL61"/>
    <mergeCell ref="AM61:AO61"/>
    <mergeCell ref="AP61:AR61"/>
    <mergeCell ref="AS61:AU61"/>
    <mergeCell ref="AV61:AX61"/>
    <mergeCell ref="AY61:BA61"/>
    <mergeCell ref="BB61:BD61"/>
    <mergeCell ref="BE59:BG59"/>
    <mergeCell ref="BH59:BJ59"/>
    <mergeCell ref="BK59:BQ59"/>
    <mergeCell ref="AJ59:AL59"/>
    <mergeCell ref="AM59:AO59"/>
    <mergeCell ref="AP59:AR59"/>
    <mergeCell ref="AS59:AU59"/>
    <mergeCell ref="AV59:AX59"/>
    <mergeCell ref="AY59:BA59"/>
    <mergeCell ref="BB59:BD59"/>
    <mergeCell ref="B59:D59"/>
    <mergeCell ref="E59:I59"/>
    <mergeCell ref="J59:P59"/>
    <mergeCell ref="Q59:W59"/>
    <mergeCell ref="X59:AD59"/>
    <mergeCell ref="AE59:AF59"/>
    <mergeCell ref="AG59:AI59"/>
    <mergeCell ref="BE60:BG60"/>
    <mergeCell ref="BH60:BJ60"/>
    <mergeCell ref="BK60:BQ60"/>
    <mergeCell ref="BK61:BQ61"/>
    <mergeCell ref="AJ60:AL60"/>
    <mergeCell ref="AM60:AO60"/>
    <mergeCell ref="AP60:AR60"/>
    <mergeCell ref="AS60:AU60"/>
    <mergeCell ref="AV60:AX60"/>
    <mergeCell ref="AY60:BA60"/>
    <mergeCell ref="BB60:BD60"/>
    <mergeCell ref="B60:D60"/>
    <mergeCell ref="E60:I60"/>
    <mergeCell ref="J60:P60"/>
    <mergeCell ref="Q60:W60"/>
    <mergeCell ref="X60:AD60"/>
    <mergeCell ref="AE60:AF60"/>
    <mergeCell ref="AG60:AI60"/>
    <mergeCell ref="B61:D61"/>
    <mergeCell ref="E61:I61"/>
    <mergeCell ref="J61:P61"/>
    <mergeCell ref="Q61:W61"/>
    <mergeCell ref="X61:AD61"/>
    <mergeCell ref="AE61:AF61"/>
    <mergeCell ref="AG61:AI61"/>
    <mergeCell ref="BE64:BG64"/>
    <mergeCell ref="BH64:BJ64"/>
    <mergeCell ref="AJ64:AL64"/>
    <mergeCell ref="AM64:AO64"/>
    <mergeCell ref="AP64:AR64"/>
    <mergeCell ref="AS64:AU64"/>
    <mergeCell ref="AV64:AX64"/>
    <mergeCell ref="AY64:BA64"/>
    <mergeCell ref="BB64:BD64"/>
    <mergeCell ref="BE62:BG62"/>
    <mergeCell ref="BH62:BJ62"/>
    <mergeCell ref="BK62:BQ62"/>
    <mergeCell ref="AJ62:AL62"/>
    <mergeCell ref="AM62:AO62"/>
    <mergeCell ref="AP62:AR62"/>
    <mergeCell ref="AS62:AU62"/>
    <mergeCell ref="AV62:AX62"/>
    <mergeCell ref="AY62:BA62"/>
    <mergeCell ref="BB62:BD62"/>
    <mergeCell ref="B62:D62"/>
    <mergeCell ref="E62:I62"/>
    <mergeCell ref="J62:P62"/>
    <mergeCell ref="Q62:W62"/>
    <mergeCell ref="X62:AD62"/>
    <mergeCell ref="AE62:AF62"/>
    <mergeCell ref="AG62:AI62"/>
    <mergeCell ref="BH63:BJ63"/>
    <mergeCell ref="BK63:BQ63"/>
    <mergeCell ref="BK64:BQ64"/>
    <mergeCell ref="AJ63:AL63"/>
    <mergeCell ref="AM63:AO63"/>
    <mergeCell ref="AP63:AR63"/>
    <mergeCell ref="AS63:AU63"/>
    <mergeCell ref="AV63:AX63"/>
    <mergeCell ref="AY63:BA63"/>
    <mergeCell ref="B63:D63"/>
    <mergeCell ref="E63:I63"/>
    <mergeCell ref="J63:P63"/>
    <mergeCell ref="Q63:W63"/>
    <mergeCell ref="X63:AD63"/>
    <mergeCell ref="AE63:AF63"/>
    <mergeCell ref="AG63:AI63"/>
    <mergeCell ref="B64:D64"/>
    <mergeCell ref="E64:I64"/>
    <mergeCell ref="J64:P64"/>
    <mergeCell ref="Q64:W64"/>
    <mergeCell ref="X64:AD64"/>
    <mergeCell ref="AE64:AF64"/>
    <mergeCell ref="AG64:AI64"/>
  </mergeCells>
  <dataValidations>
    <dataValidation type="list" allowBlank="1" sqref="F1">
      <formula1>"単体テスト,結合テスト,システムテスト"</formula1>
    </dataValidation>
    <dataValidation type="list" allowBlank="1" sqref="AG13:AG22 AV13:AV22 AG24:AG32 AV24:AV32 AG34:AG37 AV34:AV37 AG39:AG52 AV39:AV52 AG54:AG65 AV54:AV65 AG67:AG71 AV67:AV71 AG73:AG79 AV73:AV79 AG81:AG89 AV81:AV89">
      <formula1>"合格,不合格,未テスト,N/A"</formula1>
    </dataValidation>
    <dataValidation type="list" allowBlank="1" sqref="AE13:AE22 AE24:AE32 AE34:AE37 AE39:AE52 AE54:AE65 AE67:AE71 AE73:AE79 AE81:AE89">
      <formula1>"N,A,B"</formula1>
    </dataValidation>
  </dataValidation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2026-08-12T09:32:19Z</dcterms:created>
  <dc:creator>openpyxl</dc:creator>
</cp:coreProperties>
</file>