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Pk1SuMPb7gHoFRIRXSUTjFVDMRpQGz4lPnlrmEeALZY="/>
    </ext>
  </extLst>
</workbook>
</file>

<file path=xl/sharedStrings.xml><?xml version="1.0" encoding="utf-8"?>
<sst xmlns="http://schemas.openxmlformats.org/spreadsheetml/2006/main" count="1001" uniqueCount="532">
  <si>
    <t>項番</t>
  </si>
  <si>
    <t>システム・アプリケーション名</t>
  </si>
  <si>
    <t>発行日</t>
  </si>
  <si>
    <t>バージョン</t>
  </si>
  <si>
    <t>ドキュメント</t>
  </si>
  <si>
    <t>担当者</t>
  </si>
  <si>
    <t>シート名</t>
  </si>
  <si>
    <t>変更内容</t>
  </si>
  <si>
    <t>作成日</t>
  </si>
  <si>
    <t>確認者</t>
  </si>
  <si>
    <t>&lt;単体/結合/システム&gt; テスト報告書</t>
  </si>
  <si>
    <t>作成者</t>
  </si>
  <si>
    <t>承認者</t>
  </si>
  <si>
    <t>更新日</t>
  </si>
  <si>
    <t>更新者</t>
  </si>
  <si>
    <t>2026-05-08</t>
  </si>
  <si>
    <t>クラウド版購読者管理システム</t>
  </si>
  <si>
    <t>1.0</t>
  </si>
  <si>
    <t>テスト仕様書</t>
  </si>
  <si>
    <t>Kieu Thi Diem</t>
  </si>
  <si>
    <t>ログイン画面</t>
  </si>
  <si>
    <t>Tạo mới</t>
  </si>
  <si>
    <t>概要</t>
  </si>
  <si>
    <t>Nguyen Huy Dat</t>
  </si>
  <si>
    <t>プロジェクト名</t>
  </si>
  <si>
    <t>版1.0</t>
  </si>
  <si>
    <t>2026/05/08</t>
  </si>
  <si>
    <t>フォーマットコード</t>
  </si>
  <si>
    <t>プロジェクトマネージャ</t>
  </si>
  <si>
    <t>16-BM/PM/VTI</t>
  </si>
  <si>
    <t>フォーマットバージョン</t>
  </si>
  <si>
    <t>1.システム概要</t>
  </si>
  <si>
    <t>Hệ thống này là hệ thống quản lý độc giả phiên bản cloud dành cho JA, cung cấp các chức năng quản lý thông tin độc giả, quản lý lịch sử đặt báo, quản lý dữ liệu chuyển khoản tự động, v.v.</t>
  </si>
  <si>
    <t>Các chức năng chính bao gồm: đăng ký / cập nhật / tìm kiếm thông tin độc giả,</t>
  </si>
  <si>
    <t>quản lý lịch sử thay đổi nội dung đặt báo, tạo và quản lý dữ liệu chuyển khoản tự động,</t>
  </si>
  <si>
    <t>chức năng tải lên / tải xuống file, quản lý thông báo hệ thống.</t>
  </si>
  <si>
    <t>#</t>
  </si>
  <si>
    <t>機能名</t>
  </si>
  <si>
    <t>Ngoài ra, hệ thống còn hỗ trợ các chức năng bảo mật / kiểm toán như quản lý đăng nhập của user,</t>
  </si>
  <si>
    <t>テストケース分類</t>
  </si>
  <si>
    <t>ghi lịch sử đăng nhập, ghi log thao tác của user.</t>
  </si>
  <si>
    <t>2.資料目的</t>
  </si>
  <si>
    <t>合計</t>
  </si>
  <si>
    <t>Tài liệu mô tả chi tiết test specification được tạo mới trên hệ thống tại màn hình "ログイン画面（ACSMS-SCR-001）".</t>
  </si>
  <si>
    <t>テスト結果</t>
  </si>
  <si>
    <t>Tài liệu tham khảo ISTQB và IEEE 829, đáp ứng các tiêu chuẩn chất lượng sau:</t>
  </si>
  <si>
    <t>正常</t>
  </si>
  <si>
    <t>異常</t>
  </si>
  <si>
    <t>- Mỗi testcase được tạo dựa trên một scenario duy nhất (single responsibility).</t>
  </si>
  <si>
    <t>境界</t>
  </si>
  <si>
    <t>合格</t>
  </si>
  <si>
    <t>不合格</t>
  </si>
  <si>
    <t>未テスト</t>
  </si>
  <si>
    <t>- Mô tả các bước với mức độ chi tiết có thể tái hiện, làm rõ test data sử dụng.</t>
  </si>
  <si>
    <t>N/A</t>
  </si>
  <si>
    <t>進捗（%）</t>
  </si>
  <si>
    <t>テスト1回目</t>
  </si>
  <si>
    <t>- Kết quả mong đợi phải đo lường được (nội dung message, kết quả query DB, HTTP status code, v.v.).</t>
  </si>
  <si>
    <t>機能</t>
  </si>
  <si>
    <t>- Thiết lập độ ưu tiên (P0: chặn release / P1: cao / P2: trung bình).</t>
  </si>
  <si>
    <t>3.関連資料</t>
  </si>
  <si>
    <t>No</t>
  </si>
  <si>
    <t>資料コード</t>
  </si>
  <si>
    <t>資料名</t>
  </si>
  <si>
    <t>ACSMS-SCR-001</t>
  </si>
  <si>
    <t>Tài liệu thiết kế màn hình đăng nhập</t>
  </si>
  <si>
    <t>ACSMS-SCR-001-api</t>
  </si>
  <si>
    <t>Tài liệu thiết kế API màn hình đăng nhập</t>
  </si>
  <si>
    <t>testcase-viewpoints</t>
  </si>
  <si>
    <t>Danh sách quan điểm test chung toàn hệ thống</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</si>
  <si>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</si>
  <si>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</si>
  <si>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</si>
  <si>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</si>
  <si>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</si>
  <si>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</si>
  <si>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</si>
  <si>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</si>
  <si>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</si>
  <si>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</si>
  <si>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</si>
  <si>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</si>
  <si>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</si>
  <si>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</si>
  <si>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</si>
  <si>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</si>
  <si>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</si>
  <si>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</si>
  <si>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</si>
  <si>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</si>
  <si>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</si>
  <si>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</si>
  <si>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</si>
  <si>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</si>
  <si>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</si>
  <si>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</si>
  <si>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</si>
  <si>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</si>
  <si>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</si>
  <si>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</si>
  <si>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</si>
  <si>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</si>
  <si>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</si>
  <si>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</si>
  <si>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</si>
  <si>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</si>
  <si>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</si>
  <si>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</si>
  <si>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</si>
  <si>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</si>
  <si>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</si>
  <si>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</si>
  <si>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</si>
  <si>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</si>
  <si>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</si>
  <si>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</si>
  <si>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</si>
  <si>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</si>
  <si>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テストレベル</t>
  </si>
  <si>
    <t>結合テスト</t>
  </si>
  <si>
    <t>VP-B-04</t>
  </si>
  <si>
    <t>機能／モジュール</t>
  </si>
  <si>
    <t>半角／全角ハンドリング</t>
  </si>
  <si>
    <t>ACSMS-SCR-001_ログイン画面</t>
  </si>
  <si>
    <t>VP-B-05</t>
  </si>
  <si>
    <t>日付ロジック</t>
  </si>
  <si>
    <t>約10日付付きフォーム</t>
  </si>
  <si>
    <t>VP-B-06</t>
  </si>
  <si>
    <t>確認日</t>
  </si>
  <si>
    <t>通貨／パーセント形式</t>
  </si>
  <si>
    <t>2-3フォーム（単価）</t>
  </si>
  <si>
    <t>VP-B-07</t>
  </si>
  <si>
    <t>テスト環境</t>
  </si>
  <si>
    <t>Windows 10/11, Chrome, Edge</t>
  </si>
  <si>
    <t>マスタコード（m_code）参照</t>
  </si>
  <si>
    <t>約15ドロップダウン付きフォーム</t>
  </si>
  <si>
    <t>分類</t>
  </si>
  <si>
    <t>VP-B-08</t>
  </si>
  <si>
    <t>キー重複（duplicate code）</t>
  </si>
  <si>
    <t>約10マスタ</t>
  </si>
  <si>
    <t>回目</t>
  </si>
  <si>
    <t>VP-B-09</t>
  </si>
  <si>
    <t>IME・全角入力・貼付ハンドリング</t>
  </si>
  <si>
    <t>境界値</t>
  </si>
  <si>
    <t>全テキスト入力フォーム＋検索画面</t>
  </si>
  <si>
    <t>VP-C-01</t>
  </si>
  <si>
    <t>C. 業務ロジック</t>
  </si>
  <si>
    <t>CRUD 正常系 + DB 永続化</t>
  </si>
  <si>
    <t>1回目</t>
  </si>
  <si>
    <t>VP-C-02</t>
  </si>
  <si>
    <t>同時編集競合</t>
  </si>
  <si>
    <t>約8編集画面</t>
  </si>
  <si>
    <t>VP-C-03</t>
  </si>
  <si>
    <t>論理削除 + FK 関連</t>
  </si>
  <si>
    <t>約6関連付きマスタ</t>
  </si>
  <si>
    <t>VP-C-04</t>
  </si>
  <si>
    <t>税込／税抜計算</t>
  </si>
  <si>
    <t>単価マスタ</t>
  </si>
  <si>
    <t>VP-C-05</t>
  </si>
  <si>
    <t>2回目</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</si>
  <si>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</si>
  <si>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</si>
  <si>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</si>
  <si>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</si>
  <si>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</si>
  <si>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</si>
  <si>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</si>
  <si>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</si>
  <si>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</si>
  <si>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</si>
  <si>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</si>
  <si>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要件ID</t>
  </si>
  <si>
    <t>説明</t>
  </si>
  <si>
    <t>VP-D-01</t>
  </si>
  <si>
    <t>D. 統合・システム</t>
  </si>
  <si>
    <t>前提条件</t>
  </si>
  <si>
    <t>ログイン + MFA フロー</t>
  </si>
  <si>
    <t>ステップ／手順</t>
  </si>
  <si>
    <t>SCR-001／002</t>
  </si>
  <si>
    <t>期待結果／アウトプット</t>
  </si>
  <si>
    <t>種類</t>
  </si>
  <si>
    <t>テスト1回目の結果</t>
  </si>
  <si>
    <t>VP-D-02</t>
  </si>
  <si>
    <t>セッションスライディング 24h</t>
  </si>
  <si>
    <t>テスト2回目の結果</t>
  </si>
  <si>
    <t>備考</t>
  </si>
  <si>
    <t>VP-D-03</t>
  </si>
  <si>
    <t>パスワード再発行フロー</t>
  </si>
  <si>
    <t>SCR-007</t>
  </si>
  <si>
    <t>VP-D-04</t>
  </si>
  <si>
    <t>結果</t>
  </si>
  <si>
    <t>実績／
アウトプット</t>
  </si>
  <si>
    <t>監査ログの完全性</t>
  </si>
  <si>
    <t>確認日付
（MM/DD）</t>
  </si>
  <si>
    <t>バグID</t>
  </si>
  <si>
    <t>VP-D-05</t>
  </si>
  <si>
    <t>ファイルアップロード S3</t>
  </si>
  <si>
    <t>SCR-022</t>
  </si>
  <si>
    <t>VP-D-06</t>
  </si>
  <si>
    <t>Kiểm soát quyền truy cập (Access Control)</t>
  </si>
  <si>
    <t>メール通知</t>
  </si>
  <si>
    <t>SCR-001／007／お知らせ</t>
  </si>
  <si>
    <t>VP-D-07</t>
  </si>
  <si>
    <t>外部 CSV 形式準拠</t>
  </si>
  <si>
    <t>ACSMS-TC-001-001</t>
  </si>
  <si>
    <t>SCR-008／009</t>
  </si>
  <si>
    <t>NICHINO_ADMIN đăng nhập — đường dẫn không yêu cầu MFA</t>
  </si>
  <si>
    <t>・Test account role: NICHINO_ADMIN
・mfa_enable_flg = false
・account_lock_flg = false
・login_failure_count = 0</t>
  </si>
  <si>
    <t>VP-D-08</t>
  </si>
  <si>
    <r>
      <rPr>
        <rFont val="游ゴシック"/>
        <b/>
        <color rgb="FF000000"/>
        <sz val="10.0"/>
      </rPr>
      <t xml:space="preserve">ステップ1：
</t>
    </r>
    <r>
      <rPr>
        <rFont val="游ゴシック"/>
        <color rgb="FF000000"/>
        <sz val="10.0"/>
      </rPr>
      <t xml:space="preserve">Mở `/login` trên browser, nhập user ID và password hợp lệ vào form
</t>
    </r>
    <r>
      <rPr>
        <rFont val="游ゴシック"/>
        <b/>
        <color rgb="FF000000"/>
        <sz val="10.0"/>
      </rPr>
      <t xml:space="preserve">ステップ2：
</t>
    </r>
    <r>
      <rPr>
        <rFont val="游ゴシック"/>
        <color rgb="FF000000"/>
        <sz val="10.0"/>
      </rPr>
      <t xml:space="preserve">Click nút đăng nhập
</t>
    </r>
    <r>
      <rPr>
        <rFont val="游ゴシック"/>
        <b/>
        <color rgb="FF000000"/>
        <sz val="10.0"/>
      </rPr>
      <t xml:space="preserve">ステップ3：
</t>
    </r>
    <r>
      <rPr>
        <rFont val="游ゴシック"/>
        <color rgb="FF000000"/>
        <sz val="10.0"/>
      </rPr>
      <t xml:space="preserve">Kiểm tra response của POST `/api/v1/auth/login` trên Network tab DevTools
</t>
    </r>
    <r>
      <rPr>
        <rFont val="游ゴシック"/>
        <b/>
        <color rgb="FF000000"/>
        <sz val="10.0"/>
      </rPr>
      <t xml:space="preserve">ステップ4：
</t>
    </r>
    <r>
      <rPr>
        <rFont val="游ゴシック"/>
        <color rgb="FF000000"/>
        <sz val="10.0"/>
      </rPr>
      <t xml:space="preserve">Kiểm tra Cookie `session_id` trên Application tab DevTools
</t>
    </r>
    <r>
      <rPr>
        <rFont val="游ゴシック"/>
        <b/>
        <color rgb="FF000000"/>
        <sz val="10.0"/>
      </rPr>
      <t xml:space="preserve">ステップ5：
</t>
    </r>
    <r>
      <rPr>
        <rFont val="游ゴシック"/>
        <color rgb="FF000000"/>
        <sz val="10.0"/>
      </rPr>
      <t>Chạy query DB:
```sql
SELECT login_result, account_id, login_id, failure_reason
FROM t_login_log
WHERE login_id = :login_id
ORDER BY login_datetime DESC
LIMIT 1;
```</t>
    </r>
  </si>
  <si>
    <t>ネットワーク／500／タイムアウト</t>
  </si>
  <si>
    <r>
      <rPr>
        <rFont val="游ゴシック"/>
        <b/>
        <color rgb="FF000000"/>
        <sz val="10.0"/>
      </rPr>
      <t xml:space="preserve">ステップ1：
</t>
    </r>
    <r>
      <rPr>
        <rFont val="游ゴシック"/>
        <color rgb="FF000000"/>
        <sz val="10.0"/>
      </rPr>
      <t xml:space="preserve">Form đăng nhập hiển thị, ô ID và password rỗng, không có error
</t>
    </r>
    <r>
      <rPr>
        <rFont val="游ゴシック"/>
        <b/>
        <color rgb="FF000000"/>
        <sz val="10.0"/>
      </rPr>
      <t xml:space="preserve">ステップ2：
</t>
    </r>
    <r>
      <rPr>
        <rFont val="游ゴシック"/>
        <color rgb="FF000000"/>
        <sz val="10.0"/>
      </rPr>
      <t xml:space="preserve">Trong khi xử lý, nút đăng nhập bị vô hiệu
</t>
    </r>
    <r>
      <rPr>
        <rFont val="游ゴシック"/>
        <b/>
        <color rgb="FF000000"/>
        <sz val="10.0"/>
      </rPr>
      <t xml:space="preserve">ステップ3：
</t>
    </r>
    <r>
      <rPr>
        <rFont val="游ゴシック"/>
        <color rgb="FF000000"/>
        <sz val="10.0"/>
      </rPr>
      <t xml:space="preserve">HTTP status code: 200
Response: `data.mfa_required = false`, `data.user` chứa thông tin user
`data.user.role_code = 'NICHINO_ADMIN'`, `data.user.ja_id = null`, `data.user.kanri_shiten_id = null`
`data.user.permissions` chứa `dokusya.*`, `hanbaiten.*`, `tanka.*`, `account.*`, `oshirase.*`, `log.view`
</t>
    </r>
    <r>
      <rPr>
        <rFont val="游ゴシック"/>
        <b/>
        <color rgb="FF000000"/>
        <sz val="10.0"/>
      </rPr>
      <t xml:space="preserve">ステップ4：
</t>
    </r>
    <r>
      <rPr>
        <rFont val="游ゴシック"/>
        <color rgb="FF000000"/>
        <sz val="10.0"/>
      </rPr>
      <t xml:space="preserve">Cookie `session_id` được set với attribute HttpOnly + SameSite=Strict
Max-Age = 86400 (24 giờ)
</t>
    </r>
    <r>
      <rPr>
        <rFont val="游ゴシック"/>
        <b/>
        <color rgb="FF000000"/>
        <sz val="10.0"/>
      </rPr>
      <t xml:space="preserve">ステップ5：
</t>
    </r>
    <r>
      <rPr>
        <rFont val="游ゴシック"/>
        <color rgb="FF000000"/>
        <sz val="10.0"/>
      </rPr>
      <t xml:space="preserve">1 row, `login_result = 1` (thành công), `failure_reason` rỗng, `account_id` khớp với test account
</t>
    </r>
    <r>
      <rPr>
        <rFont val="游ゴシック"/>
        <b/>
        <color rgb="FF000000"/>
        <sz val="10.0"/>
      </rPr>
      <t xml:space="preserve">補足：
</t>
    </r>
    <r>
      <rPr>
        <rFont val="游ゴシック"/>
        <color rgb="FF000000"/>
        <sz val="10.0"/>
      </rPr>
      <t>・Sau đăng nhập thành công, toast「ログインしました。」hiển thị, chuyển về màn hình chính (/dashboard)
・Session lưu vào Redis (key: session:{session_id}, TTL 24 giờ)</t>
    </r>
  </si>
  <si>
    <t>N</t>
  </si>
  <si>
    <t>VP-D-09</t>
  </si>
  <si>
    <t>diem.kieuthi</t>
  </si>
  <si>
    <t>パスワード再発行 旧token無効化＋クールダウン</t>
  </si>
  <si>
    <t>mai.tranthi1</t>
  </si>
  <si>
    <t>7/21/2026</t>
  </si>
  <si>
    <t>VP-E-01</t>
  </si>
  <si>
    <t>E. 非機能・ユーザビリティ</t>
  </si>
  <si>
    <t>レイアウト／デザイントークン</t>
  </si>
  <si>
    <t>ACSMS-TC-001-002</t>
  </si>
  <si>
    <t>低</t>
  </si>
  <si>
    <t>NICHINO_STAFF đăng nhập — Cấp quyền nhập đại diện đại lý</t>
  </si>
  <si>
    <t>・Test account role: NICHINO_STAFF
・mfa_enable_flg = false</t>
  </si>
  <si>
    <t>全画面</t>
  </si>
  <si>
    <r>
      <rPr>
        <rFont val="游ゴシック"/>
        <b/>
        <color rgb="FF000000"/>
        <sz val="10.0"/>
      </rPr>
      <t xml:space="preserve">ステップ1：
</t>
    </r>
    <r>
      <rPr>
        <rFont val="游ゴシック"/>
        <color rgb="FF000000"/>
        <sz val="10.0"/>
      </rPr>
      <t xml:space="preserve">Đăng nhập với account NICHINO_STAFF
</t>
    </r>
    <r>
      <rPr>
        <rFont val="游ゴシック"/>
        <b/>
        <color rgb="FF000000"/>
        <sz val="10.0"/>
      </rPr>
      <t xml:space="preserve">ステップ2：
</t>
    </r>
    <r>
      <rPr>
        <rFont val="游ゴシック"/>
        <color rgb="FF000000"/>
        <sz val="10.0"/>
      </rPr>
      <t xml:space="preserve">Kiểm tra `data.user` của response
</t>
    </r>
    <r>
      <rPr>
        <rFont val="游ゴシック"/>
        <b/>
        <color rgb="FF000000"/>
        <sz val="10.0"/>
      </rPr>
      <t xml:space="preserve">ステップ3：
</t>
    </r>
    <r>
      <rPr>
        <rFont val="游ゴシック"/>
        <color rgb="FF000000"/>
        <sz val="10.0"/>
      </rPr>
      <t>Sau đăng nhập, kiểm tra mục「販売店管理」trên sidebar</t>
    </r>
  </si>
  <si>
    <t>VP-E-02</t>
  </si>
  <si>
    <r>
      <rPr>
        <rFont val="游ゴシック"/>
        <b/>
        <color rgb="FF000000"/>
        <sz val="10.0"/>
      </rPr>
      <t xml:space="preserve">ステップ1：
</t>
    </r>
    <r>
      <rPr>
        <rFont val="游ゴシック"/>
        <color rgb="FF000000"/>
        <sz val="10.0"/>
      </rPr>
      <t xml:space="preserve">HTTP status code: 200, đăng nhập thành công
</t>
    </r>
    <r>
      <rPr>
        <rFont val="游ゴシック"/>
        <b/>
        <color rgb="FF000000"/>
        <sz val="10.0"/>
      </rPr>
      <t xml:space="preserve">ステップ2：
</t>
    </r>
    <r>
      <rPr>
        <rFont val="游ゴシック"/>
        <color rgb="FF000000"/>
        <sz val="10.0"/>
      </rPr>
      <t xml:space="preserve">`data.user.role_code = 'NICHINO_STAFF'`, `data.user.ja_id = null`
`data.user.permissions` chứa `hanbaiten.create / view / update / import / daiko_input`, `file.upload`, `file.download`, `log.view`
Không chứa `dokusya.*` và `tanka.*`
</t>
    </r>
    <r>
      <rPr>
        <rFont val="游ゴシック"/>
        <b/>
        <color rgb="FF000000"/>
        <sz val="10.0"/>
      </rPr>
      <t xml:space="preserve">ステップ3：
</t>
    </r>
    <r>
      <rPr>
        <rFont val="游ゴシック"/>
        <color rgb="FF000000"/>
        <sz val="10.0"/>
      </rPr>
      <t xml:space="preserve">Mục 販売店管理 hiển thị, các mục「JAマスタ」「単価マスタ」không hiển thị
</t>
    </r>
    <r>
      <rPr>
        <rFont val="游ゴシック"/>
        <b/>
        <color rgb="FF000000"/>
        <sz val="10.0"/>
      </rPr>
      <t xml:space="preserve">補足：
</t>
    </r>
    <r>
      <rPr>
        <rFont val="游ゴシック"/>
        <color rgb="FF000000"/>
        <sz val="10.0"/>
      </rPr>
      <t>・Khớp với matrix quyền theo role tại seeder.md §3
・Quyền nhập đại diện đại lý (`hanbaiten.daiko_input`) chỉ NICHINO_STAFF nắm giữ</t>
    </r>
  </si>
  <si>
    <t>レスポンシブ（モバイル／タブレット）</t>
  </si>
  <si>
    <t>VP-E-03</t>
  </si>
  <si>
    <t>キーボード操作</t>
  </si>
  <si>
    <t>ACSMS-TC-001-003</t>
  </si>
  <si>
    <t>VP-E-04</t>
  </si>
  <si>
    <t>CHUOKAI đăng nhập — MFA bật, kiểm tra scope tự trung ương hội</t>
  </si>
  <si>
    <t>ブラウザ互換性</t>
  </si>
  <si>
    <t>・Test account role: CHUOKAI (thuộc chuokai-001)
・mfa_enable_flg = true
・ja_id, todofuken_code đã được set</t>
  </si>
  <si>
    <r>
      <rPr>
        <rFont val="メイリオ"/>
        <b/>
        <color rgb="FF000000"/>
        <sz val="10.0"/>
      </rPr>
      <t xml:space="preserve">ステップ1：
</t>
    </r>
    <r>
      <rPr>
        <rFont val="メイリオ"/>
        <color rgb="FF000000"/>
        <sz val="10.0"/>
      </rPr>
      <t xml:space="preserve">Đăng nhập với account CHUOKAI
</t>
    </r>
    <r>
      <rPr>
        <rFont val="メイリオ"/>
        <b/>
        <color rgb="FF000000"/>
        <sz val="10.0"/>
      </rPr>
      <t xml:space="preserve">ステップ2：
</t>
    </r>
    <r>
      <rPr>
        <rFont val="メイリオ"/>
        <color rgb="FF000000"/>
        <sz val="10.0"/>
      </rPr>
      <t xml:space="preserve">Trên màn hình nhập MFA code, nhập 6 số OTP đúng
</t>
    </r>
    <r>
      <rPr>
        <rFont val="メイリオ"/>
        <b/>
        <color rgb="FF000000"/>
        <sz val="10.0"/>
      </rPr>
      <t xml:space="preserve">ステップ3：
</t>
    </r>
    <r>
      <rPr>
        <rFont val="メイリオ"/>
        <color rgb="FF000000"/>
        <sz val="10.0"/>
      </rPr>
      <t>Sau khi đăng nhập hoàn tất, kiểm tra `data.user` của response</t>
    </r>
  </si>
  <si>
    <r>
      <rPr>
        <rFont val="メイリオ"/>
        <b/>
        <color rgb="FF000000"/>
        <sz val="10.0"/>
      </rPr>
      <t xml:space="preserve">ステップ1：
</t>
    </r>
    <r>
      <rPr>
        <rFont val="メイリオ"/>
        <color rgb="FF000000"/>
        <sz val="10.0"/>
      </rPr>
      <t xml:space="preserve">HTTP status code: 200, `data.mfa_required = true`, `data.mfa_token` định dạng UUID, `data.expires_in = 300`
</t>
    </r>
    <r>
      <rPr>
        <rFont val="メイリオ"/>
        <color rgb="FF000000"/>
        <sz val="10.0"/>
      </rPr>
      <t xml:space="preserve">Chuyển sang màn hình xác thực MFA (/mfa-verify), 6 số OTP được gửi qua email
</t>
    </r>
    <r>
      <rPr>
        <rFont val="メイリオ"/>
        <b/>
        <color rgb="FF000000"/>
        <sz val="10.0"/>
      </rPr>
      <t xml:space="preserve">ステップ2：
</t>
    </r>
    <r>
      <rPr>
        <rFont val="メイリオ"/>
        <color rgb="FF000000"/>
        <sz val="10.0"/>
      </rPr>
      <t xml:space="preserve">HTTP status code: 200, xác thực thành công
</t>
    </r>
    <r>
      <rPr>
        <rFont val="メイリオ"/>
        <color rgb="FF000000"/>
        <sz val="10.0"/>
      </rPr>
      <t xml:space="preserve">Cookie `session_id` được set
</t>
    </r>
    <r>
      <rPr>
        <rFont val="メイリオ"/>
        <b/>
        <color rgb="FF000000"/>
        <sz val="10.0"/>
      </rPr>
      <t xml:space="preserve">ステップ3：
</t>
    </r>
    <r>
      <rPr>
        <rFont val="メイリオ"/>
        <color rgb="FF000000"/>
        <sz val="10.0"/>
      </rPr>
      <t xml:space="preserve">`data.user.role_code = 'CHUOKAI'`, `data.user.ja_id` đã set (không NULL)
</t>
    </r>
    <r>
      <rPr>
        <rFont val="メイリオ"/>
        <color rgb="FF000000"/>
        <sz val="10.0"/>
      </rPr>
      <t xml:space="preserve">`data.user.todofuken_code` đã set
</t>
    </r>
    <r>
      <rPr>
        <rFont val="メイリオ"/>
        <color rgb="FF000000"/>
        <sz val="10.0"/>
      </rPr>
      <t xml:space="preserve">`data.user.permissions` chứa `dokusya.*`, `hanbaiten.{create,view,update,delete,import}`, `tanka.*`, `ja.{view,update}`, `shiten.*`, `file.*`, `log.view`, `koza_furikae.export`, `haitatsuryo.export`, `report.*`
</t>
    </r>
    <r>
      <rPr>
        <rFont val="メイリオ"/>
        <b/>
        <color rgb="FF000000"/>
        <sz val="10.0"/>
      </rPr>
      <t xml:space="preserve">補足：
</t>
    </r>
    <r>
      <rPr>
        <rFont val="メイリオ"/>
        <color rgb="FF000000"/>
        <sz val="10.0"/>
      </rPr>
      <t xml:space="preserve">・CHUOKAI nắm giữ scope đối với JA thuộc tự trung ương hội quản lý
</t>
    </r>
    <r>
      <rPr>
        <rFont val="メイリオ"/>
        <color rgb="FF000000"/>
        <sz val="10.0"/>
      </rPr>
      <t>・Khớp với matrix quyền theo role tại seeder.md §3</t>
    </r>
  </si>
  <si>
    <t>VP-E-05</t>
  </si>
  <si>
    <t>マルチタブセッション同期</t>
  </si>
  <si>
    <t>VP-E-07</t>
  </si>
  <si>
    <t>未保存変更ガード・ブラウザ離脱</t>
  </si>
  <si>
    <t>全 CRUD 編集フォーム</t>
  </si>
  <si>
    <t>ACSMS-TC-001-004</t>
  </si>
  <si>
    <t>JA_HONTEN đăng nhập — Kiểm tra scope tự JA</t>
  </si>
  <si>
    <t>VP-F-01</t>
  </si>
  <si>
    <t>F. 性能</t>
  </si>
  <si>
    <t>・Test account role: JA_HONTEN (thuộc ja-001)
・mfa_enable_flg = false
・ja_id = 1, kanri_shiten_id = null, todofuken_code = '13'</t>
  </si>
  <si>
    <t>性能ベンチマーク</t>
  </si>
  <si>
    <r>
      <rPr>
        <rFont val="メイリオ"/>
        <b/>
        <color rgb="FF000000"/>
        <sz val="10.0"/>
      </rPr>
      <t xml:space="preserve">ステップ1：
</t>
    </r>
    <r>
      <rPr>
        <rFont val="メイリオ"/>
        <color rgb="FF000000"/>
        <sz val="10.0"/>
      </rPr>
      <t xml:space="preserve">Đăng nhập với account JA_HONTEN
</t>
    </r>
    <r>
      <rPr>
        <rFont val="メイリオ"/>
        <b/>
        <color rgb="FF000000"/>
        <sz val="10.0"/>
      </rPr>
      <t xml:space="preserve">ステップ2：
</t>
    </r>
    <r>
      <rPr>
        <rFont val="メイリオ"/>
        <color rgb="FF000000"/>
        <sz val="10.0"/>
      </rPr>
      <t>Kiểm tra `data.user` của response</t>
    </r>
  </si>
  <si>
    <t>全画面パフォーマンス計測対象</t>
  </si>
  <si>
    <r>
      <rPr>
        <rFont val="メイリオ"/>
        <b/>
        <color rgb="FF000000"/>
        <sz val="10.0"/>
      </rPr>
      <t xml:space="preserve">ステップ1：
</t>
    </r>
    <r>
      <rPr>
        <rFont val="メイリオ"/>
        <color rgb="FF000000"/>
        <sz val="10.0"/>
      </rPr>
      <t xml:space="preserve">HTTP status code: 200, đăng nhập thành công
</t>
    </r>
    <r>
      <rPr>
        <rFont val="メイリオ"/>
        <b/>
        <color rgb="FF000000"/>
        <sz val="10.0"/>
      </rPr>
      <t xml:space="preserve">ステップ2：
</t>
    </r>
    <r>
      <rPr>
        <rFont val="メイリオ"/>
        <color rgb="FF000000"/>
        <sz val="10.0"/>
      </rPr>
      <t xml:space="preserve">`data.user.role_code = 'JA_HONTEN'`, `data.user.ja_id = 1`, `data.user.kanri_shiten_id = null`
</t>
    </r>
    <r>
      <rPr>
        <rFont val="メイリオ"/>
        <color rgb="FF000000"/>
        <sz val="10.0"/>
      </rPr>
      <t xml:space="preserve">`data.user.todofuken_code = '13'`
</t>
    </r>
    <r>
      <rPr>
        <rFont val="メイリオ"/>
        <color rgb="FF000000"/>
        <sz val="10.0"/>
      </rPr>
      <t xml:space="preserve">`data.user.permissions` giống 29 quyền của CHUOKAI
</t>
    </r>
    <r>
      <rPr>
        <rFont val="メイリオ"/>
        <b/>
        <color rgb="FF000000"/>
        <sz val="10.0"/>
      </rPr>
      <t xml:space="preserve">補足：
</t>
    </r>
    <r>
      <rPr>
        <rFont val="メイリオ"/>
        <color rgb="FF000000"/>
        <sz val="10.0"/>
      </rPr>
      <t xml:space="preserve">・JA_HONTEN nắm giữ scope đối với độc giả / đại lý / chi nhánh thuộc tự JA
</t>
    </r>
    <r>
      <rPr>
        <rFont val="メイリオ"/>
        <color rgb="FF000000"/>
        <sz val="10.0"/>
      </rPr>
      <t>・JA Master nắm giữ `ja.{view,update}` (chỉ một số mục)</t>
    </r>
  </si>
  <si>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</si>
  <si>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</si>
  <si>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</si>
  <si>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</si>
  <si>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</si>
  <si>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</si>
  <si>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</si>
  <si>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</si>
  <si>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</si>
  <si>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</si>
  <si>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</si>
  <si>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ACSMS-TC-001-005</t>
  </si>
  <si>
    <t>VP-A-NN</t>
  </si>
  <si>
    <t>JA_KANRI_SHITEN đăng nhập — Kiểm tra scope tự chi nhánh quản lý</t>
  </si>
  <si>
    <t>セキュリティ・権限</t>
  </si>
  <si>
    <t>・Test account role: JA_KANRI_SHITEN (thuộc ja-001 / branch-001)
・mfa_enable_flg = true
・ja_id = 1, kanri_shiten_id = 1</t>
  </si>
  <si>
    <r>
      <rPr>
        <rFont val="メイリオ"/>
        <b/>
        <color rgb="FF000000"/>
        <sz val="10.0"/>
      </rPr>
      <t xml:space="preserve">ステップ1：
</t>
    </r>
    <r>
      <rPr>
        <rFont val="メイリオ"/>
        <color rgb="FF000000"/>
        <sz val="10.0"/>
      </rPr>
      <t xml:space="preserve">Đăng nhập với account JA_KANRI_SHITEN
</t>
    </r>
    <r>
      <rPr>
        <rFont val="メイリオ"/>
        <b/>
        <color rgb="FF000000"/>
        <sz val="10.0"/>
      </rPr>
      <t xml:space="preserve">ステップ2：
</t>
    </r>
    <r>
      <rPr>
        <rFont val="メイリオ"/>
        <color rgb="FF000000"/>
        <sz val="10.0"/>
      </rPr>
      <t xml:space="preserve">Trên màn hình nhập MFA code, nhập 6 số OTP đúng
</t>
    </r>
    <r>
      <rPr>
        <rFont val="メイリオ"/>
        <b/>
        <color rgb="FF000000"/>
        <sz val="10.0"/>
      </rPr>
      <t xml:space="preserve">ステップ3：
</t>
    </r>
    <r>
      <rPr>
        <rFont val="メイリオ"/>
        <color rgb="FF000000"/>
        <sz val="10.0"/>
      </rPr>
      <t>Kiểm tra `data.user` của response</t>
    </r>
  </si>
  <si>
    <t>RBAC、DataScope、項目レベル制限、URL直接攻撃、セッション失効、XSS、CSRF、レート制限、アカウントロック、SQL注入</t>
  </si>
  <si>
    <r>
      <rPr>
        <rFont val="メイリオ"/>
        <b/>
        <color rgb="FF000000"/>
        <sz val="10.0"/>
      </rPr>
      <t xml:space="preserve">ステップ1：
</t>
    </r>
    <r>
      <rPr>
        <rFont val="メイリオ"/>
        <color rgb="FF000000"/>
        <sz val="10.0"/>
      </rPr>
      <t xml:space="preserve">`data.mfa_required = true`, chuyển sang màn hình MFA
</t>
    </r>
    <r>
      <rPr>
        <rFont val="メイリオ"/>
        <b/>
        <color rgb="FF000000"/>
        <sz val="10.0"/>
      </rPr>
      <t xml:space="preserve">ステップ2：
</t>
    </r>
    <r>
      <rPr>
        <rFont val="メイリオ"/>
        <color rgb="FF000000"/>
        <sz val="10.0"/>
      </rPr>
      <t xml:space="preserve">HTTP status code: 200, xác thực thành công
</t>
    </r>
    <r>
      <rPr>
        <rFont val="メイリオ"/>
        <b/>
        <color rgb="FF000000"/>
        <sz val="10.0"/>
      </rPr>
      <t xml:space="preserve">ステップ3：
</t>
    </r>
    <r>
      <rPr>
        <rFont val="メイリオ"/>
        <color rgb="FF000000"/>
        <sz val="10.0"/>
      </rPr>
      <t xml:space="preserve">`data.user.role_code = 'JA_KANRI_SHITEN'`, `data.user.ja_id = 1`, `data.user.kanri_shiten_id = 1`
</t>
    </r>
    <r>
      <rPr>
        <rFont val="メイリオ"/>
        <color rgb="FF000000"/>
        <sz val="10.0"/>
      </rPr>
      <t xml:space="preserve">`data.user.permissions` là 27 quyền của JA_HONTEN trừ `ja.view`, `ja.update`
</t>
    </r>
    <r>
      <rPr>
        <rFont val="メイリオ"/>
        <color rgb="FF000000"/>
        <sz val="10.0"/>
      </rPr>
      <t xml:space="preserve">Không chứa `ja.*`
</t>
    </r>
    <r>
      <rPr>
        <rFont val="メイリオ"/>
        <b/>
        <color rgb="FF000000"/>
        <sz val="10.0"/>
      </rPr>
      <t xml:space="preserve">補足：
</t>
    </r>
    <r>
      <rPr>
        <rFont val="メイリオ"/>
        <color rgb="FF000000"/>
        <sz val="10.0"/>
      </rPr>
      <t xml:space="preserve">・JA_KANRI_SHITEN nắm giữ scope đối với độc giả thuộc tự chi nhánh quản lý
</t>
    </r>
    <r>
      <rPr>
        <rFont val="メイリオ"/>
        <color rgb="FF000000"/>
        <sz val="10.0"/>
      </rPr>
      <t>・Không thể truy cập JA Master</t>
    </r>
  </si>
  <si>
    <t>B</t>
  </si>
  <si>
    <t>VP-B-NN</t>
  </si>
  <si>
    <t>データバリデーション</t>
  </si>
  <si>
    <t>必須／長さ／形式／半角全角／日付／通貨／m_code／重複キー／IME・貼付ハンドリング</t>
  </si>
  <si>
    <t>C</t>
  </si>
  <si>
    <t>VP-C-NN</t>
  </si>
  <si>
    <t>業務ロジック</t>
  </si>
  <si>
    <t>(なし)
---</t>
  </si>
  <si>
    <t>CRUD 永続化、同時編集競合、論理削除＋FK、税計算、購読者ルール、Excel 取込、レポート集計</t>
  </si>
  <si>
    <t>Hiển thị màn hình &amp; Responsive (Layout &amp; Responsive)</t>
  </si>
  <si>
    <t>D</t>
  </si>
  <si>
    <t>VP-D-NN</t>
  </si>
  <si>
    <t>統合・システム</t>
  </si>
  <si>
    <t>ログイン＋MFA、セッション管理、パスワード再発行、監査ログ、S3、メール、CSV 準拠、ネットワーク／500</t>
  </si>
  <si>
    <t>E</t>
  </si>
  <si>
    <t>VP-E-NN</t>
  </si>
  <si>
    <t>非機能・ユーザビリティ</t>
  </si>
  <si>
    <t>ACSMS-TC-001-006</t>
  </si>
  <si>
    <t>低〜中</t>
  </si>
  <si>
    <t>Layout tổng thể màn hình đăng nhập khớp với design spec</t>
  </si>
  <si>
    <t>レイアウト、レスポンシブ、キーボード操作、ブラウザ互換、マルチタブ同期、未保存変更ガード</t>
  </si>
  <si>
    <t>・Browser: Chrome (latest), độ phân giải 1920×1080</t>
  </si>
  <si>
    <t>F</t>
  </si>
  <si>
    <t>VP-F-NN</t>
  </si>
  <si>
    <t>性能</t>
  </si>
  <si>
    <r>
      <rPr>
        <rFont val="メイリオ"/>
        <b/>
        <color rgb="FF000000"/>
        <sz val="10.0"/>
      </rPr>
      <t xml:space="preserve">ステップ1：
</t>
    </r>
    <r>
      <rPr>
        <rFont val="メイリオ"/>
        <color rgb="FF000000"/>
        <sz val="10.0"/>
      </rPr>
      <t xml:space="preserve">Mở `/login`
</t>
    </r>
    <r>
      <rPr>
        <rFont val="メイリオ"/>
        <b/>
        <color rgb="FF000000"/>
        <sz val="10.0"/>
      </rPr>
      <t xml:space="preserve">ステップ2：
</t>
    </r>
    <r>
      <rPr>
        <rFont val="メイリオ"/>
        <color rgb="FF000000"/>
        <sz val="10.0"/>
      </rPr>
      <t xml:space="preserve">So sánh màn hình với design spec (screen-design.md / index.html) song song
</t>
    </r>
    <r>
      <rPr>
        <rFont val="メイリオ"/>
        <b/>
        <color rgb="FF000000"/>
        <sz val="10.0"/>
      </rPr>
      <t xml:space="preserve">ステップ3：
</t>
    </r>
    <r>
      <rPr>
        <rFont val="メイリオ"/>
        <color rgb="FF000000"/>
        <sz val="10.0"/>
      </rPr>
      <t>Kiểm tra bố cục: tiêu đề「日本農業新聞」, phụ đề「クラウド版購読者管理システム」, card form đăng nhập, card thông báo, card thông tin liên hệ</t>
    </r>
  </si>
  <si>
    <r>
      <rPr>
        <rFont val="メイリオ"/>
        <b/>
        <color rgb="FF000000"/>
        <sz val="10.0"/>
      </rPr>
      <t xml:space="preserve">ステップ1：
</t>
    </r>
    <r>
      <rPr>
        <rFont val="メイリオ"/>
        <color rgb="FF000000"/>
        <sz val="10.0"/>
      </rPr>
      <t xml:space="preserve">Màn hình đăng nhập hiển thị căn giữa
</t>
    </r>
    <r>
      <rPr>
        <rFont val="メイリオ"/>
        <b/>
        <color rgb="FF000000"/>
        <sz val="10.0"/>
      </rPr>
      <t xml:space="preserve">ステップ2：
</t>
    </r>
    <r>
      <rPr>
        <rFont val="メイリオ"/>
        <color rgb="FF000000"/>
        <sz val="10.0"/>
      </rPr>
      <t xml:space="preserve">Màu nền, font, padding/margin, màu button, style ô input đều khớp
</t>
    </r>
    <r>
      <rPr>
        <rFont val="メイリオ"/>
        <b/>
        <color rgb="FF000000"/>
        <sz val="10.0"/>
      </rPr>
      <t xml:space="preserve">ステップ3：
</t>
    </r>
    <r>
      <rPr>
        <rFont val="メイリオ"/>
        <color rgb="FF000000"/>
        <sz val="10.0"/>
      </rPr>
      <t xml:space="preserve">Card width max-w-[400px], khoảng cách space-y-6 giữa các card, tất cả căn giữa
</t>
    </r>
    <r>
      <rPr>
        <rFont val="メイリオ"/>
        <b/>
        <color rgb="FF000000"/>
        <sz val="10.0"/>
      </rPr>
      <t xml:space="preserve">補足：
</t>
    </r>
    <r>
      <rPr>
        <rFont val="メイリオ"/>
        <color rgb="FF000000"/>
        <sz val="10.0"/>
      </rPr>
      <t xml:space="preserve">・design tokens (`design-tokens.ts`) được áp dụng (không có hardcoded color)
</t>
    </r>
    <r>
      <rPr>
        <rFont val="メイリオ"/>
        <color rgb="FF000000"/>
        <sz val="10.0"/>
      </rPr>
      <t>・Component AuthLayout được sử dụng</t>
    </r>
  </si>
  <si>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</si>
  <si>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</si>
  <si>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ACSMS-TC-001-007</t>
  </si>
  <si>
    <t>Layout tổng thể màn hình xác thực MFA khớp với design spec</t>
  </si>
  <si>
    <t>・Sau đăng nhập với account mfa_enable_flg = true, đã chuyển sang màn hình MFA</t>
  </si>
  <si>
    <r>
      <rPr>
        <rFont val="メイリオ"/>
        <b/>
        <color rgb="FF000000"/>
        <sz val="10.0"/>
      </rPr>
      <t xml:space="preserve">ステップ1：
</t>
    </r>
    <r>
      <rPr>
        <rFont val="メイリオ"/>
        <color rgb="FF000000"/>
        <sz val="10.0"/>
      </rPr>
      <t xml:space="preserve">So sánh design spec với màn hình MFA
</t>
    </r>
    <r>
      <rPr>
        <rFont val="メイリオ"/>
        <b/>
        <color rgb="FF000000"/>
        <sz val="10.0"/>
      </rPr>
      <t xml:space="preserve">ステップ2：
</t>
    </r>
    <r>
      <rPr>
        <rFont val="メイリオ"/>
        <color rgb="FF000000"/>
        <sz val="10.0"/>
      </rPr>
      <t xml:space="preserve">Kiểm tra: icon xác thực, tiêu đề「2段階認証」, text mô tả, ô nhập 6 số OTP, nút xác thực, link gửi lại, link quay lại
</t>
    </r>
    <r>
      <rPr>
        <rFont val="メイリオ"/>
        <b/>
        <color rgb="FF000000"/>
        <sz val="10.0"/>
      </rPr>
      <t xml:space="preserve">ステップ3：
</t>
    </r>
    <r>
      <rPr>
        <rFont val="メイリオ"/>
        <color rgb="FF000000"/>
        <sz val="10.0"/>
      </rPr>
      <t>Kiểm tra format hiển thị countdown</t>
    </r>
  </si>
  <si>
    <r>
      <rPr>
        <rFont val="メイリオ"/>
        <b/>
        <color rgb="FF000000"/>
        <sz val="10.0"/>
      </rPr>
      <t xml:space="preserve">ステップ1：
</t>
    </r>
    <r>
      <rPr>
        <rFont val="メイリオ"/>
        <color rgb="FF000000"/>
        <sz val="10.0"/>
      </rPr>
      <t xml:space="preserve">Màn hình MFA hiển thị, design tokens được áp dụng
</t>
    </r>
    <r>
      <rPr>
        <rFont val="メイリオ"/>
        <b/>
        <color rgb="FF000000"/>
        <sz val="10.0"/>
      </rPr>
      <t xml:space="preserve">ステップ2：
</t>
    </r>
    <r>
      <rPr>
        <rFont val="メイリオ"/>
        <color rgb="FF000000"/>
        <sz val="10.0"/>
      </rPr>
      <t xml:space="preserve">Icon xác thực (enhanced_encryption), tiêu đề「2段階認証」, text mô tả「セキュリティ保護のため、登録済みのメールに送信された6桁の認証コードを入力してください。」hiển thị
</t>
    </r>
    <r>
      <rPr>
        <rFont val="メイリオ"/>
        <color rgb="FF000000"/>
        <sz val="10.0"/>
      </rPr>
      <t xml:space="preserve">Ô nhập 6 số OTP, nút「認証」(trạng thái ban đầu vô hiệu), link「コードを再送する」, link「ログイン画面に戻る」
</t>
    </r>
    <r>
      <rPr>
        <rFont val="メイリオ"/>
        <b/>
        <color rgb="FF000000"/>
        <sz val="10.0"/>
      </rPr>
      <t xml:space="preserve">ステップ3：
</t>
    </r>
    <r>
      <rPr>
        <rFont val="メイリオ"/>
        <color rgb="FF000000"/>
        <sz val="10.0"/>
      </rPr>
      <t xml:space="preserve">Có hiệu lực hiển thị format「mm:ss」, giảm 1 giây từ 5:00
</t>
    </r>
    <r>
      <rPr>
        <rFont val="メイリオ"/>
        <b/>
        <color rgb="FF000000"/>
        <sz val="10.0"/>
      </rPr>
      <t xml:space="preserve">補足：
</t>
    </r>
    <r>
      <rPr>
        <rFont val="メイリオ"/>
        <color rgb="FF000000"/>
        <sz val="10.0"/>
      </rPr>
      <t>・Sử dụng component `MfaInput`, hiển thị 6 số trong các ô độc lập từng số</t>
    </r>
  </si>
  <si>
    <t>ACSMS-TC-001-008</t>
  </si>
  <si>
    <t>Hoạt động responsive — breakpoint PC / Tablet / Mobile</t>
  </si>
  <si>
    <t>・Đang ở màn hình đăng nhập</t>
  </si>
  <si>
    <r>
      <rPr>
        <rFont val="メイリオ"/>
        <b/>
        <color rgb="FF000000"/>
        <sz val="10.0"/>
      </rPr>
      <t xml:space="preserve">ステップ1：
</t>
    </r>
    <r>
      <rPr>
        <rFont val="メイリオ"/>
        <color rgb="FF000000"/>
        <sz val="10.0"/>
      </rPr>
      <t xml:space="preserve">Đặt window size 1920×1080 (PC)
</t>
    </r>
    <r>
      <rPr>
        <rFont val="メイリオ"/>
        <b/>
        <color rgb="FF000000"/>
        <sz val="10.0"/>
      </rPr>
      <t xml:space="preserve">ステップ2：
</t>
    </r>
    <r>
      <rPr>
        <rFont val="メイリオ"/>
        <color rgb="FF000000"/>
        <sz val="10.0"/>
      </rPr>
      <t xml:space="preserve">Đổi sang 768×1024 (Tablet)
</t>
    </r>
    <r>
      <rPr>
        <rFont val="メイリオ"/>
        <b/>
        <color rgb="FF000000"/>
        <sz val="10.0"/>
      </rPr>
      <t xml:space="preserve">ステップ3：
</t>
    </r>
    <r>
      <rPr>
        <rFont val="メイリオ"/>
        <color rgb="FF000000"/>
        <sz val="10.0"/>
      </rPr>
      <t>Đổi sang 375×667 (Mobile)</t>
    </r>
  </si>
  <si>
    <r>
      <rPr>
        <rFont val="メイリオ"/>
        <b/>
        <color rgb="FF000000"/>
        <sz val="10.0"/>
      </rPr>
      <t xml:space="preserve">ステップ1：
</t>
    </r>
    <r>
      <rPr>
        <rFont val="メイリオ"/>
        <color rgb="FF000000"/>
        <sz val="10.0"/>
      </rPr>
      <t xml:space="preserve">Form đăng nhập căn giữa, card width 400px
</t>
    </r>
    <r>
      <rPr>
        <rFont val="メイリオ"/>
        <b/>
        <color rgb="FF000000"/>
        <sz val="10.0"/>
      </rPr>
      <t xml:space="preserve">ステップ2：
</t>
    </r>
    <r>
      <rPr>
        <rFont val="メイリオ"/>
        <color rgb="FF000000"/>
        <sz val="10.0"/>
      </rPr>
      <t xml:space="preserve">Layout được giữ nguyên
</t>
    </r>
    <r>
      <rPr>
        <rFont val="メイリオ"/>
        <b/>
        <color rgb="FF000000"/>
        <sz val="10.0"/>
      </rPr>
      <t xml:space="preserve">ステップ3：
</t>
    </r>
    <r>
      <rPr>
        <rFont val="メイリオ"/>
        <color rgb="FF000000"/>
        <sz val="10.0"/>
      </rPr>
      <t xml:space="preserve">Card width fit theo bề ngang màn hình, không có scroll ngang
</t>
    </r>
    <r>
      <rPr>
        <rFont val="メイリオ"/>
        <b/>
        <color rgb="FF000000"/>
        <sz val="10.0"/>
      </rPr>
      <t xml:space="preserve">補足：
</t>
    </r>
    <r>
      <rPr>
        <rFont val="メイリオ"/>
        <color rgb="FF000000"/>
        <sz val="10.0"/>
      </rPr>
      <t xml:space="preserve">・Không bị vỡ layout ở cả 3 breakpoint, không phát sinh scroll ngang
</t>
    </r>
    <r>
      <rPr>
        <rFont val="メイリオ"/>
        <color rgb="FF000000"/>
        <sz val="10.0"/>
      </rPr>
      <t>・Tất cả phần tử form đều có thể thao tác được</t>
    </r>
  </si>
  <si>
    <t>ACSMS-TC-001-009</t>
  </si>
  <si>
    <t>Hiển thị phần tử form — ô input / button đúng design spec</t>
  </si>
  <si>
    <r>
      <rPr>
        <rFont val="メイリオ"/>
        <b/>
        <color rgb="FF000000"/>
        <sz val="10.0"/>
      </rPr>
      <t xml:space="preserve">ステップ1：
</t>
    </r>
    <r>
      <rPr>
        <rFont val="メイリオ"/>
        <color rgb="FF000000"/>
        <sz val="10.0"/>
      </rPr>
      <t xml:space="preserve">Kiểm tra placeholder, prefix icon, maxlength của ô user ID
</t>
    </r>
    <r>
      <rPr>
        <rFont val="メイリオ"/>
        <b/>
        <color rgb="FF000000"/>
        <sz val="10.0"/>
      </rPr>
      <t xml:space="preserve">ステップ2：
</t>
    </r>
    <r>
      <rPr>
        <rFont val="メイリオ"/>
        <color rgb="FF000000"/>
        <sz val="10.0"/>
      </rPr>
      <t xml:space="preserve">Kiểm tra placeholder, prefix icon, hành vi mask, maxlength của ô password
</t>
    </r>
    <r>
      <rPr>
        <rFont val="メイリオ"/>
        <b/>
        <color rgb="FF000000"/>
        <sz val="10.0"/>
      </rPr>
      <t xml:space="preserve">ステップ3：
</t>
    </r>
    <r>
      <rPr>
        <rFont val="メイリオ"/>
        <color rgb="FF000000"/>
        <sz val="10.0"/>
      </rPr>
      <t xml:space="preserve">Kiểm tra size, color, label của nút đăng nhập
</t>
    </r>
    <r>
      <rPr>
        <rFont val="メイリオ"/>
        <b/>
        <color rgb="FF000000"/>
        <sz val="10.0"/>
      </rPr>
      <t xml:space="preserve">ステップ4：
</t>
    </r>
    <r>
      <rPr>
        <rFont val="メイリオ"/>
        <color rgb="FF000000"/>
        <sz val="10.0"/>
      </rPr>
      <t>Kiểm tra link「パスワードを忘れた場合」</t>
    </r>
  </si>
  <si>
    <r>
      <rPr>
        <rFont val="メイリオ"/>
        <b/>
        <color rgb="FF000000"/>
        <sz val="10.0"/>
      </rPr>
      <t xml:space="preserve">ステップ1：
</t>
    </r>
    <r>
      <rPr>
        <rFont val="メイリオ"/>
        <color rgb="FF000000"/>
        <sz val="10.0"/>
      </rPr>
      <t xml:space="preserve">Placeholder「IDを入力してください」, icon person, maxlength=20
</t>
    </r>
    <r>
      <rPr>
        <rFont val="メイリオ"/>
        <b/>
        <color rgb="FF000000"/>
        <sz val="10.0"/>
      </rPr>
      <t xml:space="preserve">ステップ2：
</t>
    </r>
    <r>
      <rPr>
        <rFont val="メイリオ"/>
        <color rgb="FF000000"/>
        <sz val="10.0"/>
      </rPr>
      <t xml:space="preserve">Placeholder「パスワードを入力してください」, icon lock, hiển thị mask ●●●● khi nhập, maxlength=32
</t>
    </r>
    <r>
      <rPr>
        <rFont val="メイリオ"/>
        <b/>
        <color rgb="FF000000"/>
        <sz val="10.0"/>
      </rPr>
      <t xml:space="preserve">ステップ3：
</t>
    </r>
    <r>
      <rPr>
        <rFont val="メイリオ"/>
        <color rgb="FF000000"/>
        <sz val="10.0"/>
      </rPr>
      <t xml:space="preserve">Button màu chính (xanh), label「ログイン」, size=large, hiển thị block
</t>
    </r>
    <r>
      <rPr>
        <rFont val="メイリオ"/>
        <b/>
        <color rgb="FF000000"/>
        <sz val="10.0"/>
      </rPr>
      <t xml:space="preserve">ステップ4：
</t>
    </r>
    <r>
      <rPr>
        <rFont val="メイリオ"/>
        <color rgb="FF000000"/>
        <sz val="10.0"/>
      </rPr>
      <t xml:space="preserve">Link「パスワードを忘れた場合」, có thể chuyển sang `/forgot-password`
</t>
    </r>
    <r>
      <rPr>
        <rFont val="メイリオ"/>
        <b/>
        <color rgb="FF000000"/>
        <sz val="10.0"/>
      </rPr>
      <t xml:space="preserve">補足：
</t>
    </r>
    <r>
      <rPr>
        <rFont val="メイリオ"/>
        <color rgb="FF000000"/>
        <sz val="10.0"/>
      </rPr>
      <t xml:space="preserve">・Tất cả phần tử form khớp hoàn toàn với design spec
</t>
    </r>
    <r>
      <rPr>
        <rFont val="メイリオ"/>
        <color rgb="FF000000"/>
        <sz val="10.0"/>
      </rPr>
      <t>・autocomplete=username / autocomplete=current-password được set (liên kết password manager)</t>
    </r>
  </si>
  <si>
    <t>ACSMS-TC-001-010</t>
  </si>
  <si>
    <t>Thứ tự Tab và thao tác bàn phím (Tab / Enter)</t>
  </si>
  <si>
    <t>・Đang ở màn hình đăng nhập, focus ở body</t>
  </si>
  <si>
    <r>
      <rPr>
        <rFont val="メイリオ"/>
        <b/>
        <color rgb="FF000000"/>
        <sz val="10.0"/>
      </rPr>
      <t xml:space="preserve">ステップ1：
</t>
    </r>
    <r>
      <rPr>
        <rFont val="メイリオ"/>
        <color rgb="FF000000"/>
        <sz val="10.0"/>
      </rPr>
      <t xml:space="preserve">Nhấn liên tục phím Tab, kiểm tra tiến trình focus
</t>
    </r>
    <r>
      <rPr>
        <rFont val="メイリオ"/>
        <b/>
        <color rgb="FF000000"/>
        <sz val="10.0"/>
      </rPr>
      <t xml:space="preserve">ステップ2：
</t>
    </r>
    <r>
      <rPr>
        <rFont val="メイリオ"/>
        <color rgb="FF000000"/>
        <sz val="10.0"/>
      </rPr>
      <t xml:space="preserve">Sau khi nhập user ID và password hợp lệ, nhấn phím Enter
</t>
    </r>
    <r>
      <rPr>
        <rFont val="メイリオ"/>
        <b/>
        <color rgb="FF000000"/>
        <sz val="10.0"/>
      </rPr>
      <t xml:space="preserve">ステップ3：
</t>
    </r>
    <r>
      <rPr>
        <rFont val="メイリオ"/>
        <color rgb="FF000000"/>
        <sz val="10.0"/>
      </rPr>
      <t>Trên màn hình MFA, kiểm tra ô nhập từ ô 1 đến ô 6, nhấn Backspace ở ô cuối</t>
    </r>
  </si>
  <si>
    <r>
      <rPr>
        <rFont val="メイリオ"/>
        <b/>
        <color rgb="FF000000"/>
        <sz val="10.0"/>
      </rPr>
      <t xml:space="preserve">ステップ1：
</t>
    </r>
    <r>
      <rPr>
        <rFont val="メイリオ"/>
        <color rgb="FF000000"/>
        <sz val="10.0"/>
      </rPr>
      <t xml:space="preserve">Thứ tự Tab: User ID → Password → Nút đăng nhập → パスワードを忘れた場合 → 利用規約
</t>
    </r>
    <r>
      <rPr>
        <rFont val="メイリオ"/>
        <b/>
        <color rgb="FF000000"/>
        <sz val="10.0"/>
      </rPr>
      <t xml:space="preserve">ステップ2：
</t>
    </r>
    <r>
      <rPr>
        <rFont val="メイリオ"/>
        <color rgb="FF000000"/>
        <sz val="10.0"/>
      </rPr>
      <t xml:space="preserve">Xử lý đăng nhập được thực hiện (form submit)
</t>
    </r>
    <r>
      <rPr>
        <rFont val="メイリオ"/>
        <b/>
        <color rgb="FF000000"/>
        <sz val="10.0"/>
      </rPr>
      <t xml:space="preserve">ステップ3：
</t>
    </r>
    <r>
      <rPr>
        <rFont val="メイリオ"/>
        <color rgb="FF000000"/>
        <sz val="10.0"/>
      </rPr>
      <t xml:space="preserve">Từ ô 1 tự động chuyển focus sang ô tiếp theo, Backspace quay lại ô trước
</t>
    </r>
    <r>
      <rPr>
        <rFont val="メイリオ"/>
        <b/>
        <color rgb="FF000000"/>
        <sz val="10.0"/>
      </rPr>
      <t xml:space="preserve">補足：
</t>
    </r>
    <r>
      <rPr>
        <rFont val="メイリオ"/>
        <color rgb="FF000000"/>
        <sz val="10.0"/>
      </rPr>
      <t xml:space="preserve">・Thứ tự Tab theo đúng design spec, có thể thao tác toàn bộ bằng bàn phím
</t>
    </r>
    <r>
      <rPr>
        <rFont val="メイリオ"/>
        <color rgb="FF000000"/>
        <sz val="10.0"/>
      </rPr>
      <t>・Khác với màn hình đăng nhập, màn hình MFA không tự động submit khi Enter (cần click nút「認証」rõ ràng)</t>
    </r>
  </si>
  <si>
    <t>ACSMS-TC-001-011</t>
  </si>
  <si>
    <t>Độ tin cậy thao tác button (double-click / nhấn liên tục)</t>
  </si>
  <si>
    <t>・Đã nhập user ID / password hợp lệ trên màn hình đăng nhập</t>
  </si>
  <si>
    <r>
      <rPr>
        <rFont val="メイリオ"/>
        <b/>
        <color rgb="FF000000"/>
        <sz val="10.0"/>
      </rPr>
      <t xml:space="preserve">ステップ1：
</t>
    </r>
    <r>
      <rPr>
        <rFont val="メイリオ"/>
        <color rgb="FF000000"/>
        <sz val="10.0"/>
      </rPr>
      <t xml:space="preserve">Double-click nút đăng nhập (trong vòng 200ms)
</t>
    </r>
    <r>
      <rPr>
        <rFont val="メイリオ"/>
        <b/>
        <color rgb="FF000000"/>
        <sz val="10.0"/>
      </rPr>
      <t xml:space="preserve">ステップ2：
</t>
    </r>
    <r>
      <rPr>
        <rFont val="メイリオ"/>
        <color rgb="FF000000"/>
        <sz val="10.0"/>
      </rPr>
      <t xml:space="preserve">Nhấn liên tục nút đăng nhập trong 5 giây
</t>
    </r>
    <r>
      <rPr>
        <rFont val="メイリオ"/>
        <b/>
        <color rgb="FF000000"/>
        <sz val="10.0"/>
      </rPr>
      <t xml:space="preserve">ステップ3：
</t>
    </r>
    <r>
      <rPr>
        <rFont val="メイリオ"/>
        <color rgb="FF000000"/>
        <sz val="10.0"/>
      </rPr>
      <t xml:space="preserve">Kiểm tra `t_login_log` trên DB:
</t>
    </r>
    <r>
      <rPr>
        <rFont val="メイリオ"/>
        <color rgb="FF000000"/>
        <sz val="10.0"/>
      </rPr>
      <t xml:space="preserve">```sql
</t>
    </r>
    <r>
      <rPr>
        <rFont val="メイリオ"/>
        <color rgb="FF000000"/>
        <sz val="10.0"/>
      </rPr>
      <t xml:space="preserve">SELECT COUNT(*) FROM t_login_log
</t>
    </r>
    <r>
      <rPr>
        <rFont val="メイリオ"/>
        <color rgb="FF000000"/>
        <sz val="10.0"/>
      </rPr>
      <t xml:space="preserve">WHERE login_id = :login_id
</t>
    </r>
    <r>
      <rPr>
        <rFont val="メイリオ"/>
        <color rgb="FF000000"/>
        <sz val="10.0"/>
      </rPr>
      <t xml:space="preserve">AND login_datetime &gt; NOW() - INTERVAL '10 seconds';
</t>
    </r>
    <r>
      <rPr>
        <rFont val="メイリオ"/>
        <color rgb="FF000000"/>
        <sz val="10.0"/>
      </rPr>
      <t>```</t>
    </r>
  </si>
  <si>
    <r>
      <rPr>
        <rFont val="メイリオ"/>
        <b/>
        <color rgb="FF000000"/>
        <sz val="10.0"/>
      </rPr>
      <t xml:space="preserve">ステップ1：
</t>
    </r>
    <r>
      <rPr>
        <rFont val="メイリオ"/>
        <color rgb="FF000000"/>
        <sz val="10.0"/>
      </rPr>
      <t xml:space="preserve">Lần 1 bắt đầu gửi, lần 2 button bị vô hiệu nên bỏ qua
</t>
    </r>
    <r>
      <rPr>
        <rFont val="メイリオ"/>
        <b/>
        <color rgb="FF000000"/>
        <sz val="10.0"/>
      </rPr>
      <t xml:space="preserve">ステップ2：
</t>
    </r>
    <r>
      <rPr>
        <rFont val="メイリオ"/>
        <color rgb="FF000000"/>
        <sz val="10.0"/>
      </rPr>
      <t xml:space="preserve">Trong khi đang xử lý, button bị vô hiệu, không có thử đăng nhập trùng
</t>
    </r>
    <r>
      <rPr>
        <rFont val="メイリオ"/>
        <b/>
        <color rgb="FF000000"/>
        <sz val="10.0"/>
      </rPr>
      <t xml:space="preserve">ステップ3：
</t>
    </r>
    <r>
      <rPr>
        <rFont val="メイリオ"/>
        <color rgb="FF000000"/>
        <sz val="10.0"/>
      </rPr>
      <t xml:space="preserve">Chỉ 1 row (không trùng)
</t>
    </r>
    <r>
      <rPr>
        <rFont val="メイリオ"/>
        <b/>
        <color rgb="FF000000"/>
        <sz val="10.0"/>
      </rPr>
      <t xml:space="preserve">補足：
</t>
    </r>
    <r>
      <rPr>
        <rFont val="メイリオ"/>
        <color rgb="FF000000"/>
        <sz val="10.0"/>
      </rPr>
      <t xml:space="preserve">・Không phát sinh gửi trùng
</t>
    </r>
    <r>
      <rPr>
        <rFont val="メイリオ"/>
        <color rgb="FF000000"/>
        <sz val="10.0"/>
      </rPr>
      <t>・Trong khi đang xử lý, button hiển thị ở trạng thái loading</t>
    </r>
  </si>
  <si>
    <t>Phòng chống gửi trùng — Vùng critical (thử đăng nhập liên tục là trigger kích hoạt khóa).
---</t>
  </si>
  <si>
    <t>Header &amp; Footer</t>
  </si>
  <si>
    <t>ACSMS-TC-001-012</t>
  </si>
  <si>
    <t>Hiển thị tiêu đề + phụ đề</t>
  </si>
  <si>
    <r>
      <rPr>
        <rFont val="メイリオ"/>
        <b/>
        <color rgb="FF000000"/>
        <sz val="10.0"/>
      </rPr>
      <t xml:space="preserve">ステップ1：
</t>
    </r>
    <r>
      <rPr>
        <rFont val="メイリオ"/>
        <color rgb="FF000000"/>
        <sz val="10.0"/>
      </rPr>
      <t>Kiểm tra tiêu đề / phụ đề của phần header</t>
    </r>
  </si>
  <si>
    <r>
      <rPr>
        <rFont val="メイリオ"/>
        <b/>
        <color rgb="FF000000"/>
        <sz val="10.0"/>
      </rPr>
      <t xml:space="preserve">ステップ1：
</t>
    </r>
    <r>
      <rPr>
        <rFont val="メイリオ"/>
        <color rgb="FF000000"/>
        <sz val="10.0"/>
      </rPr>
      <t xml:space="preserve">「日本農業新聞」(h1, font đậm, text-2xl), bên dưới là「クラウド版購読者管理システム」(text-sm, text-text-secondary) hiển thị
</t>
    </r>
    <r>
      <rPr>
        <rFont val="メイリオ"/>
        <b/>
        <color rgb="FF000000"/>
        <sz val="10.0"/>
      </rPr>
      <t xml:space="preserve">補足：
</t>
    </r>
    <r>
      <rPr>
        <rFont val="メイリオ"/>
        <color rgb="FF000000"/>
        <sz val="10.0"/>
      </rPr>
      <t>・Chuỗi tiêu đề đúng theo spec literal</t>
    </r>
  </si>
  <si>
    <t>ACSMS-TC-001-013</t>
  </si>
  <si>
    <t>Hiển thị danh sách thông báo (public API)</t>
  </si>
  <si>
    <t>・Test data có sẵn: chuẩn bị 3 record trong `t_oshirase` với `publish_location=1`, `status=2` (công khai), `publish_start_date &lt;= NOW()`, `publish_end_date IS NULL OR &gt;= NOW()`, `ja_id IS NULL`</t>
  </si>
  <si>
    <r>
      <rPr>
        <rFont val="メイリオ"/>
        <b/>
        <color rgb="FF000000"/>
        <sz val="10.0"/>
      </rPr>
      <t xml:space="preserve">ステップ1：
</t>
    </r>
    <r>
      <rPr>
        <rFont val="メイリオ"/>
        <color rgb="FF000000"/>
        <sz val="10.0"/>
      </rPr>
      <t xml:space="preserve">Mở `/login`, kiểm tra response của GET `/api/v1/oshirase/public?publish_location=1&amp;limit=10`
</t>
    </r>
    <r>
      <rPr>
        <rFont val="メイリオ"/>
        <b/>
        <color rgb="FF000000"/>
        <sz val="10.0"/>
      </rPr>
      <t xml:space="preserve">ステップ2：
</t>
    </r>
    <r>
      <rPr>
        <rFont val="メイリオ"/>
        <color rgb="FF000000"/>
        <sz val="10.0"/>
      </rPr>
      <t xml:space="preserve">Kiểm tra item hiển thị trên card thông báo
</t>
    </r>
    <r>
      <rPr>
        <rFont val="メイリオ"/>
        <b/>
        <color rgb="FF000000"/>
        <sz val="10.0"/>
      </rPr>
      <t xml:space="preserve">ステップ3：
</t>
    </r>
    <r>
      <rPr>
        <rFont val="メイリオ"/>
        <color rgb="FF000000"/>
        <sz val="10.0"/>
      </rPr>
      <t>Đặt test data về 0 record và reload page</t>
    </r>
  </si>
  <si>
    <r>
      <rPr>
        <rFont val="メイリオ"/>
        <b/>
        <color rgb="FF000000"/>
        <sz val="10.0"/>
      </rPr>
      <t xml:space="preserve">ステップ1：
</t>
    </r>
    <r>
      <rPr>
        <rFont val="メイリオ"/>
        <color rgb="FF000000"/>
        <sz val="10.0"/>
      </rPr>
      <t xml:space="preserve">HTTP status code: 200, array `data` chứa 3 record, sắp xếp giảm dần theo `publish_start_date`
</t>
    </r>
    <r>
      <rPr>
        <rFont val="メイリオ"/>
        <b/>
        <color rgb="FF000000"/>
        <sz val="10.0"/>
      </rPr>
      <t xml:space="preserve">ステップ2：
</t>
    </r>
    <r>
      <rPr>
        <rFont val="メイリオ"/>
        <color rgb="FF000000"/>
        <sz val="10.0"/>
      </rPr>
      <t xml:space="preserve">Mỗi item: ngày (format YYYY.MM.DD) + tiêu đề
</t>
    </r>
    <r>
      <rPr>
        <rFont val="メイリオ"/>
        <color rgb="FF000000"/>
        <sz val="10.0"/>
      </rPr>
      <t xml:space="preserve">Hiển thị tối đa 10 item
</t>
    </r>
    <r>
      <rPr>
        <rFont val="メイリオ"/>
        <b/>
        <color rgb="FF000000"/>
        <sz val="10.0"/>
      </rPr>
      <t xml:space="preserve">ステップ3：
</t>
    </r>
    <r>
      <rPr>
        <rFont val="メイリオ"/>
        <color rgb="FF000000"/>
        <sz val="10.0"/>
      </rPr>
      <t xml:space="preserve">Card thông báo không hiển thị (NoticeList không render gì khi array rỗng)
</t>
    </r>
    <r>
      <rPr>
        <rFont val="メイリオ"/>
        <b/>
        <color rgb="FF000000"/>
        <sz val="10.0"/>
      </rPr>
      <t xml:space="preserve">補足：
</t>
    </r>
    <r>
      <rPr>
        <rFont val="メイリオ"/>
        <color rgb="FF000000"/>
        <sz val="10.0"/>
      </rPr>
      <t xml:space="preserve">・Public API (không cần auth), điều kiện hiển thị màn hình đăng nhập: publish_location=1 (cho màn hình đăng nhập), status=2 (công khai), ja_id IS NULL (cho toàn bộ)
</t>
    </r>
    <r>
      <rPr>
        <rFont val="メイリオ"/>
        <color rgb="FF000000"/>
        <sz val="10.0"/>
      </rPr>
      <t>・FE chuyển đổi format từ `2026-04-10` → `2026.04.10` qua `replaceAll('-', '.')`</t>
    </r>
  </si>
  <si>
    <t>case này chưa test được vì data hiện tại đang là data fix</t>
  </si>
  <si>
    <t>ACSMS-TC-001-014</t>
  </si>
  <si>
    <t>Hiển thị link điều khoản sử dụng + bản quyền</t>
  </si>
  <si>
    <r>
      <rPr>
        <rFont val="メイリオ"/>
        <b/>
        <color rgb="FF000000"/>
        <sz val="10.0"/>
      </rPr>
      <t xml:space="preserve">ステップ1：
</t>
    </r>
    <r>
      <rPr>
        <rFont val="メイリオ"/>
        <color rgb="FF000000"/>
        <sz val="10.0"/>
      </rPr>
      <t xml:space="preserve">Kiểm tra text bên dưới nút đăng nhập
</t>
    </r>
    <r>
      <rPr>
        <rFont val="メイリオ"/>
        <b/>
        <color rgb="FF000000"/>
        <sz val="10.0"/>
      </rPr>
      <t xml:space="preserve">ステップ2：
</t>
    </r>
    <r>
      <rPr>
        <rFont val="メイリオ"/>
        <color rgb="FF000000"/>
        <sz val="10.0"/>
      </rPr>
      <t>Click link「利用規約」</t>
    </r>
  </si>
  <si>
    <r>
      <rPr>
        <rFont val="メイリオ"/>
        <b/>
        <color rgb="FF000000"/>
        <sz val="10.0"/>
      </rPr>
      <t xml:space="preserve">ステップ1：
</t>
    </r>
    <r>
      <rPr>
        <rFont val="メイリオ"/>
        <color rgb="FF000000"/>
        <sz val="10.0"/>
      </rPr>
      <t xml:space="preserve">「ログインすることで利用規約に同意したものとみなされます。」hiển thị
</t>
    </r>
    <r>
      <rPr>
        <rFont val="メイリオ"/>
        <color rgb="FF000000"/>
        <sz val="10.0"/>
      </rPr>
      <t xml:space="preserve">Phần「利用規約」hiển thị ở dạng link màu chính
</t>
    </r>
    <r>
      <rPr>
        <rFont val="メイリオ"/>
        <b/>
        <color rgb="FF000000"/>
        <sz val="10.0"/>
      </rPr>
      <t xml:space="preserve">ステップ2：
</t>
    </r>
    <r>
      <rPr>
        <rFont val="メイリオ"/>
        <color rgb="FF000000"/>
        <sz val="10.0"/>
      </rPr>
      <t xml:space="preserve">File PDF điều khoản sử dụng mở ở tab mới (hoặc chuyển sang trang tương ứng)
</t>
    </r>
    <r>
      <rPr>
        <rFont val="メイリオ"/>
        <b/>
        <color rgb="FF000000"/>
        <sz val="10.0"/>
      </rPr>
      <t xml:space="preserve">補足：
</t>
    </r>
    <r>
      <rPr>
        <rFont val="メイリオ"/>
        <color rgb="FF000000"/>
        <sz val="10.0"/>
      </rPr>
      <t>・Chuỗi link đúng theo spec literal</t>
    </r>
  </si>
  <si>
    <t xml:space="preserve">Chỗ link này chưa làm </t>
  </si>
  <si>
    <t>ACSMS-TC-001-015</t>
  </si>
  <si>
    <t>Hiển thị card thông tin liên hệ</t>
  </si>
  <si>
    <r>
      <rPr>
        <rFont val="メイリオ"/>
        <b/>
        <color rgb="FF000000"/>
        <sz val="10.0"/>
      </rPr>
      <t xml:space="preserve">ステップ1：
</t>
    </r>
    <r>
      <rPr>
        <rFont val="メイリオ"/>
        <color rgb="FF000000"/>
        <sz val="10.0"/>
      </rPr>
      <t>Kiểm tra card thông tin liên hệ ở phía dưới màn hình</t>
    </r>
  </si>
  <si>
    <r>
      <rPr>
        <rFont val="メイリオ"/>
        <b/>
        <color rgb="FF000000"/>
        <sz val="10.0"/>
      </rPr>
      <t xml:space="preserve">ステップ1：
</t>
    </r>
    <r>
      <rPr>
        <rFont val="メイリオ"/>
        <color rgb="FF000000"/>
        <sz val="10.0"/>
      </rPr>
      <t xml:space="preserve">Icon headset_mic, heading「お問い合わせ先」, tên tổ chức「日本農業新聞 協同事業局業務管理部」, số điện thoại「03-6281-5808」, giờ làm việc「（平日 9:30〜17:30）」hiển thị
</t>
    </r>
    <r>
      <rPr>
        <rFont val="メイリオ"/>
        <b/>
        <color rgb="FF000000"/>
        <sz val="10.0"/>
      </rPr>
      <t xml:space="preserve">補足：
</t>
    </r>
    <r>
      <rPr>
        <rFont val="メイリオ"/>
        <color rgb="FF000000"/>
        <sz val="10.0"/>
      </rPr>
      <t xml:space="preserve">・Toàn bộ text đúng theo spec literal
</t>
    </r>
    <r>
      <rPr>
        <rFont val="メイリオ"/>
        <color rgb="FF000000"/>
        <sz val="10.0"/>
      </rPr>
      <t>・Số điện thoại hiển thị in đậm để nhấn mạnh</t>
    </r>
  </si>
  <si>
    <t>Kiểm tra đầu vào — Màn hình đăng nhập / MFA</t>
  </si>
  <si>
    <t>ACSMS-TC-001-016</t>
  </si>
  <si>
    <t>User ID — Kiểm tra bắt buộc (rỗng + ký tự khoảng trắng)</t>
  </si>
  <si>
    <t>・Màn hình đăng nhập, password đã nhập giá trị hợp lệ</t>
  </si>
  <si>
    <r>
      <rPr>
        <rFont val="游ゴシック"/>
        <b/>
        <color rgb="FF000000"/>
        <sz val="10.0"/>
      </rPr>
      <t xml:space="preserve">ステップ1：
</t>
    </r>
    <r>
      <rPr>
        <rFont val="游ゴシック"/>
        <color rgb="FF000000"/>
        <sz val="10.0"/>
      </rPr>
      <t xml:space="preserve">Để trống User ID, nhấn nút đăng nhập
</t>
    </r>
    <r>
      <rPr>
        <rFont val="游ゴシック"/>
        <b/>
        <color rgb="FF000000"/>
        <sz val="10.0"/>
      </rPr>
      <t xml:space="preserve">ステップ2：
</t>
    </r>
    <r>
      <rPr>
        <rFont val="游ゴシック"/>
        <color rgb="FF000000"/>
        <sz val="10.0"/>
      </rPr>
      <t xml:space="preserve">Nhập 3 ký tự space half-width → nhấn nút đăng nhập
</t>
    </r>
    <r>
      <rPr>
        <rFont val="游ゴシック"/>
        <b/>
        <color rgb="FF000000"/>
        <sz val="10.0"/>
      </rPr>
      <t xml:space="preserve">ステップ3：
</t>
    </r>
    <r>
      <rPr>
        <rFont val="游ゴシック"/>
        <color rgb="FF000000"/>
        <sz val="10.0"/>
      </rPr>
      <t>Nhập 3 ký tự space full-width → nhấn nút đăng nhập</t>
    </r>
  </si>
  <si>
    <r>
      <rPr>
        <rFont val="メイリオ"/>
        <b/>
        <color rgb="FF000000"/>
        <sz val="10.0"/>
      </rPr>
      <t xml:space="preserve">ステップ1：
</t>
    </r>
    <r>
      <rPr>
        <rFont val="メイリオ"/>
        <color rgb="FF000000"/>
        <sz val="10.0"/>
      </rPr>
      <t xml:space="preserve">Hiển thị「ユーザーIDを入力してください。」ngay dưới mục
</t>
    </r>
    <r>
      <rPr>
        <rFont val="メイリオ"/>
        <color rgb="FF000000"/>
        <sz val="10.0"/>
      </rPr>
      <t xml:space="preserve">Phía FE chặn gửi (không gọi API)
</t>
    </r>
    <r>
      <rPr>
        <rFont val="メイリオ"/>
        <b/>
        <color rgb="FF000000"/>
        <sz val="10.0"/>
      </rPr>
      <t xml:space="preserve">ステップ2：
</t>
    </r>
    <r>
      <rPr>
        <rFont val="メイリオ"/>
        <color rgb="FF000000"/>
        <sz val="10.0"/>
      </rPr>
      <t xml:space="preserve">Phía FE `validateClient` loại bỏ space đầu cuối qua `trim()`, được nhận diện là rỗng
</t>
    </r>
    <r>
      <rPr>
        <rFont val="メイリオ"/>
        <color rgb="FF000000"/>
        <sz val="10.0"/>
      </rPr>
      <t xml:space="preserve">Hiển thị「ユーザーIDを入力してください。」
</t>
    </r>
    <r>
      <rPr>
        <rFont val="メイリオ"/>
        <b/>
        <color rgb="FF000000"/>
        <sz val="10.0"/>
      </rPr>
      <t xml:space="preserve">ステップ3：
</t>
    </r>
    <r>
      <rPr>
        <rFont val="メイリオ"/>
        <color rgb="FF000000"/>
        <sz val="10.0"/>
      </rPr>
      <t xml:space="preserve">Space full-width không phải đối tượng `trim()`, sau khi qua FE thì BE nhận request
</t>
    </r>
    <r>
      <rPr>
        <rFont val="メイリオ"/>
        <color rgb="FF000000"/>
        <sz val="10.0"/>
      </rPr>
      <t xml:space="preserve">Phía BE `@Matches(/^[\x21-\x7E]+$/)` không khớp → HTTP status code: 400
</t>
    </r>
    <r>
      <rPr>
        <rFont val="メイリオ"/>
        <color rgb="FF000000"/>
        <sz val="10.0"/>
      </rPr>
      <t xml:space="preserve">error_code: BAD_REQUEST hoặc VALIDATION_ERROR
</t>
    </r>
    <r>
      <rPr>
        <rFont val="メイリオ"/>
        <color rgb="FF000000"/>
        <sz val="10.0"/>
      </rPr>
      <t xml:space="preserve">errors[] chứa { field: "login_id", message: "ユーザーIDは半角文字のみで入力してください。" }
</t>
    </r>
    <r>
      <rPr>
        <rFont val="メイリオ"/>
        <b/>
        <color rgb="FF000000"/>
        <sz val="10.0"/>
      </rPr>
      <t xml:space="preserve">補足：
</t>
    </r>
    <r>
      <rPr>
        <rFont val="メイリオ"/>
        <color rgb="FF000000"/>
        <sz val="10.0"/>
      </rPr>
      <t xml:space="preserve">・Rỗng / chỉ space half-width → lỗi bắt buộc phía FE, không gọi API
</t>
    </r>
    <r>
      <rPr>
        <rFont val="メイリオ"/>
        <color rgb="FF000000"/>
        <sz val="10.0"/>
      </rPr>
      <t xml:space="preserve">・Chỉ space full-width → qua FE, BE check half-width error
</t>
    </r>
    <r>
      <rPr>
        <rFont val="メイリオ"/>
        <color rgb="FF000000"/>
        <sz val="10.0"/>
      </rPr>
      <t>・Tương ứng ACSMS-MSG-001-001</t>
    </r>
  </si>
  <si>
    <t>ACSMS-TC-001-017</t>
  </si>
  <si>
    <t>User ID — Giới hạn tối đa 20 ký tự (giá trị biên)</t>
  </si>
  <si>
    <t>・Màn hình đăng nhập</t>
  </si>
  <si>
    <r>
      <rPr>
        <rFont val="游ゴシック"/>
        <b/>
        <color rgb="FF000000"/>
        <sz val="10.0"/>
      </rPr>
      <t xml:space="preserve">ステップ1：
</t>
    </r>
    <r>
      <rPr>
        <rFont val="游ゴシック"/>
        <color rgb="FF000000"/>
        <sz val="10.0"/>
      </rPr>
      <t xml:space="preserve">Nhập 20 ký tự (ví dụ: `abcdefghij1234567890`) vào User ID → đăng nhập
</t>
    </r>
    <r>
      <rPr>
        <rFont val="游ゴシック"/>
        <b/>
        <color rgb="FF000000"/>
        <sz val="10.0"/>
      </rPr>
      <t xml:space="preserve">ステップ2：
</t>
    </r>
    <r>
      <rPr>
        <rFont val="游ゴシック"/>
        <color rgb="FF000000"/>
        <sz val="10.0"/>
      </rPr>
      <t xml:space="preserve">Thử nhập ký tự thứ 21
</t>
    </r>
    <r>
      <rPr>
        <rFont val="游ゴシック"/>
        <b/>
        <color rgb="FF000000"/>
        <sz val="10.0"/>
      </rPr>
      <t xml:space="preserve">ステップ3：
</t>
    </r>
    <r>
      <rPr>
        <rFont val="游ゴシック"/>
        <color rgb="FF000000"/>
        <sz val="10.0"/>
      </rPr>
      <t xml:space="preserve">Paste「123456789012345678901234」(24 ký tự) vào ô User ID
</t>
    </r>
    <r>
      <rPr>
        <rFont val="游ゴシック"/>
        <b/>
        <color rgb="FF000000"/>
        <sz val="10.0"/>
      </rPr>
      <t xml:space="preserve">ステップ4：
</t>
    </r>
    <r>
      <rPr>
        <rFont val="游ゴシック"/>
        <color rgb="FF000000"/>
        <sz val="10.0"/>
      </rPr>
      <t>Trên DevTools, gửi request axios trực tiếp với `login_id` 25 ký tự</t>
    </r>
  </si>
  <si>
    <r>
      <rPr>
        <rFont val="メイリオ"/>
        <b/>
        <color rgb="FF000000"/>
        <sz val="10.0"/>
      </rPr>
      <t xml:space="preserve">ステップ1：
</t>
    </r>
    <r>
      <rPr>
        <rFont val="メイリオ"/>
        <color rgb="FF000000"/>
        <sz val="10.0"/>
      </rPr>
      <t xml:space="preserve">Tiếp nhận bình thường, xử lý xác thực được thực hiện (kết quả xác thực sau đó tách riêng)
</t>
    </r>
    <r>
      <rPr>
        <rFont val="メイリオ"/>
        <b/>
        <color rgb="FF000000"/>
        <sz val="10.0"/>
      </rPr>
      <t xml:space="preserve">ステップ2：
</t>
    </r>
    <r>
      <rPr>
        <rFont val="メイリオ"/>
        <color rgb="FF000000"/>
        <sz val="10.0"/>
      </rPr>
      <t xml:space="preserve">input maxlength chặn ký tự thứ 21
</t>
    </r>
    <r>
      <rPr>
        <rFont val="メイリオ"/>
        <b/>
        <color rgb="FF000000"/>
        <sz val="10.0"/>
      </rPr>
      <t xml:space="preserve">ステップ3：
</t>
    </r>
    <r>
      <rPr>
        <rFont val="メイリオ"/>
        <color rgb="FF000000"/>
        <sz val="10.0"/>
      </rPr>
      <t xml:space="preserve">Cắt đến ký tự thứ 20, request được gửi với 20 ký tự
</t>
    </r>
    <r>
      <rPr>
        <rFont val="メイリオ"/>
        <b/>
        <color rgb="FF000000"/>
        <sz val="10.0"/>
      </rPr>
      <t xml:space="preserve">ステップ4：
</t>
    </r>
    <r>
      <rPr>
        <rFont val="メイリオ"/>
        <color rgb="FF000000"/>
        <sz val="10.0"/>
      </rPr>
      <t xml:space="preserve">Phía BE `@MaxLength(20)` từ chối
</t>
    </r>
    <r>
      <rPr>
        <rFont val="メイリオ"/>
        <color rgb="FF000000"/>
        <sz val="10.0"/>
      </rPr>
      <t xml:space="preserve">HTTP status code: 400
</t>
    </r>
    <r>
      <rPr>
        <rFont val="メイリオ"/>
        <color rgb="FF000000"/>
        <sz val="10.0"/>
      </rPr>
      <t xml:space="preserve">errors[] chứa { field: "login_id", message: "ユーザーIDは20文字以内で入力してください。" }
</t>
    </r>
    <r>
      <rPr>
        <rFont val="メイリオ"/>
        <b/>
        <color rgb="FF000000"/>
        <sz val="10.0"/>
      </rPr>
      <t xml:space="preserve">補足：
</t>
    </r>
    <r>
      <rPr>
        <rFont val="メイリオ"/>
        <color rgb="FF000000"/>
        <sz val="10.0"/>
      </rPr>
      <t>・Giới hạn 20 ký tự được enforce kép bằng input maxlength và validation BE</t>
    </r>
  </si>
  <si>
    <t>ACSMS-TC-001-018</t>
  </si>
  <si>
    <t>User ID — Chỉ tiếp nhận half-width (từ chối full-width)</t>
  </si>
  <si>
    <r>
      <rPr>
        <rFont val="游ゴシック"/>
        <b/>
        <color rgb="FF000000"/>
        <sz val="10.0"/>
      </rPr>
      <t xml:space="preserve">ステップ1：
</t>
    </r>
    <r>
      <rPr>
        <rFont val="游ゴシック"/>
        <color rgb="FF000000"/>
        <sz val="10.0"/>
      </rPr>
      <t xml:space="preserve">Nhập chữ-số half-width `admin01` → đăng nhập
</t>
    </r>
    <r>
      <rPr>
        <rFont val="游ゴシック"/>
        <b/>
        <color rgb="FF000000"/>
        <sz val="10.0"/>
      </rPr>
      <t xml:space="preserve">ステップ2：
</t>
    </r>
    <r>
      <rPr>
        <rFont val="游ゴシック"/>
        <color rgb="FF000000"/>
        <sz val="10.0"/>
      </rPr>
      <t xml:space="preserve">Nhập chữ-số full-width `ａｄｍｉｎ０１` → đăng nhập
</t>
    </r>
    <r>
      <rPr>
        <rFont val="游ゴシック"/>
        <b/>
        <color rgb="FF000000"/>
        <sz val="10.0"/>
      </rPr>
      <t xml:space="preserve">ステップ3：
</t>
    </r>
    <r>
      <rPr>
        <rFont val="游ゴシック"/>
        <color rgb="FF000000"/>
        <sz val="10.0"/>
      </rPr>
      <t xml:space="preserve">Nhập Hiragana `あいう` → đăng nhập
</t>
    </r>
    <r>
      <rPr>
        <rFont val="游ゴシック"/>
        <b/>
        <color rgb="FF000000"/>
        <sz val="10.0"/>
      </rPr>
      <t xml:space="preserve">ステップ4：
</t>
    </r>
    <r>
      <rPr>
        <rFont val="游ゴシック"/>
        <color rgb="FF000000"/>
        <sz val="10.0"/>
      </rPr>
      <t>Nhập ký hiệu half-width `admin@01` → đăng nhập</t>
    </r>
  </si>
  <si>
    <r>
      <rPr>
        <rFont val="メイリオ"/>
        <b/>
        <color rgb="FF000000"/>
        <sz val="10.0"/>
      </rPr>
      <t xml:space="preserve">ステップ1：
</t>
    </r>
    <r>
      <rPr>
        <rFont val="メイリオ"/>
        <color rgb="FF000000"/>
        <sz val="10.0"/>
      </rPr>
      <t xml:space="preserve">Tiếp nhận bình thường, BE thực hiện xử lý xác thực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errors[] chứa { field: "login_id", message: "ユーザーIDは半角文字のみで入力してください。" }
</t>
    </r>
    <r>
      <rPr>
        <rFont val="メイリオ"/>
        <b/>
        <color rgb="FF000000"/>
        <sz val="10.0"/>
      </rPr>
      <t xml:space="preserve">ステップ3：
</t>
    </r>
    <r>
      <rPr>
        <rFont val="メイリオ"/>
        <color rgb="FF000000"/>
        <sz val="10.0"/>
      </rPr>
      <t xml:space="preserve">HTTP status code: 400
</t>
    </r>
    <r>
      <rPr>
        <rFont val="メイリオ"/>
        <color rgb="FF000000"/>
        <sz val="10.0"/>
      </rPr>
      <t xml:space="preserve">errors[] chứa { field: "login_id", message: "ユーザーIDは半角文字のみで入力してください。" }
</t>
    </r>
    <r>
      <rPr>
        <rFont val="メイリオ"/>
        <b/>
        <color rgb="FF000000"/>
        <sz val="10.0"/>
      </rPr>
      <t xml:space="preserve">ステップ4：
</t>
    </r>
    <r>
      <rPr>
        <rFont val="メイリオ"/>
        <color rgb="FF000000"/>
        <sz val="10.0"/>
      </rPr>
      <t xml:space="preserve">Tiếp nhận bình thường (ký hiệu half-width nằm trong khoảng `\x21-\x7E` nên được phép)
</t>
    </r>
    <r>
      <rPr>
        <rFont val="メイリオ"/>
        <b/>
        <color rgb="FF000000"/>
        <sz val="10.0"/>
      </rPr>
      <t xml:space="preserve">補足：
</t>
    </r>
    <r>
      <rPr>
        <rFont val="メイリオ"/>
        <color rgb="FF000000"/>
        <sz val="10.0"/>
      </rPr>
      <t xml:space="preserve">・`@Matches(/^[\x21-\x7E]+$/)` chỉ cho phép half-width (chữ cái / số / ký hiệu)
</t>
    </r>
    <r>
      <rPr>
        <rFont val="メイリオ"/>
        <color rgb="FF000000"/>
        <sz val="10.0"/>
      </rPr>
      <t>・Full-width / Hiragana / Katakana / emoji bị từ chối</t>
    </r>
  </si>
  <si>
    <t>ACSMS-TC-001-019</t>
  </si>
  <si>
    <t>Password — Kiểm tra bắt buộc (rỗng)</t>
  </si>
  <si>
    <t>・Màn hình đăng nhập, User ID đã nhập giá trị hợp lệ</t>
  </si>
  <si>
    <r>
      <rPr>
        <rFont val="メイリオ"/>
        <b/>
        <color rgb="FF000000"/>
        <sz val="10.0"/>
      </rPr>
      <t xml:space="preserve">ステップ1：
</t>
    </r>
    <r>
      <rPr>
        <rFont val="メイリオ"/>
        <color rgb="FF000000"/>
        <sz val="10.0"/>
      </rPr>
      <t xml:space="preserve">Để trống password, nhấn nút đăng nhập
</t>
    </r>
    <r>
      <rPr>
        <rFont val="メイリオ"/>
        <b/>
        <color rgb="FF000000"/>
        <sz val="10.0"/>
      </rPr>
      <t xml:space="preserve">ステップ2：
</t>
    </r>
    <r>
      <rPr>
        <rFont val="メイリオ"/>
        <color rgb="FF000000"/>
        <sz val="10.0"/>
      </rPr>
      <t>Nhập 1 ký tự space half-width vào ô password → đăng nhập</t>
    </r>
  </si>
  <si>
    <r>
      <rPr>
        <rFont val="メイリオ"/>
        <b/>
        <color rgb="FF000000"/>
        <sz val="10.0"/>
      </rPr>
      <t xml:space="preserve">ステップ1：
</t>
    </r>
    <r>
      <rPr>
        <rFont val="メイリオ"/>
        <color rgb="FF000000"/>
        <sz val="10.0"/>
      </rPr>
      <t xml:space="preserve">Hiển thị「パスワードを入力してください。」ngay dưới mục
</t>
    </r>
    <r>
      <rPr>
        <rFont val="メイリオ"/>
        <color rgb="FF000000"/>
        <sz val="10.0"/>
      </rPr>
      <t xml:space="preserve">Phía FE chặn gửi
</t>
    </r>
    <r>
      <rPr>
        <rFont val="メイリオ"/>
        <b/>
        <color rgb="FF000000"/>
        <sz val="10.0"/>
      </rPr>
      <t xml:space="preserve">ステップ2：
</t>
    </r>
    <r>
      <rPr>
        <rFont val="メイリオ"/>
        <color rgb="FF000000"/>
        <sz val="10.0"/>
      </rPr>
      <t xml:space="preserve">Phía FE `validateClient` cho qua vì `form.password` không rỗng
</t>
    </r>
    <r>
      <rPr>
        <rFont val="メイリオ"/>
        <color rgb="FF000000"/>
        <sz val="10.0"/>
      </rPr>
      <t xml:space="preserve">Phía BE `@MinLength(8)` không khớp → HTTP status code: 400
</t>
    </r>
    <r>
      <rPr>
        <rFont val="メイリオ"/>
        <color rgb="FF000000"/>
        <sz val="10.0"/>
      </rPr>
      <t xml:space="preserve">errors[] chứa { field: "password", message: "パスワードは8文字以上で入力してください。" }
</t>
    </r>
    <r>
      <rPr>
        <rFont val="メイリオ"/>
        <b/>
        <color rgb="FF000000"/>
        <sz val="10.0"/>
      </rPr>
      <t xml:space="preserve">補足：
</t>
    </r>
    <r>
      <rPr>
        <rFont val="メイリオ"/>
        <color rgb="FF000000"/>
        <sz val="10.0"/>
      </rPr>
      <t xml:space="preserve">・Input rỗng → lỗi bắt buộc phía FE, không gọi API
</t>
    </r>
    <r>
      <rPr>
        <rFont val="メイリオ"/>
        <color rgb="FF000000"/>
        <sz val="10.0"/>
      </rPr>
      <t xml:space="preserve">・Tương ứng ACSMS-MSG-001-002
</t>
    </r>
    <r>
      <rPr>
        <rFont val="メイリオ"/>
        <color rgb="FF000000"/>
        <sz val="10.0"/>
      </rPr>
      <t>・Ô password không thực hiện `trim()` (vì space đầu cuối có thể là ký tự password thực)</t>
    </r>
  </si>
  <si>
    <t>ACSMS-TC-001-020</t>
  </si>
  <si>
    <t>Password — Giới hạn 8〜32 ký tự (giá trị biên)</t>
  </si>
  <si>
    <r>
      <rPr>
        <rFont val="メイリオ"/>
        <b/>
        <color rgb="FF000000"/>
        <sz val="10.0"/>
      </rPr>
      <t xml:space="preserve">ステップ1：
</t>
    </r>
    <r>
      <rPr>
        <rFont val="メイリオ"/>
        <color rgb="FF000000"/>
        <sz val="10.0"/>
      </rPr>
      <t xml:space="preserve">Nhập 8 ký tự (ví dụ: `Admin@01`) vào password → đăng nhập
</t>
    </r>
    <r>
      <rPr>
        <rFont val="メイリオ"/>
        <b/>
        <color rgb="FF000000"/>
        <sz val="10.0"/>
      </rPr>
      <t xml:space="preserve">ステップ2：
</t>
    </r>
    <r>
      <rPr>
        <rFont val="メイリオ"/>
        <color rgb="FF000000"/>
        <sz val="10.0"/>
      </rPr>
      <t xml:space="preserve">Nhập 7 ký tự (ví dụ: `Admin@1`) vào password → đăng nhập
</t>
    </r>
    <r>
      <rPr>
        <rFont val="メイリオ"/>
        <b/>
        <color rgb="FF000000"/>
        <sz val="10.0"/>
      </rPr>
      <t xml:space="preserve">ステップ3：
</t>
    </r>
    <r>
      <rPr>
        <rFont val="メイリオ"/>
        <color rgb="FF000000"/>
        <sz val="10.0"/>
      </rPr>
      <t xml:space="preserve">Nhập 32 ký tự vào password → đăng nhập
</t>
    </r>
    <r>
      <rPr>
        <rFont val="メイリオ"/>
        <b/>
        <color rgb="FF000000"/>
        <sz val="10.0"/>
      </rPr>
      <t xml:space="preserve">ステップ4：
</t>
    </r>
    <r>
      <rPr>
        <rFont val="メイリオ"/>
        <color rgb="FF000000"/>
        <sz val="10.0"/>
      </rPr>
      <t>Thử nhập ký tự thứ 33 vào password</t>
    </r>
  </si>
  <si>
    <r>
      <rPr>
        <rFont val="メイリオ"/>
        <b/>
        <color rgb="FF000000"/>
        <sz val="10.0"/>
      </rPr>
      <t xml:space="preserve">ステップ1：
</t>
    </r>
    <r>
      <rPr>
        <rFont val="メイリオ"/>
        <color rgb="FF000000"/>
        <sz val="10.0"/>
      </rPr>
      <t xml:space="preserve">Tiếp nhận bình thường (giá trị nhỏ nhất), xử lý xác thực được thực hiện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errors[] chứa { field: "password", message: "パスワードは8文字以上で入力してください。" }
</t>
    </r>
    <r>
      <rPr>
        <rFont val="メイリオ"/>
        <b/>
        <color rgb="FF000000"/>
        <sz val="10.0"/>
      </rPr>
      <t xml:space="preserve">ステップ3：
</t>
    </r>
    <r>
      <rPr>
        <rFont val="メイリオ"/>
        <color rgb="FF000000"/>
        <sz val="10.0"/>
      </rPr>
      <t xml:space="preserve">Tiếp nhận bình thường (giá trị lớn nhất), xử lý xác thực được thực hiện
</t>
    </r>
    <r>
      <rPr>
        <rFont val="メイリオ"/>
        <b/>
        <color rgb="FF000000"/>
        <sz val="10.0"/>
      </rPr>
      <t xml:space="preserve">ステップ4：
</t>
    </r>
    <r>
      <rPr>
        <rFont val="メイリオ"/>
        <color rgb="FF000000"/>
        <sz val="10.0"/>
      </rPr>
      <t xml:space="preserve">input maxlength chặn ký tự thứ 33
</t>
    </r>
    <r>
      <rPr>
        <rFont val="メイリオ"/>
        <b/>
        <color rgb="FF000000"/>
        <sz val="10.0"/>
      </rPr>
      <t xml:space="preserve">補足：
</t>
    </r>
    <r>
      <rPr>
        <rFont val="メイリオ"/>
        <color rgb="FF000000"/>
        <sz val="10.0"/>
      </rPr>
      <t>・Giới hạn 8〜32 ký tự, enforce bằng @MinLength(8) và @MaxLength(32)</t>
    </r>
  </si>
  <si>
    <t>ACSMS-TC-001-021</t>
  </si>
  <si>
    <t>Password — Chỉ tiếp nhận half-width</t>
  </si>
  <si>
    <r>
      <rPr>
        <rFont val="メイリオ"/>
        <b/>
        <color rgb="FF000000"/>
        <sz val="10.0"/>
      </rPr>
      <t xml:space="preserve">ステップ1：
</t>
    </r>
    <r>
      <rPr>
        <rFont val="メイリオ"/>
        <color rgb="FF000000"/>
        <sz val="10.0"/>
      </rPr>
      <t xml:space="preserve">Nhập chữ-số-ký hiệu half-width `Admin@1234` → đăng nhập
</t>
    </r>
    <r>
      <rPr>
        <rFont val="メイリオ"/>
        <b/>
        <color rgb="FF000000"/>
        <sz val="10.0"/>
      </rPr>
      <t xml:space="preserve">ステップ2：
</t>
    </r>
    <r>
      <rPr>
        <rFont val="メイリオ"/>
        <color rgb="FF000000"/>
        <sz val="10.0"/>
      </rPr>
      <t xml:space="preserve">Nhập chữ-số full-width `Ａｄｍｉｎ＠１２３４` → đăng nhập
</t>
    </r>
    <r>
      <rPr>
        <rFont val="メイリオ"/>
        <b/>
        <color rgb="FF000000"/>
        <sz val="10.0"/>
      </rPr>
      <t xml:space="preserve">ステップ3：
</t>
    </r>
    <r>
      <rPr>
        <rFont val="メイリオ"/>
        <color rgb="FF000000"/>
        <sz val="10.0"/>
      </rPr>
      <t>Nhập ký tự tiếng Nhật `パスワード１２３` → đăng nhập</t>
    </r>
  </si>
  <si>
    <r>
      <rPr>
        <rFont val="メイリオ"/>
        <b/>
        <color rgb="FF000000"/>
        <sz val="10.0"/>
      </rPr>
      <t xml:space="preserve">ステップ1：
</t>
    </r>
    <r>
      <rPr>
        <rFont val="メイリオ"/>
        <color rgb="FF000000"/>
        <sz val="10.0"/>
      </rPr>
      <t xml:space="preserve">Tiếp nhận bình thường, xử lý xác thực được thực hiện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errors[] chứa { field: "password", message: "パスワードは半角文字のみで入力してください。" }
</t>
    </r>
    <r>
      <rPr>
        <rFont val="メイリオ"/>
        <b/>
        <color rgb="FF000000"/>
        <sz val="10.0"/>
      </rPr>
      <t xml:space="preserve">ステップ3：
</t>
    </r>
    <r>
      <rPr>
        <rFont val="メイリオ"/>
        <color rgb="FF000000"/>
        <sz val="10.0"/>
      </rPr>
      <t xml:space="preserve">HTTP status code: 400
</t>
    </r>
    <r>
      <rPr>
        <rFont val="メイリオ"/>
        <color rgb="FF000000"/>
        <sz val="10.0"/>
      </rPr>
      <t xml:space="preserve">errors[] chứa { field: "password", message: "パスワードは半角文字のみで入力してください。" }
</t>
    </r>
    <r>
      <rPr>
        <rFont val="メイリオ"/>
        <b/>
        <color rgb="FF000000"/>
        <sz val="10.0"/>
      </rPr>
      <t xml:space="preserve">補足：
</t>
    </r>
    <r>
      <rPr>
        <rFont val="メイリオ"/>
        <color rgb="FF000000"/>
        <sz val="10.0"/>
      </rPr>
      <t>・@Matches(/^[\x21-\x7E]+$/) chỉ cho phép half-width</t>
    </r>
  </si>
  <si>
    <t>ACSMS-TC-001-022</t>
  </si>
  <si>
    <t>Password — Kiểm tra hiển thị mask</t>
  </si>
  <si>
    <r>
      <rPr>
        <rFont val="メイリオ"/>
        <b/>
        <color rgb="FF000000"/>
        <sz val="10.0"/>
      </rPr>
      <t xml:space="preserve">ステップ1：
</t>
    </r>
    <r>
      <rPr>
        <rFont val="メイリオ"/>
        <color rgb="FF000000"/>
        <sz val="10.0"/>
      </rPr>
      <t xml:space="preserve">Nhập `Admin@1234` vào ô password
</t>
    </r>
    <r>
      <rPr>
        <rFont val="メイリオ"/>
        <b/>
        <color rgb="FF000000"/>
        <sz val="10.0"/>
      </rPr>
      <t xml:space="preserve">ステップ2：
</t>
    </r>
    <r>
      <rPr>
        <rFont val="メイリオ"/>
        <color rgb="FF000000"/>
        <sz val="10.0"/>
      </rPr>
      <t xml:space="preserve">Quan sát nội dung hiển thị bằng mắt
</t>
    </r>
    <r>
      <rPr>
        <rFont val="メイリオ"/>
        <b/>
        <color rgb="FF000000"/>
        <sz val="10.0"/>
      </rPr>
      <t xml:space="preserve">ステップ3：
</t>
    </r>
    <r>
      <rPr>
        <rFont val="メイリオ"/>
        <color rgb="FF000000"/>
        <sz val="10.0"/>
      </rPr>
      <t>Kiểm tra attribute type của DOM element trên DevTools</t>
    </r>
  </si>
  <si>
    <r>
      <rPr>
        <rFont val="メイリオ"/>
        <b/>
        <color rgb="FF000000"/>
        <sz val="10.0"/>
      </rPr>
      <t xml:space="preserve">ステップ1：
</t>
    </r>
    <r>
      <rPr>
        <rFont val="メイリオ"/>
        <color rgb="FF000000"/>
        <sz val="10.0"/>
      </rPr>
      <t xml:space="preserve">Giá trị input được giữ trong state nội bộ
</t>
    </r>
    <r>
      <rPr>
        <rFont val="メイリオ"/>
        <b/>
        <color rgb="FF000000"/>
        <sz val="10.0"/>
      </rPr>
      <t xml:space="preserve">ステップ2：
</t>
    </r>
    <r>
      <rPr>
        <rFont val="メイリオ"/>
        <color rgb="FF000000"/>
        <sz val="10.0"/>
      </rPr>
      <t xml:space="preserve">Hiển thị trên màn hình là ●●●●●●●●●● (mask)
</t>
    </r>
    <r>
      <rPr>
        <rFont val="メイリオ"/>
        <b/>
        <color rgb="FF000000"/>
        <sz val="10.0"/>
      </rPr>
      <t xml:space="preserve">ステップ3：
</t>
    </r>
    <r>
      <rPr>
        <rFont val="メイリオ"/>
        <color rgb="FF000000"/>
        <sz val="10.0"/>
      </rPr>
      <t xml:space="preserve">Attribute type="password" được set
</t>
    </r>
    <r>
      <rPr>
        <rFont val="メイリオ"/>
        <b/>
        <color rgb="FF000000"/>
        <sz val="10.0"/>
      </rPr>
      <t xml:space="preserve">補足：
</t>
    </r>
    <r>
      <rPr>
        <rFont val="メイリオ"/>
        <color rgb="FF000000"/>
        <sz val="10.0"/>
      </rPr>
      <t xml:space="preserve">・Sử dụng component ant-design `&lt;a-input-password&gt;`
</t>
    </r>
    <r>
      <rPr>
        <rFont val="メイリオ"/>
        <color rgb="FF000000"/>
        <sz val="10.0"/>
      </rPr>
      <t>・Password hiển thị mask để phòng người thứ 3 nhìn lén qua vai</t>
    </r>
  </si>
  <si>
    <t>ACSMS-TC-001-023</t>
  </si>
  <si>
    <t>Mã xác thực — Kiểm tra bắt buộc (rỗng)</t>
  </si>
  <si>
    <t>・Đã chuyển sang màn hình MFA (đã có mfa_token)</t>
  </si>
  <si>
    <r>
      <rPr>
        <rFont val="メイリオ"/>
        <b/>
        <color rgb="FF000000"/>
        <sz val="10.0"/>
      </rPr>
      <t xml:space="preserve">ステップ1：
</t>
    </r>
    <r>
      <rPr>
        <rFont val="メイリオ"/>
        <color rgb="FF000000"/>
        <sz val="10.0"/>
      </rPr>
      <t xml:space="preserve">Để trống ô nhập mã xác thực, kiểm tra nút「認証」
</t>
    </r>
    <r>
      <rPr>
        <rFont val="メイリオ"/>
        <b/>
        <color rgb="FF000000"/>
        <sz val="10.0"/>
      </rPr>
      <t xml:space="preserve">ステップ2：
</t>
    </r>
    <r>
      <rPr>
        <rFont val="メイリオ"/>
        <color rgb="FF000000"/>
        <sz val="10.0"/>
      </rPr>
      <t>Chỉ nhập 1〜2 số, kiểm tra nút「認証」</t>
    </r>
  </si>
  <si>
    <r>
      <rPr>
        <rFont val="メイリオ"/>
        <b/>
        <color rgb="FF000000"/>
        <sz val="10.0"/>
      </rPr>
      <t xml:space="preserve">ステップ1：
</t>
    </r>
    <r>
      <rPr>
        <rFont val="メイリオ"/>
        <color rgb="FF000000"/>
        <sz val="10.0"/>
      </rPr>
      <t xml:space="preserve">Nút xác thực ở trạng thái vô hiệu (do otp.length !== 6), không thể click
</t>
    </r>
    <r>
      <rPr>
        <rFont val="メイリオ"/>
        <b/>
        <color rgb="FF000000"/>
        <sz val="10.0"/>
      </rPr>
      <t xml:space="preserve">ステップ2：
</t>
    </r>
    <r>
      <rPr>
        <rFont val="メイリオ"/>
        <color rgb="FF000000"/>
        <sz val="10.0"/>
      </rPr>
      <t xml:space="preserve">Nút xác thực vẫn vô hiệu, không gọi API
</t>
    </r>
    <r>
      <rPr>
        <rFont val="メイリオ"/>
        <b/>
        <color rgb="FF000000"/>
        <sz val="10.0"/>
      </rPr>
      <t xml:space="preserve">補足：
</t>
    </r>
    <r>
      <rPr>
        <rFont val="メイリオ"/>
        <color rgb="FF000000"/>
        <sz val="10.0"/>
      </rPr>
      <t xml:space="preserve">・Phía FE kiểm soát qua `:disabled="otp.length !== 6 || expired"`
</t>
    </r>
    <r>
      <rPr>
        <rFont val="メイリオ"/>
        <color rgb="FF000000"/>
        <sz val="10.0"/>
      </rPr>
      <t xml:space="preserve">・Không hiển thị message check bắt buộc (vô hiệu nút là UX thay thế)
</t>
    </r>
    <r>
      <rPr>
        <rFont val="メイリオ"/>
        <color rgb="FF000000"/>
        <sz val="10.0"/>
      </rPr>
      <t>・ACSMS-MSG-001-003 chuẩn bị làm message ở tầng DTO (chỉ hiển thị khi gọi API trực tiếp)</t>
    </r>
  </si>
  <si>
    <t>7/22/2026</t>
  </si>
  <si>
    <t>ACSMS-TC-001-024</t>
  </si>
  <si>
    <t>Mã xác thực — Cố định 6 chữ số / chỉ số</t>
  </si>
  <si>
    <t>・Đã chuyển sang màn hình MFA</t>
  </si>
  <si>
    <r>
      <rPr>
        <rFont val="メイリオ"/>
        <b/>
        <color rgb="FF000000"/>
        <sz val="10.0"/>
      </rPr>
      <t xml:space="preserve">ステップ1：
</t>
    </r>
    <r>
      <rPr>
        <rFont val="メイリオ"/>
        <color rgb="FF000000"/>
        <sz val="10.0"/>
      </rPr>
      <t xml:space="preserve">Nhập 6 chữ số `123456`
</t>
    </r>
    <r>
      <rPr>
        <rFont val="メイリオ"/>
        <b/>
        <color rgb="FF000000"/>
        <sz val="10.0"/>
      </rPr>
      <t xml:space="preserve">ステップ2：
</t>
    </r>
    <r>
      <rPr>
        <rFont val="メイリオ"/>
        <color rgb="FF000000"/>
        <sz val="10.0"/>
      </rPr>
      <t xml:space="preserve">Thử nhập chữ cái `abc123`
</t>
    </r>
    <r>
      <rPr>
        <rFont val="メイリオ"/>
        <b/>
        <color rgb="FF000000"/>
        <sz val="10.0"/>
      </rPr>
      <t xml:space="preserve">ステップ3：
</t>
    </r>
    <r>
      <rPr>
        <rFont val="メイリオ"/>
        <color rgb="FF000000"/>
        <sz val="10.0"/>
      </rPr>
      <t xml:space="preserve">Thử nhập số full-width `１２３４５６`
</t>
    </r>
    <r>
      <rPr>
        <rFont val="メイリオ"/>
        <b/>
        <color rgb="FF000000"/>
        <sz val="10.0"/>
      </rPr>
      <t xml:space="preserve">ステップ4：
</t>
    </r>
    <r>
      <rPr>
        <rFont val="メイリオ"/>
        <color rgb="FF000000"/>
        <sz val="10.0"/>
      </rPr>
      <t>Trên DevTools Console chạy `fetch('/api/v1/auth/mfa/verify', { method: 'POST', body: JSON.stringify({ mfa_token: '...', otp_code: '12345' }), headers: { 'Content-Type': 'application/json' } })`</t>
    </r>
  </si>
  <si>
    <r>
      <rPr>
        <rFont val="メイリオ"/>
        <b/>
        <color rgb="FF000000"/>
        <sz val="10.0"/>
      </rPr>
      <t xml:space="preserve">ステップ1：
</t>
    </r>
    <r>
      <rPr>
        <rFont val="メイリオ"/>
        <color rgb="FF000000"/>
        <sz val="10.0"/>
      </rPr>
      <t xml:space="preserve">Tiếp nhận bình thường, nút xác thực được kích hoạt
</t>
    </r>
    <r>
      <rPr>
        <rFont val="メイリオ"/>
        <b/>
        <color rgb="FF000000"/>
        <sz val="10.0"/>
      </rPr>
      <t xml:space="preserve">ステップ2：
</t>
    </r>
    <r>
      <rPr>
        <rFont val="メイリオ"/>
        <color rgb="FF000000"/>
        <sz val="10.0"/>
      </rPr>
      <t xml:space="preserve">input từ chối ký tự không phải số, không thể nhập chữ cái
</t>
    </r>
    <r>
      <rPr>
        <rFont val="メイリオ"/>
        <b/>
        <color rgb="FF000000"/>
        <sz val="10.0"/>
      </rPr>
      <t xml:space="preserve">ステップ3：
</t>
    </r>
    <r>
      <rPr>
        <rFont val="メイリオ"/>
        <color rgb="FF000000"/>
        <sz val="10.0"/>
      </rPr>
      <t xml:space="preserve">input từ chối số full-width, không thể nhập
</t>
    </r>
    <r>
      <rPr>
        <rFont val="メイリオ"/>
        <b/>
        <color rgb="FF000000"/>
        <sz val="10.0"/>
      </rPr>
      <t xml:space="preserve">ステップ4：
</t>
    </r>
    <r>
      <rPr>
        <rFont val="メイリオ"/>
        <color rgb="FF000000"/>
        <sz val="10.0"/>
      </rPr>
      <t xml:space="preserve">HTTP status code: 400
</t>
    </r>
    <r>
      <rPr>
        <rFont val="メイリオ"/>
        <color rgb="FF000000"/>
        <sz val="10.0"/>
      </rPr>
      <t xml:space="preserve">errors[] chứa { field: "otp_code", message: "otp_code must be 6 digits" }
</t>
    </r>
    <r>
      <rPr>
        <rFont val="メイリオ"/>
        <b/>
        <color rgb="FF000000"/>
        <sz val="10.0"/>
      </rPr>
      <t xml:space="preserve">補足：
</t>
    </r>
    <r>
      <rPr>
        <rFont val="メイリオ"/>
        <color rgb="FF000000"/>
        <sz val="10.0"/>
      </rPr>
      <t xml:space="preserve">・Component FE `MfaInput` chỉ tiếp nhận số (0-9)
</t>
    </r>
    <r>
      <rPr>
        <rFont val="メイリオ"/>
        <color rgb="FF000000"/>
        <sz val="10.0"/>
      </rPr>
      <t>・BE `@Length(6, 6)` + `@Matches(/^\d{6}$/)` enforce cố định 6 chữ số + chỉ số</t>
    </r>
  </si>
  <si>
    <t>「otp_code must be 6 digits」là message tiếng Anh (default implementation). Nếu cần chuyển sang tiếng Nhật, cập nhật message tham số 2 của @Matches trong DTO.</t>
  </si>
  <si>
    <t>ACSMS-TC-001-025</t>
  </si>
  <si>
    <t>Mã xác thực — Vô hiệu nút xác thực khi dưới 6 chữ số</t>
  </si>
  <si>
    <t>・Đã chuyển sang màn hình MFA, còn hiệu lực</t>
  </si>
  <si>
    <r>
      <rPr>
        <rFont val="メイリオ"/>
        <b/>
        <color rgb="FF000000"/>
        <sz val="10.0"/>
      </rPr>
      <t xml:space="preserve">ステップ1：
</t>
    </r>
    <r>
      <rPr>
        <rFont val="メイリオ"/>
        <color rgb="FF000000"/>
        <sz val="10.0"/>
      </rPr>
      <t xml:space="preserve">Nhập 1 chữ số → kiểm tra trạng thái nút xác thực
</t>
    </r>
    <r>
      <rPr>
        <rFont val="メイリオ"/>
        <b/>
        <color rgb="FF000000"/>
        <sz val="10.0"/>
      </rPr>
      <t xml:space="preserve">ステップ2：
</t>
    </r>
    <r>
      <rPr>
        <rFont val="メイリオ"/>
        <color rgb="FF000000"/>
        <sz val="10.0"/>
      </rPr>
      <t xml:space="preserve">Nhập 5 chữ số → kiểm tra trạng thái nút xác thực
</t>
    </r>
    <r>
      <rPr>
        <rFont val="メイリオ"/>
        <b/>
        <color rgb="FF000000"/>
        <sz val="10.0"/>
      </rPr>
      <t xml:space="preserve">ステップ3：
</t>
    </r>
    <r>
      <rPr>
        <rFont val="メイリオ"/>
        <color rgb="FF000000"/>
        <sz val="10.0"/>
      </rPr>
      <t xml:space="preserve">Nhập đủ 6 chữ số → kiểm tra trạng thái nút xác thực
</t>
    </r>
    <r>
      <rPr>
        <rFont val="メイリオ"/>
        <b/>
        <color rgb="FF000000"/>
        <sz val="10.0"/>
      </rPr>
      <t xml:space="preserve">ステップ4：
</t>
    </r>
    <r>
      <rPr>
        <rFont val="メイリオ"/>
        <color rgb="FF000000"/>
        <sz val="10.0"/>
      </rPr>
      <t>Xóa chữ số thứ 6 → kiểm tra trạng thái nút xác thực</t>
    </r>
  </si>
  <si>
    <r>
      <rPr>
        <rFont val="メイリオ"/>
        <b/>
        <color rgb="FF000000"/>
        <sz val="10.0"/>
      </rPr>
      <t xml:space="preserve">ステップ1：
</t>
    </r>
    <r>
      <rPr>
        <rFont val="メイリオ"/>
        <color rgb="FF000000"/>
        <sz val="10.0"/>
      </rPr>
      <t xml:space="preserve">Nút xác thực ở trạng thái vô hiệu, không thể click
</t>
    </r>
    <r>
      <rPr>
        <rFont val="メイリオ"/>
        <b/>
        <color rgb="FF000000"/>
        <sz val="10.0"/>
      </rPr>
      <t xml:space="preserve">ステップ2：
</t>
    </r>
    <r>
      <rPr>
        <rFont val="メイリオ"/>
        <color rgb="FF000000"/>
        <sz val="10.0"/>
      </rPr>
      <t xml:space="preserve">Nút xác thực vẫn ở trạng thái vô hiệu
</t>
    </r>
    <r>
      <rPr>
        <rFont val="メイリオ"/>
        <b/>
        <color rgb="FF000000"/>
        <sz val="10.0"/>
      </rPr>
      <t xml:space="preserve">ステップ3：
</t>
    </r>
    <r>
      <rPr>
        <rFont val="メイリオ"/>
        <color rgb="FF000000"/>
        <sz val="10.0"/>
      </rPr>
      <t xml:space="preserve">Nút xác thực được kích hoạt, có thể click
</t>
    </r>
    <r>
      <rPr>
        <rFont val="メイリオ"/>
        <b/>
        <color rgb="FF000000"/>
        <sz val="10.0"/>
      </rPr>
      <t xml:space="preserve">ステップ4：
</t>
    </r>
    <r>
      <rPr>
        <rFont val="メイリオ"/>
        <color rgb="FF000000"/>
        <sz val="10.0"/>
      </rPr>
      <t xml:space="preserve">Nút xác thực vô hiệu trở lại
</t>
    </r>
    <r>
      <rPr>
        <rFont val="メイリオ"/>
        <b/>
        <color rgb="FF000000"/>
        <sz val="10.0"/>
      </rPr>
      <t xml:space="preserve">補足：
</t>
    </r>
    <r>
      <rPr>
        <rFont val="メイリオ"/>
        <color rgb="FF000000"/>
        <sz val="10.0"/>
      </rPr>
      <t xml:space="preserve">・Kiểm soát qua `:disabled="otp.length !== 6 || expired"`
</t>
    </r>
    <r>
      <rPr>
        <rFont val="メイリオ"/>
        <color rgb="FF000000"/>
        <sz val="10.0"/>
      </rPr>
      <t>・Không tự submit (cần click nút xác thực rõ ràng)</t>
    </r>
  </si>
  <si>
    <t>ACSMS-TC-001-026</t>
  </si>
  <si>
    <t>Mã xác thực — Xử lý paste 6 chữ số</t>
  </si>
  <si>
    <r>
      <rPr>
        <rFont val="メイリオ"/>
        <b/>
        <color rgb="FF000000"/>
        <sz val="10.0"/>
      </rPr>
      <t xml:space="preserve">ステップ1：
</t>
    </r>
    <r>
      <rPr>
        <rFont val="メイリオ"/>
        <color rgb="FF000000"/>
        <sz val="10.0"/>
      </rPr>
      <t xml:space="preserve">Đặt focus vào ô nhập đầu tiên
</t>
    </r>
    <r>
      <rPr>
        <rFont val="メイリオ"/>
        <b/>
        <color rgb="FF000000"/>
        <sz val="10.0"/>
      </rPr>
      <t xml:space="preserve">ステップ2：
</t>
    </r>
    <r>
      <rPr>
        <rFont val="メイリオ"/>
        <color rgb="FF000000"/>
        <sz val="10.0"/>
      </rPr>
      <t xml:space="preserve">Paste chuỗi 6 chữ số `123456` từ clipboard
</t>
    </r>
    <r>
      <rPr>
        <rFont val="メイリオ"/>
        <b/>
        <color rgb="FF000000"/>
        <sz val="10.0"/>
      </rPr>
      <t xml:space="preserve">ステップ3：
</t>
    </r>
    <r>
      <rPr>
        <rFont val="メイリオ"/>
        <color rgb="FF000000"/>
        <sz val="10.0"/>
      </rPr>
      <t xml:space="preserve">Paste chuỗi 8 chữ số `12345678`
</t>
    </r>
    <r>
      <rPr>
        <rFont val="メイリオ"/>
        <b/>
        <color rgb="FF000000"/>
        <sz val="10.0"/>
      </rPr>
      <t xml:space="preserve">ステップ4：
</t>
    </r>
    <r>
      <rPr>
        <rFont val="メイリオ"/>
        <color rgb="FF000000"/>
        <sz val="10.0"/>
      </rPr>
      <t>Paste chuỗi mix chữ-số `abc123`</t>
    </r>
  </si>
  <si>
    <r>
      <rPr>
        <rFont val="メイリオ"/>
        <b/>
        <color rgb="FF000000"/>
        <sz val="10.0"/>
      </rPr>
      <t xml:space="preserve">ステップ1：
</t>
    </r>
    <r>
      <rPr>
        <rFont val="メイリオ"/>
        <color rgb="FF000000"/>
        <sz val="10.0"/>
      </rPr>
      <t xml:space="preserve">Ô nhập số 1 ở trạng thái focus
</t>
    </r>
    <r>
      <rPr>
        <rFont val="メイリオ"/>
        <b/>
        <color rgb="FF000000"/>
        <sz val="10.0"/>
      </rPr>
      <t xml:space="preserve">ステップ2：
</t>
    </r>
    <r>
      <rPr>
        <rFont val="メイリオ"/>
        <color rgb="FF000000"/>
        <sz val="10.0"/>
      </rPr>
      <t xml:space="preserve">Tự động phân chia 1 số vào mỗi ô trong 6 ô, nút xác thực được kích hoạt
</t>
    </r>
    <r>
      <rPr>
        <rFont val="メイリオ"/>
        <b/>
        <color rgb="FF000000"/>
        <sz val="10.0"/>
      </rPr>
      <t xml:space="preserve">ステップ3：
</t>
    </r>
    <r>
      <rPr>
        <rFont val="メイリオ"/>
        <color rgb="FF000000"/>
        <sz val="10.0"/>
      </rPr>
      <t xml:space="preserve">Chỉ tiếp nhận 6 chữ số đầu, từ chữ số thứ 7 bị bỏ
</t>
    </r>
    <r>
      <rPr>
        <rFont val="メイリオ"/>
        <b/>
        <color rgb="FF000000"/>
        <sz val="10.0"/>
      </rPr>
      <t xml:space="preserve">ステップ4：
</t>
    </r>
    <r>
      <rPr>
        <rFont val="メイリオ"/>
        <color rgb="FF000000"/>
        <sz val="10.0"/>
      </rPr>
      <t xml:space="preserve">Chữ cái bị từ chối, chỉ tiếp nhận phần số
</t>
    </r>
    <r>
      <rPr>
        <rFont val="メイリオ"/>
        <b/>
        <color rgb="FF000000"/>
        <sz val="10.0"/>
      </rPr>
      <t xml:space="preserve">補足：
</t>
    </r>
    <r>
      <rPr>
        <rFont val="メイリオ"/>
        <color rgb="FF000000"/>
        <sz val="10.0"/>
      </rPr>
      <t xml:space="preserve">・Component `MfaInput` xử lý paste 6 chữ số
</t>
    </r>
    <r>
      <rPr>
        <rFont val="メイリオ"/>
        <color rgb="FF000000"/>
        <sz val="10.0"/>
      </rPr>
      <t>・Use case OTP được paste trực tiếp từ email rất phổ biến nên là chức năng bắt buộc</t>
    </r>
  </si>
  <si>
    <t>ACSMS-TC-001-027</t>
  </si>
  <si>
    <t>User ID / password — Xử lý an toàn SQL injection / XSS</t>
  </si>
  <si>
    <r>
      <rPr>
        <rFont val="游ゴシック"/>
        <b/>
        <color rgb="FF000000"/>
        <sz val="10.0"/>
      </rPr>
      <t xml:space="preserve">ステップ1：
</t>
    </r>
    <r>
      <rPr>
        <rFont val="游ゴシック"/>
        <color rgb="FF000000"/>
        <sz val="10.0"/>
      </rPr>
      <t xml:space="preserve">Nhập `admin' OR '1'='1` vào User ID, password giá trị bất kỳ → đăng nhập
</t>
    </r>
    <r>
      <rPr>
        <rFont val="游ゴシック"/>
        <b/>
        <color rgb="FF000000"/>
        <sz val="10.0"/>
      </rPr>
      <t xml:space="preserve">ステップ2：
</t>
    </r>
    <r>
      <rPr>
        <rFont val="游ゴシック"/>
        <color rgb="FF000000"/>
        <sz val="10.0"/>
      </rPr>
      <t xml:space="preserve">Nhập `admin'; DROP TABLE m_account; --` vào User ID, password giá trị bất kỳ → đăng nhập
</t>
    </r>
    <r>
      <rPr>
        <rFont val="游ゴシック"/>
        <b/>
        <color rgb="FF000000"/>
        <sz val="10.0"/>
      </rPr>
      <t xml:space="preserve">ステップ3：
</t>
    </r>
    <r>
      <rPr>
        <rFont val="游ゴシック"/>
        <color rgb="FF000000"/>
        <sz val="10.0"/>
      </rPr>
      <t xml:space="preserve">Nhập `&lt;script&gt;alert(1)&lt;/script&gt;` vào User ID → đăng nhập
</t>
    </r>
    <r>
      <rPr>
        <rFont val="游ゴシック"/>
        <b/>
        <color rgb="FF000000"/>
        <sz val="10.0"/>
      </rPr>
      <t xml:space="preserve">ステップ4：
</t>
    </r>
    <r>
      <rPr>
        <rFont val="游ゴシック"/>
        <color rgb="FF000000"/>
        <sz val="10.0"/>
      </rPr>
      <t>Kiểm tra bảng `m_account` trên DB không bị xóa</t>
    </r>
  </si>
  <si>
    <r>
      <rPr>
        <rFont val="メイリオ"/>
        <b/>
        <color rgb="FF000000"/>
        <sz val="10.0"/>
      </rPr>
      <t xml:space="preserve">ステップ1：
</t>
    </r>
    <r>
      <rPr>
        <rFont val="メイリオ"/>
        <color rgb="FF000000"/>
        <sz val="10.0"/>
      </rPr>
      <t xml:space="preserve">HTTP status code: 401 (INVALID_CREDENTIALS) hoặc 400 (vi phạm half-width)
</t>
    </r>
    <r>
      <rPr>
        <rFont val="メイリオ"/>
        <color rgb="FF000000"/>
        <sz val="10.0"/>
      </rPr>
      <t xml:space="preserve">Được xử lý là chuỗi literal, xác thực thất bại
</t>
    </r>
    <r>
      <rPr>
        <rFont val="メイリオ"/>
        <color rgb="FF000000"/>
        <sz val="10.0"/>
      </rPr>
      <t xml:space="preserve">Row không hợp lệ không được xác thực
</t>
    </r>
    <r>
      <rPr>
        <rFont val="メイリオ"/>
        <b/>
        <color rgb="FF000000"/>
        <sz val="10.0"/>
      </rPr>
      <t xml:space="preserve">ステップ2：
</t>
    </r>
    <r>
      <rPr>
        <rFont val="メイリオ"/>
        <color rgb="FF000000"/>
        <sz val="10.0"/>
      </rPr>
      <t xml:space="preserve">HTTP status code: 401 hoặc 400
</t>
    </r>
    <r>
      <rPr>
        <rFont val="メイリオ"/>
        <color rgb="FF000000"/>
        <sz val="10.0"/>
      </rPr>
      <t xml:space="preserve">Bảng `m_account` không bị xóa (parameterized query phòng thủ)
</t>
    </r>
    <r>
      <rPr>
        <rFont val="メイリオ"/>
        <b/>
        <color rgb="FF000000"/>
        <sz val="10.0"/>
      </rPr>
      <t xml:space="preserve">ステップ3：
</t>
    </r>
    <r>
      <rPr>
        <rFont val="メイリオ"/>
        <color rgb="FF000000"/>
        <sz val="10.0"/>
      </rPr>
      <t xml:space="preserve">Script không execute, được xử lý là chuỗi literal
</t>
    </r>
    <r>
      <rPr>
        <rFont val="メイリオ"/>
        <color rgb="FF000000"/>
        <sz val="10.0"/>
      </rPr>
      <t xml:space="preserve">(Tuy nhiên `&lt;` `&gt;` nằm trong khoảng half-width nên được tiếp nhận, qua `@Matches(/^[\x21-\x7E]+$/)`)
</t>
    </r>
    <r>
      <rPr>
        <rFont val="メイリオ"/>
        <b/>
        <color rgb="FF000000"/>
        <sz val="10.0"/>
      </rPr>
      <t xml:space="preserve">ステップ4：
</t>
    </r>
    <r>
      <rPr>
        <rFont val="メイリオ"/>
        <color rgb="FF000000"/>
        <sz val="10.0"/>
      </rPr>
      <t xml:space="preserve">Bảng `m_account` tồn tại bình thường, record test account vẫn còn
</t>
    </r>
    <r>
      <rPr>
        <rFont val="メイリオ"/>
        <b/>
        <color rgb="FF000000"/>
        <sz val="10.0"/>
      </rPr>
      <t xml:space="preserve">補足：
</t>
    </r>
    <r>
      <rPr>
        <rFont val="メイリオ"/>
        <color rgb="FF000000"/>
        <sz val="10.0"/>
      </rPr>
      <t xml:space="preserve">・SQL injection không phát huy do parameterized query của TypeORM
</t>
    </r>
    <r>
      <rPr>
        <rFont val="メイリオ"/>
        <color rgb="FF000000"/>
        <sz val="10.0"/>
      </rPr>
      <t xml:space="preserve">・Stored XSS không phát huy do Vue auto-escape
</t>
    </r>
    <r>
      <rPr>
        <rFont val="メイリオ"/>
        <color rgb="FF000000"/>
        <sz val="10.0"/>
      </rPr>
      <t>・DB lưu literal (không giữ data đã escape)</t>
    </r>
  </si>
  <si>
    <t>Critical về security — Nếu fail thì xử lý như incident.
---</t>
  </si>
  <si>
    <t>Logic nghiệp vụ — Đăng nhập (Function — Login)</t>
  </si>
  <si>
    <t>ACSMS-TC-001-028</t>
  </si>
  <si>
    <t>Hiển thị ban đầu — Hiển thị form khi chưa đăng nhập</t>
  </si>
  <si>
    <t>・Cookie `session_id` chưa được set (trạng thái logout)</t>
  </si>
  <si>
    <r>
      <rPr>
        <rFont val="メイリオ"/>
        <b/>
        <color rgb="FF000000"/>
        <sz val="10.0"/>
      </rPr>
      <t xml:space="preserve">ステップ1：
</t>
    </r>
    <r>
      <rPr>
        <rFont val="メイリオ"/>
        <color rgb="FF000000"/>
        <sz val="10.0"/>
      </rPr>
      <t xml:space="preserve">Mở `/login` trên browser
</t>
    </r>
    <r>
      <rPr>
        <rFont val="メイリオ"/>
        <b/>
        <color rgb="FF000000"/>
        <sz val="10.0"/>
      </rPr>
      <t xml:space="preserve">ステップ2：
</t>
    </r>
    <r>
      <rPr>
        <rFont val="メイリオ"/>
        <color rgb="FF000000"/>
        <sz val="10.0"/>
      </rPr>
      <t>Kiểm tra trạng thái ban đầu của màn hình</t>
    </r>
  </si>
  <si>
    <r>
      <rPr>
        <rFont val="メイリオ"/>
        <b/>
        <color rgb="FF000000"/>
        <sz val="10.0"/>
      </rPr>
      <t xml:space="preserve">ステップ1：
</t>
    </r>
    <r>
      <rPr>
        <rFont val="メイリオ"/>
        <color rgb="FF000000"/>
        <sz val="10.0"/>
      </rPr>
      <t xml:space="preserve">Form đăng nhập hiển thị
</t>
    </r>
    <r>
      <rPr>
        <rFont val="メイリオ"/>
        <b/>
        <color rgb="FF000000"/>
        <sz val="10.0"/>
      </rPr>
      <t xml:space="preserve">ステップ2：
</t>
    </r>
    <r>
      <rPr>
        <rFont val="メイリオ"/>
        <color rgb="FF000000"/>
        <sz val="10.0"/>
      </rPr>
      <t xml:space="preserve">Ô User ID / password rỗng, không có error message
</t>
    </r>
    <r>
      <rPr>
        <rFont val="メイリオ"/>
        <color rgb="FF000000"/>
        <sz val="10.0"/>
      </rPr>
      <t xml:space="preserve">Card thông báo được load song song (GET `/api/v1/oshirase/public`)
</t>
    </r>
    <r>
      <rPr>
        <rFont val="メイリオ"/>
        <b/>
        <color rgb="FF000000"/>
        <sz val="10.0"/>
      </rPr>
      <t xml:space="preserve">補足：
</t>
    </r>
    <r>
      <rPr>
        <rFont val="メイリオ"/>
        <color rgb="FF000000"/>
        <sz val="10.0"/>
      </rPr>
      <t xml:space="preserve">・Lấy thông báo là async, không block hiển thị form
</t>
    </r>
    <r>
      <rPr>
        <rFont val="メイリオ"/>
        <color rgb="FF000000"/>
        <sz val="10.0"/>
      </rPr>
      <t>・FE `onMounted` gọi `fetchPublicOshirase`</t>
    </r>
  </si>
  <si>
    <t>ACSMS-TC-001-029</t>
  </si>
  <si>
    <t>Hiển thị ban đầu — Redirect khi đã đăng nhập</t>
  </si>
  <si>
    <t>・Đang giữ session cookie hợp lệ (đã đăng nhập)
・User của Pinia auth store đã được set</t>
  </si>
  <si>
    <r>
      <rPr>
        <rFont val="游ゴシック"/>
        <b/>
        <color rgb="FF000000"/>
        <sz val="10.0"/>
      </rPr>
      <t xml:space="preserve">ステップ1：
</t>
    </r>
    <r>
      <rPr>
        <rFont val="游ゴシック"/>
        <color rgb="FF000000"/>
        <sz val="10.0"/>
      </rPr>
      <t xml:space="preserve">Truy cập `/login` trên browser
</t>
    </r>
    <r>
      <rPr>
        <rFont val="游ゴシック"/>
        <b/>
        <color rgb="FF000000"/>
        <sz val="10.0"/>
      </rPr>
      <t xml:space="preserve">ステップ2：
</t>
    </r>
    <r>
      <rPr>
        <rFont val="游ゴシック"/>
        <color rgb="FF000000"/>
        <sz val="10.0"/>
      </rPr>
      <t>Kiểm tra chuyển trang màn hình</t>
    </r>
  </si>
  <si>
    <r>
      <rPr>
        <rFont val="メイリオ"/>
        <b/>
        <color rgb="FF000000"/>
        <sz val="10.0"/>
      </rPr>
      <t xml:space="preserve">ステップ1：
</t>
    </r>
    <r>
      <rPr>
        <rFont val="メイリオ"/>
        <color rgb="FF000000"/>
        <sz val="10.0"/>
      </rPr>
      <t xml:space="preserve">Router guard nhận diện đã đăng nhập
</t>
    </r>
    <r>
      <rPr>
        <rFont val="メイリオ"/>
        <b/>
        <color rgb="FF000000"/>
        <sz val="10.0"/>
      </rPr>
      <t xml:space="preserve">ステップ2：
</t>
    </r>
    <r>
      <rPr>
        <rFont val="メイリオ"/>
        <color rgb="FF000000"/>
        <sz val="10.0"/>
      </rPr>
      <t xml:space="preserve">Tự động chuyển về `/dashboard`
</t>
    </r>
    <r>
      <rPr>
        <rFont val="メイリオ"/>
        <color rgb="FF000000"/>
        <sz val="10.0"/>
      </rPr>
      <t xml:space="preserve">Form đăng nhập không hiển thị
</t>
    </r>
    <r>
      <rPr>
        <rFont val="メイリオ"/>
        <b/>
        <color rgb="FF000000"/>
        <sz val="10.0"/>
      </rPr>
      <t xml:space="preserve">補足：
</t>
    </r>
    <r>
      <rPr>
        <rFont val="メイリオ"/>
        <color rgb="FF000000"/>
        <sz val="10.0"/>
      </rPr>
      <t xml:space="preserve">・Trong router beforeEach kiểm tra `authStore.isAuthenticated`
</t>
    </r>
    <r>
      <rPr>
        <rFont val="メイリオ"/>
        <color rgb="FF000000"/>
        <sz val="10.0"/>
      </rPr>
      <t>・Phòng thao tác đăng nhập vô ích khi user đã đăng nhập truy cập lại màn hình đăng nhập</t>
    </r>
  </si>
  <si>
    <t>ACSMS-TC-001-030</t>
  </si>
  <si>
    <t>Đăng nhập thành công (không MFA) — Cookie + log kiểm toán</t>
  </si>
  <si>
    <t>・Test account mfa_enable_flg = false
・User ID / password đúng</t>
  </si>
  <si>
    <r>
      <rPr>
        <rFont val="游ゴシック"/>
        <b/>
        <color rgb="FF000000"/>
        <sz val="10.0"/>
      </rPr>
      <t xml:space="preserve">ステップ1：
</t>
    </r>
    <r>
      <rPr>
        <rFont val="游ゴシック"/>
        <color rgb="FF000000"/>
        <sz val="10.0"/>
      </rPr>
      <t xml:space="preserve">Nhập giá trị hợp lệ vào form đăng nhập → đăng nhập
</t>
    </r>
    <r>
      <rPr>
        <rFont val="游ゴシック"/>
        <b/>
        <color rgb="FF000000"/>
        <sz val="10.0"/>
      </rPr>
      <t xml:space="preserve">ステップ2：
</t>
    </r>
    <r>
      <rPr>
        <rFont val="游ゴシック"/>
        <color rgb="FF000000"/>
        <sz val="10.0"/>
      </rPr>
      <t xml:space="preserve">Kiểm tra `m_account` trên DB:
```sql
SELECT login_failure_count, last_login_at
FROM m_account
WHERE login_id = :login_id;
```
</t>
    </r>
    <r>
      <rPr>
        <rFont val="游ゴシック"/>
        <b/>
        <color rgb="FF000000"/>
        <sz val="10.0"/>
      </rPr>
      <t xml:space="preserve">ステップ3：
</t>
    </r>
    <r>
      <rPr>
        <rFont val="游ゴシック"/>
        <color rgb="FF000000"/>
        <sz val="10.0"/>
      </rPr>
      <t xml:space="preserve">Kiểm tra `t_login_log` trên DB:
```sql
SELECT login_result, account_id, login_id, failure_reason
FROM t_login_log
WHERE login_id = :login_id
ORDER BY login_datetime DESC
LIMIT 1;
```
</t>
    </r>
    <r>
      <rPr>
        <rFont val="游ゴシック"/>
        <b/>
        <color rgb="FF000000"/>
        <sz val="10.0"/>
      </rPr>
      <t xml:space="preserve">ステップ4：
</t>
    </r>
    <r>
      <rPr>
        <rFont val="游ゴシック"/>
        <color rgb="FF000000"/>
        <sz val="10.0"/>
      </rPr>
      <t>Kiểm tra Cookie browser và Redis session</t>
    </r>
  </si>
  <si>
    <r>
      <rPr>
        <rFont val="メイリオ"/>
        <b/>
        <color rgb="FF000000"/>
        <sz val="10.0"/>
      </rPr>
      <t xml:space="preserve">ステップ1：
</t>
    </r>
    <r>
      <rPr>
        <rFont val="メイリオ"/>
        <color rgb="FF000000"/>
        <sz val="10.0"/>
      </rPr>
      <t xml:space="preserve">HTTP status code: 200, `data.mfa_required = false`, trả về `data.user`
</t>
    </r>
    <r>
      <rPr>
        <rFont val="メイリオ"/>
        <color rgb="FF000000"/>
        <sz val="10.0"/>
      </rPr>
      <t xml:space="preserve">Toast「ログインしました。」hiển thị, chuyển về `/dashboard`
</t>
    </r>
    <r>
      <rPr>
        <rFont val="メイリオ"/>
        <b/>
        <color rgb="FF000000"/>
        <sz val="10.0"/>
      </rPr>
      <t xml:space="preserve">ステップ2：
</t>
    </r>
    <r>
      <rPr>
        <rFont val="メイリオ"/>
        <color rgb="FF000000"/>
        <sz val="10.0"/>
      </rPr>
      <t xml:space="preserve">`login_failure_count = 0`, `last_login_at = thời điểm hiện tại`
</t>
    </r>
    <r>
      <rPr>
        <rFont val="メイリオ"/>
        <b/>
        <color rgb="FF000000"/>
        <sz val="10.0"/>
      </rPr>
      <t xml:space="preserve">ステップ3：
</t>
    </r>
    <r>
      <rPr>
        <rFont val="メイリオ"/>
        <color rgb="FF000000"/>
        <sz val="10.0"/>
      </rPr>
      <t xml:space="preserve">1 row, `login_result = 1` (thành công), `failure_reason` rỗng
</t>
    </r>
    <r>
      <rPr>
        <rFont val="メイリオ"/>
        <b/>
        <color rgb="FF000000"/>
        <sz val="10.0"/>
      </rPr>
      <t xml:space="preserve">ステップ4：
</t>
    </r>
    <r>
      <rPr>
        <rFont val="メイリオ"/>
        <color rgb="FF000000"/>
        <sz val="10.0"/>
      </rPr>
      <t xml:space="preserve">Cookie `session_id` được set với attribute HttpOnly + Secure (production) + SameSite=Strict + signed
</t>
    </r>
    <r>
      <rPr>
        <rFont val="メイリオ"/>
        <color rgb="FF000000"/>
        <sz val="10.0"/>
      </rPr>
      <t xml:space="preserve">Redis lưu session với key `session:{session_id}` TTL 24 giờ
</t>
    </r>
    <r>
      <rPr>
        <rFont val="メイリオ"/>
        <b/>
        <color rgb="FF000000"/>
        <sz val="10.0"/>
      </rPr>
      <t xml:space="preserve">補足：
</t>
    </r>
    <r>
      <rPr>
        <rFont val="メイリオ"/>
        <color rgb="FF000000"/>
        <sz val="10.0"/>
      </rPr>
      <t xml:space="preserve">・Main DML (cập nhật last_login_at) + ghi log đăng nhập thành công thực thi bình thường
</t>
    </r>
    <r>
      <rPr>
        <rFont val="メイリオ"/>
        <color rgb="FF000000"/>
        <sz val="10.0"/>
      </rPr>
      <t xml:space="preserve">・State user của Pinia auth store được cập nhật
</t>
    </r>
    <r>
      <rPr>
        <rFont val="メイリオ"/>
        <color rgb="FF000000"/>
        <sz val="10.0"/>
      </rPr>
      <t>・useCodesStore().loadAll() khởi tạo cache mã master</t>
    </r>
  </si>
  <si>
    <t>ACSMS-TC-001-031</t>
  </si>
  <si>
    <t>Đăng nhập thất bại — Sai thông tin xác thực (INVALID_CREDENTIALS)</t>
  </si>
  <si>
    <t>・Test account (account_lock_flg = false)
・login_failure_count = 0</t>
  </si>
  <si>
    <r>
      <rPr>
        <rFont val="メイリオ"/>
        <b/>
        <color rgb="FF000000"/>
        <sz val="10.0"/>
      </rPr>
      <t xml:space="preserve">ステップ1：
</t>
    </r>
    <r>
      <rPr>
        <rFont val="メイリオ"/>
        <color rgb="FF000000"/>
        <sz val="10.0"/>
      </rPr>
      <t xml:space="preserve">Đăng nhập với User ID đúng + password sai
</t>
    </r>
    <r>
      <rPr>
        <rFont val="メイリオ"/>
        <b/>
        <color rgb="FF000000"/>
        <sz val="10.0"/>
      </rPr>
      <t xml:space="preserve">ステップ2：
</t>
    </r>
    <r>
      <rPr>
        <rFont val="メイリオ"/>
        <color rgb="FF000000"/>
        <sz val="10.0"/>
      </rPr>
      <t xml:space="preserve">Đăng nhập với User ID không tồn tại
</t>
    </r>
    <r>
      <rPr>
        <rFont val="メイリオ"/>
        <b/>
        <color rgb="FF000000"/>
        <sz val="10.0"/>
      </rPr>
      <t xml:space="preserve">ステップ3：
</t>
    </r>
    <r>
      <rPr>
        <rFont val="メイリオ"/>
        <color rgb="FF000000"/>
        <sz val="10.0"/>
      </rPr>
      <t xml:space="preserve">Kiểm tra `m_account.login_failure_count` trên DB
</t>
    </r>
    <r>
      <rPr>
        <rFont val="メイリオ"/>
        <b/>
        <color rgb="FF000000"/>
        <sz val="10.0"/>
      </rPr>
      <t xml:space="preserve">ステップ4：
</t>
    </r>
    <r>
      <rPr>
        <rFont val="メイリオ"/>
        <color rgb="FF000000"/>
        <sz val="10.0"/>
      </rPr>
      <t>Kiểm tra `t_login_log` trên DB</t>
    </r>
  </si>
  <si>
    <r>
      <rPr>
        <rFont val="游ゴシック"/>
        <b/>
        <color rgb="FF000000"/>
        <sz val="10.0"/>
      </rPr>
      <t xml:space="preserve">ステップ1：
</t>
    </r>
    <r>
      <rPr>
        <rFont val="游ゴシック"/>
        <color rgb="FF000000"/>
        <sz val="10.0"/>
      </rPr>
      <t xml:space="preserve">HTTP status code: 401
error_code: INVALID_CREDENTIALS
message:「ユーザーIDまたはパスワードが正しくありません。」
Toast hiển thị, vẫn ở màn hình đăng nhập
</t>
    </r>
    <r>
      <rPr>
        <rFont val="游ゴシック"/>
        <b/>
        <color rgb="FF000000"/>
        <sz val="10.0"/>
      </rPr>
      <t xml:space="preserve">ステップ2：
</t>
    </r>
    <r>
      <rPr>
        <rFont val="游ゴシック"/>
        <color rgb="FF000000"/>
        <sz val="10.0"/>
      </rPr>
      <t xml:space="preserve">HTTP status code: 401
error_code: INVALID_CREDENTIALS (không phân biệt account không tồn tại và xác thực thất bại)
Vì lý do security trả về cùng message
</t>
    </r>
    <r>
      <rPr>
        <rFont val="游ゴシック"/>
        <b/>
        <color rgb="FF000000"/>
        <sz val="10.0"/>
      </rPr>
      <t xml:space="preserve">ステップ3：
</t>
    </r>
    <r>
      <rPr>
        <rFont val="游ゴシック"/>
        <color rgb="FF000000"/>
        <sz val="10.0"/>
      </rPr>
      <t xml:space="preserve">ステップ1の場合：`login_failure_count = 1` (tăng)
ステップ2の場合：account không tồn tại nên không tăng
</t>
    </r>
    <r>
      <rPr>
        <rFont val="游ゴシック"/>
        <b/>
        <color rgb="FF000000"/>
        <sz val="10.0"/>
      </rPr>
      <t>ステップ4：
ステップ1：</t>
    </r>
    <r>
      <rPr>
        <rFont val="游ゴシック"/>
        <color rgb="FF000000"/>
        <sz val="10.0"/>
      </rPr>
      <t xml:space="preserve"> `login_result = 2`, `failure_reason = 'invalid_password'`, `account_id` đã set
</t>
    </r>
    <r>
      <rPr>
        <rFont val="游ゴシック"/>
        <b/>
        <color rgb="FF000000"/>
        <sz val="10.0"/>
      </rPr>
      <t>ステップ2：</t>
    </r>
    <r>
      <rPr>
        <rFont val="游ゴシック"/>
        <color rgb="FF000000"/>
        <sz val="10.0"/>
      </rPr>
      <t xml:space="preserve"> `login_result = 2`, `failure_reason = 'account_not_found'`, `account_id = NULL`
</t>
    </r>
    <r>
      <rPr>
        <rFont val="游ゴシック"/>
        <b/>
        <color rgb="FF000000"/>
        <sz val="10.0"/>
      </rPr>
      <t xml:space="preserve">補足：
</t>
    </r>
    <r>
      <rPr>
        <rFont val="游ゴシック"/>
        <color rgb="FF000000"/>
        <sz val="10.0"/>
      </rPr>
      <t>・Không phân biệt account không tồn tại và xác thực thất bại (phòng tấn công liệt kê account)
・Tương ứng ACSMS-MSG-001-005
・Log thất bại đăng nhập được ghi cả khi xác thực thất bại</t>
    </r>
  </si>
  <si>
    <t>ACSMS-TC-001-032</t>
  </si>
  <si>
    <t>Đăng nhập thất bại — Khóa khi thất bại liên tục 5 lần</t>
  </si>
  <si>
    <r>
      <rPr>
        <rFont val="游ゴシック"/>
        <b/>
        <color rgb="FF000000"/>
        <sz val="10.0"/>
      </rPr>
      <t xml:space="preserve">ステップ1：
</t>
    </r>
    <r>
      <rPr>
        <rFont val="游ゴシック"/>
        <color rgb="FF000000"/>
        <sz val="10.0"/>
      </rPr>
      <t xml:space="preserve">Thử đăng nhập với password sai từ lần 1 đến lần 4 (liên tục 4 lần)
</t>
    </r>
    <r>
      <rPr>
        <rFont val="游ゴシック"/>
        <b/>
        <color rgb="FF000000"/>
        <sz val="10.0"/>
      </rPr>
      <t xml:space="preserve">ステップ2：
</t>
    </r>
    <r>
      <rPr>
        <rFont val="游ゴシック"/>
        <color rgb="FF000000"/>
        <sz val="10.0"/>
      </rPr>
      <t xml:space="preserve">Thử đăng nhập với password sai lần thứ 5
</t>
    </r>
    <r>
      <rPr>
        <rFont val="游ゴシック"/>
        <b/>
        <color rgb="FF000000"/>
        <sz val="10.0"/>
      </rPr>
      <t xml:space="preserve">ステップ3：
</t>
    </r>
    <r>
      <rPr>
        <rFont val="游ゴシック"/>
        <color rgb="FF000000"/>
        <sz val="10.0"/>
      </rPr>
      <t xml:space="preserve">Thử đăng nhập lần thứ 6 (kể cả với password đúng)
</t>
    </r>
    <r>
      <rPr>
        <rFont val="游ゴシック"/>
        <b/>
        <color rgb="FF000000"/>
        <sz val="10.0"/>
      </rPr>
      <t xml:space="preserve">ステップ4：
</t>
    </r>
    <r>
      <rPr>
        <rFont val="游ゴシック"/>
        <color rgb="FF000000"/>
        <sz val="10.0"/>
      </rPr>
      <t>Kiểm tra `m_account` trên DB:
```sql
SELECT login_failure_count, account_lock_flg, account_lock_at
FROM m_account
WHERE login_id = :login_id;
```</t>
    </r>
  </si>
  <si>
    <r>
      <rPr>
        <rFont val="游ゴシック"/>
        <b/>
        <color rgb="FF000000"/>
        <sz val="10.0"/>
      </rPr>
      <t xml:space="preserve">ステップ1：
</t>
    </r>
    <r>
      <rPr>
        <rFont val="游ゴシック"/>
        <color rgb="FF000000"/>
        <sz val="10.0"/>
      </rPr>
      <t xml:space="preserve">Mỗi lần HTTP status code: 401, INVALID_CREDENTIALS
`login_failure_count` tăng từ 1 → 4
</t>
    </r>
    <r>
      <rPr>
        <rFont val="游ゴシック"/>
        <b/>
        <color rgb="FF000000"/>
        <sz val="10.0"/>
      </rPr>
      <t xml:space="preserve">ステップ2：
</t>
    </r>
    <r>
      <rPr>
        <rFont val="游ゴシック"/>
        <color rgb="FF000000"/>
        <sz val="10.0"/>
      </rPr>
      <t xml:space="preserve">HTTP status code: 401, INVALID_CREDENTIALS (response của lần 5 vẫn là INVALID_CREDENTIALS)
Phía DB: `login_failure_count = 5`, `account_lock_flg = true`, `account_lock_at = NOW()` được set trong cùng query
</t>
    </r>
    <r>
      <rPr>
        <rFont val="游ゴシック"/>
        <b/>
        <color rgb="FF000000"/>
        <sz val="10.0"/>
      </rPr>
      <t xml:space="preserve">ステップ3：
</t>
    </r>
    <r>
      <rPr>
        <rFont val="游ゴシック"/>
        <color rgb="FF000000"/>
        <sz val="10.0"/>
      </rPr>
      <t xml:space="preserve">HTTP status code: 401, ACCOUNT_LOCKED
message:「アカウントがロックされています。管理者へお問い合わせください。」
</t>
    </r>
    <r>
      <rPr>
        <rFont val="游ゴシック"/>
        <b/>
        <color rgb="FF000000"/>
        <sz val="10.0"/>
      </rPr>
      <t xml:space="preserve">ステップ4：
</t>
    </r>
    <r>
      <rPr>
        <rFont val="游ゴシック"/>
        <color rgb="FF000000"/>
        <sz val="10.0"/>
      </rPr>
      <t xml:space="preserve">`login_failure_count = 5`, `account_lock_flg = true`, `account_lock_at` là thời điểm thử lần 5
</t>
    </r>
    <r>
      <rPr>
        <rFont val="游ゴシック"/>
        <b/>
        <color rgb="FF000000"/>
        <sz val="10.0"/>
      </rPr>
      <t xml:space="preserve">補足：
</t>
    </r>
    <r>
      <rPr>
        <rFont val="游ゴシック"/>
        <color rgb="FF000000"/>
        <sz val="10.0"/>
      </rPr>
      <t>・Implementation: `UPDATE m_account SET login_failure_count = login_failure_count + 1, account_lock_flg = CASE WHEN login_failure_count + 1 &gt;= 5 THEN true ELSE account_lock_flg END, account_lock_at = CASE WHEN login_failure_count + 1 &gt;= 5 THEN NOW() ELSE account_lock_at END`
・Thực thi bằng query đơn để tránh race condition khi request đồng thời
・Response của lần 5 vẫn là INVALID_CREDENTIALS (theo spec), từ lần 6 trở đi mới phát ACCOUNT_LOCKED</t>
    </r>
  </si>
  <si>
    <t>Critical — Đảm bảo implementation của ngưỡng khóa và timing khóa đúng theo spec.</t>
  </si>
  <si>
    <t>ACSMS-TC-001-033</t>
  </si>
  <si>
    <t>Đăng nhập — Account ở trạng thái khóa (ACCOUNT_LOCKED)</t>
  </si>
  <si>
    <t>・Test account `account_lock_flg = true`, `login_failure_count = 5`
・Password đúng</t>
  </si>
  <si>
    <r>
      <rPr>
        <rFont val="メイリオ"/>
        <b/>
        <color rgb="FF000000"/>
        <sz val="10.0"/>
      </rPr>
      <t xml:space="preserve">ステップ1：
</t>
    </r>
    <r>
      <rPr>
        <rFont val="メイリオ"/>
        <color rgb="FF000000"/>
        <sz val="10.0"/>
      </rPr>
      <t xml:space="preserve">Thử đăng nhập với password đúng
</t>
    </r>
    <r>
      <rPr>
        <rFont val="メイリオ"/>
        <b/>
        <color rgb="FF000000"/>
        <sz val="10.0"/>
      </rPr>
      <t xml:space="preserve">ステップ2：
</t>
    </r>
    <r>
      <rPr>
        <rFont val="メイリオ"/>
        <color rgb="FF000000"/>
        <sz val="10.0"/>
      </rPr>
      <t xml:space="preserve">Kiểm tra `m_account` trên DB
</t>
    </r>
    <r>
      <rPr>
        <rFont val="メイリオ"/>
        <b/>
        <color rgb="FF000000"/>
        <sz val="10.0"/>
      </rPr>
      <t xml:space="preserve">ステップ3：
</t>
    </r>
    <r>
      <rPr>
        <rFont val="メイリオ"/>
        <color rgb="FF000000"/>
        <sz val="10.0"/>
      </rPr>
      <t>Kiểm tra `t_login_log` trên DB</t>
    </r>
  </si>
  <si>
    <r>
      <rPr>
        <rFont val="メイリオ"/>
        <b/>
        <color rgb="FF000000"/>
        <sz val="10.0"/>
      </rPr>
      <t xml:space="preserve">ステップ1：
</t>
    </r>
    <r>
      <rPr>
        <rFont val="メイリオ"/>
        <color rgb="FF000000"/>
        <sz val="10.0"/>
      </rPr>
      <t xml:space="preserve">HTTP status code: 401
</t>
    </r>
    <r>
      <rPr>
        <rFont val="メイリオ"/>
        <color rgb="FF000000"/>
        <sz val="10.0"/>
      </rPr>
      <t xml:space="preserve">error_code: ACCOUNT_LOCKED
</t>
    </r>
    <r>
      <rPr>
        <rFont val="メイリオ"/>
        <color rgb="FF000000"/>
        <sz val="10.0"/>
      </rPr>
      <t xml:space="preserve">message:「アカウントがロックされています。管理者へお問い合わせください。」
</t>
    </r>
    <r>
      <rPr>
        <rFont val="メイリオ"/>
        <color rgb="FF000000"/>
        <sz val="10.0"/>
      </rPr>
      <t xml:space="preserve">Toast hiển thị, vẫn ở màn hình đăng nhập
</t>
    </r>
    <r>
      <rPr>
        <rFont val="メイリオ"/>
        <b/>
        <color rgb="FF000000"/>
        <sz val="10.0"/>
      </rPr>
      <t xml:space="preserve">ステップ2：
</t>
    </r>
    <r>
      <rPr>
        <rFont val="メイリオ"/>
        <color rgb="FF000000"/>
        <sz val="10.0"/>
      </rPr>
      <t xml:space="preserve">`account_lock_flg = true` vẫn giữ, từ chối ở bước check khóa trước bcrypt.compare
</t>
    </r>
    <r>
      <rPr>
        <rFont val="メイリオ"/>
        <b/>
        <color rgb="FF000000"/>
        <sz val="10.0"/>
      </rPr>
      <t xml:space="preserve">ステップ3：
</t>
    </r>
    <r>
      <rPr>
        <rFont val="メイリオ"/>
        <color rgb="FF000000"/>
        <sz val="10.0"/>
      </rPr>
      <t xml:space="preserve">`login_result = 2`, `failure_reason = 'account_locked'`
</t>
    </r>
    <r>
      <rPr>
        <rFont val="メイリオ"/>
        <b/>
        <color rgb="FF000000"/>
        <sz val="10.0"/>
      </rPr>
      <t xml:space="preserve">補足：
</t>
    </r>
    <r>
      <rPr>
        <rFont val="メイリオ"/>
        <color rgb="FF000000"/>
        <sz val="10.0"/>
      </rPr>
      <t xml:space="preserve">・Check khóa thực thi trước bcrypt.compare (phòng timing attack)
</t>
    </r>
    <r>
      <rPr>
        <rFont val="メイリオ"/>
        <color rgb="FF000000"/>
        <sz val="10.0"/>
      </rPr>
      <t xml:space="preserve">・Không tự động unlock, chỉ unlock thủ công qua màn hình chỉnh sửa account của admin
</t>
    </r>
    <r>
      <rPr>
        <rFont val="メイリオ"/>
        <color rgb="FF000000"/>
        <sz val="10.0"/>
      </rPr>
      <t xml:space="preserve">・Reset password (SCR-012) không unlock khóa
</t>
    </r>
    <r>
      <rPr>
        <rFont val="メイリオ"/>
        <color rgb="FF000000"/>
        <sz val="10.0"/>
      </rPr>
      <t>・Tương ứng ACSMS-MSG-001-013</t>
    </r>
  </si>
  <si>
    <t>ACSMS-TC-001-034</t>
  </si>
  <si>
    <t>Đăng nhập thành công — Reset failure count + cập nhật last_login_at</t>
  </si>
  <si>
    <t>・Test account `login_failure_count = 3`, `account_lock_flg = false`
・Password đúng</t>
  </si>
  <si>
    <r>
      <rPr>
        <rFont val="游ゴシック"/>
        <b/>
        <color rgb="FF000000"/>
        <sz val="10.0"/>
      </rPr>
      <t xml:space="preserve">ステップ1：
</t>
    </r>
    <r>
      <rPr>
        <rFont val="游ゴシック"/>
        <color rgb="FF000000"/>
        <sz val="10.0"/>
      </rPr>
      <t xml:space="preserve">Đăng nhập với thông tin xác thực đúng
</t>
    </r>
    <r>
      <rPr>
        <rFont val="游ゴシック"/>
        <b/>
        <color rgb="FF000000"/>
        <sz val="10.0"/>
      </rPr>
      <t xml:space="preserve">ステップ2：
</t>
    </r>
    <r>
      <rPr>
        <rFont val="游ゴシック"/>
        <color rgb="FF000000"/>
        <sz val="10.0"/>
      </rPr>
      <t>Kiểm tra `m_account` trên DB:
```sql
SELECT login_failure_count, last_login_at
FROM m_account
WHERE login_id = :login_id;
```</t>
    </r>
  </si>
  <si>
    <r>
      <rPr>
        <rFont val="メイリオ"/>
        <b/>
        <color rgb="FF000000"/>
        <sz val="10.0"/>
      </rPr>
      <t xml:space="preserve">ステップ1：
</t>
    </r>
    <r>
      <rPr>
        <rFont val="メイリオ"/>
        <color rgb="FF000000"/>
        <sz val="10.0"/>
      </rPr>
      <t xml:space="preserve">HTTP status code: 200, đăng nhập thành công
</t>
    </r>
    <r>
      <rPr>
        <rFont val="メイリオ"/>
        <b/>
        <color rgb="FF000000"/>
        <sz val="10.0"/>
      </rPr>
      <t xml:space="preserve">ステップ2：
</t>
    </r>
    <r>
      <rPr>
        <rFont val="メイリオ"/>
        <color rgb="FF000000"/>
        <sz val="10.0"/>
      </rPr>
      <t xml:space="preserve">`login_failure_count = 0` (reset hoàn tất)
</t>
    </r>
    <r>
      <rPr>
        <rFont val="メイリオ"/>
        <color rgb="FF000000"/>
        <sz val="10.0"/>
      </rPr>
      <t xml:space="preserve">`last_login_at = thời điểm hiện tại`
</t>
    </r>
    <r>
      <rPr>
        <rFont val="メイリオ"/>
        <b/>
        <color rgb="FF000000"/>
        <sz val="10.0"/>
      </rPr>
      <t xml:space="preserve">補足：
</t>
    </r>
    <r>
      <rPr>
        <rFont val="メイリオ"/>
        <color rgb="FF000000"/>
        <sz val="10.0"/>
      </rPr>
      <t xml:space="preserve">・Implementation: `UPDATE m_account SET login_failure_count = 0, last_login_at = NOW()`
</t>
    </r>
    <r>
      <rPr>
        <rFont val="メイリオ"/>
        <color rgb="FF000000"/>
        <sz val="10.0"/>
      </rPr>
      <t xml:space="preserve">・Bộ đếm thất bại liên tục bắt buộc reset khi thành công (spec §4.3)
</t>
    </r>
    <r>
      <rPr>
        <rFont val="メイリオ"/>
        <color rgb="FF000000"/>
        <sz val="10.0"/>
      </rPr>
      <t>・Ngưỡng khóa là số lần thất bại "liên tục"</t>
    </r>
  </si>
  <si>
    <t>ACSMS-TC-001-035</t>
  </si>
  <si>
    <t>Đăng nhập — Từ chối account đã xóa</t>
  </si>
  <si>
    <t>・Test account `deleted_at = '2026-01-01 00:00:00'` (đã soft delete)
・Password đúng</t>
  </si>
  <si>
    <r>
      <rPr>
        <rFont val="メイリオ"/>
        <b/>
        <color rgb="FF000000"/>
        <sz val="10.0"/>
      </rPr>
      <t xml:space="preserve">ステップ1：
</t>
    </r>
    <r>
      <rPr>
        <rFont val="メイリオ"/>
        <color rgb="FF000000"/>
        <sz val="10.0"/>
      </rPr>
      <t xml:space="preserve">Đăng nhập với account đã soft delete
</t>
    </r>
    <r>
      <rPr>
        <rFont val="メイリオ"/>
        <b/>
        <color rgb="FF000000"/>
        <sz val="10.0"/>
      </rPr>
      <t xml:space="preserve">ステップ2：
</t>
    </r>
    <r>
      <rPr>
        <rFont val="メイリオ"/>
        <color rgb="FF000000"/>
        <sz val="10.0"/>
      </rPr>
      <t>Kiểm tra `t_login_log` trên DB</t>
    </r>
  </si>
  <si>
    <r>
      <rPr>
        <rFont val="游ゴシック"/>
        <b/>
        <color rgb="FF000000"/>
        <sz val="10.0"/>
      </rPr>
      <t xml:space="preserve">ステップ1：
</t>
    </r>
    <r>
      <rPr>
        <rFont val="游ゴシック"/>
        <color rgb="FF000000"/>
        <sz val="10.0"/>
      </rPr>
      <t xml:space="preserve">HTTP status code: 401
error_code: INVALID_CREDENTIALS
message:「ユーザーIDまたはパスワードが正しくありません。」
(Ẩn sự tồn tại của account đã xóa, response giống không tồn tại)
</t>
    </r>
    <r>
      <rPr>
        <rFont val="游ゴシック"/>
        <b/>
        <color rgb="FF000000"/>
        <sz val="10.0"/>
      </rPr>
      <t xml:space="preserve">ステップ2：
</t>
    </r>
    <r>
      <rPr>
        <rFont val="游ゴシック"/>
        <color rgb="FF000000"/>
        <sz val="10.0"/>
      </rPr>
      <t xml:space="preserve">`login_result = 2`, `failure_reason = 'account_not_found'`, `account_id = NULL`
</t>
    </r>
    <r>
      <rPr>
        <rFont val="游ゴシック"/>
        <b/>
        <color rgb="FF000000"/>
        <sz val="10.0"/>
      </rPr>
      <t xml:space="preserve">補足：
</t>
    </r>
    <r>
      <rPr>
        <rFont val="游ゴシック"/>
        <color rgb="FF000000"/>
        <sz val="10.0"/>
      </rPr>
      <t>・Implementation: `accountRepo.findOne({ where: { loginId: dto.login_id, deletedAt: IsNull() } })`
・Account đã soft delete bị loại khỏi findOne result do điều kiện `deletedAt IS NULL`
・Không thể phân biệt với account không tồn tại (phòng rò rỉ thông tin)</t>
    </r>
  </si>
  <si>
    <t>Logic nghiệp vụ — MFA (Function — MFA)</t>
  </si>
  <si>
    <t>ACSMS-TC-001-036</t>
  </si>
  <si>
    <t>MFA — Phát hành OTP + gửi mail</t>
  </si>
  <si>
    <t>・Test account `mfa_enable_flg = true`, đã set email hợp lệ</t>
  </si>
  <si>
    <r>
      <rPr>
        <rFont val="游ゴシック"/>
        <b/>
        <color rgb="FF000000"/>
        <sz val="10.0"/>
      </rPr>
      <t xml:space="preserve">ステップ1：
</t>
    </r>
    <r>
      <rPr>
        <rFont val="游ゴシック"/>
        <color rgb="FF000000"/>
        <sz val="10.0"/>
      </rPr>
      <t xml:space="preserve">Đăng nhập với thông tin xác thực đúng
</t>
    </r>
    <r>
      <rPr>
        <rFont val="游ゴシック"/>
        <b/>
        <color rgb="FF000000"/>
        <sz val="10.0"/>
      </rPr>
      <t xml:space="preserve">ステップ2：
</t>
    </r>
    <r>
      <rPr>
        <rFont val="游ゴシック"/>
        <color rgb="FF000000"/>
        <sz val="10.0"/>
      </rPr>
      <t xml:space="preserve">Kiểm tra response
</t>
    </r>
    <r>
      <rPr>
        <rFont val="游ゴシック"/>
        <b/>
        <color rgb="FF000000"/>
        <sz val="10.0"/>
      </rPr>
      <t xml:space="preserve">ステップ3：
</t>
    </r>
    <r>
      <rPr>
        <rFont val="游ゴシック"/>
        <color rgb="FF000000"/>
        <sz val="10.0"/>
      </rPr>
      <t xml:space="preserve">Kiểm tra `t_mfa_otp` trên DB:
```sql
SELECT otp_id, account_id, otp_type, expired_at,
verify_attempt_count, resend_count, used_flg
FROM t_mfa_otp
WHERE account_id = :account_id
ORDER BY created_at DESC
LIMIT 1;
```
</t>
    </r>
    <r>
      <rPr>
        <rFont val="游ゴシック"/>
        <b/>
        <color rgb="FF000000"/>
        <sz val="10.0"/>
      </rPr>
      <t xml:space="preserve">ステップ4：
</t>
    </r>
    <r>
      <rPr>
        <rFont val="游ゴシック"/>
        <color rgb="FF000000"/>
        <sz val="10.0"/>
      </rPr>
      <t>Kiểm tra mail nhận được</t>
    </r>
  </si>
  <si>
    <r>
      <rPr>
        <rFont val="メイリオ"/>
        <b/>
        <color rgb="FF000000"/>
        <sz val="10.0"/>
      </rPr>
      <t xml:space="preserve">ステップ1：
</t>
    </r>
    <r>
      <rPr>
        <rFont val="メイリオ"/>
        <color rgb="FF000000"/>
        <sz val="10.0"/>
      </rPr>
      <t xml:space="preserve">HTTP status code: 200
</t>
    </r>
    <r>
      <rPr>
        <rFont val="メイリオ"/>
        <b/>
        <color rgb="FF000000"/>
        <sz val="10.0"/>
      </rPr>
      <t xml:space="preserve">ステップ2：
</t>
    </r>
    <r>
      <rPr>
        <rFont val="メイリオ"/>
        <color rgb="FF000000"/>
        <sz val="10.0"/>
      </rPr>
      <t xml:space="preserve">`data.mfa_required = true`, `data.mfa_token` định dạng UUID, `data.expires_in = 300`
</t>
    </r>
    <r>
      <rPr>
        <rFont val="メイリオ"/>
        <color rgb="FF000000"/>
        <sz val="10.0"/>
      </rPr>
      <t xml:space="preserve">Chuyển sang màn hình MFA (/mfa-verify?mfa_token=...)
</t>
    </r>
    <r>
      <rPr>
        <rFont val="メイリオ"/>
        <b/>
        <color rgb="FF000000"/>
        <sz val="10.0"/>
      </rPr>
      <t xml:space="preserve">ステップ3：
</t>
    </r>
    <r>
      <rPr>
        <rFont val="メイリオ"/>
        <color rgb="FF000000"/>
        <sz val="10.0"/>
      </rPr>
      <t xml:space="preserve">1 row, `otp_type = 1` (MFA), `expired_at = NOW() + 5 phút`, `verify_attempt_count = 0`, `resend_count = 0`, `used_flg = false`, `otp_code_hash` là bcrypt hash
</t>
    </r>
    <r>
      <rPr>
        <rFont val="メイリオ"/>
        <b/>
        <color rgb="FF000000"/>
        <sz val="10.0"/>
      </rPr>
      <t xml:space="preserve">ステップ4：
</t>
    </r>
    <r>
      <rPr>
        <rFont val="メイリオ"/>
        <color rgb="FF000000"/>
        <sz val="10.0"/>
      </rPr>
      <t xml:space="preserve">Mail tiêu đề「【agrinews】ログイン認証コード」được nhận, mã 6 chữ số có trong nội dung
</t>
    </r>
    <r>
      <rPr>
        <rFont val="メイリオ"/>
        <b/>
        <color rgb="FF000000"/>
        <sz val="10.0"/>
      </rPr>
      <t xml:space="preserve">補足：
</t>
    </r>
    <r>
      <rPr>
        <rFont val="メイリオ"/>
        <color rgb="FF000000"/>
        <sz val="10.0"/>
      </rPr>
      <t xml:space="preserve">・OTP code được tạo qua `randomInt(0, 1_000_000).padStart(6, '0')`
</t>
    </r>
    <r>
      <rPr>
        <rFont val="メイリオ"/>
        <color rgb="FF000000"/>
        <sz val="10.0"/>
      </rPr>
      <t xml:space="preserve">・Bcrypt hash hóa và lưu DB (không lưu literal)
</t>
    </r>
    <r>
      <rPr>
        <rFont val="メイリオ"/>
        <color rgb="FF000000"/>
        <sz val="10.0"/>
      </rPr>
      <t xml:space="preserve">・Gửi mail là async, dù gửi thất bại thì OTP vẫn được phát hành (có thể gửi lại)
</t>
    </r>
    <r>
      <rPr>
        <rFont val="メイリオ"/>
        <color rgb="FF000000"/>
        <sz val="10.0"/>
      </rPr>
      <t>・OTP chưa sử dụng hiện có (cùng account, otp_type=1) bị invalidate trước</t>
    </r>
  </si>
  <si>
    <t>ACSMS-TC-001-037</t>
  </si>
  <si>
    <t>MFA — Xác thực thành công → màn hình chính</t>
  </si>
  <si>
    <t>・Đã chuyển sang màn hình MFA, đang giữ mfa_token hợp lệ
・Đã lấy 6 số OTP từ mail</t>
  </si>
  <si>
    <r>
      <rPr>
        <rFont val="メイリオ"/>
        <b/>
        <color rgb="FF000000"/>
        <sz val="10.0"/>
      </rPr>
      <t xml:space="preserve">ステップ1：
</t>
    </r>
    <r>
      <rPr>
        <rFont val="メイリオ"/>
        <color rgb="FF000000"/>
        <sz val="10.0"/>
      </rPr>
      <t xml:space="preserve">Nhập 6 số OTP → click nút xác thực
</t>
    </r>
    <r>
      <rPr>
        <rFont val="メイリオ"/>
        <b/>
        <color rgb="FF000000"/>
        <sz val="10.0"/>
      </rPr>
      <t xml:space="preserve">ステップ2：
</t>
    </r>
    <r>
      <rPr>
        <rFont val="メイリオ"/>
        <color rgb="FF000000"/>
        <sz val="10.0"/>
      </rPr>
      <t xml:space="preserve">Kiểm tra response và Cookie browser
</t>
    </r>
    <r>
      <rPr>
        <rFont val="メイリオ"/>
        <b/>
        <color rgb="FF000000"/>
        <sz val="10.0"/>
      </rPr>
      <t xml:space="preserve">ステップ3：
</t>
    </r>
    <r>
      <rPr>
        <rFont val="メイリオ"/>
        <color rgb="FF000000"/>
        <sz val="10.0"/>
      </rPr>
      <t>Kiểm tra `t_mfa_otp` và `t_login_log` trên DB</t>
    </r>
  </si>
  <si>
    <r>
      <rPr>
        <rFont val="メイリオ"/>
        <b/>
        <color rgb="FF000000"/>
        <sz val="10.0"/>
      </rPr>
      <t xml:space="preserve">ステップ1：
</t>
    </r>
    <r>
      <rPr>
        <rFont val="メイリオ"/>
        <color rgb="FF000000"/>
        <sz val="10.0"/>
      </rPr>
      <t xml:space="preserve">HTTP status code: 200, trả về `data.user`
</t>
    </r>
    <r>
      <rPr>
        <rFont val="メイリオ"/>
        <color rgb="FF000000"/>
        <sz val="10.0"/>
      </rPr>
      <t xml:space="preserve">Toast「ログインしました。」hiển thị, chuyển về `/dashboard`
</t>
    </r>
    <r>
      <rPr>
        <rFont val="メイリオ"/>
        <b/>
        <color rgb="FF000000"/>
        <sz val="10.0"/>
      </rPr>
      <t xml:space="preserve">ステップ2：
</t>
    </r>
    <r>
      <rPr>
        <rFont val="メイリオ"/>
        <color rgb="FF000000"/>
        <sz val="10.0"/>
      </rPr>
      <t xml:space="preserve">Cookie `session_id` được set, lưu session vào Redis
</t>
    </r>
    <r>
      <rPr>
        <rFont val="メイリオ"/>
        <color rgb="FF000000"/>
        <sz val="10.0"/>
      </rPr>
      <t xml:space="preserve">Array permissions theo role trong `data.user`
</t>
    </r>
    <r>
      <rPr>
        <rFont val="メイリオ"/>
        <b/>
        <color rgb="FF000000"/>
        <sz val="10.0"/>
      </rPr>
      <t xml:space="preserve">ステップ3：
</t>
    </r>
    <r>
      <rPr>
        <rFont val="メイリオ"/>
        <color rgb="FF000000"/>
        <sz val="10.0"/>
      </rPr>
      <t xml:space="preserve">`t_mfa_otp.used_flg = true` được cập nhật (OTP đã sử dụng)
</t>
    </r>
    <r>
      <rPr>
        <rFont val="メイリオ"/>
        <color rgb="FF000000"/>
        <sz val="10.0"/>
      </rPr>
      <t xml:space="preserve">Thêm record vào `t_login_log` với `login_result = 1`, `failure_reason` rỗng
</t>
    </r>
    <r>
      <rPr>
        <rFont val="メイリオ"/>
        <b/>
        <color rgb="FF000000"/>
        <sz val="10.0"/>
      </rPr>
      <t xml:space="preserve">補足：
</t>
    </r>
    <r>
      <rPr>
        <rFont val="メイリオ"/>
        <color rgb="FF000000"/>
        <sz val="10.0"/>
      </rPr>
      <t xml:space="preserve">・Implementation: bcrypt.compare(otpCode, otp.otpCodeHash) để đối chiếu
</t>
    </r>
    <r>
      <rPr>
        <rFont val="メイリオ"/>
        <color rgb="FF000000"/>
        <sz val="10.0"/>
      </rPr>
      <t xml:space="preserve">・Sau thành công, xóa entry tương ứng khỏi mfaTokenToOtpId Map
</t>
    </r>
    <r>
      <rPr>
        <rFont val="メイリオ"/>
        <color rgb="FF000000"/>
        <sz val="10.0"/>
      </rPr>
      <t>・Countdown timer được dừng</t>
    </r>
  </si>
  <si>
    <t>ACSMS-TC-001-038</t>
  </si>
  <si>
    <t>MFA — Mã xác thực sai → tăng số lần thử</t>
  </si>
  <si>
    <t>・Màn hình MFA, mfa_token hợp lệ, `verify_attempt_count = 0`</t>
  </si>
  <si>
    <r>
      <rPr>
        <rFont val="游ゴシック"/>
        <b/>
        <color rgb="FF000000"/>
        <sz val="10.0"/>
      </rPr>
      <t xml:space="preserve">ステップ1：
</t>
    </r>
    <r>
      <rPr>
        <rFont val="游ゴシック"/>
        <color rgb="FF000000"/>
        <sz val="10.0"/>
      </rPr>
      <t xml:space="preserve">Nhập OTP sai 6 số `000000` → click nút xác thực
</t>
    </r>
    <r>
      <rPr>
        <rFont val="游ゴシック"/>
        <b/>
        <color rgb="FF000000"/>
        <sz val="10.0"/>
      </rPr>
      <t xml:space="preserve">ステップ2：
</t>
    </r>
    <r>
      <rPr>
        <rFont val="游ゴシック"/>
        <color rgb="FF000000"/>
        <sz val="10.0"/>
      </rPr>
      <t xml:space="preserve">Kiểm tra response và DB:
```sql
SELECT verify_attempt_count, used_flg
FROM t_mfa_otp
WHERE otp_id = :otp_id;
```
</t>
    </r>
    <r>
      <rPr>
        <rFont val="游ゴシック"/>
        <b/>
        <color rgb="FF000000"/>
        <sz val="10.0"/>
      </rPr>
      <t xml:space="preserve">ステップ3：
</t>
    </r>
    <r>
      <rPr>
        <rFont val="游ゴシック"/>
        <color rgb="FF000000"/>
        <sz val="10.0"/>
      </rPr>
      <t>Thử xác thực lại với OTP đúng</t>
    </r>
  </si>
  <si>
    <r>
      <rPr>
        <rFont val="游ゴシック"/>
        <b/>
        <color rgb="FF000000"/>
        <sz val="10.0"/>
      </rPr>
      <t xml:space="preserve">ステップ1：
</t>
    </r>
    <r>
      <rPr>
        <rFont val="游ゴシック"/>
        <color rgb="FF000000"/>
        <sz val="10.0"/>
      </rPr>
      <t xml:space="preserve">HTTP status code: 401
error_code: INVALID_OTP
message:「認証コードが正しくありません。」
Toast hiển thị, vẫn ở màn hình MFA
</t>
    </r>
    <r>
      <rPr>
        <rFont val="游ゴシック"/>
        <b/>
        <color rgb="FF000000"/>
        <sz val="10.0"/>
      </rPr>
      <t xml:space="preserve">ステップ2：
</t>
    </r>
    <r>
      <rPr>
        <rFont val="游ゴシック"/>
        <color rgb="FF000000"/>
        <sz val="10.0"/>
      </rPr>
      <t xml:space="preserve">`verify_attempt_count = 1`, `used_flg = false` (OTP vẫn có thể sử dụng)
</t>
    </r>
    <r>
      <rPr>
        <rFont val="游ゴシック"/>
        <b/>
        <color rgb="FF000000"/>
        <sz val="10.0"/>
      </rPr>
      <t xml:space="preserve">ステップ3：
</t>
    </r>
    <r>
      <rPr>
        <rFont val="游ゴシック"/>
        <color rgb="FF000000"/>
        <sz val="10.0"/>
      </rPr>
      <t xml:space="preserve">Xác thực thành công với OTP đúng (trong số lần thử còn lại)
</t>
    </r>
    <r>
      <rPr>
        <rFont val="游ゴシック"/>
        <b/>
        <color rgb="FF000000"/>
        <sz val="10.0"/>
      </rPr>
      <t xml:space="preserve">補足：
</t>
    </r>
    <r>
      <rPr>
        <rFont val="游ゴシック"/>
        <color rgb="FF000000"/>
        <sz val="10.0"/>
      </rPr>
      <t>・Tăng số lần thử thêm 1 với 1 lần sai
・OTP có thể thử tối đa 5 lần, vượt quá 5 lần thì bị invalidate
・Tương ứng ACSMS-MSG-001-006</t>
    </r>
  </si>
  <si>
    <t>ACSMS-TC-001-039</t>
  </si>
  <si>
    <t>MFA — Thất bại 5 lần → OTP_MAX_ATTEMPTS + invalidate OTP</t>
  </si>
  <si>
    <r>
      <rPr>
        <rFont val="メイリオ"/>
        <b/>
        <color rgb="FF000000"/>
        <sz val="10.0"/>
      </rPr>
      <t xml:space="preserve">ステップ1：
</t>
    </r>
    <r>
      <rPr>
        <rFont val="メイリオ"/>
        <color rgb="FF000000"/>
        <sz val="10.0"/>
      </rPr>
      <t xml:space="preserve">Nhập OTP sai từ lần 1 đến lần 4 → click nút xác thực
</t>
    </r>
    <r>
      <rPr>
        <rFont val="メイリオ"/>
        <b/>
        <color rgb="FF000000"/>
        <sz val="10.0"/>
      </rPr>
      <t xml:space="preserve">ステップ2：
</t>
    </r>
    <r>
      <rPr>
        <rFont val="メイリオ"/>
        <color rgb="FF000000"/>
        <sz val="10.0"/>
      </rPr>
      <t xml:space="preserve">Nhập OTP sai lần thứ 5 → click nút xác thực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Thử nhập lần thứ 6 (kể cả OTP đúng)</t>
    </r>
  </si>
  <si>
    <r>
      <rPr>
        <rFont val="メイリオ"/>
        <b/>
        <color rgb="FF000000"/>
        <sz val="10.0"/>
      </rPr>
      <t xml:space="preserve">ステップ1：
</t>
    </r>
    <r>
      <rPr>
        <rFont val="メイリオ"/>
        <color rgb="FF000000"/>
        <sz val="10.0"/>
      </rPr>
      <t xml:space="preserve">Mỗi lần HTTP status code: 401, INVALID_OTP
</t>
    </r>
    <r>
      <rPr>
        <rFont val="メイリオ"/>
        <color rgb="FF000000"/>
        <sz val="10.0"/>
      </rPr>
      <t xml:space="preserve">`verify_attempt_count` tăng từ 1 → 4
</t>
    </r>
    <r>
      <rPr>
        <rFont val="メイリオ"/>
        <b/>
        <color rgb="FF000000"/>
        <sz val="10.0"/>
      </rPr>
      <t xml:space="preserve">ステップ2：
</t>
    </r>
    <r>
      <rPr>
        <rFont val="メイリオ"/>
        <color rgb="FF000000"/>
        <sz val="10.0"/>
      </rPr>
      <t xml:space="preserve">HTTP status code: 401
</t>
    </r>
    <r>
      <rPr>
        <rFont val="メイリオ"/>
        <color rgb="FF000000"/>
        <sz val="10.0"/>
      </rPr>
      <t xml:space="preserve">error_code: OTP_MAX_ATTEMPTS
</t>
    </r>
    <r>
      <rPr>
        <rFont val="メイリオ"/>
        <color rgb="FF000000"/>
        <sz val="10.0"/>
      </rPr>
      <t xml:space="preserve">message:「認証コードの入力回数が上限に達しました。再度ログインしてください。」
</t>
    </r>
    <r>
      <rPr>
        <rFont val="メイリオ"/>
        <b/>
        <color rgb="FF000000"/>
        <sz val="10.0"/>
      </rPr>
      <t xml:space="preserve">ステップ3：
</t>
    </r>
    <r>
      <rPr>
        <rFont val="メイリオ"/>
        <color rgb="FF000000"/>
        <sz val="10.0"/>
      </rPr>
      <t xml:space="preserve">`verify_attempt_count = 5`, `used_flg = true` (OTP bị invalidate)
</t>
    </r>
    <r>
      <rPr>
        <rFont val="メイリオ"/>
        <b/>
        <color rgb="FF000000"/>
        <sz val="10.0"/>
      </rPr>
      <t xml:space="preserve">ステップ4：
</t>
    </r>
    <r>
      <rPr>
        <rFont val="メイリオ"/>
        <color rgb="FF000000"/>
        <sz val="10.0"/>
      </rPr>
      <t xml:space="preserve">HTTP status code: 401
</t>
    </r>
    <r>
      <rPr>
        <rFont val="メイリオ"/>
        <color rgb="FF000000"/>
        <sz val="10.0"/>
      </rPr>
      <t xml:space="preserve">error_code: INVALID_MFA_TOKEN hoặc OTP_MAX_ATTEMPTS
</t>
    </r>
    <r>
      <rPr>
        <rFont val="メイリオ"/>
        <color rgb="FF000000"/>
        <sz val="10.0"/>
      </rPr>
      <t xml:space="preserve">(Vì entry đã bị xóa khỏi mfaTokenToOtpId Map, lần thử mới được xử lý là token không hợp lệ)
</t>
    </r>
    <r>
      <rPr>
        <rFont val="メイリオ"/>
        <b/>
        <color rgb="FF000000"/>
        <sz val="10.0"/>
      </rPr>
      <t xml:space="preserve">補足：
</t>
    </r>
    <r>
      <rPr>
        <rFont val="メイリオ"/>
        <color rgb="FF000000"/>
        <sz val="10.0"/>
      </rPr>
      <t xml:space="preserve">・5 lần thất bại liên tục thì invalidate OTP, xóa mapping token
</t>
    </r>
    <r>
      <rPr>
        <rFont val="メイリオ"/>
        <color rgb="FF000000"/>
        <sz val="10.0"/>
      </rPr>
      <t xml:space="preserve">・User cần đăng nhập lại để lấy OTP mới
</t>
    </r>
    <r>
      <rPr>
        <rFont val="メイリオ"/>
        <color rgb="FF000000"/>
        <sz val="10.0"/>
      </rPr>
      <t>・Tương ứng ACSMS-MSG-001-008</t>
    </r>
  </si>
  <si>
    <t>ACSMS-TC-001-040</t>
  </si>
  <si>
    <t>MFA — Hết 5 phút → OTP_EXPIRED + vô hiệu nút xác thực</t>
  </si>
  <si>
    <t>・Màn hình MFA, mfa_token hợp lệ
・Đã quá 5 phút từ khi phát hành OTP (`expired_at &lt; NOW()`)</t>
  </si>
  <si>
    <r>
      <rPr>
        <rFont val="メイリオ"/>
        <b/>
        <color rgb="FF000000"/>
        <sz val="10.0"/>
      </rPr>
      <t xml:space="preserve">ステップ1：
</t>
    </r>
    <r>
      <rPr>
        <rFont val="メイリオ"/>
        <color rgb="FF000000"/>
        <sz val="10.0"/>
      </rPr>
      <t xml:space="preserve">Đợi đến khi countdown về 0:00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 xml:space="preserve">Trên DevTools Console gọi API trực tiếp, thử xác thực
</t>
    </r>
    <r>
      <rPr>
        <rFont val="メイリオ"/>
        <b/>
        <color rgb="FF000000"/>
        <sz val="10.0"/>
      </rPr>
      <t xml:space="preserve">ステップ4：
</t>
    </r>
    <r>
      <rPr>
        <rFont val="メイリオ"/>
        <color rgb="FF000000"/>
        <sz val="10.0"/>
      </rPr>
      <t>Kiểm tra `t_mfa_otp.used_flg` trên DB</t>
    </r>
  </si>
  <si>
    <r>
      <rPr>
        <rFont val="メイリオ"/>
        <b/>
        <color rgb="FF000000"/>
        <sz val="10.0"/>
      </rPr>
      <t xml:space="preserve">ステップ1：
</t>
    </r>
    <r>
      <rPr>
        <rFont val="メイリオ"/>
        <color rgb="FF000000"/>
        <sz val="10.0"/>
      </rPr>
      <t xml:space="preserve">Countdown hiển thị「00:00」
</t>
    </r>
    <r>
      <rPr>
        <rFont val="メイリオ"/>
        <b/>
        <color rgb="FF000000"/>
        <sz val="10.0"/>
      </rPr>
      <t xml:space="preserve">ステップ2：
</t>
    </r>
    <r>
      <rPr>
        <rFont val="メイリオ"/>
        <color rgb="FF000000"/>
        <sz val="10.0"/>
      </rPr>
      <t xml:space="preserve">Nút xác thực bị vô hiệu (`:disabled="otp.length !== 6 || expired"`)
</t>
    </r>
    <r>
      <rPr>
        <rFont val="メイリオ"/>
        <color rgb="FF000000"/>
        <sz val="10.0"/>
      </rPr>
      <t xml:space="preserve">User chỉ có thể「コードを再送する」hoặc「ログイン画面に戻る」thủ công
</t>
    </r>
    <r>
      <rPr>
        <rFont val="メイリオ"/>
        <b/>
        <color rgb="FF000000"/>
        <sz val="10.0"/>
      </rPr>
      <t xml:space="preserve">ステップ3：
</t>
    </r>
    <r>
      <rPr>
        <rFont val="メイリオ"/>
        <color rgb="FF000000"/>
        <sz val="10.0"/>
      </rPr>
      <t xml:space="preserve">HTTP status code: 401
</t>
    </r>
    <r>
      <rPr>
        <rFont val="メイリオ"/>
        <color rgb="FF000000"/>
        <sz val="10.0"/>
      </rPr>
      <t xml:space="preserve">error_code: OTP_EXPIRED
</t>
    </r>
    <r>
      <rPr>
        <rFont val="メイリオ"/>
        <color rgb="FF000000"/>
        <sz val="10.0"/>
      </rPr>
      <t xml:space="preserve">message:「認証コードの有効期限が切れました。再度ログインしてください。」
</t>
    </r>
    <r>
      <rPr>
        <rFont val="メイリオ"/>
        <b/>
        <color rgb="FF000000"/>
        <sz val="10.0"/>
      </rPr>
      <t xml:space="preserve">ステップ4：
</t>
    </r>
    <r>
      <rPr>
        <rFont val="メイリオ"/>
        <color rgb="FF000000"/>
        <sz val="10.0"/>
      </rPr>
      <t xml:space="preserve">`used_flg = true` được cập nhật (OTP invalidate)
</t>
    </r>
    <r>
      <rPr>
        <rFont val="メイリオ"/>
        <b/>
        <color rgb="FF000000"/>
        <sz val="10.0"/>
      </rPr>
      <t xml:space="preserve">補足：
</t>
    </r>
    <r>
      <rPr>
        <rFont val="メイリオ"/>
        <color rgb="FF000000"/>
        <sz val="10.0"/>
      </rPr>
      <t xml:space="preserve">・FE: khi countdown 0 thì `expired = true`, vô hiệu nút xác thực
</t>
    </r>
    <r>
      <rPr>
        <rFont val="メイリオ"/>
        <color rgb="FF000000"/>
        <sz val="10.0"/>
      </rPr>
      <t xml:space="preserve">・BE: exception OTP_EXPIRED khi `expired_at &lt; Date.now()`
</t>
    </r>
    <r>
      <rPr>
        <rFont val="メイリオ"/>
        <color rgb="FF000000"/>
        <sz val="10.0"/>
      </rPr>
      <t>・Tương ứng ACSMS-MSG-001-007</t>
    </r>
  </si>
  <si>
    <t>ACSMS-TC-001-041</t>
  </si>
  <si>
    <t>MFA — Gửi lại (sau 60 giây) → phát hành OTP mới</t>
  </si>
  <si>
    <t>・Màn hình MFA, mfa_token hợp lệ
・Đã quá 60 giây từ khi phát hành OTP, `resend_count = 0`</t>
  </si>
  <si>
    <r>
      <rPr>
        <rFont val="メイリオ"/>
        <b/>
        <color rgb="FF000000"/>
        <sz val="10.0"/>
      </rPr>
      <t xml:space="preserve">ステップ1：
</t>
    </r>
    <r>
      <rPr>
        <rFont val="メイリオ"/>
        <color rgb="FF000000"/>
        <sz val="10.0"/>
      </rPr>
      <t xml:space="preserve">Sau khi đếm 60 giây, click link「コードを再送する」
</t>
    </r>
    <r>
      <rPr>
        <rFont val="メイリオ"/>
        <b/>
        <color rgb="FF000000"/>
        <sz val="10.0"/>
      </rPr>
      <t xml:space="preserve">ステップ2：
</t>
    </r>
    <r>
      <rPr>
        <rFont val="メイリオ"/>
        <color rgb="FF000000"/>
        <sz val="10.0"/>
      </rPr>
      <t xml:space="preserve">Kiểm tra response và DB:
</t>
    </r>
    <r>
      <rPr>
        <rFont val="メイリオ"/>
        <color rgb="FF000000"/>
        <sz val="10.0"/>
      </rPr>
      <t xml:space="preserve">```sql
</t>
    </r>
    <r>
      <rPr>
        <rFont val="メイリオ"/>
        <color rgb="FF000000"/>
        <sz val="10.0"/>
      </rPr>
      <t xml:space="preserve">SELECT otp_id, expired_at, verify_attempt_count, resend_count, used_flg
</t>
    </r>
    <r>
      <rPr>
        <rFont val="メイリオ"/>
        <color rgb="FF000000"/>
        <sz val="10.0"/>
      </rPr>
      <t xml:space="preserve">FROM t_mfa_otp
</t>
    </r>
    <r>
      <rPr>
        <rFont val="メイリオ"/>
        <color rgb="FF000000"/>
        <sz val="10.0"/>
      </rPr>
      <t xml:space="preserve">WHERE account_id = :account_id
</t>
    </r>
    <r>
      <rPr>
        <rFont val="メイリオ"/>
        <color rgb="FF000000"/>
        <sz val="10.0"/>
      </rPr>
      <t xml:space="preserve">ORDER BY created_at DESC
</t>
    </r>
    <r>
      <rPr>
        <rFont val="メイリオ"/>
        <color rgb="FF000000"/>
        <sz val="10.0"/>
      </rPr>
      <t xml:space="preserve">LIMIT 2;
</t>
    </r>
    <r>
      <rPr>
        <rFont val="メイリオ"/>
        <color rgb="FF000000"/>
        <sz val="10.0"/>
      </rPr>
      <t xml:space="preserve">```
</t>
    </r>
    <r>
      <rPr>
        <rFont val="メイリオ"/>
        <b/>
        <color rgb="FF000000"/>
        <sz val="10.0"/>
      </rPr>
      <t xml:space="preserve">ステップ3：
</t>
    </r>
    <r>
      <rPr>
        <rFont val="メイリオ"/>
        <color rgb="FF000000"/>
        <sz val="10.0"/>
      </rPr>
      <t xml:space="preserve">Kiểm tra mail nhận được
</t>
    </r>
    <r>
      <rPr>
        <rFont val="メイリオ"/>
        <b/>
        <color rgb="FF000000"/>
        <sz val="10.0"/>
      </rPr>
      <t xml:space="preserve">ステップ4：
</t>
    </r>
    <r>
      <rPr>
        <rFont val="メイリオ"/>
        <color rgb="FF000000"/>
        <sz val="10.0"/>
      </rPr>
      <t>Kiểm tra countdown và trạng thái nút gửi lại trên màn hình</t>
    </r>
  </si>
  <si>
    <r>
      <rPr>
        <rFont val="メイリオ"/>
        <b/>
        <color rgb="FF000000"/>
        <sz val="10.0"/>
      </rPr>
      <t xml:space="preserve">ステップ1：
</t>
    </r>
    <r>
      <rPr>
        <rFont val="メイリオ"/>
        <color rgb="FF000000"/>
        <sz val="10.0"/>
      </rPr>
      <t xml:space="preserve">HTTP status code: 200
</t>
    </r>
    <r>
      <rPr>
        <rFont val="メイリオ"/>
        <color rgb="FF000000"/>
        <sz val="10.0"/>
      </rPr>
      <t xml:space="preserve">Response: `data.mfa_token` UUID mới, `data.expires_in = 300`, `data.resend_count = 1`, `data.max_resend = 3`
</t>
    </r>
    <r>
      <rPr>
        <rFont val="メイリオ"/>
        <color rgb="FF000000"/>
        <sz val="10.0"/>
      </rPr>
      <t xml:space="preserve">Toast「認証コードを再送しました。」hiển thị
</t>
    </r>
    <r>
      <rPr>
        <rFont val="メイリオ"/>
        <b/>
        <color rgb="FF000000"/>
        <sz val="10.0"/>
      </rPr>
      <t xml:space="preserve">ステップ2：
</t>
    </r>
    <r>
      <rPr>
        <rFont val="メイリオ"/>
        <color rgb="FF000000"/>
        <sz val="10.0"/>
      </rPr>
      <t xml:space="preserve">Row OTP cũ: `used_flg = true` (invalidate)
</t>
    </r>
    <r>
      <rPr>
        <rFont val="メイリオ"/>
        <color rgb="FF000000"/>
        <sz val="10.0"/>
      </rPr>
      <t xml:space="preserve">Row OTP mới: `otp_id` mới, `expired_at = NOW() + 5 phút`, `verify_attempt_count = 0`, `resend_count = 1`, `used_flg = false`
</t>
    </r>
    <r>
      <rPr>
        <rFont val="メイリオ"/>
        <b/>
        <color rgb="FF000000"/>
        <sz val="10.0"/>
      </rPr>
      <t xml:space="preserve">ステップ3：
</t>
    </r>
    <r>
      <rPr>
        <rFont val="メイリオ"/>
        <color rgb="FF000000"/>
        <sz val="10.0"/>
      </rPr>
      <t xml:space="preserve">6 số OTP mới được gửi qua mail
</t>
    </r>
    <r>
      <rPr>
        <rFont val="メイリオ"/>
        <b/>
        <color rgb="FF000000"/>
        <sz val="10.0"/>
      </rPr>
      <t xml:space="preserve">ステップ4：
</t>
    </r>
    <r>
      <rPr>
        <rFont val="メイリオ"/>
        <color rgb="FF000000"/>
        <sz val="10.0"/>
      </rPr>
      <t xml:space="preserve">Countdown reset về 5:00, nút gửi lại bị vô hiệu trong 60 giây
</t>
    </r>
    <r>
      <rPr>
        <rFont val="メイリオ"/>
        <b/>
        <color rgb="FF000000"/>
        <sz val="10.0"/>
      </rPr>
      <t xml:space="preserve">補足：
</t>
    </r>
    <r>
      <rPr>
        <rFont val="メイリオ"/>
        <color rgb="FF000000"/>
        <sz val="10.0"/>
      </rPr>
      <t xml:space="preserve">・Implementation: invalidate OTP cũ → phát hành OTP mới → tạo mfa_token mới → gửi mail
</t>
    </r>
    <r>
      <rPr>
        <rFont val="メイリオ"/>
        <color rgb="FF000000"/>
        <sz val="10.0"/>
      </rPr>
      <t xml:space="preserve">・`verifyAttemptCount` đếm từ 0 với OTP mới
</t>
    </r>
    <r>
      <rPr>
        <rFont val="メイリオ"/>
        <color rgb="FF000000"/>
        <sz val="10.0"/>
      </rPr>
      <t>・`resendCount` tích lũy (lần gửi lại tiếp theo là 2)</t>
    </r>
  </si>
  <si>
    <t>ACSMS-TC-001-042</t>
  </si>
  <si>
    <t>MFA — Gửi lại dưới 60 giây → OTP_RESEND_COOLDOWN</t>
  </si>
  <si>
    <t>・Màn hình MFA, OTP phát hành chưa quá 60 giây</t>
  </si>
  <si>
    <r>
      <rPr>
        <rFont val="メイリオ"/>
        <b/>
        <color rgb="FF000000"/>
        <sz val="10.0"/>
      </rPr>
      <t xml:space="preserve">ステップ1：
</t>
    </r>
    <r>
      <rPr>
        <rFont val="メイリオ"/>
        <color rgb="FF000000"/>
        <sz val="10.0"/>
      </rPr>
      <t xml:space="preserve">Kiểm tra trạng thái nút gửi lại trên màn hình
</t>
    </r>
    <r>
      <rPr>
        <rFont val="メイリオ"/>
        <b/>
        <color rgb="FF000000"/>
        <sz val="10.0"/>
      </rPr>
      <t xml:space="preserve">ステップ2：
</t>
    </r>
    <r>
      <rPr>
        <rFont val="メイリオ"/>
        <color rgb="FF000000"/>
        <sz val="10.0"/>
      </rPr>
      <t>Trên DevTools Console gọi POST `/api/v1/auth/mfa/resend` trực tiếp</t>
    </r>
  </si>
  <si>
    <r>
      <rPr>
        <rFont val="メイリオ"/>
        <b/>
        <color rgb="FF000000"/>
        <sz val="10.0"/>
      </rPr>
      <t xml:space="preserve">ステップ1：
</t>
    </r>
    <r>
      <rPr>
        <rFont val="メイリオ"/>
        <color rgb="FF000000"/>
        <sz val="10.0"/>
      </rPr>
      <t xml:space="preserve">Nút gửi lại bị vô hiệu, hiển thị text「再送まで XX 秒」
</t>
    </r>
    <r>
      <rPr>
        <rFont val="メイリオ"/>
        <b/>
        <color rgb="FF000000"/>
        <sz val="10.0"/>
      </rPr>
      <t xml:space="preserve">ステップ2：
</t>
    </r>
    <r>
      <rPr>
        <rFont val="メイリオ"/>
        <color rgb="FF000000"/>
        <sz val="10.0"/>
      </rPr>
      <t xml:space="preserve">HTTP status code: 429
</t>
    </r>
    <r>
      <rPr>
        <rFont val="メイリオ"/>
        <color rgb="FF000000"/>
        <sz val="10.0"/>
      </rPr>
      <t xml:space="preserve">error_code: OTP_RESEND_COOLDOWN
</t>
    </r>
    <r>
      <rPr>
        <rFont val="メイリオ"/>
        <color rgb="FF000000"/>
        <sz val="10.0"/>
      </rPr>
      <t xml:space="preserve">message:「再送間隔が60秒未満です。しばらくしてから再度お試しください。」
</t>
    </r>
    <r>
      <rPr>
        <rFont val="メイリオ"/>
        <b/>
        <color rgb="FF000000"/>
        <sz val="10.0"/>
      </rPr>
      <t xml:space="preserve">補足：
</t>
    </r>
    <r>
      <rPr>
        <rFont val="メイリオ"/>
        <color rgb="FF000000"/>
        <sz val="10.0"/>
      </rPr>
      <t xml:space="preserve">・FE: trong khi countdown 60 giây thì nút gửi lại vô hiệu, không gọi API
</t>
    </r>
    <r>
      <rPr>
        <rFont val="メイリオ"/>
        <color rgb="FF000000"/>
        <sz val="10.0"/>
      </rPr>
      <t>・BE: phòng thủ DevTools trực tiếp, từ chối với `(Date.now() - otp.createdAt.getTime()) / 1000 &lt; 60`</t>
    </r>
  </si>
  <si>
    <t>ACSMS-TC-001-043</t>
  </si>
  <si>
    <t>MFA — Vượt giới hạn 3 lần gửi lại → OTP_RESEND_LIMIT</t>
  </si>
  <si>
    <t>・Màn hình MFA, `resend_count = 3` (đã hoàn tất 3 lần gửi lại)
・Đã quá 60 giây</t>
  </si>
  <si>
    <r>
      <rPr>
        <rFont val="メイリオ"/>
        <b/>
        <color rgb="FF000000"/>
        <sz val="10.0"/>
      </rPr>
      <t xml:space="preserve">ステップ1：
</t>
    </r>
    <r>
      <rPr>
        <rFont val="メイリオ"/>
        <color rgb="FF000000"/>
        <sz val="10.0"/>
      </rPr>
      <t xml:space="preserve">Thử gửi lại lần thứ 4 (click link「コードを再送する」)
</t>
    </r>
    <r>
      <rPr>
        <rFont val="メイリオ"/>
        <b/>
        <color rgb="FF000000"/>
        <sz val="10.0"/>
      </rPr>
      <t xml:space="preserve">ステップ2：
</t>
    </r>
    <r>
      <rPr>
        <rFont val="メイリオ"/>
        <color rgb="FF000000"/>
        <sz val="10.0"/>
      </rPr>
      <t>Kiểm tra response và DB</t>
    </r>
  </si>
  <si>
    <r>
      <rPr>
        <rFont val="メイリオ"/>
        <b/>
        <color rgb="FF000000"/>
        <sz val="10.0"/>
      </rPr>
      <t xml:space="preserve">ステップ1：
</t>
    </r>
    <r>
      <rPr>
        <rFont val="メイリオ"/>
        <color rgb="FF000000"/>
        <sz val="10.0"/>
      </rPr>
      <t xml:space="preserve">HTTP status code: 429
</t>
    </r>
    <r>
      <rPr>
        <rFont val="メイリオ"/>
        <color rgb="FF000000"/>
        <sz val="10.0"/>
      </rPr>
      <t xml:space="preserve">error_code: OTP_RESEND_LIMIT
</t>
    </r>
    <r>
      <rPr>
        <rFont val="メイリオ"/>
        <color rgb="FF000000"/>
        <sz val="10.0"/>
      </rPr>
      <t xml:space="preserve">message:「コードの再送回数が上限に達しました。再度ログインしてください。」
</t>
    </r>
    <r>
      <rPr>
        <rFont val="メイリオ"/>
        <b/>
        <color rgb="FF000000"/>
        <sz val="10.0"/>
      </rPr>
      <t xml:space="preserve">ステップ2：
</t>
    </r>
    <r>
      <rPr>
        <rFont val="メイリオ"/>
        <color rgb="FF000000"/>
        <sz val="10.0"/>
      </rPr>
      <t xml:space="preserve">DB cập nhật `used_flg = true` của OTP hiện tại (invalidate)
</t>
    </r>
    <r>
      <rPr>
        <rFont val="メイリオ"/>
        <color rgb="FF000000"/>
        <sz val="10.0"/>
      </rPr>
      <t xml:space="preserve">User cần đăng nhập lại để lấy OTP mới
</t>
    </r>
    <r>
      <rPr>
        <rFont val="メイリオ"/>
        <b/>
        <color rgb="FF000000"/>
        <sz val="10.0"/>
      </rPr>
      <t xml:space="preserve">補足：
</t>
    </r>
    <r>
      <rPr>
        <rFont val="メイリオ"/>
        <color rgb="FF000000"/>
        <sz val="10.0"/>
      </rPr>
      <t xml:space="preserve">・Số lần gửi lại tối đa: 3 lần (chỉ đếm lần gửi lại trừ lần đầu tiên)
</t>
    </r>
    <r>
      <rPr>
        <rFont val="メイリオ"/>
        <color rgb="FF000000"/>
        <sz val="10.0"/>
      </rPr>
      <t xml:space="preserve">・Khi đạt giới hạn thì invalidate OTP, xóa mapping token
</t>
    </r>
    <r>
      <rPr>
        <rFont val="メイリオ"/>
        <color rgb="FF000000"/>
        <sz val="10.0"/>
      </rPr>
      <t>・Tương ứng ACSMS-MSG-001-012</t>
    </r>
  </si>
  <si>
    <t>ACSMS-TC-001-044</t>
  </si>
  <si>
    <t>MFA — mfa_token không hợp lệ → INVALID_MFA_TOKEN</t>
  </si>
  <si>
    <t>・Màn hình MFA (hoặc DevTools trực tiếp)</t>
  </si>
  <si>
    <r>
      <rPr>
        <rFont val="メイリオ"/>
        <b/>
        <color rgb="FF000000"/>
        <sz val="10.0"/>
      </rPr>
      <t xml:space="preserve">ステップ1：
</t>
    </r>
    <r>
      <rPr>
        <rFont val="メイリオ"/>
        <color rgb="FF000000"/>
        <sz val="10.0"/>
      </rPr>
      <t xml:space="preserve">Trên DevTools Console chạy POST `/api/v1/auth/mfa/verify` với mfa_token sai
</t>
    </r>
    <r>
      <rPr>
        <rFont val="メイリオ"/>
        <color rgb="FF000000"/>
        <sz val="10.0"/>
      </rPr>
      <t xml:space="preserve">```js
</t>
    </r>
    <r>
      <rPr>
        <rFont val="メイリオ"/>
        <color rgb="FF000000"/>
        <sz val="10.0"/>
      </rPr>
      <t xml:space="preserve">fetch('/api/v1/auth/mfa/verify', {
</t>
    </r>
    <r>
      <rPr>
        <rFont val="メイリオ"/>
        <color rgb="FF000000"/>
        <sz val="10.0"/>
      </rPr>
      <t xml:space="preserve">method: 'POST',
</t>
    </r>
    <r>
      <rPr>
        <rFont val="メイリオ"/>
        <color rgb="FF000000"/>
        <sz val="10.0"/>
      </rPr>
      <t xml:space="preserve">body: JSON.stringify({ mfa_token: 'invalid-uuid', otp_code: '123456' }),
</t>
    </r>
    <r>
      <rPr>
        <rFont val="メイリオ"/>
        <color rgb="FF000000"/>
        <sz val="10.0"/>
      </rPr>
      <t xml:space="preserve">headers: { 'Content-Type': 'application/json' }
</t>
    </r>
    <r>
      <rPr>
        <rFont val="メイリオ"/>
        <color rgb="FF000000"/>
        <sz val="10.0"/>
      </rPr>
      <t xml:space="preserve">});
</t>
    </r>
    <r>
      <rPr>
        <rFont val="メイリオ"/>
        <color rgb="FF000000"/>
        <sz val="10.0"/>
      </rPr>
      <t xml:space="preserve">```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Truy cập trực tiếp màn hình MFA với URL query `/mfa-verify?mfa_token=invalid`</t>
    </r>
  </si>
  <si>
    <r>
      <rPr>
        <rFont val="メイリオ"/>
        <b/>
        <color rgb="FF000000"/>
        <sz val="10.0"/>
      </rPr>
      <t xml:space="preserve">ステップ1：
</t>
    </r>
    <r>
      <rPr>
        <rFont val="メイリオ"/>
        <color rgb="FF000000"/>
        <sz val="10.0"/>
      </rPr>
      <t xml:space="preserve">Bị từ chối vì không tồn tại trong mfaTokenToOtpId Map
</t>
    </r>
    <r>
      <rPr>
        <rFont val="メイリオ"/>
        <b/>
        <color rgb="FF000000"/>
        <sz val="10.0"/>
      </rPr>
      <t xml:space="preserve">ステップ2：
</t>
    </r>
    <r>
      <rPr>
        <rFont val="メイリオ"/>
        <color rgb="FF000000"/>
        <sz val="10.0"/>
      </rPr>
      <t xml:space="preserve">HTTP status code: 401
</t>
    </r>
    <r>
      <rPr>
        <rFont val="メイリオ"/>
        <color rgb="FF000000"/>
        <sz val="10.0"/>
      </rPr>
      <t xml:space="preserve">error_code: INVALID_MFA_TOKEN
</t>
    </r>
    <r>
      <rPr>
        <rFont val="メイリオ"/>
        <color rgb="FF000000"/>
        <sz val="10.0"/>
      </rPr>
      <t xml:space="preserve">message:「MFAトークンが無効です。再度ログインしてください。」
</t>
    </r>
    <r>
      <rPr>
        <rFont val="メイリオ"/>
        <b/>
        <color rgb="FF000000"/>
        <sz val="10.0"/>
      </rPr>
      <t xml:space="preserve">ステップ3：
</t>
    </r>
    <r>
      <rPr>
        <rFont val="メイリオ"/>
        <color rgb="FF000000"/>
        <sz val="10.0"/>
      </rPr>
      <t xml:space="preserve">Màn hình được load nhưng error trên khi thử xác thực, chỉ có link quay lại màn hình đăng nhập hoạt động
</t>
    </r>
    <r>
      <rPr>
        <rFont val="メイリオ"/>
        <b/>
        <color rgb="FF000000"/>
        <sz val="10.0"/>
      </rPr>
      <t xml:space="preserve">補足：
</t>
    </r>
    <r>
      <rPr>
        <rFont val="メイリオ"/>
        <color rgb="FF000000"/>
        <sz val="10.0"/>
      </rPr>
      <t xml:space="preserve">・Mapping mfa_token → otp_id quản lý ở phía server in-memory Map (TTL 5 phút)
</t>
    </r>
    <r>
      <rPr>
        <rFont val="メイリオ"/>
        <color rgb="FF000000"/>
        <sz val="10.0"/>
      </rPr>
      <t>・Token hết hạn hoặc không tồn tại bị từ chối ngay</t>
    </r>
  </si>
  <si>
    <t>ACSMS-TC-001-045</t>
  </si>
  <si>
    <t>MFA — Quay lại màn hình đăng nhập + reset state</t>
  </si>
  <si>
    <t>・Màn hình MFA, mfa_token hợp lệ
・Đã nhập một phần OTP (ví dụ: chỉ `123`)</t>
  </si>
  <si>
    <r>
      <rPr>
        <rFont val="メイリオ"/>
        <b/>
        <color rgb="FF000000"/>
        <sz val="10.0"/>
      </rPr>
      <t xml:space="preserve">ステップ1：
</t>
    </r>
    <r>
      <rPr>
        <rFont val="メイリオ"/>
        <color rgb="FF000000"/>
        <sz val="10.0"/>
      </rPr>
      <t xml:space="preserve">Click link「ログイン画面に戻る」
</t>
    </r>
    <r>
      <rPr>
        <rFont val="メイリオ"/>
        <b/>
        <color rgb="FF000000"/>
        <sz val="10.0"/>
      </rPr>
      <t xml:space="preserve">ステップ2：
</t>
    </r>
    <r>
      <rPr>
        <rFont val="メイリオ"/>
        <color rgb="FF000000"/>
        <sz val="10.0"/>
      </rPr>
      <t xml:space="preserve">Kiểm tra trạng thái màn hình đăng nhập
</t>
    </r>
    <r>
      <rPr>
        <rFont val="メイリオ"/>
        <b/>
        <color rgb="FF000000"/>
        <sz val="10.0"/>
      </rPr>
      <t xml:space="preserve">ステップ3：
</t>
    </r>
    <r>
      <rPr>
        <rFont val="メイリオ"/>
        <color rgb="FF000000"/>
        <sz val="10.0"/>
      </rPr>
      <t>Quay lại màn hình MFA bằng nút back của browser</t>
    </r>
  </si>
  <si>
    <r>
      <rPr>
        <rFont val="メイリオ"/>
        <b/>
        <color rgb="FF000000"/>
        <sz val="10.0"/>
      </rPr>
      <t xml:space="preserve">ステップ1：
</t>
    </r>
    <r>
      <rPr>
        <rFont val="メイリオ"/>
        <color rgb="FF000000"/>
        <sz val="10.0"/>
      </rPr>
      <t xml:space="preserve">Chuyển về màn hình đăng nhập (/login), countdown timer dừng
</t>
    </r>
    <r>
      <rPr>
        <rFont val="メイリオ"/>
        <b/>
        <color rgb="FF000000"/>
        <sz val="10.0"/>
      </rPr>
      <t xml:space="preserve">ステップ2：
</t>
    </r>
    <r>
      <rPr>
        <rFont val="メイリオ"/>
        <color rgb="FF000000"/>
        <sz val="10.0"/>
      </rPr>
      <t xml:space="preserve">Màn hình đăng nhập ở trạng thái ban đầu (ID và password rỗng)
</t>
    </r>
    <r>
      <rPr>
        <rFont val="メイリオ"/>
        <color rgb="FF000000"/>
        <sz val="10.0"/>
      </rPr>
      <t xml:space="preserve">※ Có thể giá trị lần trước còn lại do autofill của browser
</t>
    </r>
    <r>
      <rPr>
        <rFont val="メイリオ"/>
        <b/>
        <color rgb="FF000000"/>
        <sz val="10.0"/>
      </rPr>
      <t xml:space="preserve">ステップ3：
</t>
    </r>
    <r>
      <rPr>
        <rFont val="メイリオ"/>
        <color rgb="FF000000"/>
        <sz val="10.0"/>
      </rPr>
      <t xml:space="preserve">mfa_token mất khỏi query parameter, onMounted của màn hình MFA chuyển về `/login`
</t>
    </r>
    <r>
      <rPr>
        <rFont val="メイリオ"/>
        <b/>
        <color rgb="FF000000"/>
        <sz val="10.0"/>
      </rPr>
      <t xml:space="preserve">補足：
</t>
    </r>
    <r>
      <rPr>
        <rFont val="メイリオ"/>
        <color rgb="FF000000"/>
        <sz val="10.0"/>
      </rPr>
      <t xml:space="preserve">・`onUnmounted` của màn hình MFA `clearInterval` countdownTimer / cooldownTimer
</t>
    </r>
    <r>
      <rPr>
        <rFont val="メイリオ"/>
        <color rgb="FF000000"/>
        <sz val="10.0"/>
      </rPr>
      <t>・State MFA không lưu vào localStorage / sessionStorage</t>
    </r>
  </si>
  <si>
    <t>Xử lý lỗi chung (Common Error Handling)</t>
  </si>
  <si>
    <t>ACSMS-TC-001-046</t>
  </si>
  <si>
    <t>Lỗi chung — TOO_MANY_REQUESTS (login API 10/phút)</t>
  </si>
  <si>
    <t>・Màn hình đăng nhập, script test gửi 11 request POST `/api/v1/auth/login` trong 1 phút</t>
  </si>
  <si>
    <r>
      <rPr>
        <rFont val="游ゴシック"/>
        <b/>
        <color rgb="FF000000"/>
        <sz val="10.0"/>
      </rPr>
      <t xml:space="preserve">ステップ1：
</t>
    </r>
    <r>
      <rPr>
        <rFont val="游ゴシック"/>
        <color rgb="FF000000"/>
        <sz val="10.0"/>
      </rPr>
      <t xml:space="preserve">Script gửi request từ 1 đến 10
</t>
    </r>
    <r>
      <rPr>
        <rFont val="游ゴシック"/>
        <b/>
        <color rgb="FF000000"/>
        <sz val="10.0"/>
      </rPr>
      <t xml:space="preserve">ステップ2：
</t>
    </r>
    <r>
      <rPr>
        <rFont val="游ゴシック"/>
        <color rgb="FF000000"/>
        <sz val="10.0"/>
      </rPr>
      <t xml:space="preserve">Gửi request thứ 11
</t>
    </r>
    <r>
      <rPr>
        <rFont val="游ゴシック"/>
        <b/>
        <color rgb="FF000000"/>
        <sz val="10.0"/>
      </rPr>
      <t xml:space="preserve">ステップ3：
</t>
    </r>
    <r>
      <rPr>
        <rFont val="游ゴシック"/>
        <color rgb="FF000000"/>
        <sz val="10.0"/>
      </rPr>
      <t>Kiểm tra response</t>
    </r>
  </si>
  <si>
    <r>
      <rPr>
        <rFont val="游ゴシック"/>
        <b/>
        <color rgb="FF000000"/>
        <sz val="10.0"/>
      </rPr>
      <t xml:space="preserve">ステップ1：
</t>
    </r>
    <r>
      <rPr>
        <rFont val="游ゴシック"/>
        <color rgb="FF000000"/>
        <sz val="10.0"/>
      </rPr>
      <t xml:space="preserve">Mỗi request 200 hoặc 401 phản hồi bình thường
</t>
    </r>
    <r>
      <rPr>
        <rFont val="游ゴシック"/>
        <b/>
        <color rgb="FF000000"/>
        <sz val="10.0"/>
      </rPr>
      <t xml:space="preserve">ステップ2：
</t>
    </r>
    <r>
      <rPr>
        <rFont val="游ゴシック"/>
        <color rgb="FF000000"/>
        <sz val="10.0"/>
      </rPr>
      <t xml:space="preserve">HTTP status code: 429
error_code: TOO_MANY_REQUESTS
message:「リクエスト回数が上限を超えました。しばらくしてから再度お試しください。」
</t>
    </r>
    <r>
      <rPr>
        <rFont val="游ゴシック"/>
        <b/>
        <color rgb="FF000000"/>
        <sz val="10.0"/>
      </rPr>
      <t xml:space="preserve">ステップ3：
</t>
    </r>
    <r>
      <rPr>
        <rFont val="游ゴシック"/>
        <color rgb="FF000000"/>
        <sz val="10.0"/>
      </rPr>
      <t xml:space="preserve">Toast hiển thị phía màn hình, nút đăng nhập tạm vô hiệu
</t>
    </r>
    <r>
      <rPr>
        <rFont val="游ゴシック"/>
        <b/>
        <color rgb="FF000000"/>
        <sz val="10.0"/>
      </rPr>
      <t xml:space="preserve">補足：
</t>
    </r>
    <r>
      <rPr>
        <rFont val="游ゴシック"/>
        <color rgb="FF000000"/>
        <sz val="10.0"/>
      </rPr>
      <t>・Implementation: `@Throttle({ default: { ttl: 60000, limit: 10 } })` on login endpoint
・Phòng thủ tấn công brute force
・Tuân thủ quan điểm VP-A-08「レート制限・Throttling」</t>
    </r>
  </si>
  <si>
    <t>7/23/2026</t>
  </si>
  <si>
    <t>ACSMS-TC-001-047</t>
  </si>
  <si>
    <t>Lỗi chung — TOO_MANY_REQUESTS (MFA verify API 20/phút)</t>
  </si>
  <si>
    <t>・Màn hình MFA, script test gửi 21 request POST `/api/v1/auth/mfa/verify` trong 1 phút</t>
  </si>
  <si>
    <r>
      <rPr>
        <rFont val="メイリオ"/>
        <b/>
        <color rgb="FF000000"/>
        <sz val="10.0"/>
      </rPr>
      <t xml:space="preserve">ステップ1：
</t>
    </r>
    <r>
      <rPr>
        <rFont val="メイリオ"/>
        <color rgb="FF000000"/>
        <sz val="10.0"/>
      </rPr>
      <t xml:space="preserve">Script gửi request từ 1 đến 20
</t>
    </r>
    <r>
      <rPr>
        <rFont val="メイリオ"/>
        <b/>
        <color rgb="FF000000"/>
        <sz val="10.0"/>
      </rPr>
      <t xml:space="preserve">ステップ2：
</t>
    </r>
    <r>
      <rPr>
        <rFont val="メイリオ"/>
        <color rgb="FF000000"/>
        <sz val="10.0"/>
      </rPr>
      <t>Gửi request thứ 21</t>
    </r>
  </si>
  <si>
    <r>
      <rPr>
        <rFont val="游ゴシック"/>
        <b/>
        <color rgb="FF000000"/>
        <sz val="10.0"/>
      </rPr>
      <t xml:space="preserve">ステップ1：
</t>
    </r>
    <r>
      <rPr>
        <rFont val="游ゴシック"/>
        <color rgb="FF000000"/>
        <sz val="10.0"/>
      </rPr>
      <t xml:space="preserve">Mỗi request 200 hoặc 401 phản hồi bình thường
</t>
    </r>
    <r>
      <rPr>
        <rFont val="游ゴシック"/>
        <b/>
        <color rgb="FF000000"/>
        <sz val="10.0"/>
      </rPr>
      <t xml:space="preserve">ステップ2：
</t>
    </r>
    <r>
      <rPr>
        <rFont val="游ゴシック"/>
        <color rgb="FF000000"/>
        <sz val="10.0"/>
      </rPr>
      <t xml:space="preserve">HTTP status code: 429
error_code: TOO_MANY_REQUESTS
</t>
    </r>
    <r>
      <rPr>
        <rFont val="游ゴシック"/>
        <b/>
        <color rgb="FF000000"/>
        <sz val="10.0"/>
      </rPr>
      <t xml:space="preserve">補足：
</t>
    </r>
    <r>
      <rPr>
        <rFont val="游ゴシック"/>
        <color rgb="FF000000"/>
        <sz val="10.0"/>
      </rPr>
      <t>・Implementation: `@Throttle({ default: { ttl: 60000, limit: 20 } })` on mfa/verify endpoint
・Phòng thủ tấn công brute force OTP</t>
    </r>
  </si>
  <si>
    <t>ACSMS-TC-001-048</t>
  </si>
  <si>
    <t>Lỗi chung — TOO_MANY_REQUESTS (MFA resend API 5/phút)</t>
  </si>
  <si>
    <t>・Màn hình MFA, script test gửi 6 request POST `/api/v1/auth/mfa/resend` trong 1 phút</t>
  </si>
  <si>
    <r>
      <rPr>
        <rFont val="游ゴシック"/>
        <b/>
        <color rgb="FF000000"/>
        <sz val="10.0"/>
      </rPr>
      <t xml:space="preserve">ステップ1：
</t>
    </r>
    <r>
      <rPr>
        <rFont val="游ゴシック"/>
        <color rgb="FF000000"/>
        <sz val="10.0"/>
      </rPr>
      <t xml:space="preserve">Script gửi request từ 1 đến 5
</t>
    </r>
    <r>
      <rPr>
        <rFont val="游ゴシック"/>
        <b/>
        <color rgb="FF000000"/>
        <sz val="10.0"/>
      </rPr>
      <t xml:space="preserve">ステップ2：
</t>
    </r>
    <r>
      <rPr>
        <rFont val="游ゴシック"/>
        <color rgb="FF000000"/>
        <sz val="10.0"/>
      </rPr>
      <t>Gửi request thứ 6</t>
    </r>
  </si>
  <si>
    <r>
      <rPr>
        <rFont val="游ゴシック"/>
        <b/>
        <color rgb="FF000000"/>
        <sz val="10.0"/>
      </rPr>
      <t xml:space="preserve">ステップ1：
</t>
    </r>
    <r>
      <rPr>
        <rFont val="游ゴシック"/>
        <color rgb="FF000000"/>
        <sz val="10.0"/>
      </rPr>
      <t xml:space="preserve">Mỗi request 200 hoặc 429 (cooldown) phản hồi
</t>
    </r>
    <r>
      <rPr>
        <rFont val="游ゴシック"/>
        <b/>
        <color rgb="FF000000"/>
        <sz val="10.0"/>
      </rPr>
      <t xml:space="preserve">ステップ2：
</t>
    </r>
    <r>
      <rPr>
        <rFont val="游ゴシック"/>
        <color rgb="FF000000"/>
        <sz val="10.0"/>
      </rPr>
      <t xml:space="preserve">HTTP status code: 429
error_code: TOO_MANY_REQUESTS
</t>
    </r>
    <r>
      <rPr>
        <rFont val="游ゴシック"/>
        <b/>
        <color rgb="FF000000"/>
        <sz val="10.0"/>
      </rPr>
      <t xml:space="preserve">補足：
</t>
    </r>
    <r>
      <rPr>
        <rFont val="游ゴシック"/>
        <color rgb="FF000000"/>
        <sz val="10.0"/>
      </rPr>
      <t>・Implementation: `@Throttle({ default: { ttl: 60000, limit: 5 } })` on mfa/resend endpoint
・Phòng thủ lạm dụng API gửi mail</t>
    </r>
  </si>
  <si>
    <t>ACSMS-TC-001-049</t>
  </si>
  <si>
    <t>Lỗi chung — BAD_REQUEST — Request parameter không hợp lệ</t>
  </si>
  <si>
    <t>・Màn hình đăng nhập, đã mở DevTools browser</t>
  </si>
  <si>
    <r>
      <rPr>
        <rFont val="游ゴシック"/>
        <b/>
        <color rgb="FF000000"/>
        <sz val="10.0"/>
      </rPr>
      <t xml:space="preserve">ステップ1：
</t>
    </r>
    <r>
      <rPr>
        <rFont val="游ゴシック"/>
        <color rgb="FF000000"/>
        <sz val="10.0"/>
      </rPr>
      <t xml:space="preserve">Trên DevTools Console chạy POST `/api/v1/auth/login` với JSON không hợp lệ
```js
fetch('/api/v1/auth/login', {
method: 'POST',
body: '{invalid json',
headers: { 'Content-Type': 'application/json' }
});
```
</t>
    </r>
    <r>
      <rPr>
        <rFont val="游ゴシック"/>
        <b/>
        <color rgb="FF000000"/>
        <sz val="10.0"/>
      </rPr>
      <t xml:space="preserve">ステップ2：
</t>
    </r>
    <r>
      <rPr>
        <rFont val="游ゴシック"/>
        <color rgb="FF000000"/>
        <sz val="10.0"/>
      </rPr>
      <t xml:space="preserve">Kiểm tra response
</t>
    </r>
    <r>
      <rPr>
        <rFont val="游ゴシック"/>
        <b/>
        <color rgb="FF000000"/>
        <sz val="10.0"/>
      </rPr>
      <t xml:space="preserve">ステップ3：
</t>
    </r>
    <r>
      <rPr>
        <rFont val="游ゴシック"/>
        <color rgb="FF000000"/>
        <sz val="10.0"/>
      </rPr>
      <t>Kiểm tra `t_login_log` trên DB</t>
    </r>
  </si>
  <si>
    <r>
      <rPr>
        <rFont val="メイリオ"/>
        <b/>
        <color rgb="FF000000"/>
        <sz val="10.0"/>
      </rPr>
      <t xml:space="preserve">ステップ1：
</t>
    </r>
    <r>
      <rPr>
        <rFont val="メイリオ"/>
        <color rgb="FF000000"/>
        <sz val="10.0"/>
      </rPr>
      <t xml:space="preserve">Request bị body parser phía BE từ chối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BAD_REQUEST
</t>
    </r>
    <r>
      <rPr>
        <rFont val="メイリオ"/>
        <color rgb="FF000000"/>
        <sz val="10.0"/>
      </rPr>
      <t xml:space="preserve">message:「リクエストパラメータが不正です。」
</t>
    </r>
    <r>
      <rPr>
        <rFont val="メイリオ"/>
        <b/>
        <color rgb="FF000000"/>
        <sz val="10.0"/>
      </rPr>
      <t xml:space="preserve">ステップ3：
</t>
    </r>
    <r>
      <rPr>
        <rFont val="メイリオ"/>
        <color rgb="FF000000"/>
        <sz val="10.0"/>
      </rPr>
      <t xml:space="preserve">Không ghi log đăng nhập (vì bị từ chối ở body parse)
</t>
    </r>
    <r>
      <rPr>
        <rFont val="メイリオ"/>
        <b/>
        <color rgb="FF000000"/>
        <sz val="10.0"/>
      </rPr>
      <t xml:space="preserve">補足：
</t>
    </r>
    <r>
      <rPr>
        <rFont val="メイリオ"/>
        <color rgb="FF000000"/>
        <sz val="10.0"/>
      </rPr>
      <t>・JSON parse error, Content-Type không hợp lệ, parameter không xác định v.v. tất cả đều map về BAD_REQUEST</t>
    </r>
  </si>
  <si>
    <t>ACSMS-TC-001-050</t>
  </si>
  <si>
    <t>Lỗi chung — INTERNAL_SERVER_ERROR — Mô phỏng server crash</t>
  </si>
  <si>
    <t>・Màn hình đăng nhập, đã nhập giá trị hợp lệ
・Cố ý ngắt kết nối DB phía BE (test environment)</t>
  </si>
  <si>
    <r>
      <rPr>
        <rFont val="メイリオ"/>
        <b/>
        <color rgb="FF000000"/>
        <sz val="10.0"/>
      </rPr>
      <t xml:space="preserve">ステップ1：
</t>
    </r>
    <r>
      <rPr>
        <rFont val="メイリオ"/>
        <color rgb="FF000000"/>
        <sz val="10.0"/>
      </rPr>
      <t xml:space="preserve">Click nút đăng nhập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trạng thái màn hình
</t>
    </r>
    <r>
      <rPr>
        <rFont val="メイリオ"/>
        <b/>
        <color rgb="FF000000"/>
        <sz val="10.0"/>
      </rPr>
      <t xml:space="preserve">ステップ4：
</t>
    </r>
    <r>
      <rPr>
        <rFont val="メイリオ"/>
        <color rgb="FF000000"/>
        <sz val="10.0"/>
      </rPr>
      <t>Kiểm tra log lỗi: `SELECT * FROM t_login_log WHERE login_result=2 ORDER BY login_datetime DESC LIMIT 1`</t>
    </r>
  </si>
  <si>
    <r>
      <rPr>
        <rFont val="メイリオ"/>
        <b/>
        <color rgb="FF000000"/>
        <sz val="10.0"/>
      </rPr>
      <t xml:space="preserve">ステップ1：
</t>
    </r>
    <r>
      <rPr>
        <rFont val="メイリオ"/>
        <color rgb="FF000000"/>
        <sz val="10.0"/>
      </rPr>
      <t xml:space="preserve">Phía BE phát sinh exception, xử lý exception ở catch block ngoài
</t>
    </r>
    <r>
      <rPr>
        <rFont val="メイリオ"/>
        <b/>
        <color rgb="FF000000"/>
        <sz val="10.0"/>
      </rPr>
      <t xml:space="preserve">ステップ2：
</t>
    </r>
    <r>
      <rPr>
        <rFont val="メイリオ"/>
        <color rgb="FF000000"/>
        <sz val="10.0"/>
      </rPr>
      <t xml:space="preserve">HTTP status code: 500
</t>
    </r>
    <r>
      <rPr>
        <rFont val="メイリオ"/>
        <color rgb="FF000000"/>
        <sz val="10.0"/>
      </rPr>
      <t xml:space="preserve">error_code: INTERNAL_SERVER_ERROR
</t>
    </r>
    <r>
      <rPr>
        <rFont val="メイリオ"/>
        <color rgb="FF000000"/>
        <sz val="10.0"/>
      </rPr>
      <t xml:space="preserve">message:「システムエラーが発生しました。しばらくしてから再度お試しください。」
</t>
    </r>
    <r>
      <rPr>
        <rFont val="メイリオ"/>
        <b/>
        <color rgb="FF000000"/>
        <sz val="10.0"/>
      </rPr>
      <t xml:space="preserve">ステップ3：
</t>
    </r>
    <r>
      <rPr>
        <rFont val="メイリオ"/>
        <color rgb="FF000000"/>
        <sz val="10.0"/>
      </rPr>
      <t xml:space="preserve">Vẫn ở màn hình đăng nhập, toast hiển thị, giữ nguyên giá trị input
</t>
    </r>
    <r>
      <rPr>
        <rFont val="メイリオ"/>
        <b/>
        <color rgb="FF000000"/>
        <sz val="10.0"/>
      </rPr>
      <t xml:space="preserve">ステップ4：
</t>
    </r>
    <r>
      <rPr>
        <rFont val="メイリオ"/>
        <color rgb="FF000000"/>
        <sz val="10.0"/>
      </rPr>
      <t xml:space="preserve">`login_result = 2`, ghi exception message vào `failure_reason`
</t>
    </r>
    <r>
      <rPr>
        <rFont val="メイリオ"/>
        <b/>
        <color rgb="FF000000"/>
        <sz val="10.0"/>
      </rPr>
      <t xml:space="preserve">補足：
</t>
    </r>
    <r>
      <rPr>
        <rFont val="メイリオ"/>
        <color rgb="FF000000"/>
        <sz val="10.0"/>
      </rPr>
      <t xml:space="preserve">・Không lộ thông tin nội bộ như stack trace ra phía user
</t>
    </r>
    <r>
      <rPr>
        <rFont val="メイリオ"/>
        <color rgb="FF000000"/>
        <sz val="10.0"/>
      </rPr>
      <t>・Tương ứng ACSMS-MSG-001-010</t>
    </r>
  </si>
  <si>
    <t>ACSMS-TC-001-051</t>
  </si>
  <si>
    <t>Lỗi chung — Fallback khi lấy thông báo thất bại</t>
  </si>
  <si>
    <t>・Màn hình đăng nhập
・API thông báo trả về lỗi 500 (set mock trong test environment)</t>
  </si>
  <si>
    <r>
      <rPr>
        <rFont val="メイリオ"/>
        <b/>
        <color rgb="FF000000"/>
        <sz val="10.0"/>
      </rPr>
      <t xml:space="preserve">ステップ1：
</t>
    </r>
    <r>
      <rPr>
        <rFont val="メイリオ"/>
        <color rgb="FF000000"/>
        <sz val="10.0"/>
      </rPr>
      <t xml:space="preserve">Mở `/login`
</t>
    </r>
    <r>
      <rPr>
        <rFont val="メイリオ"/>
        <b/>
        <color rgb="FF000000"/>
        <sz val="10.0"/>
      </rPr>
      <t xml:space="preserve">ステップ2：
</t>
    </r>
    <r>
      <rPr>
        <rFont val="メイリオ"/>
        <color rgb="FF000000"/>
        <sz val="10.0"/>
      </rPr>
      <t xml:space="preserve">Kiểm tra response của GET `/api/v1/oshirase/public`
</t>
    </r>
    <r>
      <rPr>
        <rFont val="メイリオ"/>
        <b/>
        <color rgb="FF000000"/>
        <sz val="10.0"/>
      </rPr>
      <t xml:space="preserve">ステップ3：
</t>
    </r>
    <r>
      <rPr>
        <rFont val="メイリオ"/>
        <color rgb="FF000000"/>
        <sz val="10.0"/>
      </rPr>
      <t>Kiểm tra trạng thái form đăng nhập</t>
    </r>
  </si>
  <si>
    <r>
      <rPr>
        <rFont val="メイリオ"/>
        <b/>
        <color rgb="FF000000"/>
        <sz val="10.0"/>
      </rPr>
      <t xml:space="preserve">ステップ1：
</t>
    </r>
    <r>
      <rPr>
        <rFont val="メイリオ"/>
        <color rgb="FF000000"/>
        <sz val="10.0"/>
      </rPr>
      <t xml:space="preserve">Màn hình đăng nhập hiển thị bình thường
</t>
    </r>
    <r>
      <rPr>
        <rFont val="メイリオ"/>
        <b/>
        <color rgb="FF000000"/>
        <sz val="10.0"/>
      </rPr>
      <t xml:space="preserve">ステップ2：
</t>
    </r>
    <r>
      <rPr>
        <rFont val="メイリオ"/>
        <color rgb="FF000000"/>
        <sz val="10.0"/>
      </rPr>
      <t xml:space="preserve">HTTP status code: 500, response error
</t>
    </r>
    <r>
      <rPr>
        <rFont val="メイリオ"/>
        <b/>
        <color rgb="FF000000"/>
        <sz val="10.0"/>
      </rPr>
      <t xml:space="preserve">ステップ3：
</t>
    </r>
    <r>
      <rPr>
        <rFont val="メイリオ"/>
        <color rgb="FF000000"/>
        <sz val="10.0"/>
      </rPr>
      <t xml:space="preserve">Card thông báo không hiển thị (NoticeList không render gì với array rỗng)
</t>
    </r>
    <r>
      <rPr>
        <rFont val="メイリオ"/>
        <color rgb="FF000000"/>
        <sz val="10.0"/>
      </rPr>
      <t xml:space="preserve">Form đăng nhập có thể thao tác bình thường
</t>
    </r>
    <r>
      <rPr>
        <rFont val="メイリオ"/>
        <b/>
        <color rgb="FF000000"/>
        <sz val="10.0"/>
      </rPr>
      <t xml:space="preserve">補足：
</t>
    </r>
    <r>
      <rPr>
        <rFont val="メイリオ"/>
        <color rgb="FF000000"/>
        <sz val="10.0"/>
      </rPr>
      <t xml:space="preserve">・Implementation: FE `try/catch` của `onMounted` fallback về array rỗng
</t>
    </r>
    <r>
      <rPr>
        <rFont val="メイリオ"/>
        <color rgb="FF000000"/>
        <sz val="10.0"/>
      </rPr>
      <t xml:space="preserve">・Tuân thủ spec §14.4「エラー → お知らせエリアを非表示、ログインに影響なし」
</t>
    </r>
    <r>
      <rPr>
        <rFont val="メイリオ"/>
        <color rgb="FF000000"/>
        <sz val="10.0"/>
      </rPr>
      <t>・Thất bại lấy thông báo không block xử lý đăng nhập</t>
    </r>
  </si>
  <si>
    <t>ACSMS-TC-001-052</t>
  </si>
  <si>
    <t>Lỗi chung — Hiển thị toast FE khi mất kết nối mạng</t>
  </si>
  <si>
    <t>・Màn hình đăng nhập, đã nhập giá trị hợp lệ
・Chuyển Network tab DevTools sang chế độ mất kết nối mạng</t>
  </si>
  <si>
    <r>
      <rPr>
        <rFont val="メイリオ"/>
        <b/>
        <color rgb="FF000000"/>
        <sz val="10.0"/>
      </rPr>
      <t xml:space="preserve">ステップ1：
</t>
    </r>
    <r>
      <rPr>
        <rFont val="メイリオ"/>
        <color rgb="FF000000"/>
        <sz val="10.0"/>
      </rPr>
      <t xml:space="preserve">Click nút đăng nhập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Sau khi mạng được phục hồi, click lại nút đăng nhập</t>
    </r>
  </si>
  <si>
    <r>
      <rPr>
        <rFont val="游ゴシック"/>
        <b/>
        <color rgb="FF000000"/>
        <sz val="10.0"/>
      </rPr>
      <t xml:space="preserve">ステップ1：
</t>
    </r>
    <r>
      <rPr>
        <rFont val="游ゴシック"/>
        <color rgb="FF000000"/>
        <sz val="10.0"/>
      </rPr>
      <t xml:space="preserve">Toast「ネットワークエラーが発生しました。接続をご確認ください。」hiển thị
</t>
    </r>
    <r>
      <rPr>
        <rFont val="游ゴシック"/>
        <b/>
        <color rgb="FF000000"/>
        <sz val="10.0"/>
      </rPr>
      <t xml:space="preserve">ステップ2：
</t>
    </r>
    <r>
      <rPr>
        <rFont val="游ゴシック"/>
        <color rgb="FF000000"/>
        <sz val="10.0"/>
      </rPr>
      <t xml:space="preserve">Vẫn ở màn hình đăng nhập, giữ nguyên giá trị input
</t>
    </r>
    <r>
      <rPr>
        <rFont val="游ゴシック"/>
        <b/>
        <color rgb="FF000000"/>
        <sz val="10.0"/>
      </rPr>
      <t xml:space="preserve">ステップ3：
</t>
    </r>
    <r>
      <rPr>
        <rFont val="游ゴシック"/>
        <color rgb="FF000000"/>
        <sz val="10.0"/>
      </rPr>
      <t xml:space="preserve">Đăng nhập thành công bình thường, HTTP status code: 200
</t>
    </r>
    <r>
      <rPr>
        <rFont val="游ゴシック"/>
        <b/>
        <color rgb="FF000000"/>
        <sz val="10.0"/>
      </rPr>
      <t xml:space="preserve">補足：
</t>
    </r>
    <r>
      <rPr>
        <rFont val="游ゴシック"/>
        <color rgb="FF000000"/>
        <sz val="10.0"/>
      </rPr>
      <t>・Phát hiện network error → thông báo cho user
・Giá trị input được giữ, có thể gửi lại
・axios interceptor xử lý Network Error tập trung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</si>
</sst>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1">
    <font>
      <sz val="11.0"/>
      <color theme="1"/>
      <name val="Calibri"/>
      <scheme val="minor"/>
    </font>
    <font>
      <b/>
      <sz val="11.0"/>
      <color rgb="FF000000"/>
      <name val="游ゴシック"/>
    </font>
    <font>
      <sz val="11.0"/>
      <color theme="1"/>
      <name val="Calibri"/>
    </font>
    <font/>
    <font>
      <sz val="11.0"/>
      <color rgb="FF000000"/>
      <name val="游ゴシック"/>
    </font>
    <font>
      <b/>
      <sz val="14.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2" numFmtId="0" xfId="0" applyBorder="1" applyFont="1"/>
    <xf borderId="8" fillId="0" fontId="2" numFmtId="0" xfId="0" applyBorder="1" applyFont="1"/>
    <xf borderId="9" fillId="0" fontId="2" numFmtId="0" xfId="0" applyBorder="1" applyFont="1"/>
    <xf borderId="1"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2" fontId="5"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3" fillId="0" fontId="3" numFmtId="0" xfId="0" applyBorder="1" applyFont="1"/>
    <xf borderId="8" fillId="0" fontId="6" numFmtId="0" xfId="0" applyAlignment="1" applyBorder="1" applyFont="1">
      <alignment horizontal="center" shrinkToFit="0" vertical="center" wrapText="1"/>
    </xf>
    <xf borderId="7" fillId="0" fontId="3" numFmtId="0" xfId="0" applyBorder="1" applyFont="1"/>
    <xf borderId="9" fillId="0" fontId="3" numFmtId="0" xfId="0" applyBorder="1" applyFont="1"/>
    <xf borderId="8" fillId="0" fontId="7"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8" fillId="0" fontId="8"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2" fillId="0" fontId="4" numFmtId="49" xfId="0" applyAlignment="1" applyBorder="1" applyFont="1" applyNumberFormat="1">
      <alignment horizontal="center" shrinkToFit="0" vertical="center" wrapText="1"/>
    </xf>
    <xf borderId="4" fillId="4" fontId="9"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12" fillId="0" fontId="3" numFmtId="0" xfId="0" applyBorder="1" applyFont="1"/>
    <xf borderId="0" fillId="0" fontId="1" numFmtId="0" xfId="0" applyAlignment="1" applyFont="1">
      <alignment horizontal="left" shrinkToFit="0" vertical="center" wrapText="1"/>
    </xf>
    <xf borderId="4" fillId="4" fontId="9" numFmtId="49" xfId="0" applyAlignment="1" applyBorder="1" applyFont="1" applyNumberFormat="1">
      <alignment horizontal="center" shrinkToFit="0" vertical="center" wrapText="1"/>
    </xf>
    <xf borderId="0" fillId="0" fontId="4" numFmtId="0" xfId="0" applyAlignment="1" applyFont="1">
      <alignment horizontal="left" shrinkToFit="0" vertical="center" wrapText="1"/>
    </xf>
    <xf borderId="4" fillId="0" fontId="4" numFmtId="49" xfId="0" applyAlignment="1" applyBorder="1" applyFont="1" applyNumberFormat="1">
      <alignment horizontal="left" shrinkToFit="0" vertical="center" wrapText="1"/>
    </xf>
    <xf borderId="13" fillId="3" fontId="1"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4" fillId="3" fontId="1" numFmtId="0" xfId="0" applyAlignment="1" applyBorder="1" applyFont="1">
      <alignment horizontal="center" shrinkToFit="0" vertical="center" wrapText="1"/>
    </xf>
    <xf borderId="10" fillId="0" fontId="2" numFmtId="0" xfId="0" applyBorder="1" applyFont="1"/>
    <xf borderId="14" fillId="5" fontId="1" numFmtId="0" xfId="0" applyAlignment="1" applyBorder="1" applyFill="1" applyFont="1">
      <alignment horizontal="left" shrinkToFit="0" vertical="center" wrapText="1"/>
    </xf>
    <xf borderId="11" fillId="0" fontId="2" numFmtId="0" xfId="0" applyBorder="1" applyFont="1"/>
    <xf borderId="15" fillId="0" fontId="3" numFmtId="0" xfId="0" applyBorder="1" applyFont="1"/>
    <xf borderId="16" fillId="0" fontId="3" numFmtId="0" xfId="0" applyBorder="1" applyFont="1"/>
    <xf borderId="17" fillId="0" fontId="3" numFmtId="0" xfId="0" applyBorder="1" applyFont="1"/>
    <xf borderId="12" fillId="0" fontId="2" numFmtId="0" xfId="0" applyBorder="1" applyFont="1"/>
    <xf borderId="1" fillId="6" fontId="1" numFmtId="0" xfId="0" applyAlignment="1" applyBorder="1" applyFill="1" applyFont="1">
      <alignment horizontal="left" shrinkToFit="0" vertical="center" wrapText="1"/>
    </xf>
    <xf borderId="4" fillId="0" fontId="4" numFmtId="164"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1" fillId="0" fontId="4" numFmtId="0" xfId="0" applyAlignment="1" applyBorder="1" applyFont="1">
      <alignment horizontal="center" shrinkToFit="0" vertical="top" wrapText="1"/>
    </xf>
    <xf borderId="4" fillId="0" fontId="4" numFmtId="0" xfId="0" applyAlignment="1" applyBorder="1" applyFont="1">
      <alignment horizontal="center" shrinkToFit="0" vertical="top" wrapText="1"/>
    </xf>
    <xf borderId="4" fillId="0" fontId="4" numFmtId="0" xfId="0" applyAlignment="1" applyBorder="1" applyFont="1">
      <alignment horizontal="left" shrinkToFit="0" vertical="top" wrapText="1"/>
    </xf>
    <xf borderId="4" fillId="7" fontId="1" numFmtId="0" xfId="0" applyAlignment="1" applyBorder="1" applyFill="1" applyFont="1">
      <alignment horizontal="center" shrinkToFit="0" vertical="top" wrapText="1"/>
    </xf>
    <xf borderId="4" fillId="8" fontId="1" numFmtId="0" xfId="0" applyAlignment="1" applyBorder="1" applyFill="1" applyFont="1">
      <alignment horizontal="center" shrinkToFit="0" vertical="top" wrapText="1"/>
    </xf>
    <xf borderId="13"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4" fillId="0" fontId="4" numFmtId="0" xfId="0" applyAlignment="1" applyBorder="1" applyFont="1">
      <alignment horizontal="left" readingOrder="0" shrinkToFit="0" vertical="top" wrapText="1"/>
    </xf>
    <xf borderId="4" fillId="0" fontId="4" numFmtId="0" xfId="0" applyAlignment="1" applyBorder="1" applyFont="1">
      <alignment horizontal="center" readingOrder="0" shrinkToFit="0" vertical="top" wrapText="1"/>
    </xf>
    <xf borderId="4" fillId="0" fontId="4" numFmtId="165" xfId="0" applyAlignment="1" applyBorder="1" applyFont="1" applyNumberFormat="1">
      <alignment horizontal="center" readingOrder="0" shrinkToFit="0" vertical="top" wrapText="1"/>
    </xf>
    <xf borderId="4" fillId="9" fontId="1" numFmtId="0" xfId="0" applyAlignment="1" applyBorder="1" applyFill="1" applyFont="1">
      <alignment horizontal="center" shrinkToFit="0" vertical="top" wrapText="1"/>
    </xf>
    <xf borderId="4" fillId="3" fontId="1" numFmtId="0" xfId="0" applyAlignment="1" applyBorder="1" applyFont="1">
      <alignment horizontal="right" shrinkToFit="0" vertical="center" wrapText="1"/>
    </xf>
    <xf borderId="4" fillId="0" fontId="1" numFmtId="0" xfId="0" applyAlignment="1" applyBorder="1" applyFont="1">
      <alignment horizontal="center" shrinkToFit="0" vertical="top" wrapText="1"/>
    </xf>
    <xf borderId="4" fillId="0" fontId="10"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7"/>
    </row>
    <row r="3" ht="12.75" customHeight="1">
      <c r="B3" s="8"/>
      <c r="AK3" s="9"/>
    </row>
    <row r="4" ht="12.75" customHeight="1">
      <c r="B4" s="8"/>
      <c r="AK4" s="9"/>
    </row>
    <row r="5" ht="12.75" customHeight="1">
      <c r="B5" s="8"/>
      <c r="AK5" s="9"/>
    </row>
    <row r="6" ht="12.75" customHeight="1">
      <c r="B6" s="8"/>
      <c r="AK6" s="9"/>
    </row>
    <row r="7" ht="12.75" customHeight="1">
      <c r="B7" s="8"/>
      <c r="AK7" s="9"/>
    </row>
    <row r="8" ht="12.75" customHeight="1">
      <c r="B8" s="8"/>
      <c r="AK8" s="9"/>
    </row>
    <row r="9" ht="12.75" customHeight="1">
      <c r="B9" s="8"/>
      <c r="AK9" s="9"/>
    </row>
    <row r="10" ht="29.25" customHeight="1">
      <c r="B10" s="15" t="s">
        <v>16</v>
      </c>
      <c r="AK10" s="17"/>
    </row>
    <row r="11" ht="12.75" customHeight="1">
      <c r="B11" s="8"/>
      <c r="AK11" s="9"/>
    </row>
    <row r="12" ht="39.0" customHeight="1">
      <c r="B12" s="18" t="s">
        <v>20</v>
      </c>
      <c r="AK12" s="17"/>
    </row>
    <row r="13" ht="12.75" customHeight="1">
      <c r="B13" s="8"/>
      <c r="AK13" s="9"/>
    </row>
    <row r="14" ht="12.75" customHeight="1">
      <c r="B14" s="8"/>
      <c r="AK14" s="9"/>
    </row>
    <row r="15" ht="12.75" customHeight="1">
      <c r="B15" s="20" t="s">
        <v>25</v>
      </c>
      <c r="AK15" s="17"/>
    </row>
    <row r="16" ht="12.75" customHeight="1">
      <c r="B16" s="8"/>
      <c r="AK16" s="9"/>
    </row>
    <row r="17" ht="12.75" customHeight="1">
      <c r="B17" s="8"/>
      <c r="AK17" s="9"/>
    </row>
    <row r="18" ht="12.75" customHeight="1">
      <c r="B18" s="8"/>
      <c r="N18" s="23" t="s">
        <v>27</v>
      </c>
      <c r="O18" s="5"/>
      <c r="P18" s="5"/>
      <c r="Q18" s="5"/>
      <c r="R18" s="6"/>
      <c r="S18" s="23" t="s">
        <v>29</v>
      </c>
      <c r="T18" s="5"/>
      <c r="U18" s="5"/>
      <c r="V18" s="5"/>
      <c r="W18" s="6"/>
      <c r="AK18" s="9"/>
    </row>
    <row r="19" ht="12.75" customHeight="1">
      <c r="B19" s="8"/>
      <c r="N19" s="23" t="s">
        <v>30</v>
      </c>
      <c r="O19" s="5"/>
      <c r="P19" s="5"/>
      <c r="Q19" s="5"/>
      <c r="R19" s="6"/>
      <c r="S19" s="23" t="s">
        <v>17</v>
      </c>
      <c r="T19" s="5"/>
      <c r="U19" s="5"/>
      <c r="V19" s="5"/>
      <c r="W19" s="6"/>
      <c r="AK19" s="9"/>
    </row>
    <row r="20" ht="12.75" customHeight="1">
      <c r="B20" s="8"/>
      <c r="N20" s="23" t="s">
        <v>2</v>
      </c>
      <c r="O20" s="5"/>
      <c r="P20" s="5"/>
      <c r="Q20" s="5"/>
      <c r="R20" s="6"/>
      <c r="S20" s="28" t="s">
        <v>26</v>
      </c>
      <c r="T20" s="5"/>
      <c r="U20" s="5"/>
      <c r="V20" s="5"/>
      <c r="W20" s="6"/>
      <c r="AK20" s="9"/>
    </row>
    <row r="21" ht="12.75" customHeight="1">
      <c r="B21" s="8"/>
      <c r="AK21" s="9"/>
    </row>
    <row r="22" ht="12.75" customHeight="1">
      <c r="B22" s="8"/>
      <c r="AK22" s="9"/>
    </row>
    <row r="23" ht="12.75" customHeight="1">
      <c r="B23" s="8"/>
      <c r="AK23" s="9"/>
    </row>
    <row r="24" ht="12.75" customHeight="1">
      <c r="B24" s="8"/>
      <c r="AK24" s="9"/>
    </row>
    <row r="25" ht="12.75" customHeight="1">
      <c r="B25" s="8"/>
      <c r="AK25" s="9"/>
    </row>
    <row r="26" ht="12.75" customHeight="1">
      <c r="B26" s="8"/>
      <c r="AK26" s="9"/>
    </row>
    <row r="27" ht="12.75" customHeight="1">
      <c r="B27" s="8"/>
      <c r="AK27" s="9"/>
    </row>
    <row r="28" ht="12.75" customHeight="1">
      <c r="B28" s="8"/>
      <c r="AK28" s="9"/>
    </row>
    <row r="29" ht="12.75" customHeight="1">
      <c r="B29" s="8"/>
      <c r="AK29" s="9"/>
    </row>
    <row r="30" ht="12.75" customHeight="1">
      <c r="B30" s="8"/>
      <c r="AK30" s="9"/>
    </row>
    <row r="31" ht="12.75" customHeight="1">
      <c r="B31" s="8"/>
      <c r="AK31" s="9"/>
    </row>
    <row r="32" ht="12.75" customHeight="1">
      <c r="B32" s="8"/>
      <c r="AK32" s="9"/>
    </row>
    <row r="33" ht="12.75" customHeight="1">
      <c r="B33" s="8"/>
      <c r="AK33" s="9"/>
    </row>
    <row r="34" ht="12.75" customHeight="1">
      <c r="B34" s="34"/>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40"/>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4" t="s">
        <v>2</v>
      </c>
      <c r="C1" s="5"/>
      <c r="D1" s="5"/>
      <c r="E1" s="6"/>
      <c r="F1" s="4" t="s">
        <v>3</v>
      </c>
      <c r="G1" s="5"/>
      <c r="H1" s="6"/>
      <c r="I1" s="4" t="s">
        <v>5</v>
      </c>
      <c r="J1" s="5"/>
      <c r="K1" s="5"/>
      <c r="L1" s="5"/>
      <c r="M1" s="5"/>
      <c r="N1" s="6"/>
      <c r="O1" s="4" t="s">
        <v>7</v>
      </c>
      <c r="P1" s="5"/>
      <c r="Q1" s="5"/>
      <c r="R1" s="5"/>
      <c r="S1" s="5"/>
      <c r="T1" s="5"/>
      <c r="U1" s="5"/>
      <c r="V1" s="6"/>
      <c r="W1" s="4" t="s">
        <v>9</v>
      </c>
      <c r="X1" s="5"/>
      <c r="Y1" s="5"/>
      <c r="Z1" s="5"/>
      <c r="AA1" s="5"/>
      <c r="AB1" s="6"/>
      <c r="AC1" s="4" t="s">
        <v>12</v>
      </c>
      <c r="AD1" s="5"/>
      <c r="AE1" s="5"/>
      <c r="AF1" s="5"/>
      <c r="AG1" s="5"/>
      <c r="AH1" s="6"/>
    </row>
    <row r="2" ht="22.5" customHeight="1">
      <c r="A2" s="10">
        <v>1.0</v>
      </c>
      <c r="B2" s="11" t="s">
        <v>15</v>
      </c>
      <c r="C2" s="5"/>
      <c r="D2" s="5"/>
      <c r="E2" s="6"/>
      <c r="F2" s="11" t="s">
        <v>17</v>
      </c>
      <c r="G2" s="5"/>
      <c r="H2" s="6"/>
      <c r="I2" s="11" t="s">
        <v>19</v>
      </c>
      <c r="J2" s="5"/>
      <c r="K2" s="5"/>
      <c r="L2" s="5"/>
      <c r="M2" s="5"/>
      <c r="N2" s="6"/>
      <c r="O2" s="19" t="s">
        <v>21</v>
      </c>
      <c r="P2" s="5"/>
      <c r="Q2" s="5"/>
      <c r="R2" s="5"/>
      <c r="S2" s="5"/>
      <c r="T2" s="5"/>
      <c r="U2" s="5"/>
      <c r="V2" s="6"/>
      <c r="W2" s="11" t="s">
        <v>23</v>
      </c>
      <c r="X2" s="5"/>
      <c r="Y2" s="5"/>
      <c r="Z2" s="5"/>
      <c r="AA2" s="5"/>
      <c r="AB2" s="6"/>
      <c r="AC2" s="11"/>
      <c r="AD2" s="5"/>
      <c r="AE2" s="5"/>
      <c r="AF2" s="5"/>
      <c r="AG2" s="5"/>
      <c r="AH2"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1</v>
      </c>
      <c r="B1" s="5"/>
      <c r="C1" s="5"/>
      <c r="D1" s="5"/>
      <c r="E1" s="5"/>
      <c r="F1" s="5"/>
      <c r="G1" s="5"/>
      <c r="H1" s="5"/>
      <c r="I1" s="6"/>
      <c r="J1" s="4" t="s">
        <v>4</v>
      </c>
      <c r="K1" s="5"/>
      <c r="L1" s="5"/>
      <c r="M1" s="5"/>
      <c r="N1" s="5"/>
      <c r="O1" s="5"/>
      <c r="P1" s="6"/>
      <c r="Q1" s="4" t="s">
        <v>6</v>
      </c>
      <c r="R1" s="5"/>
      <c r="S1" s="5"/>
      <c r="T1" s="5"/>
      <c r="U1" s="6"/>
      <c r="V1" s="4" t="s">
        <v>8</v>
      </c>
      <c r="W1" s="5"/>
      <c r="X1" s="5"/>
      <c r="Y1" s="6"/>
      <c r="Z1" s="4" t="s">
        <v>11</v>
      </c>
      <c r="AA1" s="5"/>
      <c r="AB1" s="5"/>
      <c r="AC1" s="6"/>
      <c r="AD1" s="4" t="s">
        <v>13</v>
      </c>
      <c r="AE1" s="5"/>
      <c r="AF1" s="5"/>
      <c r="AG1" s="6"/>
      <c r="AH1" s="4" t="s">
        <v>14</v>
      </c>
      <c r="AI1" s="5"/>
      <c r="AJ1" s="5"/>
      <c r="AK1" s="6"/>
    </row>
    <row r="2" ht="19.5" customHeight="1">
      <c r="A2" s="13" t="s">
        <v>16</v>
      </c>
      <c r="B2" s="14"/>
      <c r="C2" s="14"/>
      <c r="D2" s="14"/>
      <c r="E2" s="14"/>
      <c r="F2" s="14"/>
      <c r="G2" s="14"/>
      <c r="H2" s="14"/>
      <c r="I2" s="16"/>
      <c r="J2" s="13" t="s">
        <v>18</v>
      </c>
      <c r="K2" s="14"/>
      <c r="L2" s="14"/>
      <c r="M2" s="14"/>
      <c r="N2" s="14"/>
      <c r="O2" s="14"/>
      <c r="P2" s="16"/>
      <c r="Q2" s="13" t="s">
        <v>22</v>
      </c>
      <c r="R2" s="14"/>
      <c r="S2" s="14"/>
      <c r="T2" s="14"/>
      <c r="U2" s="16"/>
      <c r="V2" s="22" t="s">
        <v>26</v>
      </c>
      <c r="W2" s="14"/>
      <c r="X2" s="14"/>
      <c r="Y2" s="16"/>
      <c r="Z2" s="13" t="s">
        <v>19</v>
      </c>
      <c r="AA2" s="14"/>
      <c r="AB2" s="14"/>
      <c r="AC2" s="16"/>
      <c r="AD2" s="22" t="s">
        <v>26</v>
      </c>
      <c r="AE2" s="14"/>
      <c r="AF2" s="14"/>
      <c r="AG2" s="16"/>
      <c r="AH2" s="13" t="s">
        <v>19</v>
      </c>
      <c r="AI2" s="14"/>
      <c r="AJ2" s="14"/>
      <c r="AK2" s="16"/>
    </row>
    <row r="3" ht="19.5" customHeight="1">
      <c r="A3" s="24"/>
      <c r="B3" s="25"/>
      <c r="C3" s="25"/>
      <c r="D3" s="25"/>
      <c r="E3" s="25"/>
      <c r="F3" s="25"/>
      <c r="G3" s="25"/>
      <c r="H3" s="25"/>
      <c r="I3" s="26"/>
      <c r="J3" s="24"/>
      <c r="K3" s="25"/>
      <c r="L3" s="25"/>
      <c r="M3" s="25"/>
      <c r="N3" s="25"/>
      <c r="O3" s="25"/>
      <c r="P3" s="26"/>
      <c r="Q3" s="24"/>
      <c r="R3" s="25"/>
      <c r="S3" s="25"/>
      <c r="T3" s="25"/>
      <c r="U3" s="26"/>
      <c r="V3" s="24"/>
      <c r="W3" s="25"/>
      <c r="X3" s="25"/>
      <c r="Y3" s="26"/>
      <c r="Z3" s="24"/>
      <c r="AA3" s="25"/>
      <c r="AB3" s="25"/>
      <c r="AC3" s="26"/>
      <c r="AD3" s="24"/>
      <c r="AE3" s="25"/>
      <c r="AF3" s="25"/>
      <c r="AG3" s="26"/>
      <c r="AH3" s="24"/>
      <c r="AI3" s="25"/>
      <c r="AJ3" s="25"/>
      <c r="AK3" s="26"/>
    </row>
    <row r="4" ht="15.0" customHeight="1"/>
    <row r="5" ht="19.5" customHeight="1">
      <c r="B5" s="27" t="s">
        <v>31</v>
      </c>
    </row>
    <row r="6" ht="19.5" customHeight="1">
      <c r="C6" s="29" t="s">
        <v>32</v>
      </c>
    </row>
    <row r="7" ht="19.5" customHeight="1">
      <c r="C7" s="29" t="s">
        <v>33</v>
      </c>
    </row>
    <row r="8" ht="19.5" customHeight="1">
      <c r="C8" s="29" t="s">
        <v>34</v>
      </c>
    </row>
    <row r="9" ht="19.5" customHeight="1">
      <c r="C9" s="29" t="s">
        <v>35</v>
      </c>
    </row>
    <row r="10" ht="19.5" customHeight="1">
      <c r="C10" s="29" t="s">
        <v>38</v>
      </c>
    </row>
    <row r="11" ht="19.5" customHeight="1">
      <c r="C11" s="29" t="s">
        <v>40</v>
      </c>
    </row>
    <row r="12" ht="15.0" customHeight="1"/>
    <row r="13" ht="19.5" customHeight="1">
      <c r="B13" s="27" t="s">
        <v>41</v>
      </c>
    </row>
    <row r="14" ht="19.5" customHeight="1">
      <c r="C14" s="35" t="s">
        <v>43</v>
      </c>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8"/>
    </row>
    <row r="15" ht="19.5" customHeight="1">
      <c r="C15" s="35" t="s">
        <v>45</v>
      </c>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8"/>
    </row>
    <row r="16" ht="19.5" customHeight="1">
      <c r="C16" s="35" t="s">
        <v>48</v>
      </c>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8"/>
    </row>
    <row r="17" ht="19.5" customHeight="1">
      <c r="C17" s="35" t="s">
        <v>53</v>
      </c>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8"/>
    </row>
    <row r="18" ht="19.5" customHeight="1">
      <c r="C18" s="35" t="s">
        <v>57</v>
      </c>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8"/>
    </row>
    <row r="19" ht="19.5" customHeight="1">
      <c r="C19" s="35" t="s">
        <v>59</v>
      </c>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8"/>
    </row>
    <row r="20" ht="15.0" customHeight="1"/>
    <row r="21" ht="19.5" customHeight="1">
      <c r="B21" s="27" t="s">
        <v>60</v>
      </c>
    </row>
    <row r="22" ht="15.0" customHeight="1"/>
    <row r="23" ht="22.5" customHeight="1">
      <c r="C23" s="1" t="s">
        <v>61</v>
      </c>
      <c r="D23" s="4" t="s">
        <v>62</v>
      </c>
      <c r="E23" s="5"/>
      <c r="F23" s="5"/>
      <c r="G23" s="5"/>
      <c r="H23" s="5"/>
      <c r="I23" s="5"/>
      <c r="J23" s="5"/>
      <c r="K23" s="5"/>
      <c r="L23" s="5"/>
      <c r="M23" s="5"/>
      <c r="N23" s="6"/>
      <c r="O23" s="4" t="s">
        <v>63</v>
      </c>
      <c r="P23" s="5"/>
      <c r="Q23" s="5"/>
      <c r="R23" s="5"/>
      <c r="S23" s="5"/>
      <c r="T23" s="5"/>
      <c r="U23" s="5"/>
      <c r="V23" s="5"/>
      <c r="W23" s="5"/>
      <c r="X23" s="5"/>
      <c r="Y23" s="5"/>
      <c r="Z23" s="5"/>
      <c r="AA23" s="5"/>
      <c r="AB23" s="5"/>
      <c r="AC23" s="5"/>
      <c r="AD23" s="5"/>
      <c r="AE23" s="5"/>
      <c r="AF23" s="5"/>
      <c r="AG23" s="6"/>
    </row>
    <row r="24" ht="22.5" customHeight="1">
      <c r="C24" s="10">
        <v>1.0</v>
      </c>
      <c r="D24" s="19" t="s">
        <v>64</v>
      </c>
      <c r="E24" s="5"/>
      <c r="F24" s="5"/>
      <c r="G24" s="5"/>
      <c r="H24" s="5"/>
      <c r="I24" s="5"/>
      <c r="J24" s="5"/>
      <c r="K24" s="5"/>
      <c r="L24" s="5"/>
      <c r="M24" s="5"/>
      <c r="N24" s="6"/>
      <c r="O24" s="19" t="s">
        <v>65</v>
      </c>
      <c r="P24" s="5"/>
      <c r="Q24" s="5"/>
      <c r="R24" s="5"/>
      <c r="S24" s="5"/>
      <c r="T24" s="5"/>
      <c r="U24" s="5"/>
      <c r="V24" s="5"/>
      <c r="W24" s="5"/>
      <c r="X24" s="5"/>
      <c r="Y24" s="5"/>
      <c r="Z24" s="5"/>
      <c r="AA24" s="5"/>
      <c r="AB24" s="5"/>
      <c r="AC24" s="5"/>
      <c r="AD24" s="5"/>
      <c r="AE24" s="5"/>
      <c r="AF24" s="5"/>
      <c r="AG24" s="6"/>
    </row>
    <row r="25" ht="22.5" customHeight="1">
      <c r="C25" s="10">
        <v>2.0</v>
      </c>
      <c r="D25" s="19" t="s">
        <v>66</v>
      </c>
      <c r="E25" s="5"/>
      <c r="F25" s="5"/>
      <c r="G25" s="5"/>
      <c r="H25" s="5"/>
      <c r="I25" s="5"/>
      <c r="J25" s="5"/>
      <c r="K25" s="5"/>
      <c r="L25" s="5"/>
      <c r="M25" s="5"/>
      <c r="N25" s="6"/>
      <c r="O25" s="19" t="s">
        <v>67</v>
      </c>
      <c r="P25" s="5"/>
      <c r="Q25" s="5"/>
      <c r="R25" s="5"/>
      <c r="S25" s="5"/>
      <c r="T25" s="5"/>
      <c r="U25" s="5"/>
      <c r="V25" s="5"/>
      <c r="W25" s="5"/>
      <c r="X25" s="5"/>
      <c r="Y25" s="5"/>
      <c r="Z25" s="5"/>
      <c r="AA25" s="5"/>
      <c r="AB25" s="5"/>
      <c r="AC25" s="5"/>
      <c r="AD25" s="5"/>
      <c r="AE25" s="5"/>
      <c r="AF25" s="5"/>
      <c r="AG25" s="6"/>
    </row>
    <row r="26" ht="22.5" customHeight="1">
      <c r="C26" s="10">
        <v>3.0</v>
      </c>
      <c r="D26" s="19" t="s">
        <v>68</v>
      </c>
      <c r="E26" s="5"/>
      <c r="F26" s="5"/>
      <c r="G26" s="5"/>
      <c r="H26" s="5"/>
      <c r="I26" s="5"/>
      <c r="J26" s="5"/>
      <c r="K26" s="5"/>
      <c r="L26" s="5"/>
      <c r="M26" s="5"/>
      <c r="N26" s="6"/>
      <c r="O26" s="19" t="s">
        <v>69</v>
      </c>
      <c r="P26" s="5"/>
      <c r="Q26" s="5"/>
      <c r="R26" s="5"/>
      <c r="S26" s="5"/>
      <c r="T26" s="5"/>
      <c r="U26" s="5"/>
      <c r="V26" s="5"/>
      <c r="W26" s="5"/>
      <c r="X26" s="5"/>
      <c r="Y26" s="5"/>
      <c r="Z26" s="5"/>
      <c r="AA26" s="5"/>
      <c r="AB26" s="5"/>
      <c r="AC26" s="5"/>
      <c r="AD26" s="5"/>
      <c r="AE26" s="5"/>
      <c r="AF26" s="5"/>
      <c r="AG26" s="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B13:AK13"/>
    <mergeCell ref="C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12" t="s">
        <v>10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6"/>
    </row>
    <row r="3" ht="22.5" customHeight="1">
      <c r="A3" s="21" t="s">
        <v>24</v>
      </c>
      <c r="B3" s="5"/>
      <c r="C3" s="5"/>
      <c r="D3" s="5"/>
      <c r="E3" s="5"/>
      <c r="F3" s="6"/>
      <c r="G3" s="19" t="s">
        <v>16</v>
      </c>
      <c r="H3" s="5"/>
      <c r="I3" s="5"/>
      <c r="J3" s="5"/>
      <c r="K3" s="5"/>
      <c r="L3" s="5"/>
      <c r="M3" s="5"/>
      <c r="N3" s="5"/>
      <c r="O3" s="6"/>
      <c r="P3" s="21" t="s">
        <v>28</v>
      </c>
      <c r="Q3" s="5"/>
      <c r="R3" s="5"/>
      <c r="S3" s="5"/>
      <c r="T3" s="5"/>
      <c r="U3" s="5"/>
      <c r="V3" s="5"/>
      <c r="W3" s="6"/>
      <c r="X3" s="19" t="s">
        <v>23</v>
      </c>
      <c r="Y3" s="5"/>
      <c r="Z3" s="5"/>
      <c r="AA3" s="5"/>
      <c r="AB3" s="5"/>
      <c r="AC3" s="5"/>
      <c r="AD3" s="5"/>
      <c r="AE3" s="5"/>
      <c r="AF3" s="5"/>
      <c r="AG3" s="5"/>
      <c r="AH3" s="6"/>
    </row>
    <row r="4" ht="22.5" customHeight="1">
      <c r="A4" s="21" t="s">
        <v>5</v>
      </c>
      <c r="B4" s="5"/>
      <c r="C4" s="5"/>
      <c r="D4" s="5"/>
      <c r="E4" s="5"/>
      <c r="F4" s="6"/>
      <c r="G4" s="19" t="s">
        <v>19</v>
      </c>
      <c r="H4" s="5"/>
      <c r="I4" s="5"/>
      <c r="J4" s="5"/>
      <c r="K4" s="5"/>
      <c r="L4" s="5"/>
      <c r="M4" s="5"/>
      <c r="N4" s="5"/>
      <c r="O4" s="6"/>
      <c r="P4" s="21" t="s">
        <v>8</v>
      </c>
      <c r="Q4" s="5"/>
      <c r="R4" s="5"/>
      <c r="S4" s="5"/>
      <c r="T4" s="5"/>
      <c r="U4" s="5"/>
      <c r="V4" s="5"/>
      <c r="W4" s="6"/>
      <c r="X4" s="30" t="s">
        <v>26</v>
      </c>
      <c r="Y4" s="5"/>
      <c r="Z4" s="5"/>
      <c r="AA4" s="5"/>
      <c r="AB4" s="5"/>
      <c r="AC4" s="5"/>
      <c r="AD4" s="5"/>
      <c r="AE4" s="5"/>
      <c r="AF4" s="5"/>
      <c r="AG4" s="5"/>
      <c r="AH4" s="6"/>
    </row>
    <row r="6" ht="22.5" customHeight="1">
      <c r="A6" s="31" t="s">
        <v>36</v>
      </c>
      <c r="B6" s="32" t="s">
        <v>37</v>
      </c>
      <c r="C6" s="14"/>
      <c r="D6" s="14"/>
      <c r="E6" s="14"/>
      <c r="F6" s="14"/>
      <c r="G6" s="16"/>
      <c r="H6" s="33" t="s">
        <v>39</v>
      </c>
      <c r="I6" s="5"/>
      <c r="J6" s="5"/>
      <c r="K6" s="5"/>
      <c r="L6" s="5"/>
      <c r="M6" s="5"/>
      <c r="N6" s="5"/>
      <c r="O6" s="5"/>
      <c r="P6" s="6"/>
      <c r="Q6" s="32" t="s">
        <v>42</v>
      </c>
      <c r="R6" s="14"/>
      <c r="S6" s="16"/>
      <c r="T6" s="33" t="s">
        <v>44</v>
      </c>
      <c r="U6" s="5"/>
      <c r="V6" s="5"/>
      <c r="W6" s="5"/>
      <c r="X6" s="5"/>
      <c r="Y6" s="5"/>
      <c r="Z6" s="5"/>
      <c r="AA6" s="5"/>
      <c r="AB6" s="5"/>
      <c r="AC6" s="5"/>
      <c r="AD6" s="5"/>
      <c r="AE6" s="5"/>
      <c r="AF6" s="5"/>
      <c r="AG6" s="5"/>
      <c r="AH6" s="6"/>
    </row>
    <row r="7" ht="22.5" customHeight="1">
      <c r="A7" s="39"/>
      <c r="B7" s="24"/>
      <c r="C7" s="25"/>
      <c r="D7" s="25"/>
      <c r="E7" s="25"/>
      <c r="F7" s="25"/>
      <c r="G7" s="26"/>
      <c r="H7" s="33" t="s">
        <v>46</v>
      </c>
      <c r="I7" s="5"/>
      <c r="J7" s="6"/>
      <c r="K7" s="33" t="s">
        <v>47</v>
      </c>
      <c r="L7" s="5"/>
      <c r="M7" s="6"/>
      <c r="N7" s="33" t="s">
        <v>49</v>
      </c>
      <c r="O7" s="5"/>
      <c r="P7" s="6"/>
      <c r="Q7" s="24"/>
      <c r="R7" s="25"/>
      <c r="S7" s="26"/>
      <c r="T7" s="33" t="s">
        <v>50</v>
      </c>
      <c r="U7" s="5"/>
      <c r="V7" s="6"/>
      <c r="W7" s="33" t="s">
        <v>51</v>
      </c>
      <c r="X7" s="5"/>
      <c r="Y7" s="6"/>
      <c r="Z7" s="33" t="s">
        <v>52</v>
      </c>
      <c r="AA7" s="5"/>
      <c r="AB7" s="6"/>
      <c r="AC7" s="33" t="s">
        <v>54</v>
      </c>
      <c r="AD7" s="5"/>
      <c r="AE7" s="6"/>
      <c r="AF7" s="33" t="s">
        <v>55</v>
      </c>
      <c r="AG7" s="5"/>
      <c r="AH7" s="6"/>
    </row>
    <row r="8" ht="22.5" customHeight="1">
      <c r="A8" s="41" t="s">
        <v>56</v>
      </c>
    </row>
    <row r="9" ht="22.5" customHeight="1">
      <c r="A9" s="10">
        <v>1.0</v>
      </c>
      <c r="B9" s="19" t="s">
        <v>58</v>
      </c>
      <c r="C9" s="5"/>
      <c r="D9" s="5"/>
      <c r="E9" s="5"/>
      <c r="F9" s="5"/>
      <c r="G9" s="6"/>
      <c r="H9" s="11">
        <f t="array" ref="H9">INDIRECT("'"&amp;$B9&amp;"'!H7",TRUE)</f>
        <v>26</v>
      </c>
      <c r="I9" s="5"/>
      <c r="J9" s="6"/>
      <c r="K9" s="11">
        <f t="array" ref="K9">INDIRECT("'"&amp;$B9&amp;"'!K7",TRUE)</f>
        <v>23</v>
      </c>
      <c r="L9" s="5"/>
      <c r="M9" s="6"/>
      <c r="N9" s="11">
        <f t="array" ref="N9">INDIRECT("'"&amp;$B9&amp;"'!N7",TRUE)</f>
        <v>3</v>
      </c>
      <c r="O9" s="5"/>
      <c r="P9" s="6"/>
      <c r="Q9" s="11">
        <f t="array" ref="Q9">INDIRECT("'"&amp;$B9&amp;"'!Q7",TRUE)</f>
        <v>52</v>
      </c>
      <c r="R9" s="5"/>
      <c r="S9" s="6"/>
      <c r="T9" s="11">
        <f t="array" ref="T9">INDIRECT("'"&amp;$B9&amp;"'!T7",TRUE)</f>
        <v>48</v>
      </c>
      <c r="U9" s="5"/>
      <c r="V9" s="6"/>
      <c r="W9" s="11">
        <f t="array" ref="W9">INDIRECT("'"&amp;$B9&amp;"'!W7",TRUE)</f>
        <v>0</v>
      </c>
      <c r="X9" s="5"/>
      <c r="Y9" s="6"/>
      <c r="Z9" s="11">
        <f t="array" ref="Z9">INDIRECT("'"&amp;$B9&amp;"'!Z7",TRUE)</f>
        <v>4</v>
      </c>
      <c r="AA9" s="5"/>
      <c r="AB9" s="6"/>
      <c r="AC9" s="11">
        <f t="array" ref="AC9">INDIRECT("'"&amp;$B9&amp;"'!AC7",TRUE)</f>
        <v>0</v>
      </c>
      <c r="AD9" s="5"/>
      <c r="AE9" s="6"/>
      <c r="AF9" s="42">
        <f>IFERROR((T9+W9+AC9)/Q9,0)</f>
        <v>0.9230769231</v>
      </c>
      <c r="AG9" s="5"/>
      <c r="AH9" s="6"/>
    </row>
    <row r="10" ht="22.5" customHeight="1">
      <c r="A10" s="10">
        <v>2.0</v>
      </c>
      <c r="B10" s="19"/>
      <c r="C10" s="5"/>
      <c r="D10" s="5"/>
      <c r="E10" s="5"/>
      <c r="F10" s="5"/>
      <c r="G10" s="6"/>
      <c r="H10" s="11"/>
      <c r="I10" s="5"/>
      <c r="J10" s="6"/>
      <c r="K10" s="11"/>
      <c r="L10" s="5"/>
      <c r="M10" s="6"/>
      <c r="N10" s="11"/>
      <c r="O10" s="5"/>
      <c r="P10" s="6"/>
      <c r="Q10" s="11"/>
      <c r="R10" s="5"/>
      <c r="S10" s="6"/>
      <c r="T10" s="11"/>
      <c r="U10" s="5"/>
      <c r="V10" s="6"/>
      <c r="W10" s="11"/>
      <c r="X10" s="5"/>
      <c r="Y10" s="6"/>
      <c r="Z10" s="11"/>
      <c r="AA10" s="5"/>
      <c r="AB10" s="6"/>
      <c r="AC10" s="11"/>
      <c r="AD10" s="5"/>
      <c r="AE10" s="6"/>
      <c r="AF10" s="42"/>
      <c r="AG10" s="5"/>
      <c r="AH10" s="6"/>
    </row>
    <row r="11" ht="22.5" customHeight="1">
      <c r="A11" s="10"/>
      <c r="B11" s="33" t="s">
        <v>42</v>
      </c>
      <c r="C11" s="5"/>
      <c r="D11" s="5"/>
      <c r="E11" s="5"/>
      <c r="F11" s="5"/>
      <c r="G11" s="6"/>
      <c r="H11" s="43">
        <f>SUM(H9:J10)</f>
        <v>26</v>
      </c>
      <c r="I11" s="5"/>
      <c r="J11" s="6"/>
      <c r="K11" s="43">
        <f>SUM(K9:M10)</f>
        <v>23</v>
      </c>
      <c r="L11" s="5"/>
      <c r="M11" s="6"/>
      <c r="N11" s="43">
        <f>SUM(N9:P10)</f>
        <v>3</v>
      </c>
      <c r="O11" s="5"/>
      <c r="P11" s="6"/>
      <c r="Q11" s="43">
        <f>SUM(Q9:S10)</f>
        <v>52</v>
      </c>
      <c r="R11" s="5"/>
      <c r="S11" s="6"/>
      <c r="T11" s="43">
        <f>SUM(T9:V10)</f>
        <v>48</v>
      </c>
      <c r="U11" s="5"/>
      <c r="V11" s="6"/>
      <c r="W11" s="43">
        <f>SUM(W9:Y10)</f>
        <v>0</v>
      </c>
      <c r="X11" s="5"/>
      <c r="Y11" s="6"/>
      <c r="Z11" s="43">
        <f>SUM(Z9:AB10)</f>
        <v>4</v>
      </c>
      <c r="AA11" s="5"/>
      <c r="AB11" s="6"/>
      <c r="AC11" s="43">
        <f>SUM(AC9:AE10)</f>
        <v>0</v>
      </c>
      <c r="AD11" s="5"/>
      <c r="AE11" s="6"/>
      <c r="AF11" s="44">
        <f>IFERROR((T11+W11+AC11)/Q11,0)</f>
        <v>0.9230769231</v>
      </c>
      <c r="AG11" s="5"/>
      <c r="AH11" s="6"/>
    </row>
    <row r="12" ht="22.5" customHeight="1">
      <c r="A12" s="41" t="s">
        <v>70</v>
      </c>
    </row>
    <row r="13" ht="22.5" customHeight="1">
      <c r="A13" s="10">
        <v>1.0</v>
      </c>
      <c r="B13" s="19" t="s">
        <v>58</v>
      </c>
      <c r="C13" s="5"/>
      <c r="D13" s="5"/>
      <c r="E13" s="5"/>
      <c r="F13" s="5"/>
      <c r="G13" s="6"/>
      <c r="H13" s="11">
        <f t="array" ref="H13">INDIRECT("'"&amp;$B13&amp;"'!H8",TRUE)</f>
        <v>26</v>
      </c>
      <c r="I13" s="5"/>
      <c r="J13" s="6"/>
      <c r="K13" s="11">
        <f t="array" ref="K13">INDIRECT("'"&amp;$B13&amp;"'!K8",TRUE)</f>
        <v>23</v>
      </c>
      <c r="L13" s="5"/>
      <c r="M13" s="6"/>
      <c r="N13" s="11">
        <f t="array" ref="N13">INDIRECT("'"&amp;$B13&amp;"'!N8",TRUE)</f>
        <v>3</v>
      </c>
      <c r="O13" s="5"/>
      <c r="P13" s="6"/>
      <c r="Q13" s="11">
        <f t="array" ref="Q13">INDIRECT("'"&amp;$B13&amp;"'!Q8",TRUE)</f>
        <v>52</v>
      </c>
      <c r="R13" s="5"/>
      <c r="S13" s="6"/>
      <c r="T13" s="11">
        <f t="array" ref="T13">INDIRECT("'"&amp;$B13&amp;"'!T8",TRUE)</f>
        <v>52</v>
      </c>
      <c r="U13" s="5"/>
      <c r="V13" s="6"/>
      <c r="W13" s="11">
        <f t="array" ref="W13">INDIRECT("'"&amp;$B13&amp;"'!W8",TRUE)</f>
        <v>0</v>
      </c>
      <c r="X13" s="5"/>
      <c r="Y13" s="6"/>
      <c r="Z13" s="11">
        <f t="array" ref="Z13">INDIRECT("'"&amp;$B13&amp;"'!Z8",TRUE)</f>
        <v>0</v>
      </c>
      <c r="AA13" s="5"/>
      <c r="AB13" s="6"/>
      <c r="AC13" s="11">
        <f t="array" ref="AC13">INDIRECT("'"&amp;$B13&amp;"'!AC8",TRUE)</f>
        <v>0</v>
      </c>
      <c r="AD13" s="5"/>
      <c r="AE13" s="6"/>
      <c r="AF13" s="42">
        <f>IFERROR((T13+W13+AC13)/Q13,0)</f>
        <v>1</v>
      </c>
      <c r="AG13" s="5"/>
      <c r="AH13" s="6"/>
    </row>
    <row r="14" ht="22.5" customHeight="1">
      <c r="A14" s="10">
        <v>2.0</v>
      </c>
      <c r="B14" s="19"/>
      <c r="C14" s="5"/>
      <c r="D14" s="5"/>
      <c r="E14" s="5"/>
      <c r="F14" s="5"/>
      <c r="G14" s="6"/>
      <c r="H14" s="11"/>
      <c r="I14" s="5"/>
      <c r="J14" s="6"/>
      <c r="K14" s="11"/>
      <c r="L14" s="5"/>
      <c r="M14" s="6"/>
      <c r="N14" s="11"/>
      <c r="O14" s="5"/>
      <c r="P14" s="6"/>
      <c r="Q14" s="11"/>
      <c r="R14" s="5"/>
      <c r="S14" s="6"/>
      <c r="T14" s="11"/>
      <c r="U14" s="5"/>
      <c r="V14" s="6"/>
      <c r="W14" s="11"/>
      <c r="X14" s="5"/>
      <c r="Y14" s="6"/>
      <c r="Z14" s="11"/>
      <c r="AA14" s="5"/>
      <c r="AB14" s="6"/>
      <c r="AC14" s="11"/>
      <c r="AD14" s="5"/>
      <c r="AE14" s="6"/>
      <c r="AF14" s="42"/>
      <c r="AG14" s="5"/>
      <c r="AH14" s="6"/>
    </row>
    <row r="15" ht="22.5" customHeight="1">
      <c r="A15" s="10"/>
      <c r="B15" s="33" t="s">
        <v>42</v>
      </c>
      <c r="C15" s="5"/>
      <c r="D15" s="5"/>
      <c r="E15" s="5"/>
      <c r="F15" s="5"/>
      <c r="G15" s="6"/>
      <c r="H15" s="43">
        <f>SUM(H13:J14)</f>
        <v>26</v>
      </c>
      <c r="I15" s="5"/>
      <c r="J15" s="6"/>
      <c r="K15" s="43">
        <f>SUM(K13:M14)</f>
        <v>23</v>
      </c>
      <c r="L15" s="5"/>
      <c r="M15" s="6"/>
      <c r="N15" s="43">
        <f>SUM(N13:P14)</f>
        <v>3</v>
      </c>
      <c r="O15" s="5"/>
      <c r="P15" s="6"/>
      <c r="Q15" s="43">
        <f>SUM(Q13:S14)</f>
        <v>52</v>
      </c>
      <c r="R15" s="5"/>
      <c r="S15" s="6"/>
      <c r="T15" s="43">
        <f>SUM(T13:V14)</f>
        <v>52</v>
      </c>
      <c r="U15" s="5"/>
      <c r="V15" s="6"/>
      <c r="W15" s="43">
        <f>SUM(W13:Y14)</f>
        <v>0</v>
      </c>
      <c r="X15" s="5"/>
      <c r="Y15" s="6"/>
      <c r="Z15" s="43">
        <f>SUM(Z13:AB14)</f>
        <v>0</v>
      </c>
      <c r="AA15" s="5"/>
      <c r="AB15" s="6"/>
      <c r="AC15" s="43">
        <f>SUM(AC13:AE14)</f>
        <v>0</v>
      </c>
      <c r="AD15" s="5"/>
      <c r="AE15" s="6"/>
      <c r="AF15" s="44">
        <f>IFERROR((T15+W15+AC15)/Q15,0)</f>
        <v>1</v>
      </c>
      <c r="AG15" s="5"/>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1</v>
      </c>
      <c r="B1" s="5"/>
      <c r="C1" s="5"/>
      <c r="D1" s="5"/>
      <c r="E1" s="5"/>
      <c r="F1" s="5"/>
      <c r="G1" s="5"/>
      <c r="H1" s="5"/>
      <c r="I1" s="6"/>
      <c r="J1" s="4" t="s">
        <v>4</v>
      </c>
      <c r="K1" s="5"/>
      <c r="L1" s="5"/>
      <c r="M1" s="5"/>
      <c r="N1" s="5"/>
      <c r="O1" s="5"/>
      <c r="P1" s="6"/>
      <c r="Q1" s="4" t="s">
        <v>6</v>
      </c>
      <c r="R1" s="5"/>
      <c r="S1" s="5"/>
      <c r="T1" s="5"/>
      <c r="U1" s="6"/>
      <c r="V1" s="4" t="s">
        <v>8</v>
      </c>
      <c r="W1" s="5"/>
      <c r="X1" s="5"/>
      <c r="Y1" s="6"/>
      <c r="Z1" s="4" t="s">
        <v>11</v>
      </c>
      <c r="AA1" s="5"/>
      <c r="AB1" s="5"/>
      <c r="AC1" s="6"/>
      <c r="AD1" s="4" t="s">
        <v>13</v>
      </c>
      <c r="AE1" s="5"/>
      <c r="AF1" s="5"/>
      <c r="AG1" s="6"/>
      <c r="AH1" s="4" t="s">
        <v>14</v>
      </c>
      <c r="AI1" s="5"/>
      <c r="AJ1" s="5"/>
      <c r="AK1" s="6"/>
    </row>
    <row r="2" ht="19.5" customHeight="1">
      <c r="A2" s="13" t="s">
        <v>16</v>
      </c>
      <c r="B2" s="14"/>
      <c r="C2" s="14"/>
      <c r="D2" s="14"/>
      <c r="E2" s="14"/>
      <c r="F2" s="14"/>
      <c r="G2" s="14"/>
      <c r="H2" s="14"/>
      <c r="I2" s="16"/>
      <c r="J2" s="13" t="s">
        <v>18</v>
      </c>
      <c r="K2" s="14"/>
      <c r="L2" s="14"/>
      <c r="M2" s="14"/>
      <c r="N2" s="14"/>
      <c r="O2" s="14"/>
      <c r="P2" s="16"/>
      <c r="Q2" s="13" t="s">
        <v>71</v>
      </c>
      <c r="R2" s="14"/>
      <c r="S2" s="14"/>
      <c r="T2" s="14"/>
      <c r="U2" s="16"/>
      <c r="V2" s="22" t="s">
        <v>26</v>
      </c>
      <c r="W2" s="14"/>
      <c r="X2" s="14"/>
      <c r="Y2" s="16"/>
      <c r="Z2" s="13" t="s">
        <v>19</v>
      </c>
      <c r="AA2" s="14"/>
      <c r="AB2" s="14"/>
      <c r="AC2" s="16"/>
      <c r="AD2" s="22" t="s">
        <v>26</v>
      </c>
      <c r="AE2" s="14"/>
      <c r="AF2" s="14"/>
      <c r="AG2" s="16"/>
      <c r="AH2" s="13" t="s">
        <v>19</v>
      </c>
      <c r="AI2" s="14"/>
      <c r="AJ2" s="14"/>
      <c r="AK2" s="16"/>
    </row>
    <row r="3" ht="19.5" customHeight="1">
      <c r="A3" s="24"/>
      <c r="B3" s="25"/>
      <c r="C3" s="25"/>
      <c r="D3" s="25"/>
      <c r="E3" s="25"/>
      <c r="F3" s="25"/>
      <c r="G3" s="25"/>
      <c r="H3" s="25"/>
      <c r="I3" s="26"/>
      <c r="J3" s="24"/>
      <c r="K3" s="25"/>
      <c r="L3" s="25"/>
      <c r="M3" s="25"/>
      <c r="N3" s="25"/>
      <c r="O3" s="25"/>
      <c r="P3" s="26"/>
      <c r="Q3" s="24"/>
      <c r="R3" s="25"/>
      <c r="S3" s="25"/>
      <c r="T3" s="25"/>
      <c r="U3" s="26"/>
      <c r="V3" s="24"/>
      <c r="W3" s="25"/>
      <c r="X3" s="25"/>
      <c r="Y3" s="26"/>
      <c r="Z3" s="24"/>
      <c r="AA3" s="25"/>
      <c r="AB3" s="25"/>
      <c r="AC3" s="26"/>
      <c r="AD3" s="24"/>
      <c r="AE3" s="25"/>
      <c r="AF3" s="25"/>
      <c r="AG3" s="26"/>
      <c r="AH3" s="24"/>
      <c r="AI3" s="25"/>
      <c r="AJ3" s="25"/>
      <c r="AK3" s="26"/>
    </row>
    <row r="5" ht="19.5" customHeight="1">
      <c r="B5" s="27" t="s">
        <v>72</v>
      </c>
    </row>
    <row r="7" ht="28.5" customHeight="1">
      <c r="B7" s="45" t="s">
        <v>36</v>
      </c>
      <c r="C7" s="46" t="s">
        <v>73</v>
      </c>
      <c r="D7" s="5"/>
      <c r="E7" s="6"/>
      <c r="F7" s="46" t="s">
        <v>74</v>
      </c>
      <c r="G7" s="5"/>
      <c r="H7" s="5"/>
      <c r="I7" s="5"/>
      <c r="J7" s="5"/>
      <c r="K7" s="5"/>
      <c r="L7" s="6"/>
      <c r="M7" s="46" t="s">
        <v>75</v>
      </c>
      <c r="N7" s="5"/>
      <c r="O7" s="5"/>
      <c r="P7" s="5"/>
      <c r="Q7" s="5"/>
      <c r="R7" s="5"/>
      <c r="S7" s="5"/>
      <c r="T7" s="6"/>
      <c r="U7" s="46" t="s">
        <v>76</v>
      </c>
      <c r="V7" s="6"/>
      <c r="W7" s="46" t="s">
        <v>77</v>
      </c>
      <c r="X7" s="5"/>
      <c r="Y7" s="5"/>
      <c r="Z7" s="5"/>
      <c r="AA7" s="5"/>
      <c r="AB7" s="5"/>
      <c r="AC7" s="6"/>
      <c r="AD7" s="46" t="s">
        <v>78</v>
      </c>
      <c r="AE7" s="5"/>
      <c r="AF7" s="6"/>
    </row>
    <row r="8" ht="30.0" customHeight="1">
      <c r="B8" s="47">
        <v>1.0</v>
      </c>
      <c r="C8" s="48" t="s">
        <v>79</v>
      </c>
      <c r="D8" s="5"/>
      <c r="E8" s="6"/>
      <c r="F8" s="49" t="s">
        <v>80</v>
      </c>
      <c r="G8" s="5"/>
      <c r="H8" s="5"/>
      <c r="I8" s="5"/>
      <c r="J8" s="5"/>
      <c r="K8" s="5"/>
      <c r="L8" s="6"/>
      <c r="M8" s="49" t="s">
        <v>81</v>
      </c>
      <c r="N8" s="5"/>
      <c r="O8" s="5"/>
      <c r="P8" s="5"/>
      <c r="Q8" s="5"/>
      <c r="R8" s="5"/>
      <c r="S8" s="5"/>
      <c r="T8" s="6"/>
      <c r="U8" s="50" t="s">
        <v>82</v>
      </c>
      <c r="V8" s="6"/>
      <c r="W8" s="49" t="s">
        <v>83</v>
      </c>
      <c r="X8" s="5"/>
      <c r="Y8" s="5"/>
      <c r="Z8" s="5"/>
      <c r="AA8" s="5"/>
      <c r="AB8" s="5"/>
      <c r="AC8" s="6"/>
      <c r="AD8" s="48">
        <v>265.0</v>
      </c>
      <c r="AE8" s="5"/>
      <c r="AF8" s="6"/>
    </row>
    <row r="9" ht="30.0" customHeight="1">
      <c r="B9" s="47">
        <v>2.0</v>
      </c>
      <c r="C9" s="48" t="s">
        <v>84</v>
      </c>
      <c r="D9" s="5"/>
      <c r="E9" s="6"/>
      <c r="F9" s="49" t="s">
        <v>80</v>
      </c>
      <c r="G9" s="5"/>
      <c r="H9" s="5"/>
      <c r="I9" s="5"/>
      <c r="J9" s="5"/>
      <c r="K9" s="5"/>
      <c r="L9" s="6"/>
      <c r="M9" s="49" t="s">
        <v>85</v>
      </c>
      <c r="N9" s="5"/>
      <c r="O9" s="5"/>
      <c r="P9" s="5"/>
      <c r="Q9" s="5"/>
      <c r="R9" s="5"/>
      <c r="S9" s="5"/>
      <c r="T9" s="6"/>
      <c r="U9" s="50" t="s">
        <v>82</v>
      </c>
      <c r="V9" s="6"/>
      <c r="W9" s="49" t="s">
        <v>86</v>
      </c>
      <c r="X9" s="5"/>
      <c r="Y9" s="5"/>
      <c r="Z9" s="5"/>
      <c r="AA9" s="5"/>
      <c r="AB9" s="5"/>
      <c r="AC9" s="6"/>
      <c r="AD9" s="48">
        <v>200.0</v>
      </c>
      <c r="AE9" s="5"/>
      <c r="AF9" s="6"/>
    </row>
    <row r="10" ht="36.0" customHeight="1">
      <c r="B10" s="47">
        <v>3.0</v>
      </c>
      <c r="C10" s="48" t="s">
        <v>87</v>
      </c>
      <c r="D10" s="5"/>
      <c r="E10" s="6"/>
      <c r="F10" s="49" t="s">
        <v>80</v>
      </c>
      <c r="G10" s="5"/>
      <c r="H10" s="5"/>
      <c r="I10" s="5"/>
      <c r="J10" s="5"/>
      <c r="K10" s="5"/>
      <c r="L10" s="6"/>
      <c r="M10" s="49" t="s">
        <v>88</v>
      </c>
      <c r="N10" s="5"/>
      <c r="O10" s="5"/>
      <c r="P10" s="5"/>
      <c r="Q10" s="5"/>
      <c r="R10" s="5"/>
      <c r="S10" s="5"/>
      <c r="T10" s="6"/>
      <c r="U10" s="50" t="s">
        <v>82</v>
      </c>
      <c r="V10" s="6"/>
      <c r="W10" s="49" t="s">
        <v>89</v>
      </c>
      <c r="X10" s="5"/>
      <c r="Y10" s="5"/>
      <c r="Z10" s="5"/>
      <c r="AA10" s="5"/>
      <c r="AB10" s="5"/>
      <c r="AC10" s="6"/>
      <c r="AD10" s="48">
        <v>50.0</v>
      </c>
      <c r="AE10" s="5"/>
      <c r="AF10" s="6"/>
    </row>
    <row r="11" ht="30.0" customHeight="1">
      <c r="B11" s="47">
        <v>4.0</v>
      </c>
      <c r="C11" s="48" t="s">
        <v>90</v>
      </c>
      <c r="D11" s="5"/>
      <c r="E11" s="6"/>
      <c r="F11" s="49" t="s">
        <v>80</v>
      </c>
      <c r="G11" s="5"/>
      <c r="H11" s="5"/>
      <c r="I11" s="5"/>
      <c r="J11" s="5"/>
      <c r="K11" s="5"/>
      <c r="L11" s="6"/>
      <c r="M11" s="49" t="s">
        <v>91</v>
      </c>
      <c r="N11" s="5"/>
      <c r="O11" s="5"/>
      <c r="P11" s="5"/>
      <c r="Q11" s="5"/>
      <c r="R11" s="5"/>
      <c r="S11" s="5"/>
      <c r="T11" s="6"/>
      <c r="U11" s="50" t="s">
        <v>82</v>
      </c>
      <c r="V11" s="6"/>
      <c r="W11" s="49" t="s">
        <v>83</v>
      </c>
      <c r="X11" s="5"/>
      <c r="Y11" s="5"/>
      <c r="Z11" s="5"/>
      <c r="AA11" s="5"/>
      <c r="AB11" s="5"/>
      <c r="AC11" s="6"/>
      <c r="AD11" s="48">
        <v>75.0</v>
      </c>
      <c r="AE11" s="5"/>
      <c r="AF11" s="6"/>
    </row>
    <row r="12" ht="30.0" customHeight="1">
      <c r="B12" s="47">
        <v>5.0</v>
      </c>
      <c r="C12" s="48" t="s">
        <v>92</v>
      </c>
      <c r="D12" s="5"/>
      <c r="E12" s="6"/>
      <c r="F12" s="49" t="s">
        <v>80</v>
      </c>
      <c r="G12" s="5"/>
      <c r="H12" s="5"/>
      <c r="I12" s="5"/>
      <c r="J12" s="5"/>
      <c r="K12" s="5"/>
      <c r="L12" s="6"/>
      <c r="M12" s="49" t="s">
        <v>93</v>
      </c>
      <c r="N12" s="5"/>
      <c r="O12" s="5"/>
      <c r="P12" s="5"/>
      <c r="Q12" s="5"/>
      <c r="R12" s="5"/>
      <c r="S12" s="5"/>
      <c r="T12" s="6"/>
      <c r="U12" s="50" t="s">
        <v>82</v>
      </c>
      <c r="V12" s="6"/>
      <c r="W12" s="49" t="s">
        <v>94</v>
      </c>
      <c r="X12" s="5"/>
      <c r="Y12" s="5"/>
      <c r="Z12" s="5"/>
      <c r="AA12" s="5"/>
      <c r="AB12" s="5"/>
      <c r="AC12" s="6"/>
      <c r="AD12" s="48">
        <v>30.0</v>
      </c>
      <c r="AE12" s="5"/>
      <c r="AF12" s="6"/>
    </row>
    <row r="13" ht="30.0" customHeight="1">
      <c r="B13" s="47">
        <v>6.0</v>
      </c>
      <c r="C13" s="48" t="s">
        <v>95</v>
      </c>
      <c r="D13" s="5"/>
      <c r="E13" s="6"/>
      <c r="F13" s="49" t="s">
        <v>80</v>
      </c>
      <c r="G13" s="5"/>
      <c r="H13" s="5"/>
      <c r="I13" s="5"/>
      <c r="J13" s="5"/>
      <c r="K13" s="5"/>
      <c r="L13" s="6"/>
      <c r="M13" s="49" t="s">
        <v>96</v>
      </c>
      <c r="N13" s="5"/>
      <c r="O13" s="5"/>
      <c r="P13" s="5"/>
      <c r="Q13" s="5"/>
      <c r="R13" s="5"/>
      <c r="S13" s="5"/>
      <c r="T13" s="6"/>
      <c r="U13" s="50" t="s">
        <v>82</v>
      </c>
      <c r="V13" s="6"/>
      <c r="W13" s="49" t="s">
        <v>97</v>
      </c>
      <c r="X13" s="5"/>
      <c r="Y13" s="5"/>
      <c r="Z13" s="5"/>
      <c r="AA13" s="5"/>
      <c r="AB13" s="5"/>
      <c r="AC13" s="6"/>
      <c r="AD13" s="48">
        <v>50.0</v>
      </c>
      <c r="AE13" s="5"/>
      <c r="AF13" s="6"/>
    </row>
    <row r="14" ht="30.0" customHeight="1">
      <c r="B14" s="47">
        <v>7.0</v>
      </c>
      <c r="C14" s="48" t="s">
        <v>98</v>
      </c>
      <c r="D14" s="5"/>
      <c r="E14" s="6"/>
      <c r="F14" s="49" t="s">
        <v>80</v>
      </c>
      <c r="G14" s="5"/>
      <c r="H14" s="5"/>
      <c r="I14" s="5"/>
      <c r="J14" s="5"/>
      <c r="K14" s="5"/>
      <c r="L14" s="6"/>
      <c r="M14" s="49" t="s">
        <v>99</v>
      </c>
      <c r="N14" s="5"/>
      <c r="O14" s="5"/>
      <c r="P14" s="5"/>
      <c r="Q14" s="5"/>
      <c r="R14" s="5"/>
      <c r="S14" s="5"/>
      <c r="T14" s="6"/>
      <c r="U14" s="50" t="s">
        <v>82</v>
      </c>
      <c r="V14" s="6"/>
      <c r="W14" s="49" t="s">
        <v>94</v>
      </c>
      <c r="X14" s="5"/>
      <c r="Y14" s="5"/>
      <c r="Z14" s="5"/>
      <c r="AA14" s="5"/>
      <c r="AB14" s="5"/>
      <c r="AC14" s="6"/>
      <c r="AD14" s="48">
        <v>10.0</v>
      </c>
      <c r="AE14" s="5"/>
      <c r="AF14" s="6"/>
    </row>
    <row r="15" ht="30.0" customHeight="1">
      <c r="B15" s="47">
        <v>8.0</v>
      </c>
      <c r="C15" s="48" t="s">
        <v>100</v>
      </c>
      <c r="D15" s="5"/>
      <c r="E15" s="6"/>
      <c r="F15" s="49" t="s">
        <v>80</v>
      </c>
      <c r="G15" s="5"/>
      <c r="H15" s="5"/>
      <c r="I15" s="5"/>
      <c r="J15" s="5"/>
      <c r="K15" s="5"/>
      <c r="L15" s="6"/>
      <c r="M15" s="49" t="s">
        <v>101</v>
      </c>
      <c r="N15" s="5"/>
      <c r="O15" s="5"/>
      <c r="P15" s="5"/>
      <c r="Q15" s="5"/>
      <c r="R15" s="5"/>
      <c r="S15" s="5"/>
      <c r="T15" s="6"/>
      <c r="U15" s="51" t="s">
        <v>102</v>
      </c>
      <c r="V15" s="6"/>
      <c r="W15" s="49" t="s">
        <v>103</v>
      </c>
      <c r="X15" s="5"/>
      <c r="Y15" s="5"/>
      <c r="Z15" s="5"/>
      <c r="AA15" s="5"/>
      <c r="AB15" s="5"/>
      <c r="AC15" s="6"/>
      <c r="AD15" s="48">
        <v>20.0</v>
      </c>
      <c r="AE15" s="5"/>
      <c r="AF15" s="6"/>
    </row>
    <row r="16" ht="30.0" customHeight="1">
      <c r="B16" s="47">
        <v>9.0</v>
      </c>
      <c r="C16" s="48" t="s">
        <v>104</v>
      </c>
      <c r="D16" s="5"/>
      <c r="E16" s="6"/>
      <c r="F16" s="49" t="s">
        <v>80</v>
      </c>
      <c r="G16" s="5"/>
      <c r="H16" s="5"/>
      <c r="I16" s="5"/>
      <c r="J16" s="5"/>
      <c r="K16" s="5"/>
      <c r="L16" s="6"/>
      <c r="M16" s="49" t="s">
        <v>105</v>
      </c>
      <c r="N16" s="5"/>
      <c r="O16" s="5"/>
      <c r="P16" s="5"/>
      <c r="Q16" s="5"/>
      <c r="R16" s="5"/>
      <c r="S16" s="5"/>
      <c r="T16" s="6"/>
      <c r="U16" s="50" t="s">
        <v>82</v>
      </c>
      <c r="V16" s="6"/>
      <c r="W16" s="49" t="s">
        <v>106</v>
      </c>
      <c r="X16" s="5"/>
      <c r="Y16" s="5"/>
      <c r="Z16" s="5"/>
      <c r="AA16" s="5"/>
      <c r="AB16" s="5"/>
      <c r="AC16" s="6"/>
      <c r="AD16" s="48">
        <v>8.0</v>
      </c>
      <c r="AE16" s="5"/>
      <c r="AF16" s="6"/>
    </row>
    <row r="17" ht="30.0" customHeight="1">
      <c r="B17" s="47">
        <v>10.0</v>
      </c>
      <c r="C17" s="48" t="s">
        <v>107</v>
      </c>
      <c r="D17" s="5"/>
      <c r="E17" s="6"/>
      <c r="F17" s="49" t="s">
        <v>80</v>
      </c>
      <c r="G17" s="5"/>
      <c r="H17" s="5"/>
      <c r="I17" s="5"/>
      <c r="J17" s="5"/>
      <c r="K17" s="5"/>
      <c r="L17" s="6"/>
      <c r="M17" s="49" t="s">
        <v>108</v>
      </c>
      <c r="N17" s="5"/>
      <c r="O17" s="5"/>
      <c r="P17" s="5"/>
      <c r="Q17" s="5"/>
      <c r="R17" s="5"/>
      <c r="S17" s="5"/>
      <c r="T17" s="6"/>
      <c r="U17" s="50" t="s">
        <v>82</v>
      </c>
      <c r="V17" s="6"/>
      <c r="W17" s="49" t="s">
        <v>109</v>
      </c>
      <c r="X17" s="5"/>
      <c r="Y17" s="5"/>
      <c r="Z17" s="5"/>
      <c r="AA17" s="5"/>
      <c r="AB17" s="5"/>
      <c r="AC17" s="6"/>
      <c r="AD17" s="48">
        <v>30.0</v>
      </c>
      <c r="AE17" s="5"/>
      <c r="AF17" s="6"/>
    </row>
    <row r="18" ht="30.0" customHeight="1">
      <c r="B18" s="47">
        <v>11.0</v>
      </c>
      <c r="C18" s="48" t="s">
        <v>110</v>
      </c>
      <c r="D18" s="5"/>
      <c r="E18" s="6"/>
      <c r="F18" s="49" t="s">
        <v>111</v>
      </c>
      <c r="G18" s="5"/>
      <c r="H18" s="5"/>
      <c r="I18" s="5"/>
      <c r="J18" s="5"/>
      <c r="K18" s="5"/>
      <c r="L18" s="6"/>
      <c r="M18" s="49" t="s">
        <v>112</v>
      </c>
      <c r="N18" s="5"/>
      <c r="O18" s="5"/>
      <c r="P18" s="5"/>
      <c r="Q18" s="5"/>
      <c r="R18" s="5"/>
      <c r="S18" s="5"/>
      <c r="T18" s="6"/>
      <c r="U18" s="51" t="s">
        <v>102</v>
      </c>
      <c r="V18" s="6"/>
      <c r="W18" s="49" t="s">
        <v>113</v>
      </c>
      <c r="X18" s="5"/>
      <c r="Y18" s="5"/>
      <c r="Z18" s="5"/>
      <c r="AA18" s="5"/>
      <c r="AB18" s="5"/>
      <c r="AC18" s="6"/>
      <c r="AD18" s="48">
        <v>100.0</v>
      </c>
      <c r="AE18" s="5"/>
      <c r="AF18" s="6"/>
    </row>
    <row r="19" ht="30.0" customHeight="1">
      <c r="B19" s="47">
        <v>12.0</v>
      </c>
      <c r="C19" s="48" t="s">
        <v>114</v>
      </c>
      <c r="D19" s="5"/>
      <c r="E19" s="6"/>
      <c r="F19" s="49" t="s">
        <v>111</v>
      </c>
      <c r="G19" s="5"/>
      <c r="H19" s="5"/>
      <c r="I19" s="5"/>
      <c r="J19" s="5"/>
      <c r="K19" s="5"/>
      <c r="L19" s="6"/>
      <c r="M19" s="49" t="s">
        <v>115</v>
      </c>
      <c r="N19" s="5"/>
      <c r="O19" s="5"/>
      <c r="P19" s="5"/>
      <c r="Q19" s="5"/>
      <c r="R19" s="5"/>
      <c r="S19" s="5"/>
      <c r="T19" s="6"/>
      <c r="U19" s="51" t="s">
        <v>102</v>
      </c>
      <c r="V19" s="6"/>
      <c r="W19" s="49" t="s">
        <v>113</v>
      </c>
      <c r="X19" s="5"/>
      <c r="Y19" s="5"/>
      <c r="Z19" s="5"/>
      <c r="AA19" s="5"/>
      <c r="AB19" s="5"/>
      <c r="AC19" s="6"/>
      <c r="AD19" s="48">
        <v>80.0</v>
      </c>
      <c r="AE19" s="5"/>
      <c r="AF19" s="6"/>
    </row>
    <row r="20" ht="30.0" customHeight="1">
      <c r="B20" s="47">
        <v>13.0</v>
      </c>
      <c r="C20" s="48" t="s">
        <v>116</v>
      </c>
      <c r="D20" s="5"/>
      <c r="E20" s="6"/>
      <c r="F20" s="49" t="s">
        <v>111</v>
      </c>
      <c r="G20" s="5"/>
      <c r="H20" s="5"/>
      <c r="I20" s="5"/>
      <c r="J20" s="5"/>
      <c r="K20" s="5"/>
      <c r="L20" s="6"/>
      <c r="M20" s="49" t="s">
        <v>117</v>
      </c>
      <c r="N20" s="5"/>
      <c r="O20" s="5"/>
      <c r="P20" s="5"/>
      <c r="Q20" s="5"/>
      <c r="R20" s="5"/>
      <c r="S20" s="5"/>
      <c r="T20" s="6"/>
      <c r="U20" s="51" t="s">
        <v>102</v>
      </c>
      <c r="V20" s="6"/>
      <c r="W20" s="49" t="s">
        <v>97</v>
      </c>
      <c r="X20" s="5"/>
      <c r="Y20" s="5"/>
      <c r="Z20" s="5"/>
      <c r="AA20" s="5"/>
      <c r="AB20" s="5"/>
      <c r="AC20" s="6"/>
      <c r="AD20" s="48">
        <v>60.0</v>
      </c>
      <c r="AE20" s="5"/>
      <c r="AF20" s="6"/>
    </row>
    <row r="21" ht="30.0" customHeight="1">
      <c r="B21" s="47">
        <v>14.0</v>
      </c>
      <c r="C21" s="48" t="s">
        <v>120</v>
      </c>
      <c r="D21" s="5"/>
      <c r="E21" s="6"/>
      <c r="F21" s="49" t="s">
        <v>111</v>
      </c>
      <c r="G21" s="5"/>
      <c r="H21" s="5"/>
      <c r="I21" s="5"/>
      <c r="J21" s="5"/>
      <c r="K21" s="5"/>
      <c r="L21" s="6"/>
      <c r="M21" s="49" t="s">
        <v>122</v>
      </c>
      <c r="N21" s="5"/>
      <c r="O21" s="5"/>
      <c r="P21" s="5"/>
      <c r="Q21" s="5"/>
      <c r="R21" s="5"/>
      <c r="S21" s="5"/>
      <c r="T21" s="6"/>
      <c r="U21" s="51" t="s">
        <v>102</v>
      </c>
      <c r="V21" s="6"/>
      <c r="W21" s="49" t="s">
        <v>113</v>
      </c>
      <c r="X21" s="5"/>
      <c r="Y21" s="5"/>
      <c r="Z21" s="5"/>
      <c r="AA21" s="5"/>
      <c r="AB21" s="5"/>
      <c r="AC21" s="6"/>
      <c r="AD21" s="48">
        <v>50.0</v>
      </c>
      <c r="AE21" s="5"/>
      <c r="AF21" s="6"/>
    </row>
    <row r="22" ht="30.0" customHeight="1">
      <c r="B22" s="47">
        <v>15.0</v>
      </c>
      <c r="C22" s="48" t="s">
        <v>124</v>
      </c>
      <c r="D22" s="5"/>
      <c r="E22" s="6"/>
      <c r="F22" s="49" t="s">
        <v>111</v>
      </c>
      <c r="G22" s="5"/>
      <c r="H22" s="5"/>
      <c r="I22" s="5"/>
      <c r="J22" s="5"/>
      <c r="K22" s="5"/>
      <c r="L22" s="6"/>
      <c r="M22" s="49" t="s">
        <v>125</v>
      </c>
      <c r="N22" s="5"/>
      <c r="O22" s="5"/>
      <c r="P22" s="5"/>
      <c r="Q22" s="5"/>
      <c r="R22" s="5"/>
      <c r="S22" s="5"/>
      <c r="T22" s="6"/>
      <c r="U22" s="51" t="s">
        <v>102</v>
      </c>
      <c r="V22" s="6"/>
      <c r="W22" s="49" t="s">
        <v>126</v>
      </c>
      <c r="X22" s="5"/>
      <c r="Y22" s="5"/>
      <c r="Z22" s="5"/>
      <c r="AA22" s="5"/>
      <c r="AB22" s="5"/>
      <c r="AC22" s="6"/>
      <c r="AD22" s="48">
        <v>30.0</v>
      </c>
      <c r="AE22" s="5"/>
      <c r="AF22" s="6"/>
    </row>
    <row r="23" ht="30.0" customHeight="1">
      <c r="B23" s="47">
        <v>16.0</v>
      </c>
      <c r="C23" s="48" t="s">
        <v>127</v>
      </c>
      <c r="D23" s="5"/>
      <c r="E23" s="6"/>
      <c r="F23" s="49" t="s">
        <v>111</v>
      </c>
      <c r="G23" s="5"/>
      <c r="H23" s="5"/>
      <c r="I23" s="5"/>
      <c r="J23" s="5"/>
      <c r="K23" s="5"/>
      <c r="L23" s="6"/>
      <c r="M23" s="49" t="s">
        <v>129</v>
      </c>
      <c r="N23" s="5"/>
      <c r="O23" s="5"/>
      <c r="P23" s="5"/>
      <c r="Q23" s="5"/>
      <c r="R23" s="5"/>
      <c r="S23" s="5"/>
      <c r="T23" s="6"/>
      <c r="U23" s="50" t="s">
        <v>82</v>
      </c>
      <c r="V23" s="6"/>
      <c r="W23" s="49" t="s">
        <v>130</v>
      </c>
      <c r="X23" s="5"/>
      <c r="Y23" s="5"/>
      <c r="Z23" s="5"/>
      <c r="AA23" s="5"/>
      <c r="AB23" s="5"/>
      <c r="AC23" s="6"/>
      <c r="AD23" s="48">
        <v>15.0</v>
      </c>
      <c r="AE23" s="5"/>
      <c r="AF23" s="6"/>
    </row>
    <row r="24" ht="36.0" customHeight="1">
      <c r="B24" s="47">
        <v>17.0</v>
      </c>
      <c r="C24" s="48" t="s">
        <v>131</v>
      </c>
      <c r="D24" s="5"/>
      <c r="E24" s="6"/>
      <c r="F24" s="49" t="s">
        <v>111</v>
      </c>
      <c r="G24" s="5"/>
      <c r="H24" s="5"/>
      <c r="I24" s="5"/>
      <c r="J24" s="5"/>
      <c r="K24" s="5"/>
      <c r="L24" s="6"/>
      <c r="M24" s="49" t="s">
        <v>134</v>
      </c>
      <c r="N24" s="5"/>
      <c r="O24" s="5"/>
      <c r="P24" s="5"/>
      <c r="Q24" s="5"/>
      <c r="R24" s="5"/>
      <c r="S24" s="5"/>
      <c r="T24" s="6"/>
      <c r="U24" s="51" t="s">
        <v>102</v>
      </c>
      <c r="V24" s="6"/>
      <c r="W24" s="49" t="s">
        <v>135</v>
      </c>
      <c r="X24" s="5"/>
      <c r="Y24" s="5"/>
      <c r="Z24" s="5"/>
      <c r="AA24" s="5"/>
      <c r="AB24" s="5"/>
      <c r="AC24" s="6"/>
      <c r="AD24" s="48">
        <v>45.0</v>
      </c>
      <c r="AE24" s="5"/>
      <c r="AF24" s="6"/>
    </row>
    <row r="25" ht="30.0" customHeight="1">
      <c r="B25" s="47">
        <v>18.0</v>
      </c>
      <c r="C25" s="48" t="s">
        <v>137</v>
      </c>
      <c r="D25" s="5"/>
      <c r="E25" s="6"/>
      <c r="F25" s="49" t="s">
        <v>111</v>
      </c>
      <c r="G25" s="5"/>
      <c r="H25" s="5"/>
      <c r="I25" s="5"/>
      <c r="J25" s="5"/>
      <c r="K25" s="5"/>
      <c r="L25" s="6"/>
      <c r="M25" s="49" t="s">
        <v>138</v>
      </c>
      <c r="N25" s="5"/>
      <c r="O25" s="5"/>
      <c r="P25" s="5"/>
      <c r="Q25" s="5"/>
      <c r="R25" s="5"/>
      <c r="S25" s="5"/>
      <c r="T25" s="6"/>
      <c r="U25" s="51" t="s">
        <v>102</v>
      </c>
      <c r="V25" s="6"/>
      <c r="W25" s="49" t="s">
        <v>139</v>
      </c>
      <c r="X25" s="5"/>
      <c r="Y25" s="5"/>
      <c r="Z25" s="5"/>
      <c r="AA25" s="5"/>
      <c r="AB25" s="5"/>
      <c r="AC25" s="6"/>
      <c r="AD25" s="48">
        <v>30.0</v>
      </c>
      <c r="AE25" s="5"/>
      <c r="AF25" s="6"/>
    </row>
    <row r="26" ht="36.0" customHeight="1">
      <c r="B26" s="47">
        <v>19.0</v>
      </c>
      <c r="C26" s="48" t="s">
        <v>141</v>
      </c>
      <c r="D26" s="5"/>
      <c r="E26" s="6"/>
      <c r="F26" s="49" t="s">
        <v>111</v>
      </c>
      <c r="G26" s="5"/>
      <c r="H26" s="5"/>
      <c r="I26" s="5"/>
      <c r="J26" s="5"/>
      <c r="K26" s="5"/>
      <c r="L26" s="6"/>
      <c r="M26" s="49" t="s">
        <v>142</v>
      </c>
      <c r="N26" s="5"/>
      <c r="O26" s="5"/>
      <c r="P26" s="5"/>
      <c r="Q26" s="5"/>
      <c r="R26" s="5"/>
      <c r="S26" s="5"/>
      <c r="T26" s="6"/>
      <c r="U26" s="51" t="s">
        <v>102</v>
      </c>
      <c r="V26" s="6"/>
      <c r="W26" s="49" t="s">
        <v>144</v>
      </c>
      <c r="X26" s="5"/>
      <c r="Y26" s="5"/>
      <c r="Z26" s="5"/>
      <c r="AA26" s="5"/>
      <c r="AB26" s="5"/>
      <c r="AC26" s="6"/>
      <c r="AD26" s="48">
        <v>25.0</v>
      </c>
      <c r="AE26" s="5"/>
      <c r="AF26" s="6"/>
    </row>
    <row r="27" ht="30.0" customHeight="1">
      <c r="B27" s="47">
        <v>20.0</v>
      </c>
      <c r="C27" s="48" t="s">
        <v>145</v>
      </c>
      <c r="D27" s="5"/>
      <c r="E27" s="6"/>
      <c r="F27" s="49" t="s">
        <v>146</v>
      </c>
      <c r="G27" s="5"/>
      <c r="H27" s="5"/>
      <c r="I27" s="5"/>
      <c r="J27" s="5"/>
      <c r="K27" s="5"/>
      <c r="L27" s="6"/>
      <c r="M27" s="49" t="s">
        <v>147</v>
      </c>
      <c r="N27" s="5"/>
      <c r="O27" s="5"/>
      <c r="P27" s="5"/>
      <c r="Q27" s="5"/>
      <c r="R27" s="5"/>
      <c r="S27" s="5"/>
      <c r="T27" s="6"/>
      <c r="U27" s="50" t="s">
        <v>82</v>
      </c>
      <c r="V27" s="6"/>
      <c r="W27" s="49" t="s">
        <v>139</v>
      </c>
      <c r="X27" s="5"/>
      <c r="Y27" s="5"/>
      <c r="Z27" s="5"/>
      <c r="AA27" s="5"/>
      <c r="AB27" s="5"/>
      <c r="AC27" s="6"/>
      <c r="AD27" s="48">
        <v>60.0</v>
      </c>
      <c r="AE27" s="5"/>
      <c r="AF27" s="6"/>
    </row>
    <row r="28" ht="30.0" customHeight="1">
      <c r="B28" s="47">
        <v>21.0</v>
      </c>
      <c r="C28" s="48" t="s">
        <v>149</v>
      </c>
      <c r="D28" s="5"/>
      <c r="E28" s="6"/>
      <c r="F28" s="49" t="s">
        <v>146</v>
      </c>
      <c r="G28" s="5"/>
      <c r="H28" s="5"/>
      <c r="I28" s="5"/>
      <c r="J28" s="5"/>
      <c r="K28" s="5"/>
      <c r="L28" s="6"/>
      <c r="M28" s="49" t="s">
        <v>150</v>
      </c>
      <c r="N28" s="5"/>
      <c r="O28" s="5"/>
      <c r="P28" s="5"/>
      <c r="Q28" s="5"/>
      <c r="R28" s="5"/>
      <c r="S28" s="5"/>
      <c r="T28" s="6"/>
      <c r="U28" s="51" t="s">
        <v>102</v>
      </c>
      <c r="V28" s="6"/>
      <c r="W28" s="49" t="s">
        <v>151</v>
      </c>
      <c r="X28" s="5"/>
      <c r="Y28" s="5"/>
      <c r="Z28" s="5"/>
      <c r="AA28" s="5"/>
      <c r="AB28" s="5"/>
      <c r="AC28" s="6"/>
      <c r="AD28" s="48">
        <v>16.0</v>
      </c>
      <c r="AE28" s="5"/>
      <c r="AF28" s="6"/>
    </row>
    <row r="29" ht="30.0" customHeight="1">
      <c r="B29" s="47">
        <v>22.0</v>
      </c>
      <c r="C29" s="48" t="s">
        <v>152</v>
      </c>
      <c r="D29" s="5"/>
      <c r="E29" s="6"/>
      <c r="F29" s="49" t="s">
        <v>146</v>
      </c>
      <c r="G29" s="5"/>
      <c r="H29" s="5"/>
      <c r="I29" s="5"/>
      <c r="J29" s="5"/>
      <c r="K29" s="5"/>
      <c r="L29" s="6"/>
      <c r="M29" s="49" t="s">
        <v>153</v>
      </c>
      <c r="N29" s="5"/>
      <c r="O29" s="5"/>
      <c r="P29" s="5"/>
      <c r="Q29" s="5"/>
      <c r="R29" s="5"/>
      <c r="S29" s="5"/>
      <c r="T29" s="6"/>
      <c r="U29" s="50" t="s">
        <v>82</v>
      </c>
      <c r="V29" s="6"/>
      <c r="W29" s="49" t="s">
        <v>154</v>
      </c>
      <c r="X29" s="5"/>
      <c r="Y29" s="5"/>
      <c r="Z29" s="5"/>
      <c r="AA29" s="5"/>
      <c r="AB29" s="5"/>
      <c r="AC29" s="6"/>
      <c r="AD29" s="48">
        <v>18.0</v>
      </c>
      <c r="AE29" s="5"/>
      <c r="AF29" s="6"/>
    </row>
    <row r="30" ht="30.0" customHeight="1">
      <c r="B30" s="47">
        <v>23.0</v>
      </c>
      <c r="C30" s="48" t="s">
        <v>155</v>
      </c>
      <c r="D30" s="5"/>
      <c r="E30" s="6"/>
      <c r="F30" s="49" t="s">
        <v>146</v>
      </c>
      <c r="G30" s="5"/>
      <c r="H30" s="5"/>
      <c r="I30" s="5"/>
      <c r="J30" s="5"/>
      <c r="K30" s="5"/>
      <c r="L30" s="6"/>
      <c r="M30" s="49" t="s">
        <v>156</v>
      </c>
      <c r="N30" s="5"/>
      <c r="O30" s="5"/>
      <c r="P30" s="5"/>
      <c r="Q30" s="5"/>
      <c r="R30" s="5"/>
      <c r="S30" s="5"/>
      <c r="T30" s="6"/>
      <c r="U30" s="51" t="s">
        <v>102</v>
      </c>
      <c r="V30" s="6"/>
      <c r="W30" s="49" t="s">
        <v>157</v>
      </c>
      <c r="X30" s="5"/>
      <c r="Y30" s="5"/>
      <c r="Z30" s="5"/>
      <c r="AA30" s="5"/>
      <c r="AB30" s="5"/>
      <c r="AC30" s="6"/>
      <c r="AD30" s="48">
        <v>8.0</v>
      </c>
      <c r="AE30" s="5"/>
      <c r="AF30" s="6"/>
    </row>
    <row r="31" ht="30.0" customHeight="1">
      <c r="B31" s="47">
        <v>24.0</v>
      </c>
      <c r="C31" s="48" t="s">
        <v>158</v>
      </c>
      <c r="D31" s="5"/>
      <c r="E31" s="6"/>
      <c r="F31" s="49" t="s">
        <v>146</v>
      </c>
      <c r="G31" s="5"/>
      <c r="H31" s="5"/>
      <c r="I31" s="5"/>
      <c r="J31" s="5"/>
      <c r="K31" s="5"/>
      <c r="L31" s="6"/>
      <c r="M31" s="49" t="s">
        <v>160</v>
      </c>
      <c r="N31" s="5"/>
      <c r="O31" s="5"/>
      <c r="P31" s="5"/>
      <c r="Q31" s="5"/>
      <c r="R31" s="5"/>
      <c r="S31" s="5"/>
      <c r="T31" s="6"/>
      <c r="U31" s="50" t="s">
        <v>82</v>
      </c>
      <c r="V31" s="6"/>
      <c r="W31" s="49" t="s">
        <v>161</v>
      </c>
      <c r="X31" s="5"/>
      <c r="Y31" s="5"/>
      <c r="Z31" s="5"/>
      <c r="AA31" s="5"/>
      <c r="AB31" s="5"/>
      <c r="AC31" s="6"/>
      <c r="AD31" s="48">
        <v>10.0</v>
      </c>
      <c r="AE31" s="5"/>
      <c r="AF31" s="6"/>
    </row>
    <row r="32" ht="30.0" customHeight="1">
      <c r="B32" s="47">
        <v>25.0</v>
      </c>
      <c r="C32" s="48" t="s">
        <v>162</v>
      </c>
      <c r="D32" s="5"/>
      <c r="E32" s="6"/>
      <c r="F32" s="49" t="s">
        <v>146</v>
      </c>
      <c r="G32" s="5"/>
      <c r="H32" s="5"/>
      <c r="I32" s="5"/>
      <c r="J32" s="5"/>
      <c r="K32" s="5"/>
      <c r="L32" s="6"/>
      <c r="M32" s="49" t="s">
        <v>163</v>
      </c>
      <c r="N32" s="5"/>
      <c r="O32" s="5"/>
      <c r="P32" s="5"/>
      <c r="Q32" s="5"/>
      <c r="R32" s="5"/>
      <c r="S32" s="5"/>
      <c r="T32" s="6"/>
      <c r="U32" s="51" t="s">
        <v>102</v>
      </c>
      <c r="V32" s="6"/>
      <c r="W32" s="49" t="s">
        <v>164</v>
      </c>
      <c r="X32" s="5"/>
      <c r="Y32" s="5"/>
      <c r="Z32" s="5"/>
      <c r="AA32" s="5"/>
      <c r="AB32" s="5"/>
      <c r="AC32" s="6"/>
      <c r="AD32" s="48">
        <v>30.0</v>
      </c>
      <c r="AE32" s="5"/>
      <c r="AF32" s="6"/>
    </row>
    <row r="33" ht="30.0" customHeight="1">
      <c r="B33" s="47">
        <v>26.0</v>
      </c>
      <c r="C33" s="48" t="s">
        <v>165</v>
      </c>
      <c r="D33" s="5"/>
      <c r="E33" s="6"/>
      <c r="F33" s="49" t="s">
        <v>146</v>
      </c>
      <c r="G33" s="5"/>
      <c r="H33" s="5"/>
      <c r="I33" s="5"/>
      <c r="J33" s="5"/>
      <c r="K33" s="5"/>
      <c r="L33" s="6"/>
      <c r="M33" s="49" t="s">
        <v>166</v>
      </c>
      <c r="N33" s="5"/>
      <c r="O33" s="5"/>
      <c r="P33" s="5"/>
      <c r="Q33" s="5"/>
      <c r="R33" s="5"/>
      <c r="S33" s="5"/>
      <c r="T33" s="6"/>
      <c r="U33" s="50" t="s">
        <v>82</v>
      </c>
      <c r="V33" s="6"/>
      <c r="W33" s="49" t="s">
        <v>167</v>
      </c>
      <c r="X33" s="5"/>
      <c r="Y33" s="5"/>
      <c r="Z33" s="5"/>
      <c r="AA33" s="5"/>
      <c r="AB33" s="5"/>
      <c r="AC33" s="6"/>
      <c r="AD33" s="48">
        <v>15.0</v>
      </c>
      <c r="AE33" s="5"/>
      <c r="AF33" s="6"/>
    </row>
    <row r="34" ht="30.0" customHeight="1">
      <c r="B34" s="47">
        <v>27.0</v>
      </c>
      <c r="C34" s="48" t="s">
        <v>168</v>
      </c>
      <c r="D34" s="5"/>
      <c r="E34" s="6"/>
      <c r="F34" s="49" t="s">
        <v>146</v>
      </c>
      <c r="G34" s="5"/>
      <c r="H34" s="5"/>
      <c r="I34" s="5"/>
      <c r="J34" s="5"/>
      <c r="K34" s="5"/>
      <c r="L34" s="6"/>
      <c r="M34" s="49" t="s">
        <v>169</v>
      </c>
      <c r="N34" s="5"/>
      <c r="O34" s="5"/>
      <c r="P34" s="5"/>
      <c r="Q34" s="5"/>
      <c r="R34" s="5"/>
      <c r="S34" s="5"/>
      <c r="T34" s="6"/>
      <c r="U34" s="50" t="s">
        <v>82</v>
      </c>
      <c r="V34" s="6"/>
      <c r="W34" s="49" t="s">
        <v>170</v>
      </c>
      <c r="X34" s="5"/>
      <c r="Y34" s="5"/>
      <c r="Z34" s="5"/>
      <c r="AA34" s="5"/>
      <c r="AB34" s="5"/>
      <c r="AC34" s="6"/>
      <c r="AD34" s="48">
        <v>18.0</v>
      </c>
      <c r="AE34" s="5"/>
      <c r="AF34" s="6"/>
    </row>
    <row r="35" ht="30.0" customHeight="1">
      <c r="B35" s="47">
        <v>28.0</v>
      </c>
      <c r="C35" s="48" t="s">
        <v>173</v>
      </c>
      <c r="D35" s="5"/>
      <c r="E35" s="6"/>
      <c r="F35" s="49" t="s">
        <v>174</v>
      </c>
      <c r="G35" s="5"/>
      <c r="H35" s="5"/>
      <c r="I35" s="5"/>
      <c r="J35" s="5"/>
      <c r="K35" s="5"/>
      <c r="L35" s="6"/>
      <c r="M35" s="49" t="s">
        <v>176</v>
      </c>
      <c r="N35" s="5"/>
      <c r="O35" s="5"/>
      <c r="P35" s="5"/>
      <c r="Q35" s="5"/>
      <c r="R35" s="5"/>
      <c r="S35" s="5"/>
      <c r="T35" s="6"/>
      <c r="U35" s="50" t="s">
        <v>82</v>
      </c>
      <c r="V35" s="6"/>
      <c r="W35" s="49" t="s">
        <v>178</v>
      </c>
      <c r="X35" s="5"/>
      <c r="Y35" s="5"/>
      <c r="Z35" s="5"/>
      <c r="AA35" s="5"/>
      <c r="AB35" s="5"/>
      <c r="AC35" s="6"/>
      <c r="AD35" s="48">
        <v>25.0</v>
      </c>
      <c r="AE35" s="5"/>
      <c r="AF35" s="6"/>
    </row>
    <row r="36" ht="30.0" customHeight="1">
      <c r="B36" s="47">
        <v>29.0</v>
      </c>
      <c r="C36" s="48" t="s">
        <v>182</v>
      </c>
      <c r="D36" s="5"/>
      <c r="E36" s="6"/>
      <c r="F36" s="49" t="s">
        <v>174</v>
      </c>
      <c r="G36" s="5"/>
      <c r="H36" s="5"/>
      <c r="I36" s="5"/>
      <c r="J36" s="5"/>
      <c r="K36" s="5"/>
      <c r="L36" s="6"/>
      <c r="M36" s="49" t="s">
        <v>183</v>
      </c>
      <c r="N36" s="5"/>
      <c r="O36" s="5"/>
      <c r="P36" s="5"/>
      <c r="Q36" s="5"/>
      <c r="R36" s="5"/>
      <c r="S36" s="5"/>
      <c r="T36" s="6"/>
      <c r="U36" s="50" t="s">
        <v>82</v>
      </c>
      <c r="V36" s="6"/>
      <c r="W36" s="49" t="s">
        <v>94</v>
      </c>
      <c r="X36" s="5"/>
      <c r="Y36" s="5"/>
      <c r="Z36" s="5"/>
      <c r="AA36" s="5"/>
      <c r="AB36" s="5"/>
      <c r="AC36" s="6"/>
      <c r="AD36" s="48">
        <v>8.0</v>
      </c>
      <c r="AE36" s="5"/>
      <c r="AF36" s="6"/>
    </row>
    <row r="37" ht="30.0" customHeight="1">
      <c r="B37" s="47">
        <v>30.0</v>
      </c>
      <c r="C37" s="48" t="s">
        <v>186</v>
      </c>
      <c r="D37" s="5"/>
      <c r="E37" s="6"/>
      <c r="F37" s="49" t="s">
        <v>174</v>
      </c>
      <c r="G37" s="5"/>
      <c r="H37" s="5"/>
      <c r="I37" s="5"/>
      <c r="J37" s="5"/>
      <c r="K37" s="5"/>
      <c r="L37" s="6"/>
      <c r="M37" s="49" t="s">
        <v>187</v>
      </c>
      <c r="N37" s="5"/>
      <c r="O37" s="5"/>
      <c r="P37" s="5"/>
      <c r="Q37" s="5"/>
      <c r="R37" s="5"/>
      <c r="S37" s="5"/>
      <c r="T37" s="6"/>
      <c r="U37" s="50" t="s">
        <v>82</v>
      </c>
      <c r="V37" s="6"/>
      <c r="W37" s="49" t="s">
        <v>188</v>
      </c>
      <c r="X37" s="5"/>
      <c r="Y37" s="5"/>
      <c r="Z37" s="5"/>
      <c r="AA37" s="5"/>
      <c r="AB37" s="5"/>
      <c r="AC37" s="6"/>
      <c r="AD37" s="48">
        <v>15.0</v>
      </c>
      <c r="AE37" s="5"/>
      <c r="AF37" s="6"/>
    </row>
    <row r="38" ht="30.0" customHeight="1">
      <c r="B38" s="47">
        <v>31.0</v>
      </c>
      <c r="C38" s="48" t="s">
        <v>189</v>
      </c>
      <c r="D38" s="5"/>
      <c r="E38" s="6"/>
      <c r="F38" s="49" t="s">
        <v>174</v>
      </c>
      <c r="G38" s="5"/>
      <c r="H38" s="5"/>
      <c r="I38" s="5"/>
      <c r="J38" s="5"/>
      <c r="K38" s="5"/>
      <c r="L38" s="6"/>
      <c r="M38" s="49" t="s">
        <v>192</v>
      </c>
      <c r="N38" s="5"/>
      <c r="O38" s="5"/>
      <c r="P38" s="5"/>
      <c r="Q38" s="5"/>
      <c r="R38" s="5"/>
      <c r="S38" s="5"/>
      <c r="T38" s="6"/>
      <c r="U38" s="50" t="s">
        <v>82</v>
      </c>
      <c r="V38" s="6"/>
      <c r="W38" s="49" t="s">
        <v>94</v>
      </c>
      <c r="X38" s="5"/>
      <c r="Y38" s="5"/>
      <c r="Z38" s="5"/>
      <c r="AA38" s="5"/>
      <c r="AB38" s="5"/>
      <c r="AC38" s="6"/>
      <c r="AD38" s="48">
        <v>40.0</v>
      </c>
      <c r="AE38" s="5"/>
      <c r="AF38" s="6"/>
    </row>
    <row r="39" ht="30.0" customHeight="1">
      <c r="B39" s="47">
        <v>32.0</v>
      </c>
      <c r="C39" s="48" t="s">
        <v>195</v>
      </c>
      <c r="D39" s="5"/>
      <c r="E39" s="6"/>
      <c r="F39" s="49" t="s">
        <v>174</v>
      </c>
      <c r="G39" s="5"/>
      <c r="H39" s="5"/>
      <c r="I39" s="5"/>
      <c r="J39" s="5"/>
      <c r="K39" s="5"/>
      <c r="L39" s="6"/>
      <c r="M39" s="49" t="s">
        <v>196</v>
      </c>
      <c r="N39" s="5"/>
      <c r="O39" s="5"/>
      <c r="P39" s="5"/>
      <c r="Q39" s="5"/>
      <c r="R39" s="5"/>
      <c r="S39" s="5"/>
      <c r="T39" s="6"/>
      <c r="U39" s="51" t="s">
        <v>102</v>
      </c>
      <c r="V39" s="6"/>
      <c r="W39" s="49" t="s">
        <v>197</v>
      </c>
      <c r="X39" s="5"/>
      <c r="Y39" s="5"/>
      <c r="Z39" s="5"/>
      <c r="AA39" s="5"/>
      <c r="AB39" s="5"/>
      <c r="AC39" s="6"/>
      <c r="AD39" s="48">
        <v>20.0</v>
      </c>
      <c r="AE39" s="5"/>
      <c r="AF39" s="6"/>
    </row>
    <row r="40" ht="30.0" customHeight="1">
      <c r="B40" s="47">
        <v>33.0</v>
      </c>
      <c r="C40" s="48" t="s">
        <v>198</v>
      </c>
      <c r="D40" s="5"/>
      <c r="E40" s="6"/>
      <c r="F40" s="49" t="s">
        <v>174</v>
      </c>
      <c r="G40" s="5"/>
      <c r="H40" s="5"/>
      <c r="I40" s="5"/>
      <c r="J40" s="5"/>
      <c r="K40" s="5"/>
      <c r="L40" s="6"/>
      <c r="M40" s="49" t="s">
        <v>200</v>
      </c>
      <c r="N40" s="5"/>
      <c r="O40" s="5"/>
      <c r="P40" s="5"/>
      <c r="Q40" s="5"/>
      <c r="R40" s="5"/>
      <c r="S40" s="5"/>
      <c r="T40" s="6"/>
      <c r="U40" s="51" t="s">
        <v>102</v>
      </c>
      <c r="V40" s="6"/>
      <c r="W40" s="49" t="s">
        <v>201</v>
      </c>
      <c r="X40" s="5"/>
      <c r="Y40" s="5"/>
      <c r="Z40" s="5"/>
      <c r="AA40" s="5"/>
      <c r="AB40" s="5"/>
      <c r="AC40" s="6"/>
      <c r="AD40" s="48">
        <v>12.0</v>
      </c>
      <c r="AE40" s="5"/>
      <c r="AF40" s="6"/>
    </row>
    <row r="41" ht="30.0" customHeight="1">
      <c r="B41" s="47">
        <v>34.0</v>
      </c>
      <c r="C41" s="48" t="s">
        <v>202</v>
      </c>
      <c r="D41" s="5"/>
      <c r="E41" s="6"/>
      <c r="F41" s="49" t="s">
        <v>174</v>
      </c>
      <c r="G41" s="5"/>
      <c r="H41" s="5"/>
      <c r="I41" s="5"/>
      <c r="J41" s="5"/>
      <c r="K41" s="5"/>
      <c r="L41" s="6"/>
      <c r="M41" s="49" t="s">
        <v>203</v>
      </c>
      <c r="N41" s="5"/>
      <c r="O41" s="5"/>
      <c r="P41" s="5"/>
      <c r="Q41" s="5"/>
      <c r="R41" s="5"/>
      <c r="S41" s="5"/>
      <c r="T41" s="6"/>
      <c r="U41" s="50" t="s">
        <v>82</v>
      </c>
      <c r="V41" s="6"/>
      <c r="W41" s="49" t="s">
        <v>205</v>
      </c>
      <c r="X41" s="5"/>
      <c r="Y41" s="5"/>
      <c r="Z41" s="5"/>
      <c r="AA41" s="5"/>
      <c r="AB41" s="5"/>
      <c r="AC41" s="6"/>
      <c r="AD41" s="48">
        <v>15.0</v>
      </c>
      <c r="AE41" s="5"/>
      <c r="AF41" s="6"/>
    </row>
    <row r="42" ht="30.0" customHeight="1">
      <c r="B42" s="47">
        <v>35.0</v>
      </c>
      <c r="C42" s="48" t="s">
        <v>208</v>
      </c>
      <c r="D42" s="5"/>
      <c r="E42" s="6"/>
      <c r="F42" s="49" t="s">
        <v>174</v>
      </c>
      <c r="G42" s="5"/>
      <c r="H42" s="5"/>
      <c r="I42" s="5"/>
      <c r="J42" s="5"/>
      <c r="K42" s="5"/>
      <c r="L42" s="6"/>
      <c r="M42" s="49" t="s">
        <v>210</v>
      </c>
      <c r="N42" s="5"/>
      <c r="O42" s="5"/>
      <c r="P42" s="5"/>
      <c r="Q42" s="5"/>
      <c r="R42" s="5"/>
      <c r="S42" s="5"/>
      <c r="T42" s="6"/>
      <c r="U42" s="51" t="s">
        <v>102</v>
      </c>
      <c r="V42" s="6"/>
      <c r="W42" s="49" t="s">
        <v>94</v>
      </c>
      <c r="X42" s="5"/>
      <c r="Y42" s="5"/>
      <c r="Z42" s="5"/>
      <c r="AA42" s="5"/>
      <c r="AB42" s="5"/>
      <c r="AC42" s="6"/>
      <c r="AD42" s="48">
        <v>30.0</v>
      </c>
      <c r="AE42" s="5"/>
      <c r="AF42" s="6"/>
    </row>
    <row r="43" ht="36.0" customHeight="1">
      <c r="B43" s="47">
        <v>36.0</v>
      </c>
      <c r="C43" s="48" t="s">
        <v>213</v>
      </c>
      <c r="D43" s="5"/>
      <c r="E43" s="6"/>
      <c r="F43" s="49" t="s">
        <v>174</v>
      </c>
      <c r="G43" s="5"/>
      <c r="H43" s="5"/>
      <c r="I43" s="5"/>
      <c r="J43" s="5"/>
      <c r="K43" s="5"/>
      <c r="L43" s="6"/>
      <c r="M43" s="49" t="s">
        <v>215</v>
      </c>
      <c r="N43" s="5"/>
      <c r="O43" s="5"/>
      <c r="P43" s="5"/>
      <c r="Q43" s="5"/>
      <c r="R43" s="5"/>
      <c r="S43" s="5"/>
      <c r="T43" s="6"/>
      <c r="U43" s="50" t="s">
        <v>82</v>
      </c>
      <c r="V43" s="6"/>
      <c r="W43" s="49" t="s">
        <v>188</v>
      </c>
      <c r="X43" s="5"/>
      <c r="Y43" s="5"/>
      <c r="Z43" s="5"/>
      <c r="AA43" s="5"/>
      <c r="AB43" s="5"/>
      <c r="AC43" s="6"/>
      <c r="AD43" s="48">
        <v>6.0</v>
      </c>
      <c r="AE43" s="5"/>
      <c r="AF43" s="6"/>
    </row>
    <row r="44" ht="30.0" customHeight="1">
      <c r="B44" s="47">
        <v>37.0</v>
      </c>
      <c r="C44" s="48" t="s">
        <v>218</v>
      </c>
      <c r="D44" s="5"/>
      <c r="E44" s="6"/>
      <c r="F44" s="49" t="s">
        <v>219</v>
      </c>
      <c r="G44" s="5"/>
      <c r="H44" s="5"/>
      <c r="I44" s="5"/>
      <c r="J44" s="5"/>
      <c r="K44" s="5"/>
      <c r="L44" s="6"/>
      <c r="M44" s="49" t="s">
        <v>220</v>
      </c>
      <c r="N44" s="5"/>
      <c r="O44" s="5"/>
      <c r="P44" s="5"/>
      <c r="Q44" s="5"/>
      <c r="R44" s="5"/>
      <c r="S44" s="5"/>
      <c r="T44" s="6"/>
      <c r="U44" s="57" t="s">
        <v>222</v>
      </c>
      <c r="V44" s="6"/>
      <c r="W44" s="49" t="s">
        <v>225</v>
      </c>
      <c r="X44" s="5"/>
      <c r="Y44" s="5"/>
      <c r="Z44" s="5"/>
      <c r="AA44" s="5"/>
      <c r="AB44" s="5"/>
      <c r="AC44" s="6"/>
      <c r="AD44" s="48">
        <v>60.0</v>
      </c>
      <c r="AE44" s="5"/>
      <c r="AF44" s="6"/>
    </row>
    <row r="45" ht="36.0" customHeight="1">
      <c r="B45" s="47">
        <v>38.0</v>
      </c>
      <c r="C45" s="48" t="s">
        <v>227</v>
      </c>
      <c r="D45" s="5"/>
      <c r="E45" s="6"/>
      <c r="F45" s="49" t="s">
        <v>219</v>
      </c>
      <c r="G45" s="5"/>
      <c r="H45" s="5"/>
      <c r="I45" s="5"/>
      <c r="J45" s="5"/>
      <c r="K45" s="5"/>
      <c r="L45" s="6"/>
      <c r="M45" s="49" t="s">
        <v>229</v>
      </c>
      <c r="N45" s="5"/>
      <c r="O45" s="5"/>
      <c r="P45" s="5"/>
      <c r="Q45" s="5"/>
      <c r="R45" s="5"/>
      <c r="S45" s="5"/>
      <c r="T45" s="6"/>
      <c r="U45" s="57" t="s">
        <v>222</v>
      </c>
      <c r="V45" s="6"/>
      <c r="W45" s="49" t="s">
        <v>225</v>
      </c>
      <c r="X45" s="5"/>
      <c r="Y45" s="5"/>
      <c r="Z45" s="5"/>
      <c r="AA45" s="5"/>
      <c r="AB45" s="5"/>
      <c r="AC45" s="6"/>
      <c r="AD45" s="48">
        <v>40.0</v>
      </c>
      <c r="AE45" s="5"/>
      <c r="AF45" s="6"/>
    </row>
    <row r="46" ht="30.0" customHeight="1">
      <c r="B46" s="47">
        <v>39.0</v>
      </c>
      <c r="C46" s="48" t="s">
        <v>230</v>
      </c>
      <c r="D46" s="5"/>
      <c r="E46" s="6"/>
      <c r="F46" s="49" t="s">
        <v>219</v>
      </c>
      <c r="G46" s="5"/>
      <c r="H46" s="5"/>
      <c r="I46" s="5"/>
      <c r="J46" s="5"/>
      <c r="K46" s="5"/>
      <c r="L46" s="6"/>
      <c r="M46" s="49" t="s">
        <v>231</v>
      </c>
      <c r="N46" s="5"/>
      <c r="O46" s="5"/>
      <c r="P46" s="5"/>
      <c r="Q46" s="5"/>
      <c r="R46" s="5"/>
      <c r="S46" s="5"/>
      <c r="T46" s="6"/>
      <c r="U46" s="57" t="s">
        <v>222</v>
      </c>
      <c r="V46" s="6"/>
      <c r="W46" s="49" t="s">
        <v>113</v>
      </c>
      <c r="X46" s="5"/>
      <c r="Y46" s="5"/>
      <c r="Z46" s="5"/>
      <c r="AA46" s="5"/>
      <c r="AB46" s="5"/>
      <c r="AC46" s="6"/>
      <c r="AD46" s="48">
        <v>25.0</v>
      </c>
      <c r="AE46" s="5"/>
      <c r="AF46" s="6"/>
    </row>
    <row r="47" ht="30.0" customHeight="1">
      <c r="B47" s="47">
        <v>40.0</v>
      </c>
      <c r="C47" s="48" t="s">
        <v>233</v>
      </c>
      <c r="D47" s="5"/>
      <c r="E47" s="6"/>
      <c r="F47" s="49" t="s">
        <v>219</v>
      </c>
      <c r="G47" s="5"/>
      <c r="H47" s="5"/>
      <c r="I47" s="5"/>
      <c r="J47" s="5"/>
      <c r="K47" s="5"/>
      <c r="L47" s="6"/>
      <c r="M47" s="49" t="s">
        <v>235</v>
      </c>
      <c r="N47" s="5"/>
      <c r="O47" s="5"/>
      <c r="P47" s="5"/>
      <c r="Q47" s="5"/>
      <c r="R47" s="5"/>
      <c r="S47" s="5"/>
      <c r="T47" s="6"/>
      <c r="U47" s="57" t="s">
        <v>222</v>
      </c>
      <c r="V47" s="6"/>
      <c r="W47" s="49" t="s">
        <v>94</v>
      </c>
      <c r="X47" s="5"/>
      <c r="Y47" s="5"/>
      <c r="Z47" s="5"/>
      <c r="AA47" s="5"/>
      <c r="AB47" s="5"/>
      <c r="AC47" s="6"/>
      <c r="AD47" s="48">
        <v>5.0</v>
      </c>
      <c r="AE47" s="5"/>
      <c r="AF47" s="6"/>
    </row>
    <row r="48" ht="30.0" customHeight="1">
      <c r="B48" s="47">
        <v>41.0</v>
      </c>
      <c r="C48" s="48" t="s">
        <v>239</v>
      </c>
      <c r="D48" s="5"/>
      <c r="E48" s="6"/>
      <c r="F48" s="49" t="s">
        <v>219</v>
      </c>
      <c r="G48" s="5"/>
      <c r="H48" s="5"/>
      <c r="I48" s="5"/>
      <c r="J48" s="5"/>
      <c r="K48" s="5"/>
      <c r="L48" s="6"/>
      <c r="M48" s="49" t="s">
        <v>240</v>
      </c>
      <c r="N48" s="5"/>
      <c r="O48" s="5"/>
      <c r="P48" s="5"/>
      <c r="Q48" s="5"/>
      <c r="R48" s="5"/>
      <c r="S48" s="5"/>
      <c r="T48" s="6"/>
      <c r="U48" s="50" t="s">
        <v>82</v>
      </c>
      <c r="V48" s="6"/>
      <c r="W48" s="49" t="s">
        <v>94</v>
      </c>
      <c r="X48" s="5"/>
      <c r="Y48" s="5"/>
      <c r="Z48" s="5"/>
      <c r="AA48" s="5"/>
      <c r="AB48" s="5"/>
      <c r="AC48" s="6"/>
      <c r="AD48" s="48">
        <v>5.0</v>
      </c>
      <c r="AE48" s="5"/>
      <c r="AF48" s="6"/>
    </row>
    <row r="49" ht="30.0" customHeight="1">
      <c r="B49" s="47">
        <v>42.0</v>
      </c>
      <c r="C49" s="48" t="s">
        <v>241</v>
      </c>
      <c r="D49" s="5"/>
      <c r="E49" s="6"/>
      <c r="F49" s="49" t="s">
        <v>219</v>
      </c>
      <c r="G49" s="5"/>
      <c r="H49" s="5"/>
      <c r="I49" s="5"/>
      <c r="J49" s="5"/>
      <c r="K49" s="5"/>
      <c r="L49" s="6"/>
      <c r="M49" s="49" t="s">
        <v>242</v>
      </c>
      <c r="N49" s="5"/>
      <c r="O49" s="5"/>
      <c r="P49" s="5"/>
      <c r="Q49" s="5"/>
      <c r="R49" s="5"/>
      <c r="S49" s="5"/>
      <c r="T49" s="6"/>
      <c r="U49" s="51" t="s">
        <v>102</v>
      </c>
      <c r="V49" s="6"/>
      <c r="W49" s="49" t="s">
        <v>243</v>
      </c>
      <c r="X49" s="5"/>
      <c r="Y49" s="5"/>
      <c r="Z49" s="5"/>
      <c r="AA49" s="5"/>
      <c r="AB49" s="5"/>
      <c r="AC49" s="6"/>
      <c r="AD49" s="48">
        <v>8.0</v>
      </c>
      <c r="AE49" s="5"/>
      <c r="AF49" s="6"/>
    </row>
    <row r="50" ht="30.0" customHeight="1">
      <c r="B50" s="47">
        <v>43.0</v>
      </c>
      <c r="C50" s="48" t="s">
        <v>246</v>
      </c>
      <c r="D50" s="5"/>
      <c r="E50" s="6"/>
      <c r="F50" s="49" t="s">
        <v>247</v>
      </c>
      <c r="G50" s="5"/>
      <c r="H50" s="5"/>
      <c r="I50" s="5"/>
      <c r="J50" s="5"/>
      <c r="K50" s="5"/>
      <c r="L50" s="6"/>
      <c r="M50" s="49" t="s">
        <v>249</v>
      </c>
      <c r="N50" s="5"/>
      <c r="O50" s="5"/>
      <c r="P50" s="5"/>
      <c r="Q50" s="5"/>
      <c r="R50" s="5"/>
      <c r="S50" s="5"/>
      <c r="T50" s="6"/>
      <c r="U50" s="51" t="s">
        <v>102</v>
      </c>
      <c r="V50" s="6"/>
      <c r="W50" s="49" t="s">
        <v>251</v>
      </c>
      <c r="X50" s="5"/>
      <c r="Y50" s="5"/>
      <c r="Z50" s="5"/>
      <c r="AA50" s="5"/>
      <c r="AB50" s="5"/>
      <c r="AC50" s="6"/>
      <c r="AD50" s="48">
        <v>12.0</v>
      </c>
      <c r="AE50" s="5"/>
      <c r="AF50" s="6"/>
    </row>
    <row r="51" ht="30.0" customHeight="1">
      <c r="B51" s="47">
        <v>44.0</v>
      </c>
      <c r="C51" s="48" t="s">
        <v>253</v>
      </c>
      <c r="D51" s="5"/>
      <c r="E51" s="6"/>
      <c r="F51" s="49" t="s">
        <v>247</v>
      </c>
      <c r="G51" s="5"/>
      <c r="H51" s="5"/>
      <c r="I51" s="5"/>
      <c r="J51" s="5"/>
      <c r="K51" s="5"/>
      <c r="L51" s="6"/>
      <c r="M51" s="49" t="s">
        <v>254</v>
      </c>
      <c r="N51" s="5"/>
      <c r="O51" s="5"/>
      <c r="P51" s="5"/>
      <c r="Q51" s="5"/>
      <c r="R51" s="5"/>
      <c r="S51" s="5"/>
      <c r="T51" s="6"/>
      <c r="U51" s="51" t="s">
        <v>102</v>
      </c>
      <c r="V51" s="6"/>
      <c r="W51" s="49" t="s">
        <v>255</v>
      </c>
      <c r="X51" s="5"/>
      <c r="Y51" s="5"/>
      <c r="Z51" s="5"/>
      <c r="AA51" s="5"/>
      <c r="AB51" s="5"/>
      <c r="AC51" s="6"/>
      <c r="AD51" s="48">
        <v>8.0</v>
      </c>
      <c r="AE51" s="5"/>
      <c r="AF51" s="6"/>
    </row>
    <row r="52" ht="22.5" customHeight="1">
      <c r="B52" s="58" t="s">
        <v>42</v>
      </c>
      <c r="C52" s="5"/>
      <c r="D52" s="5"/>
      <c r="E52" s="5"/>
      <c r="F52" s="5"/>
      <c r="G52" s="5"/>
      <c r="H52" s="5"/>
      <c r="I52" s="5"/>
      <c r="J52" s="5"/>
      <c r="K52" s="5"/>
      <c r="L52" s="5"/>
      <c r="M52" s="5"/>
      <c r="N52" s="5"/>
      <c r="O52" s="5"/>
      <c r="P52" s="5"/>
      <c r="Q52" s="5"/>
      <c r="R52" s="5"/>
      <c r="S52" s="5"/>
      <c r="T52" s="6"/>
      <c r="U52" s="33"/>
      <c r="V52" s="6"/>
      <c r="W52" s="33"/>
      <c r="X52" s="5"/>
      <c r="Y52" s="5"/>
      <c r="Z52" s="5"/>
      <c r="AA52" s="5"/>
      <c r="AB52" s="5"/>
      <c r="AC52" s="6"/>
      <c r="AD52" s="33">
        <f>SUM(AD8:AD51)</f>
        <v>1682</v>
      </c>
      <c r="AE52" s="5"/>
      <c r="AF52" s="6"/>
    </row>
    <row r="53" ht="15.75" customHeight="1"/>
    <row r="54" ht="19.5" customHeight="1">
      <c r="B54" s="27" t="s">
        <v>256</v>
      </c>
    </row>
    <row r="55" ht="15.75" customHeight="1"/>
    <row r="56" ht="28.5" customHeight="1">
      <c r="B56" s="46" t="s">
        <v>257</v>
      </c>
      <c r="C56" s="6"/>
      <c r="D56" s="46" t="s">
        <v>258</v>
      </c>
      <c r="E56" s="5"/>
      <c r="F56" s="6"/>
      <c r="G56" s="46" t="s">
        <v>259</v>
      </c>
      <c r="H56" s="5"/>
      <c r="I56" s="5"/>
      <c r="J56" s="5"/>
      <c r="K56" s="5"/>
      <c r="L56" s="6"/>
      <c r="M56" s="46" t="s">
        <v>260</v>
      </c>
      <c r="N56" s="6"/>
      <c r="O56" s="46" t="s">
        <v>261</v>
      </c>
      <c r="P56" s="5"/>
      <c r="Q56" s="6"/>
      <c r="R56" s="46" t="s">
        <v>262</v>
      </c>
      <c r="S56" s="5"/>
      <c r="T56" s="5"/>
      <c r="U56" s="5"/>
      <c r="V56" s="5"/>
      <c r="W56" s="5"/>
      <c r="X56" s="5"/>
      <c r="Y56" s="5"/>
      <c r="Z56" s="5"/>
      <c r="AA56" s="5"/>
      <c r="AB56" s="5"/>
      <c r="AC56" s="5"/>
      <c r="AD56" s="5"/>
      <c r="AE56" s="5"/>
      <c r="AF56" s="5"/>
      <c r="AG56" s="5"/>
      <c r="AH56" s="5"/>
      <c r="AI56" s="5"/>
      <c r="AJ56" s="5"/>
      <c r="AK56" s="6"/>
    </row>
    <row r="57" ht="36.0" customHeight="1">
      <c r="B57" s="59" t="s">
        <v>263</v>
      </c>
      <c r="C57" s="6"/>
      <c r="D57" s="48" t="s">
        <v>265</v>
      </c>
      <c r="E57" s="5"/>
      <c r="F57" s="6"/>
      <c r="G57" s="49" t="s">
        <v>267</v>
      </c>
      <c r="H57" s="5"/>
      <c r="I57" s="5"/>
      <c r="J57" s="5"/>
      <c r="K57" s="5"/>
      <c r="L57" s="6"/>
      <c r="M57" s="48">
        <v>10.0</v>
      </c>
      <c r="N57" s="6"/>
      <c r="O57" s="48" t="s">
        <v>82</v>
      </c>
      <c r="P57" s="5"/>
      <c r="Q57" s="6"/>
      <c r="R57" s="49" t="s">
        <v>270</v>
      </c>
      <c r="S57" s="5"/>
      <c r="T57" s="5"/>
      <c r="U57" s="5"/>
      <c r="V57" s="5"/>
      <c r="W57" s="5"/>
      <c r="X57" s="5"/>
      <c r="Y57" s="5"/>
      <c r="Z57" s="5"/>
      <c r="AA57" s="5"/>
      <c r="AB57" s="5"/>
      <c r="AC57" s="5"/>
      <c r="AD57" s="5"/>
      <c r="AE57" s="5"/>
      <c r="AF57" s="5"/>
      <c r="AG57" s="5"/>
      <c r="AH57" s="5"/>
      <c r="AI57" s="5"/>
      <c r="AJ57" s="5"/>
      <c r="AK57" s="6"/>
    </row>
    <row r="58" ht="30.0" customHeight="1">
      <c r="B58" s="59" t="s">
        <v>272</v>
      </c>
      <c r="C58" s="6"/>
      <c r="D58" s="48" t="s">
        <v>273</v>
      </c>
      <c r="E58" s="5"/>
      <c r="F58" s="6"/>
      <c r="G58" s="49" t="s">
        <v>274</v>
      </c>
      <c r="H58" s="5"/>
      <c r="I58" s="5"/>
      <c r="J58" s="5"/>
      <c r="K58" s="5"/>
      <c r="L58" s="6"/>
      <c r="M58" s="48">
        <v>9.0</v>
      </c>
      <c r="N58" s="6"/>
      <c r="O58" s="48" t="s">
        <v>102</v>
      </c>
      <c r="P58" s="5"/>
      <c r="Q58" s="6"/>
      <c r="R58" s="49" t="s">
        <v>275</v>
      </c>
      <c r="S58" s="5"/>
      <c r="T58" s="5"/>
      <c r="U58" s="5"/>
      <c r="V58" s="5"/>
      <c r="W58" s="5"/>
      <c r="X58" s="5"/>
      <c r="Y58" s="5"/>
      <c r="Z58" s="5"/>
      <c r="AA58" s="5"/>
      <c r="AB58" s="5"/>
      <c r="AC58" s="5"/>
      <c r="AD58" s="5"/>
      <c r="AE58" s="5"/>
      <c r="AF58" s="5"/>
      <c r="AG58" s="5"/>
      <c r="AH58" s="5"/>
      <c r="AI58" s="5"/>
      <c r="AJ58" s="5"/>
      <c r="AK58" s="6"/>
    </row>
    <row r="59" ht="36.0" customHeight="1">
      <c r="B59" s="59" t="s">
        <v>276</v>
      </c>
      <c r="C59" s="6"/>
      <c r="D59" s="48" t="s">
        <v>277</v>
      </c>
      <c r="E59" s="5"/>
      <c r="F59" s="6"/>
      <c r="G59" s="49" t="s">
        <v>278</v>
      </c>
      <c r="H59" s="5"/>
      <c r="I59" s="5"/>
      <c r="J59" s="5"/>
      <c r="K59" s="5"/>
      <c r="L59" s="6"/>
      <c r="M59" s="48">
        <v>8.0</v>
      </c>
      <c r="N59" s="6"/>
      <c r="O59" s="48" t="s">
        <v>82</v>
      </c>
      <c r="P59" s="5"/>
      <c r="Q59" s="6"/>
      <c r="R59" s="49" t="s">
        <v>280</v>
      </c>
      <c r="S59" s="5"/>
      <c r="T59" s="5"/>
      <c r="U59" s="5"/>
      <c r="V59" s="5"/>
      <c r="W59" s="5"/>
      <c r="X59" s="5"/>
      <c r="Y59" s="5"/>
      <c r="Z59" s="5"/>
      <c r="AA59" s="5"/>
      <c r="AB59" s="5"/>
      <c r="AC59" s="5"/>
      <c r="AD59" s="5"/>
      <c r="AE59" s="5"/>
      <c r="AF59" s="5"/>
      <c r="AG59" s="5"/>
      <c r="AH59" s="5"/>
      <c r="AI59" s="5"/>
      <c r="AJ59" s="5"/>
      <c r="AK59" s="6"/>
    </row>
    <row r="60" ht="36.0" customHeight="1">
      <c r="B60" s="59" t="s">
        <v>282</v>
      </c>
      <c r="C60" s="6"/>
      <c r="D60" s="48" t="s">
        <v>283</v>
      </c>
      <c r="E60" s="5"/>
      <c r="F60" s="6"/>
      <c r="G60" s="49" t="s">
        <v>284</v>
      </c>
      <c r="H60" s="5"/>
      <c r="I60" s="5"/>
      <c r="J60" s="5"/>
      <c r="K60" s="5"/>
      <c r="L60" s="6"/>
      <c r="M60" s="48">
        <v>9.0</v>
      </c>
      <c r="N60" s="6"/>
      <c r="O60" s="48" t="s">
        <v>82</v>
      </c>
      <c r="P60" s="5"/>
      <c r="Q60" s="6"/>
      <c r="R60" s="49" t="s">
        <v>285</v>
      </c>
      <c r="S60" s="5"/>
      <c r="T60" s="5"/>
      <c r="U60" s="5"/>
      <c r="V60" s="5"/>
      <c r="W60" s="5"/>
      <c r="X60" s="5"/>
      <c r="Y60" s="5"/>
      <c r="Z60" s="5"/>
      <c r="AA60" s="5"/>
      <c r="AB60" s="5"/>
      <c r="AC60" s="5"/>
      <c r="AD60" s="5"/>
      <c r="AE60" s="5"/>
      <c r="AF60" s="5"/>
      <c r="AG60" s="5"/>
      <c r="AH60" s="5"/>
      <c r="AI60" s="5"/>
      <c r="AJ60" s="5"/>
      <c r="AK60" s="6"/>
    </row>
    <row r="61" ht="36.0" customHeight="1">
      <c r="B61" s="59" t="s">
        <v>286</v>
      </c>
      <c r="C61" s="6"/>
      <c r="D61" s="48" t="s">
        <v>287</v>
      </c>
      <c r="E61" s="5"/>
      <c r="F61" s="6"/>
      <c r="G61" s="49" t="s">
        <v>288</v>
      </c>
      <c r="H61" s="5"/>
      <c r="I61" s="5"/>
      <c r="J61" s="5"/>
      <c r="K61" s="5"/>
      <c r="L61" s="6"/>
      <c r="M61" s="48">
        <v>6.0</v>
      </c>
      <c r="N61" s="6"/>
      <c r="O61" s="48" t="s">
        <v>290</v>
      </c>
      <c r="P61" s="5"/>
      <c r="Q61" s="6"/>
      <c r="R61" s="49" t="s">
        <v>292</v>
      </c>
      <c r="S61" s="5"/>
      <c r="T61" s="5"/>
      <c r="U61" s="5"/>
      <c r="V61" s="5"/>
      <c r="W61" s="5"/>
      <c r="X61" s="5"/>
      <c r="Y61" s="5"/>
      <c r="Z61" s="5"/>
      <c r="AA61" s="5"/>
      <c r="AB61" s="5"/>
      <c r="AC61" s="5"/>
      <c r="AD61" s="5"/>
      <c r="AE61" s="5"/>
      <c r="AF61" s="5"/>
      <c r="AG61" s="5"/>
      <c r="AH61" s="5"/>
      <c r="AI61" s="5"/>
      <c r="AJ61" s="5"/>
      <c r="AK61" s="6"/>
    </row>
    <row r="62" ht="30.0" customHeight="1">
      <c r="B62" s="59" t="s">
        <v>294</v>
      </c>
      <c r="C62" s="6"/>
      <c r="D62" s="48" t="s">
        <v>295</v>
      </c>
      <c r="E62" s="5"/>
      <c r="F62" s="6"/>
      <c r="G62" s="49" t="s">
        <v>296</v>
      </c>
      <c r="H62" s="5"/>
      <c r="I62" s="5"/>
      <c r="J62" s="5"/>
      <c r="K62" s="5"/>
      <c r="L62" s="6"/>
      <c r="M62" s="48">
        <v>2.0</v>
      </c>
      <c r="N62" s="6"/>
      <c r="O62" s="48" t="s">
        <v>102</v>
      </c>
      <c r="P62" s="5"/>
      <c r="Q62" s="6"/>
      <c r="R62" s="49" t="s">
        <v>299</v>
      </c>
      <c r="S62" s="5"/>
      <c r="T62" s="5"/>
      <c r="U62" s="5"/>
      <c r="V62" s="5"/>
      <c r="W62" s="5"/>
      <c r="X62" s="5"/>
      <c r="Y62" s="5"/>
      <c r="Z62" s="5"/>
      <c r="AA62" s="5"/>
      <c r="AB62" s="5"/>
      <c r="AC62" s="5"/>
      <c r="AD62" s="5"/>
      <c r="AE62" s="5"/>
      <c r="AF62" s="5"/>
      <c r="AG62" s="5"/>
      <c r="AH62" s="5"/>
      <c r="AI62" s="5"/>
      <c r="AJ62" s="5"/>
      <c r="AK62" s="6"/>
    </row>
    <row r="63" ht="15.75" customHeight="1"/>
    <row r="64" ht="30.0" customHeight="1">
      <c r="B64" s="60" t="s">
        <v>300</v>
      </c>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118</v>
      </c>
      <c r="B1" s="5"/>
      <c r="C1" s="5"/>
      <c r="D1" s="5"/>
      <c r="E1" s="6"/>
      <c r="F1" s="19" t="s">
        <v>119</v>
      </c>
      <c r="G1" s="5"/>
      <c r="H1" s="5"/>
      <c r="I1" s="5"/>
      <c r="J1" s="5"/>
      <c r="K1" s="5"/>
      <c r="L1" s="5"/>
      <c r="M1" s="5"/>
      <c r="N1" s="5"/>
      <c r="O1" s="5"/>
      <c r="P1" s="5"/>
      <c r="Q1" s="6"/>
      <c r="R1" s="46" t="s">
        <v>121</v>
      </c>
      <c r="S1" s="5"/>
      <c r="T1" s="5"/>
      <c r="U1" s="5"/>
      <c r="V1" s="6"/>
      <c r="W1" s="19" t="s">
        <v>123</v>
      </c>
      <c r="X1" s="5"/>
      <c r="Y1" s="5"/>
      <c r="Z1" s="5"/>
      <c r="AA1" s="5"/>
      <c r="AB1" s="5"/>
      <c r="AC1" s="5"/>
      <c r="AD1" s="5"/>
      <c r="AE1" s="5"/>
      <c r="AF1" s="5"/>
      <c r="AG1" s="5"/>
      <c r="AH1" s="6"/>
    </row>
    <row r="2" ht="22.5" customHeight="1">
      <c r="A2" s="46" t="s">
        <v>11</v>
      </c>
      <c r="B2" s="5"/>
      <c r="C2" s="5"/>
      <c r="D2" s="5"/>
      <c r="E2" s="6"/>
      <c r="F2" s="19" t="s">
        <v>19</v>
      </c>
      <c r="G2" s="5"/>
      <c r="H2" s="5"/>
      <c r="I2" s="5"/>
      <c r="J2" s="5"/>
      <c r="K2" s="5"/>
      <c r="L2" s="5"/>
      <c r="M2" s="5"/>
      <c r="N2" s="5"/>
      <c r="O2" s="5"/>
      <c r="P2" s="5"/>
      <c r="Q2" s="6"/>
      <c r="R2" s="46" t="s">
        <v>8</v>
      </c>
      <c r="S2" s="5"/>
      <c r="T2" s="5"/>
      <c r="U2" s="5"/>
      <c r="V2" s="6"/>
      <c r="W2" s="30" t="s">
        <v>26</v>
      </c>
      <c r="X2" s="5"/>
      <c r="Y2" s="5"/>
      <c r="Z2" s="5"/>
      <c r="AA2" s="5"/>
      <c r="AB2" s="5"/>
      <c r="AC2" s="5"/>
      <c r="AD2" s="5"/>
      <c r="AE2" s="5"/>
      <c r="AF2" s="5"/>
      <c r="AG2" s="5"/>
      <c r="AH2" s="6"/>
    </row>
    <row r="3" ht="22.5" customHeight="1">
      <c r="A3" s="46" t="s">
        <v>9</v>
      </c>
      <c r="B3" s="5"/>
      <c r="C3" s="5"/>
      <c r="D3" s="5"/>
      <c r="E3" s="6"/>
      <c r="F3" s="19" t="s">
        <v>23</v>
      </c>
      <c r="G3" s="5"/>
      <c r="H3" s="5"/>
      <c r="I3" s="5"/>
      <c r="J3" s="5"/>
      <c r="K3" s="5"/>
      <c r="L3" s="5"/>
      <c r="M3" s="5"/>
      <c r="N3" s="5"/>
      <c r="O3" s="5"/>
      <c r="P3" s="5"/>
      <c r="Q3" s="6"/>
      <c r="R3" s="46" t="s">
        <v>128</v>
      </c>
      <c r="S3" s="5"/>
      <c r="T3" s="5"/>
      <c r="U3" s="5"/>
      <c r="V3" s="6"/>
      <c r="W3" s="30"/>
      <c r="X3" s="5"/>
      <c r="Y3" s="5"/>
      <c r="Z3" s="5"/>
      <c r="AA3" s="5"/>
      <c r="AB3" s="5"/>
      <c r="AC3" s="5"/>
      <c r="AD3" s="5"/>
      <c r="AE3" s="5"/>
      <c r="AF3" s="5"/>
      <c r="AG3" s="5"/>
      <c r="AH3" s="6"/>
    </row>
    <row r="4" ht="22.5" customHeight="1">
      <c r="A4" s="46" t="s">
        <v>132</v>
      </c>
      <c r="B4" s="5"/>
      <c r="C4" s="5"/>
      <c r="D4" s="5"/>
      <c r="E4" s="6"/>
      <c r="F4" s="19" t="s">
        <v>133</v>
      </c>
      <c r="G4" s="5"/>
      <c r="H4" s="5"/>
      <c r="I4" s="5"/>
      <c r="J4" s="5"/>
      <c r="K4" s="5"/>
      <c r="L4" s="5"/>
      <c r="M4" s="5"/>
      <c r="N4" s="5"/>
      <c r="O4" s="5"/>
      <c r="P4" s="5"/>
      <c r="Q4" s="5"/>
      <c r="R4" s="5"/>
      <c r="S4" s="5"/>
      <c r="T4" s="5"/>
      <c r="U4" s="5"/>
      <c r="V4" s="5"/>
      <c r="W4" s="5"/>
      <c r="X4" s="5"/>
      <c r="Y4" s="5"/>
      <c r="Z4" s="5"/>
      <c r="AA4" s="5"/>
      <c r="AB4" s="5"/>
      <c r="AC4" s="5"/>
      <c r="AD4" s="5"/>
      <c r="AE4" s="5"/>
      <c r="AF4" s="5"/>
      <c r="AG4" s="5"/>
      <c r="AH4" s="6"/>
    </row>
    <row r="5" ht="22.5" customHeight="1">
      <c r="A5" s="46" t="s">
        <v>136</v>
      </c>
      <c r="B5" s="5"/>
      <c r="C5" s="5"/>
      <c r="D5" s="5"/>
      <c r="E5" s="5"/>
      <c r="F5" s="5"/>
      <c r="G5" s="5"/>
      <c r="H5" s="5"/>
      <c r="I5" s="5"/>
      <c r="J5" s="5"/>
      <c r="K5" s="5"/>
      <c r="L5" s="5"/>
      <c r="M5" s="5"/>
      <c r="N5" s="5"/>
      <c r="O5" s="5"/>
      <c r="P5" s="5"/>
      <c r="Q5" s="5"/>
      <c r="R5" s="5"/>
      <c r="S5" s="6"/>
      <c r="T5" s="46" t="s">
        <v>44</v>
      </c>
      <c r="U5" s="5"/>
      <c r="V5" s="5"/>
      <c r="W5" s="5"/>
      <c r="X5" s="5"/>
      <c r="Y5" s="5"/>
      <c r="Z5" s="5"/>
      <c r="AA5" s="5"/>
      <c r="AB5" s="5"/>
      <c r="AC5" s="5"/>
      <c r="AD5" s="5"/>
      <c r="AE5" s="5"/>
      <c r="AF5" s="5"/>
      <c r="AG5" s="5"/>
      <c r="AH5" s="6"/>
    </row>
    <row r="6" ht="22.5" customHeight="1">
      <c r="A6" s="46" t="s">
        <v>140</v>
      </c>
      <c r="B6" s="5"/>
      <c r="C6" s="5"/>
      <c r="D6" s="5"/>
      <c r="E6" s="5"/>
      <c r="F6" s="5"/>
      <c r="G6" s="6"/>
      <c r="H6" s="46" t="s">
        <v>46</v>
      </c>
      <c r="I6" s="5"/>
      <c r="J6" s="6"/>
      <c r="K6" s="46" t="s">
        <v>47</v>
      </c>
      <c r="L6" s="5"/>
      <c r="M6" s="6"/>
      <c r="N6" s="46" t="s">
        <v>143</v>
      </c>
      <c r="O6" s="5"/>
      <c r="P6" s="6"/>
      <c r="Q6" s="46" t="s">
        <v>42</v>
      </c>
      <c r="R6" s="5"/>
      <c r="S6" s="6"/>
      <c r="T6" s="46" t="s">
        <v>50</v>
      </c>
      <c r="U6" s="5"/>
      <c r="V6" s="6"/>
      <c r="W6" s="46" t="s">
        <v>51</v>
      </c>
      <c r="X6" s="5"/>
      <c r="Y6" s="6"/>
      <c r="Z6" s="46" t="s">
        <v>52</v>
      </c>
      <c r="AA6" s="5"/>
      <c r="AB6" s="6"/>
      <c r="AC6" s="46" t="s">
        <v>54</v>
      </c>
      <c r="AD6" s="5"/>
      <c r="AE6" s="6"/>
      <c r="AF6" s="46" t="s">
        <v>42</v>
      </c>
      <c r="AG6" s="5"/>
      <c r="AH6" s="6"/>
    </row>
    <row r="7" ht="22.5" customHeight="1">
      <c r="A7" s="46" t="s">
        <v>148</v>
      </c>
      <c r="B7" s="5"/>
      <c r="C7" s="5"/>
      <c r="D7" s="5"/>
      <c r="E7" s="5"/>
      <c r="F7" s="5"/>
      <c r="G7" s="6"/>
      <c r="H7" s="11">
        <f t="shared" ref="H7:H8" si="1">COUNTIF($AE$12:$AF$1049,"N")</f>
        <v>26</v>
      </c>
      <c r="I7" s="5"/>
      <c r="J7" s="6"/>
      <c r="K7" s="11">
        <f t="shared" ref="K7:K8" si="2">COUNTIF($AE$12:$AF$1049,"A")</f>
        <v>23</v>
      </c>
      <c r="L7" s="5"/>
      <c r="M7" s="6"/>
      <c r="N7" s="11">
        <f t="shared" ref="N7:N8" si="3">COUNTIF($AE$12:$AF$1049,"B")</f>
        <v>3</v>
      </c>
      <c r="O7" s="5"/>
      <c r="P7" s="6"/>
      <c r="Q7" s="43">
        <f t="shared" ref="Q7:Q8" si="4">SUM(H7:P7)</f>
        <v>52</v>
      </c>
      <c r="R7" s="5"/>
      <c r="S7" s="6"/>
      <c r="T7" s="11">
        <f>COUNTIF($AG$12:$AI$1049,T$6)</f>
        <v>48</v>
      </c>
      <c r="U7" s="5"/>
      <c r="V7" s="6"/>
      <c r="W7" s="11">
        <f>COUNTIF($AG$12:$AI$1049,W$6)</f>
        <v>0</v>
      </c>
      <c r="X7" s="5"/>
      <c r="Y7" s="6"/>
      <c r="Z7" s="11">
        <f>COUNTIF($AG$12:$AI$1049,Z$6)</f>
        <v>4</v>
      </c>
      <c r="AA7" s="5"/>
      <c r="AB7" s="6"/>
      <c r="AC7" s="11">
        <f>COUNTIF($AG$12:$AI$1049,AC$6)</f>
        <v>0</v>
      </c>
      <c r="AD7" s="5"/>
      <c r="AE7" s="6"/>
      <c r="AF7" s="43">
        <f t="shared" ref="AF7:AF8" si="5">SUM(T7:AE7)</f>
        <v>52</v>
      </c>
      <c r="AG7" s="5"/>
      <c r="AH7" s="6"/>
    </row>
    <row r="8" ht="22.5" customHeight="1">
      <c r="A8" s="46" t="s">
        <v>159</v>
      </c>
      <c r="B8" s="5"/>
      <c r="C8" s="5"/>
      <c r="D8" s="5"/>
      <c r="E8" s="5"/>
      <c r="F8" s="5"/>
      <c r="G8" s="6"/>
      <c r="H8" s="11">
        <f t="shared" si="1"/>
        <v>26</v>
      </c>
      <c r="I8" s="5"/>
      <c r="J8" s="6"/>
      <c r="K8" s="11">
        <f t="shared" si="2"/>
        <v>23</v>
      </c>
      <c r="L8" s="5"/>
      <c r="M8" s="6"/>
      <c r="N8" s="11">
        <f t="shared" si="3"/>
        <v>3</v>
      </c>
      <c r="O8" s="5"/>
      <c r="P8" s="6"/>
      <c r="Q8" s="43">
        <f t="shared" si="4"/>
        <v>52</v>
      </c>
      <c r="R8" s="5"/>
      <c r="S8" s="6"/>
      <c r="T8" s="11">
        <f>COUNTIF($AV$12:$AX$1049,T$6)</f>
        <v>52</v>
      </c>
      <c r="U8" s="5"/>
      <c r="V8" s="6"/>
      <c r="W8" s="11">
        <f>COUNTIF($AV$12:$AX$1049,W$6)</f>
        <v>0</v>
      </c>
      <c r="X8" s="5"/>
      <c r="Y8" s="6"/>
      <c r="Z8" s="11">
        <f>COUNTIF($AV$12:$AX$1049,Z$6)</f>
        <v>0</v>
      </c>
      <c r="AA8" s="5"/>
      <c r="AB8" s="6"/>
      <c r="AC8" s="11">
        <f>COUNTIF($AV$12:$AX$1049,AC$6)</f>
        <v>0</v>
      </c>
      <c r="AD8" s="5"/>
      <c r="AE8" s="6"/>
      <c r="AF8" s="43">
        <f t="shared" si="5"/>
        <v>52</v>
      </c>
      <c r="AG8" s="5"/>
      <c r="AH8" s="6"/>
    </row>
    <row r="9" ht="12.75" customHeight="1"/>
    <row r="10" ht="36.0" customHeight="1">
      <c r="A10" s="52" t="s">
        <v>36</v>
      </c>
      <c r="B10" s="53" t="s">
        <v>171</v>
      </c>
      <c r="C10" s="14"/>
      <c r="D10" s="16"/>
      <c r="E10" s="53" t="s">
        <v>172</v>
      </c>
      <c r="F10" s="14"/>
      <c r="G10" s="14"/>
      <c r="H10" s="14"/>
      <c r="I10" s="16"/>
      <c r="J10" s="53" t="s">
        <v>175</v>
      </c>
      <c r="K10" s="14"/>
      <c r="L10" s="14"/>
      <c r="M10" s="14"/>
      <c r="N10" s="14"/>
      <c r="O10" s="14"/>
      <c r="P10" s="16"/>
      <c r="Q10" s="53" t="s">
        <v>177</v>
      </c>
      <c r="R10" s="14"/>
      <c r="S10" s="14"/>
      <c r="T10" s="14"/>
      <c r="U10" s="14"/>
      <c r="V10" s="14"/>
      <c r="W10" s="16"/>
      <c r="X10" s="53" t="s">
        <v>179</v>
      </c>
      <c r="Y10" s="14"/>
      <c r="Z10" s="14"/>
      <c r="AA10" s="14"/>
      <c r="AB10" s="14"/>
      <c r="AC10" s="14"/>
      <c r="AD10" s="16"/>
      <c r="AE10" s="53" t="s">
        <v>180</v>
      </c>
      <c r="AF10" s="16"/>
      <c r="AG10" s="46" t="s">
        <v>181</v>
      </c>
      <c r="AH10" s="5"/>
      <c r="AI10" s="5"/>
      <c r="AJ10" s="5"/>
      <c r="AK10" s="5"/>
      <c r="AL10" s="5"/>
      <c r="AM10" s="5"/>
      <c r="AN10" s="5"/>
      <c r="AO10" s="5"/>
      <c r="AP10" s="5"/>
      <c r="AQ10" s="5"/>
      <c r="AR10" s="5"/>
      <c r="AS10" s="5"/>
      <c r="AT10" s="5"/>
      <c r="AU10" s="6"/>
      <c r="AV10" s="46" t="s">
        <v>184</v>
      </c>
      <c r="AW10" s="5"/>
      <c r="AX10" s="5"/>
      <c r="AY10" s="5"/>
      <c r="AZ10" s="5"/>
      <c r="BA10" s="5"/>
      <c r="BB10" s="5"/>
      <c r="BC10" s="5"/>
      <c r="BD10" s="5"/>
      <c r="BE10" s="5"/>
      <c r="BF10" s="5"/>
      <c r="BG10" s="5"/>
      <c r="BH10" s="5"/>
      <c r="BI10" s="5"/>
      <c r="BJ10" s="6"/>
      <c r="BK10" s="53" t="s">
        <v>185</v>
      </c>
      <c r="BL10" s="14"/>
      <c r="BM10" s="14"/>
      <c r="BN10" s="14"/>
      <c r="BO10" s="14"/>
      <c r="BP10" s="14"/>
      <c r="BQ10" s="16"/>
    </row>
    <row r="11" ht="36.0" customHeight="1">
      <c r="A11" s="39"/>
      <c r="B11" s="24"/>
      <c r="C11" s="25"/>
      <c r="D11" s="26"/>
      <c r="E11" s="24"/>
      <c r="F11" s="25"/>
      <c r="G11" s="25"/>
      <c r="H11" s="25"/>
      <c r="I11" s="26"/>
      <c r="J11" s="24"/>
      <c r="K11" s="25"/>
      <c r="L11" s="25"/>
      <c r="M11" s="25"/>
      <c r="N11" s="25"/>
      <c r="O11" s="25"/>
      <c r="P11" s="26"/>
      <c r="Q11" s="24"/>
      <c r="R11" s="25"/>
      <c r="S11" s="25"/>
      <c r="T11" s="25"/>
      <c r="U11" s="25"/>
      <c r="V11" s="25"/>
      <c r="W11" s="26"/>
      <c r="X11" s="24"/>
      <c r="Y11" s="25"/>
      <c r="Z11" s="25"/>
      <c r="AA11" s="25"/>
      <c r="AB11" s="25"/>
      <c r="AC11" s="25"/>
      <c r="AD11" s="26"/>
      <c r="AE11" s="24"/>
      <c r="AF11" s="26"/>
      <c r="AG11" s="46" t="s">
        <v>190</v>
      </c>
      <c r="AH11" s="5"/>
      <c r="AI11" s="6"/>
      <c r="AJ11" s="46" t="s">
        <v>191</v>
      </c>
      <c r="AK11" s="5"/>
      <c r="AL11" s="6"/>
      <c r="AM11" s="46" t="s">
        <v>5</v>
      </c>
      <c r="AN11" s="5"/>
      <c r="AO11" s="6"/>
      <c r="AP11" s="46" t="s">
        <v>193</v>
      </c>
      <c r="AQ11" s="5"/>
      <c r="AR11" s="6"/>
      <c r="AS11" s="46" t="s">
        <v>194</v>
      </c>
      <c r="AT11" s="5"/>
      <c r="AU11" s="6"/>
      <c r="AV11" s="46" t="s">
        <v>190</v>
      </c>
      <c r="AW11" s="5"/>
      <c r="AX11" s="6"/>
      <c r="AY11" s="46" t="s">
        <v>191</v>
      </c>
      <c r="AZ11" s="5"/>
      <c r="BA11" s="6"/>
      <c r="BB11" s="46" t="s">
        <v>5</v>
      </c>
      <c r="BC11" s="5"/>
      <c r="BD11" s="6"/>
      <c r="BE11" s="46" t="s">
        <v>193</v>
      </c>
      <c r="BF11" s="5"/>
      <c r="BG11" s="6"/>
      <c r="BH11" s="46" t="s">
        <v>194</v>
      </c>
      <c r="BI11" s="5"/>
      <c r="BJ11" s="6"/>
      <c r="BK11" s="24"/>
      <c r="BL11" s="25"/>
      <c r="BM11" s="25"/>
      <c r="BN11" s="25"/>
      <c r="BO11" s="25"/>
      <c r="BP11" s="25"/>
      <c r="BQ11" s="26"/>
    </row>
    <row r="12" ht="22.5" customHeight="1">
      <c r="A12" s="21" t="s">
        <v>199</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6"/>
    </row>
    <row r="13" ht="450.0" customHeight="1">
      <c r="A13" s="47">
        <v>1.0</v>
      </c>
      <c r="B13" s="49" t="s">
        <v>204</v>
      </c>
      <c r="C13" s="5"/>
      <c r="D13" s="6"/>
      <c r="E13" s="49" t="s">
        <v>206</v>
      </c>
      <c r="F13" s="5"/>
      <c r="G13" s="5"/>
      <c r="H13" s="5"/>
      <c r="I13" s="6"/>
      <c r="J13" s="49" t="s">
        <v>207</v>
      </c>
      <c r="K13" s="5"/>
      <c r="L13" s="5"/>
      <c r="M13" s="5"/>
      <c r="N13" s="5"/>
      <c r="O13" s="5"/>
      <c r="P13" s="6"/>
      <c r="Q13" s="54" t="s">
        <v>209</v>
      </c>
      <c r="R13" s="5"/>
      <c r="S13" s="5"/>
      <c r="T13" s="5"/>
      <c r="U13" s="5"/>
      <c r="V13" s="5"/>
      <c r="W13" s="6"/>
      <c r="X13" s="54" t="s">
        <v>211</v>
      </c>
      <c r="Y13" s="5"/>
      <c r="Z13" s="5"/>
      <c r="AA13" s="5"/>
      <c r="AB13" s="5"/>
      <c r="AC13" s="5"/>
      <c r="AD13" s="6"/>
      <c r="AE13" s="48" t="s">
        <v>212</v>
      </c>
      <c r="AF13" s="6"/>
      <c r="AG13" s="55" t="s">
        <v>50</v>
      </c>
      <c r="AH13" s="5"/>
      <c r="AI13" s="6"/>
      <c r="AJ13" s="48"/>
      <c r="AK13" s="5"/>
      <c r="AL13" s="6"/>
      <c r="AM13" s="55" t="s">
        <v>214</v>
      </c>
      <c r="AN13" s="5"/>
      <c r="AO13" s="6"/>
      <c r="AP13" s="56">
        <v>46145.0</v>
      </c>
      <c r="AQ13" s="5"/>
      <c r="AR13" s="6"/>
      <c r="AS13" s="48"/>
      <c r="AT13" s="5"/>
      <c r="AU13" s="6"/>
      <c r="AV13" s="55" t="s">
        <v>50</v>
      </c>
      <c r="AW13" s="5"/>
      <c r="AX13" s="6"/>
      <c r="AY13" s="55"/>
      <c r="AZ13" s="5"/>
      <c r="BA13" s="6"/>
      <c r="BB13" s="55" t="s">
        <v>216</v>
      </c>
      <c r="BC13" s="5"/>
      <c r="BD13" s="6"/>
      <c r="BE13" s="55" t="s">
        <v>217</v>
      </c>
      <c r="BF13" s="5"/>
      <c r="BG13" s="6"/>
      <c r="BH13" s="48"/>
      <c r="BI13" s="5"/>
      <c r="BJ13" s="6"/>
      <c r="BK13" s="49"/>
      <c r="BL13" s="5"/>
      <c r="BM13" s="5"/>
      <c r="BN13" s="5"/>
      <c r="BO13" s="5"/>
      <c r="BP13" s="5"/>
      <c r="BQ13" s="6"/>
    </row>
    <row r="14" ht="432.0" customHeight="1">
      <c r="A14" s="47">
        <v>2.0</v>
      </c>
      <c r="B14" s="49" t="s">
        <v>221</v>
      </c>
      <c r="C14" s="5"/>
      <c r="D14" s="6"/>
      <c r="E14" s="49" t="s">
        <v>223</v>
      </c>
      <c r="F14" s="5"/>
      <c r="G14" s="5"/>
      <c r="H14" s="5"/>
      <c r="I14" s="6"/>
      <c r="J14" s="49" t="s">
        <v>224</v>
      </c>
      <c r="K14" s="5"/>
      <c r="L14" s="5"/>
      <c r="M14" s="5"/>
      <c r="N14" s="5"/>
      <c r="O14" s="5"/>
      <c r="P14" s="6"/>
      <c r="Q14" s="54" t="s">
        <v>226</v>
      </c>
      <c r="R14" s="5"/>
      <c r="S14" s="5"/>
      <c r="T14" s="5"/>
      <c r="U14" s="5"/>
      <c r="V14" s="5"/>
      <c r="W14" s="6"/>
      <c r="X14" s="54" t="s">
        <v>228</v>
      </c>
      <c r="Y14" s="5"/>
      <c r="Z14" s="5"/>
      <c r="AA14" s="5"/>
      <c r="AB14" s="5"/>
      <c r="AC14" s="5"/>
      <c r="AD14" s="6"/>
      <c r="AE14" s="48" t="s">
        <v>212</v>
      </c>
      <c r="AF14" s="6"/>
      <c r="AG14" s="55" t="s">
        <v>50</v>
      </c>
      <c r="AH14" s="5"/>
      <c r="AI14" s="6"/>
      <c r="AJ14" s="48"/>
      <c r="AK14" s="5"/>
      <c r="AL14" s="6"/>
      <c r="AM14" s="55" t="s">
        <v>214</v>
      </c>
      <c r="AN14" s="5"/>
      <c r="AO14" s="6"/>
      <c r="AP14" s="56">
        <v>46145.0</v>
      </c>
      <c r="AQ14" s="5"/>
      <c r="AR14" s="6"/>
      <c r="AS14" s="48"/>
      <c r="AT14" s="5"/>
      <c r="AU14" s="6"/>
      <c r="AV14" s="55" t="s">
        <v>50</v>
      </c>
      <c r="AW14" s="5"/>
      <c r="AX14" s="6"/>
      <c r="AY14" s="48"/>
      <c r="AZ14" s="5"/>
      <c r="BA14" s="6"/>
      <c r="BB14" s="55" t="s">
        <v>216</v>
      </c>
      <c r="BC14" s="5"/>
      <c r="BD14" s="6"/>
      <c r="BE14" s="55" t="s">
        <v>217</v>
      </c>
      <c r="BF14" s="5"/>
      <c r="BG14" s="6"/>
      <c r="BH14" s="48"/>
      <c r="BI14" s="5"/>
      <c r="BJ14" s="6"/>
      <c r="BK14" s="49"/>
      <c r="BL14" s="5"/>
      <c r="BM14" s="5"/>
      <c r="BN14" s="5"/>
      <c r="BO14" s="5"/>
      <c r="BP14" s="5"/>
      <c r="BQ14" s="6"/>
    </row>
    <row r="15" ht="450.0" customHeight="1">
      <c r="A15" s="47">
        <v>3.0</v>
      </c>
      <c r="B15" s="49" t="s">
        <v>232</v>
      </c>
      <c r="C15" s="5"/>
      <c r="D15" s="6"/>
      <c r="E15" s="49" t="s">
        <v>234</v>
      </c>
      <c r="F15" s="5"/>
      <c r="G15" s="5"/>
      <c r="H15" s="5"/>
      <c r="I15" s="6"/>
      <c r="J15" s="49" t="s">
        <v>236</v>
      </c>
      <c r="K15" s="5"/>
      <c r="L15" s="5"/>
      <c r="M15" s="5"/>
      <c r="N15" s="5"/>
      <c r="O15" s="5"/>
      <c r="P15" s="6"/>
      <c r="Q15" s="49" t="s">
        <v>237</v>
      </c>
      <c r="R15" s="5"/>
      <c r="S15" s="5"/>
      <c r="T15" s="5"/>
      <c r="U15" s="5"/>
      <c r="V15" s="5"/>
      <c r="W15" s="6"/>
      <c r="X15" s="49" t="s">
        <v>238</v>
      </c>
      <c r="Y15" s="5"/>
      <c r="Z15" s="5"/>
      <c r="AA15" s="5"/>
      <c r="AB15" s="5"/>
      <c r="AC15" s="5"/>
      <c r="AD15" s="6"/>
      <c r="AE15" s="48" t="s">
        <v>212</v>
      </c>
      <c r="AF15" s="6"/>
      <c r="AG15" s="55" t="s">
        <v>50</v>
      </c>
      <c r="AH15" s="5"/>
      <c r="AI15" s="6"/>
      <c r="AJ15" s="48"/>
      <c r="AK15" s="5"/>
      <c r="AL15" s="6"/>
      <c r="AM15" s="55" t="s">
        <v>214</v>
      </c>
      <c r="AN15" s="5"/>
      <c r="AO15" s="6"/>
      <c r="AP15" s="56">
        <v>46145.0</v>
      </c>
      <c r="AQ15" s="5"/>
      <c r="AR15" s="6"/>
      <c r="AS15" s="48"/>
      <c r="AT15" s="5"/>
      <c r="AU15" s="6"/>
      <c r="AV15" s="55" t="s">
        <v>50</v>
      </c>
      <c r="AW15" s="5"/>
      <c r="AX15" s="6"/>
      <c r="AY15" s="48"/>
      <c r="AZ15" s="5"/>
      <c r="BA15" s="6"/>
      <c r="BB15" s="55" t="s">
        <v>216</v>
      </c>
      <c r="BC15" s="5"/>
      <c r="BD15" s="6"/>
      <c r="BE15" s="55" t="s">
        <v>217</v>
      </c>
      <c r="BF15" s="5"/>
      <c r="BG15" s="6"/>
      <c r="BH15" s="48"/>
      <c r="BI15" s="5"/>
      <c r="BJ15" s="6"/>
      <c r="BK15" s="49"/>
      <c r="BL15" s="5"/>
      <c r="BM15" s="5"/>
      <c r="BN15" s="5"/>
      <c r="BO15" s="5"/>
      <c r="BP15" s="5"/>
      <c r="BQ15" s="6"/>
    </row>
    <row r="16" ht="319.5" customHeight="1">
      <c r="A16" s="47">
        <v>4.0</v>
      </c>
      <c r="B16" s="49" t="s">
        <v>244</v>
      </c>
      <c r="C16" s="5"/>
      <c r="D16" s="6"/>
      <c r="E16" s="49" t="s">
        <v>245</v>
      </c>
      <c r="F16" s="5"/>
      <c r="G16" s="5"/>
      <c r="H16" s="5"/>
      <c r="I16" s="6"/>
      <c r="J16" s="49" t="s">
        <v>248</v>
      </c>
      <c r="K16" s="5"/>
      <c r="L16" s="5"/>
      <c r="M16" s="5"/>
      <c r="N16" s="5"/>
      <c r="O16" s="5"/>
      <c r="P16" s="6"/>
      <c r="Q16" s="49" t="s">
        <v>250</v>
      </c>
      <c r="R16" s="5"/>
      <c r="S16" s="5"/>
      <c r="T16" s="5"/>
      <c r="U16" s="5"/>
      <c r="V16" s="5"/>
      <c r="W16" s="6"/>
      <c r="X16" s="49" t="s">
        <v>252</v>
      </c>
      <c r="Y16" s="5"/>
      <c r="Z16" s="5"/>
      <c r="AA16" s="5"/>
      <c r="AB16" s="5"/>
      <c r="AC16" s="5"/>
      <c r="AD16" s="6"/>
      <c r="AE16" s="48" t="s">
        <v>212</v>
      </c>
      <c r="AF16" s="6"/>
      <c r="AG16" s="55" t="s">
        <v>50</v>
      </c>
      <c r="AH16" s="5"/>
      <c r="AI16" s="6"/>
      <c r="AJ16" s="48"/>
      <c r="AK16" s="5"/>
      <c r="AL16" s="6"/>
      <c r="AM16" s="55" t="s">
        <v>214</v>
      </c>
      <c r="AN16" s="5"/>
      <c r="AO16" s="6"/>
      <c r="AP16" s="56">
        <v>46145.0</v>
      </c>
      <c r="AQ16" s="5"/>
      <c r="AR16" s="6"/>
      <c r="AS16" s="48"/>
      <c r="AT16" s="5"/>
      <c r="AU16" s="6"/>
      <c r="AV16" s="55" t="s">
        <v>50</v>
      </c>
      <c r="AW16" s="5"/>
      <c r="AX16" s="6"/>
      <c r="AY16" s="48"/>
      <c r="AZ16" s="5"/>
      <c r="BA16" s="6"/>
      <c r="BB16" s="55" t="s">
        <v>216</v>
      </c>
      <c r="BC16" s="5"/>
      <c r="BD16" s="6"/>
      <c r="BE16" s="55" t="s">
        <v>217</v>
      </c>
      <c r="BF16" s="5"/>
      <c r="BG16" s="6"/>
      <c r="BH16" s="48"/>
      <c r="BI16" s="5"/>
      <c r="BJ16" s="6"/>
      <c r="BK16" s="49"/>
      <c r="BL16" s="5"/>
      <c r="BM16" s="5"/>
      <c r="BN16" s="5"/>
      <c r="BO16" s="5"/>
      <c r="BP16" s="5"/>
      <c r="BQ16" s="6"/>
    </row>
    <row r="17" ht="384.0" customHeight="1">
      <c r="A17" s="47">
        <v>5.0</v>
      </c>
      <c r="B17" s="49" t="s">
        <v>264</v>
      </c>
      <c r="C17" s="5"/>
      <c r="D17" s="6"/>
      <c r="E17" s="49" t="s">
        <v>266</v>
      </c>
      <c r="F17" s="5"/>
      <c r="G17" s="5"/>
      <c r="H17" s="5"/>
      <c r="I17" s="6"/>
      <c r="J17" s="49" t="s">
        <v>268</v>
      </c>
      <c r="K17" s="5"/>
      <c r="L17" s="5"/>
      <c r="M17" s="5"/>
      <c r="N17" s="5"/>
      <c r="O17" s="5"/>
      <c r="P17" s="6"/>
      <c r="Q17" s="49" t="s">
        <v>269</v>
      </c>
      <c r="R17" s="5"/>
      <c r="S17" s="5"/>
      <c r="T17" s="5"/>
      <c r="U17" s="5"/>
      <c r="V17" s="5"/>
      <c r="W17" s="6"/>
      <c r="X17" s="49" t="s">
        <v>271</v>
      </c>
      <c r="Y17" s="5"/>
      <c r="Z17" s="5"/>
      <c r="AA17" s="5"/>
      <c r="AB17" s="5"/>
      <c r="AC17" s="5"/>
      <c r="AD17" s="6"/>
      <c r="AE17" s="48" t="s">
        <v>212</v>
      </c>
      <c r="AF17" s="6"/>
      <c r="AG17" s="55" t="s">
        <v>50</v>
      </c>
      <c r="AH17" s="5"/>
      <c r="AI17" s="6"/>
      <c r="AJ17" s="48"/>
      <c r="AK17" s="5"/>
      <c r="AL17" s="6"/>
      <c r="AM17" s="55" t="s">
        <v>214</v>
      </c>
      <c r="AN17" s="5"/>
      <c r="AO17" s="6"/>
      <c r="AP17" s="56">
        <v>46145.0</v>
      </c>
      <c r="AQ17" s="5"/>
      <c r="AR17" s="6"/>
      <c r="AS17" s="48"/>
      <c r="AT17" s="5"/>
      <c r="AU17" s="6"/>
      <c r="AV17" s="55" t="s">
        <v>50</v>
      </c>
      <c r="AW17" s="5"/>
      <c r="AX17" s="6"/>
      <c r="AY17" s="48"/>
      <c r="AZ17" s="5"/>
      <c r="BA17" s="6"/>
      <c r="BB17" s="55" t="s">
        <v>216</v>
      </c>
      <c r="BC17" s="5"/>
      <c r="BD17" s="6"/>
      <c r="BE17" s="55" t="s">
        <v>217</v>
      </c>
      <c r="BF17" s="5"/>
      <c r="BG17" s="6"/>
      <c r="BH17" s="48"/>
      <c r="BI17" s="5"/>
      <c r="BJ17" s="6"/>
      <c r="BK17" s="49" t="s">
        <v>279</v>
      </c>
      <c r="BL17" s="5"/>
      <c r="BM17" s="5"/>
      <c r="BN17" s="5"/>
      <c r="BO17" s="5"/>
      <c r="BP17" s="5"/>
      <c r="BQ17" s="6"/>
    </row>
    <row r="18" ht="22.5" customHeight="1">
      <c r="A18" s="21" t="s">
        <v>281</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6"/>
    </row>
    <row r="19" ht="319.5" customHeight="1">
      <c r="A19" s="47">
        <v>6.0</v>
      </c>
      <c r="B19" s="49" t="s">
        <v>289</v>
      </c>
      <c r="C19" s="5"/>
      <c r="D19" s="6"/>
      <c r="E19" s="49" t="s">
        <v>291</v>
      </c>
      <c r="F19" s="5"/>
      <c r="G19" s="5"/>
      <c r="H19" s="5"/>
      <c r="I19" s="6"/>
      <c r="J19" s="49" t="s">
        <v>293</v>
      </c>
      <c r="K19" s="5"/>
      <c r="L19" s="5"/>
      <c r="M19" s="5"/>
      <c r="N19" s="5"/>
      <c r="O19" s="5"/>
      <c r="P19" s="6"/>
      <c r="Q19" s="49" t="s">
        <v>297</v>
      </c>
      <c r="R19" s="5"/>
      <c r="S19" s="5"/>
      <c r="T19" s="5"/>
      <c r="U19" s="5"/>
      <c r="V19" s="5"/>
      <c r="W19" s="6"/>
      <c r="X19" s="49" t="s">
        <v>298</v>
      </c>
      <c r="Y19" s="5"/>
      <c r="Z19" s="5"/>
      <c r="AA19" s="5"/>
      <c r="AB19" s="5"/>
      <c r="AC19" s="5"/>
      <c r="AD19" s="6"/>
      <c r="AE19" s="48" t="s">
        <v>212</v>
      </c>
      <c r="AF19" s="6"/>
      <c r="AG19" s="55" t="s">
        <v>50</v>
      </c>
      <c r="AH19" s="5"/>
      <c r="AI19" s="6"/>
      <c r="AJ19" s="48"/>
      <c r="AK19" s="5"/>
      <c r="AL19" s="6"/>
      <c r="AM19" s="55" t="s">
        <v>214</v>
      </c>
      <c r="AN19" s="5"/>
      <c r="AO19" s="6"/>
      <c r="AP19" s="56">
        <v>46145.0</v>
      </c>
      <c r="AQ19" s="5"/>
      <c r="AR19" s="6"/>
      <c r="AS19" s="48"/>
      <c r="AT19" s="5"/>
      <c r="AU19" s="6"/>
      <c r="AV19" s="55" t="s">
        <v>50</v>
      </c>
      <c r="AW19" s="5"/>
      <c r="AX19" s="6"/>
      <c r="AY19" s="48"/>
      <c r="AZ19" s="5"/>
      <c r="BA19" s="6"/>
      <c r="BB19" s="55" t="s">
        <v>216</v>
      </c>
      <c r="BC19" s="5"/>
      <c r="BD19" s="6"/>
      <c r="BE19" s="55" t="s">
        <v>217</v>
      </c>
      <c r="BF19" s="5"/>
      <c r="BG19" s="6"/>
      <c r="BH19" s="48"/>
      <c r="BI19" s="5"/>
      <c r="BJ19" s="6"/>
      <c r="BK19" s="49"/>
      <c r="BL19" s="5"/>
      <c r="BM19" s="5"/>
      <c r="BN19" s="5"/>
      <c r="BO19" s="5"/>
      <c r="BP19" s="5"/>
      <c r="BQ19" s="6"/>
    </row>
    <row r="20" ht="399.75" customHeight="1">
      <c r="A20" s="47">
        <v>7.0</v>
      </c>
      <c r="B20" s="49" t="s">
        <v>301</v>
      </c>
      <c r="C20" s="5"/>
      <c r="D20" s="6"/>
      <c r="E20" s="49" t="s">
        <v>302</v>
      </c>
      <c r="F20" s="5"/>
      <c r="G20" s="5"/>
      <c r="H20" s="5"/>
      <c r="I20" s="6"/>
      <c r="J20" s="49" t="s">
        <v>303</v>
      </c>
      <c r="K20" s="5"/>
      <c r="L20" s="5"/>
      <c r="M20" s="5"/>
      <c r="N20" s="5"/>
      <c r="O20" s="5"/>
      <c r="P20" s="6"/>
      <c r="Q20" s="49" t="s">
        <v>304</v>
      </c>
      <c r="R20" s="5"/>
      <c r="S20" s="5"/>
      <c r="T20" s="5"/>
      <c r="U20" s="5"/>
      <c r="V20" s="5"/>
      <c r="W20" s="6"/>
      <c r="X20" s="49" t="s">
        <v>305</v>
      </c>
      <c r="Y20" s="5"/>
      <c r="Z20" s="5"/>
      <c r="AA20" s="5"/>
      <c r="AB20" s="5"/>
      <c r="AC20" s="5"/>
      <c r="AD20" s="6"/>
      <c r="AE20" s="48" t="s">
        <v>212</v>
      </c>
      <c r="AF20" s="6"/>
      <c r="AG20" s="55" t="s">
        <v>50</v>
      </c>
      <c r="AH20" s="5"/>
      <c r="AI20" s="6"/>
      <c r="AJ20" s="48"/>
      <c r="AK20" s="5"/>
      <c r="AL20" s="6"/>
      <c r="AM20" s="55" t="s">
        <v>214</v>
      </c>
      <c r="AN20" s="5"/>
      <c r="AO20" s="6"/>
      <c r="AP20" s="56">
        <v>46145.0</v>
      </c>
      <c r="AQ20" s="5"/>
      <c r="AR20" s="6"/>
      <c r="AS20" s="48"/>
      <c r="AT20" s="5"/>
      <c r="AU20" s="6"/>
      <c r="AV20" s="55" t="s">
        <v>50</v>
      </c>
      <c r="AW20" s="5"/>
      <c r="AX20" s="6"/>
      <c r="AY20" s="48"/>
      <c r="AZ20" s="5"/>
      <c r="BA20" s="6"/>
      <c r="BB20" s="55" t="s">
        <v>216</v>
      </c>
      <c r="BC20" s="5"/>
      <c r="BD20" s="6"/>
      <c r="BE20" s="55" t="s">
        <v>217</v>
      </c>
      <c r="BF20" s="5"/>
      <c r="BG20" s="6"/>
      <c r="BH20" s="48"/>
      <c r="BI20" s="5"/>
      <c r="BJ20" s="6"/>
      <c r="BK20" s="49"/>
      <c r="BL20" s="5"/>
      <c r="BM20" s="5"/>
      <c r="BN20" s="5"/>
      <c r="BO20" s="5"/>
      <c r="BP20" s="5"/>
      <c r="BQ20" s="6"/>
    </row>
    <row r="21" ht="288.0" customHeight="1">
      <c r="A21" s="47">
        <v>8.0</v>
      </c>
      <c r="B21" s="49" t="s">
        <v>306</v>
      </c>
      <c r="C21" s="5"/>
      <c r="D21" s="6"/>
      <c r="E21" s="49" t="s">
        <v>307</v>
      </c>
      <c r="F21" s="5"/>
      <c r="G21" s="5"/>
      <c r="H21" s="5"/>
      <c r="I21" s="6"/>
      <c r="J21" s="49" t="s">
        <v>308</v>
      </c>
      <c r="K21" s="5"/>
      <c r="L21" s="5"/>
      <c r="M21" s="5"/>
      <c r="N21" s="5"/>
      <c r="O21" s="5"/>
      <c r="P21" s="6"/>
      <c r="Q21" s="49" t="s">
        <v>309</v>
      </c>
      <c r="R21" s="5"/>
      <c r="S21" s="5"/>
      <c r="T21" s="5"/>
      <c r="U21" s="5"/>
      <c r="V21" s="5"/>
      <c r="W21" s="6"/>
      <c r="X21" s="49" t="s">
        <v>310</v>
      </c>
      <c r="Y21" s="5"/>
      <c r="Z21" s="5"/>
      <c r="AA21" s="5"/>
      <c r="AB21" s="5"/>
      <c r="AC21" s="5"/>
      <c r="AD21" s="6"/>
      <c r="AE21" s="48" t="s">
        <v>212</v>
      </c>
      <c r="AF21" s="6"/>
      <c r="AG21" s="55" t="s">
        <v>50</v>
      </c>
      <c r="AH21" s="5"/>
      <c r="AI21" s="6"/>
      <c r="AJ21" s="48"/>
      <c r="AK21" s="5"/>
      <c r="AL21" s="6"/>
      <c r="AM21" s="55" t="s">
        <v>214</v>
      </c>
      <c r="AN21" s="5"/>
      <c r="AO21" s="6"/>
      <c r="AP21" s="56">
        <v>46145.0</v>
      </c>
      <c r="AQ21" s="5"/>
      <c r="AR21" s="6"/>
      <c r="AS21" s="48"/>
      <c r="AT21" s="5"/>
      <c r="AU21" s="6"/>
      <c r="AV21" s="55" t="s">
        <v>50</v>
      </c>
      <c r="AW21" s="5"/>
      <c r="AX21" s="6"/>
      <c r="AY21" s="48"/>
      <c r="AZ21" s="5"/>
      <c r="BA21" s="6"/>
      <c r="BB21" s="55" t="s">
        <v>216</v>
      </c>
      <c r="BC21" s="5"/>
      <c r="BD21" s="6"/>
      <c r="BE21" s="55" t="s">
        <v>217</v>
      </c>
      <c r="BF21" s="5"/>
      <c r="BG21" s="6"/>
      <c r="BH21" s="48"/>
      <c r="BI21" s="5"/>
      <c r="BJ21" s="6"/>
      <c r="BK21" s="49"/>
      <c r="BL21" s="5"/>
      <c r="BM21" s="5"/>
      <c r="BN21" s="5"/>
      <c r="BO21" s="5"/>
      <c r="BP21" s="5"/>
      <c r="BQ21" s="6"/>
    </row>
    <row r="22" ht="447.75" customHeight="1">
      <c r="A22" s="47">
        <v>9.0</v>
      </c>
      <c r="B22" s="49" t="s">
        <v>311</v>
      </c>
      <c r="C22" s="5"/>
      <c r="D22" s="6"/>
      <c r="E22" s="49" t="s">
        <v>312</v>
      </c>
      <c r="F22" s="5"/>
      <c r="G22" s="5"/>
      <c r="H22" s="5"/>
      <c r="I22" s="6"/>
      <c r="J22" s="49" t="s">
        <v>308</v>
      </c>
      <c r="K22" s="5"/>
      <c r="L22" s="5"/>
      <c r="M22" s="5"/>
      <c r="N22" s="5"/>
      <c r="O22" s="5"/>
      <c r="P22" s="6"/>
      <c r="Q22" s="49" t="s">
        <v>313</v>
      </c>
      <c r="R22" s="5"/>
      <c r="S22" s="5"/>
      <c r="T22" s="5"/>
      <c r="U22" s="5"/>
      <c r="V22" s="5"/>
      <c r="W22" s="6"/>
      <c r="X22" s="49" t="s">
        <v>314</v>
      </c>
      <c r="Y22" s="5"/>
      <c r="Z22" s="5"/>
      <c r="AA22" s="5"/>
      <c r="AB22" s="5"/>
      <c r="AC22" s="5"/>
      <c r="AD22" s="6"/>
      <c r="AE22" s="48" t="s">
        <v>212</v>
      </c>
      <c r="AF22" s="6"/>
      <c r="AG22" s="55" t="s">
        <v>50</v>
      </c>
      <c r="AH22" s="5"/>
      <c r="AI22" s="6"/>
      <c r="AJ22" s="48"/>
      <c r="AK22" s="5"/>
      <c r="AL22" s="6"/>
      <c r="AM22" s="55" t="s">
        <v>214</v>
      </c>
      <c r="AN22" s="5"/>
      <c r="AO22" s="6"/>
      <c r="AP22" s="56">
        <v>46145.0</v>
      </c>
      <c r="AQ22" s="5"/>
      <c r="AR22" s="6"/>
      <c r="AS22" s="48"/>
      <c r="AT22" s="5"/>
      <c r="AU22" s="6"/>
      <c r="AV22" s="55" t="s">
        <v>50</v>
      </c>
      <c r="AW22" s="5"/>
      <c r="AX22" s="6"/>
      <c r="AY22" s="48"/>
      <c r="AZ22" s="5"/>
      <c r="BA22" s="6"/>
      <c r="BB22" s="55" t="s">
        <v>216</v>
      </c>
      <c r="BC22" s="5"/>
      <c r="BD22" s="6"/>
      <c r="BE22" s="55" t="s">
        <v>217</v>
      </c>
      <c r="BF22" s="5"/>
      <c r="BG22" s="6"/>
      <c r="BH22" s="48"/>
      <c r="BI22" s="5"/>
      <c r="BJ22" s="6"/>
      <c r="BK22" s="49"/>
      <c r="BL22" s="5"/>
      <c r="BM22" s="5"/>
      <c r="BN22" s="5"/>
      <c r="BO22" s="5"/>
      <c r="BP22" s="5"/>
      <c r="BQ22" s="6"/>
    </row>
    <row r="23" ht="351.75" customHeight="1">
      <c r="A23" s="47">
        <v>10.0</v>
      </c>
      <c r="B23" s="49" t="s">
        <v>315</v>
      </c>
      <c r="C23" s="5"/>
      <c r="D23" s="6"/>
      <c r="E23" s="49" t="s">
        <v>316</v>
      </c>
      <c r="F23" s="5"/>
      <c r="G23" s="5"/>
      <c r="H23" s="5"/>
      <c r="I23" s="6"/>
      <c r="J23" s="49" t="s">
        <v>317</v>
      </c>
      <c r="K23" s="5"/>
      <c r="L23" s="5"/>
      <c r="M23" s="5"/>
      <c r="N23" s="5"/>
      <c r="O23" s="5"/>
      <c r="P23" s="6"/>
      <c r="Q23" s="49" t="s">
        <v>318</v>
      </c>
      <c r="R23" s="5"/>
      <c r="S23" s="5"/>
      <c r="T23" s="5"/>
      <c r="U23" s="5"/>
      <c r="V23" s="5"/>
      <c r="W23" s="6"/>
      <c r="X23" s="49" t="s">
        <v>319</v>
      </c>
      <c r="Y23" s="5"/>
      <c r="Z23" s="5"/>
      <c r="AA23" s="5"/>
      <c r="AB23" s="5"/>
      <c r="AC23" s="5"/>
      <c r="AD23" s="6"/>
      <c r="AE23" s="48" t="s">
        <v>212</v>
      </c>
      <c r="AF23" s="6"/>
      <c r="AG23" s="55" t="s">
        <v>50</v>
      </c>
      <c r="AH23" s="5"/>
      <c r="AI23" s="6"/>
      <c r="AJ23" s="48"/>
      <c r="AK23" s="5"/>
      <c r="AL23" s="6"/>
      <c r="AM23" s="55" t="s">
        <v>214</v>
      </c>
      <c r="AN23" s="5"/>
      <c r="AO23" s="6"/>
      <c r="AP23" s="56">
        <v>46145.0</v>
      </c>
      <c r="AQ23" s="5"/>
      <c r="AR23" s="6"/>
      <c r="AS23" s="48"/>
      <c r="AT23" s="5"/>
      <c r="AU23" s="6"/>
      <c r="AV23" s="55" t="s">
        <v>50</v>
      </c>
      <c r="AW23" s="5"/>
      <c r="AX23" s="6"/>
      <c r="AY23" s="48"/>
      <c r="AZ23" s="5"/>
      <c r="BA23" s="6"/>
      <c r="BB23" s="55" t="s">
        <v>216</v>
      </c>
      <c r="BC23" s="5"/>
      <c r="BD23" s="6"/>
      <c r="BE23" s="55" t="s">
        <v>217</v>
      </c>
      <c r="BF23" s="5"/>
      <c r="BG23" s="6"/>
      <c r="BH23" s="48"/>
      <c r="BI23" s="5"/>
      <c r="BJ23" s="6"/>
      <c r="BK23" s="49"/>
      <c r="BL23" s="5"/>
      <c r="BM23" s="5"/>
      <c r="BN23" s="5"/>
      <c r="BO23" s="5"/>
      <c r="BP23" s="5"/>
      <c r="BQ23" s="6"/>
    </row>
    <row r="24" ht="288.0" customHeight="1">
      <c r="A24" s="47">
        <v>11.0</v>
      </c>
      <c r="B24" s="49" t="s">
        <v>320</v>
      </c>
      <c r="C24" s="5"/>
      <c r="D24" s="6"/>
      <c r="E24" s="49" t="s">
        <v>321</v>
      </c>
      <c r="F24" s="5"/>
      <c r="G24" s="5"/>
      <c r="H24" s="5"/>
      <c r="I24" s="6"/>
      <c r="J24" s="49" t="s">
        <v>322</v>
      </c>
      <c r="K24" s="5"/>
      <c r="L24" s="5"/>
      <c r="M24" s="5"/>
      <c r="N24" s="5"/>
      <c r="O24" s="5"/>
      <c r="P24" s="6"/>
      <c r="Q24" s="49" t="s">
        <v>323</v>
      </c>
      <c r="R24" s="5"/>
      <c r="S24" s="5"/>
      <c r="T24" s="5"/>
      <c r="U24" s="5"/>
      <c r="V24" s="5"/>
      <c r="W24" s="6"/>
      <c r="X24" s="49" t="s">
        <v>324</v>
      </c>
      <c r="Y24" s="5"/>
      <c r="Z24" s="5"/>
      <c r="AA24" s="5"/>
      <c r="AB24" s="5"/>
      <c r="AC24" s="5"/>
      <c r="AD24" s="6"/>
      <c r="AE24" s="48" t="s">
        <v>212</v>
      </c>
      <c r="AF24" s="6"/>
      <c r="AG24" s="55" t="s">
        <v>50</v>
      </c>
      <c r="AH24" s="5"/>
      <c r="AI24" s="6"/>
      <c r="AJ24" s="48"/>
      <c r="AK24" s="5"/>
      <c r="AL24" s="6"/>
      <c r="AM24" s="55" t="s">
        <v>214</v>
      </c>
      <c r="AN24" s="5"/>
      <c r="AO24" s="6"/>
      <c r="AP24" s="56">
        <v>46145.0</v>
      </c>
      <c r="AQ24" s="5"/>
      <c r="AR24" s="6"/>
      <c r="AS24" s="48"/>
      <c r="AT24" s="5"/>
      <c r="AU24" s="6"/>
      <c r="AV24" s="55" t="s">
        <v>50</v>
      </c>
      <c r="AW24" s="5"/>
      <c r="AX24" s="6"/>
      <c r="AY24" s="48"/>
      <c r="AZ24" s="5"/>
      <c r="BA24" s="6"/>
      <c r="BB24" s="55" t="s">
        <v>216</v>
      </c>
      <c r="BC24" s="5"/>
      <c r="BD24" s="6"/>
      <c r="BE24" s="55" t="s">
        <v>217</v>
      </c>
      <c r="BF24" s="5"/>
      <c r="BG24" s="6"/>
      <c r="BH24" s="48"/>
      <c r="BI24" s="5"/>
      <c r="BJ24" s="6"/>
      <c r="BK24" s="49" t="s">
        <v>325</v>
      </c>
      <c r="BL24" s="5"/>
      <c r="BM24" s="5"/>
      <c r="BN24" s="5"/>
      <c r="BO24" s="5"/>
      <c r="BP24" s="5"/>
      <c r="BQ24" s="6"/>
    </row>
    <row r="25" ht="22.5" customHeight="1">
      <c r="A25" s="21" t="s">
        <v>326</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6"/>
    </row>
    <row r="26" ht="159.75" customHeight="1">
      <c r="A26" s="47">
        <v>12.0</v>
      </c>
      <c r="B26" s="49" t="s">
        <v>327</v>
      </c>
      <c r="C26" s="5"/>
      <c r="D26" s="6"/>
      <c r="E26" s="49" t="s">
        <v>328</v>
      </c>
      <c r="F26" s="5"/>
      <c r="G26" s="5"/>
      <c r="H26" s="5"/>
      <c r="I26" s="6"/>
      <c r="J26" s="49" t="s">
        <v>308</v>
      </c>
      <c r="K26" s="5"/>
      <c r="L26" s="5"/>
      <c r="M26" s="5"/>
      <c r="N26" s="5"/>
      <c r="O26" s="5"/>
      <c r="P26" s="6"/>
      <c r="Q26" s="49" t="s">
        <v>329</v>
      </c>
      <c r="R26" s="5"/>
      <c r="S26" s="5"/>
      <c r="T26" s="5"/>
      <c r="U26" s="5"/>
      <c r="V26" s="5"/>
      <c r="W26" s="6"/>
      <c r="X26" s="49" t="s">
        <v>330</v>
      </c>
      <c r="Y26" s="5"/>
      <c r="Z26" s="5"/>
      <c r="AA26" s="5"/>
      <c r="AB26" s="5"/>
      <c r="AC26" s="5"/>
      <c r="AD26" s="6"/>
      <c r="AE26" s="48" t="s">
        <v>212</v>
      </c>
      <c r="AF26" s="6"/>
      <c r="AG26" s="55" t="s">
        <v>50</v>
      </c>
      <c r="AH26" s="5"/>
      <c r="AI26" s="6"/>
      <c r="AJ26" s="48"/>
      <c r="AK26" s="5"/>
      <c r="AL26" s="6"/>
      <c r="AM26" s="55" t="s">
        <v>214</v>
      </c>
      <c r="AN26" s="5"/>
      <c r="AO26" s="6"/>
      <c r="AP26" s="56">
        <v>46145.0</v>
      </c>
      <c r="AQ26" s="5"/>
      <c r="AR26" s="6"/>
      <c r="AS26" s="48"/>
      <c r="AT26" s="5"/>
      <c r="AU26" s="6"/>
      <c r="AV26" s="55" t="s">
        <v>50</v>
      </c>
      <c r="AW26" s="5"/>
      <c r="AX26" s="6"/>
      <c r="AY26" s="48"/>
      <c r="AZ26" s="5"/>
      <c r="BA26" s="6"/>
      <c r="BB26" s="55" t="s">
        <v>216</v>
      </c>
      <c r="BC26" s="5"/>
      <c r="BD26" s="6"/>
      <c r="BE26" s="55" t="s">
        <v>217</v>
      </c>
      <c r="BF26" s="5"/>
      <c r="BG26" s="6"/>
      <c r="BH26" s="48"/>
      <c r="BI26" s="5"/>
      <c r="BJ26" s="6"/>
      <c r="BK26" s="49"/>
      <c r="BL26" s="5"/>
      <c r="BM26" s="5"/>
      <c r="BN26" s="5"/>
      <c r="BO26" s="5"/>
      <c r="BP26" s="5"/>
      <c r="BQ26" s="6"/>
    </row>
    <row r="27" ht="415.5" customHeight="1">
      <c r="A27" s="47">
        <v>13.0</v>
      </c>
      <c r="B27" s="49" t="s">
        <v>331</v>
      </c>
      <c r="C27" s="5"/>
      <c r="D27" s="6"/>
      <c r="E27" s="49" t="s">
        <v>332</v>
      </c>
      <c r="F27" s="5"/>
      <c r="G27" s="5"/>
      <c r="H27" s="5"/>
      <c r="I27" s="6"/>
      <c r="J27" s="49" t="s">
        <v>333</v>
      </c>
      <c r="K27" s="5"/>
      <c r="L27" s="5"/>
      <c r="M27" s="5"/>
      <c r="N27" s="5"/>
      <c r="O27" s="5"/>
      <c r="P27" s="6"/>
      <c r="Q27" s="49" t="s">
        <v>334</v>
      </c>
      <c r="R27" s="5"/>
      <c r="S27" s="5"/>
      <c r="T27" s="5"/>
      <c r="U27" s="5"/>
      <c r="V27" s="5"/>
      <c r="W27" s="6"/>
      <c r="X27" s="49" t="s">
        <v>335</v>
      </c>
      <c r="Y27" s="5"/>
      <c r="Z27" s="5"/>
      <c r="AA27" s="5"/>
      <c r="AB27" s="5"/>
      <c r="AC27" s="5"/>
      <c r="AD27" s="6"/>
      <c r="AE27" s="48" t="s">
        <v>212</v>
      </c>
      <c r="AF27" s="6"/>
      <c r="AG27" s="55" t="s">
        <v>52</v>
      </c>
      <c r="AH27" s="5"/>
      <c r="AI27" s="6"/>
      <c r="AJ27" s="48"/>
      <c r="AK27" s="5"/>
      <c r="AL27" s="6"/>
      <c r="AM27" s="48"/>
      <c r="AN27" s="5"/>
      <c r="AO27" s="6"/>
      <c r="AP27" s="48"/>
      <c r="AQ27" s="5"/>
      <c r="AR27" s="6"/>
      <c r="AS27" s="48"/>
      <c r="AT27" s="5"/>
      <c r="AU27" s="6"/>
      <c r="AV27" s="55" t="s">
        <v>50</v>
      </c>
      <c r="AW27" s="5"/>
      <c r="AX27" s="6"/>
      <c r="AY27" s="48"/>
      <c r="AZ27" s="5"/>
      <c r="BA27" s="6"/>
      <c r="BB27" s="55" t="s">
        <v>216</v>
      </c>
      <c r="BC27" s="5"/>
      <c r="BD27" s="6"/>
      <c r="BE27" s="55" t="s">
        <v>217</v>
      </c>
      <c r="BF27" s="5"/>
      <c r="BG27" s="6"/>
      <c r="BH27" s="48"/>
      <c r="BI27" s="5"/>
      <c r="BJ27" s="6"/>
      <c r="BK27" s="54" t="s">
        <v>336</v>
      </c>
      <c r="BL27" s="5"/>
      <c r="BM27" s="5"/>
      <c r="BN27" s="5"/>
      <c r="BO27" s="5"/>
      <c r="BP27" s="5"/>
      <c r="BQ27" s="6"/>
    </row>
    <row r="28" ht="240.0" customHeight="1">
      <c r="A28" s="47">
        <v>14.0</v>
      </c>
      <c r="B28" s="49" t="s">
        <v>337</v>
      </c>
      <c r="C28" s="5"/>
      <c r="D28" s="6"/>
      <c r="E28" s="49" t="s">
        <v>338</v>
      </c>
      <c r="F28" s="5"/>
      <c r="G28" s="5"/>
      <c r="H28" s="5"/>
      <c r="I28" s="6"/>
      <c r="J28" s="49" t="s">
        <v>308</v>
      </c>
      <c r="K28" s="5"/>
      <c r="L28" s="5"/>
      <c r="M28" s="5"/>
      <c r="N28" s="5"/>
      <c r="O28" s="5"/>
      <c r="P28" s="6"/>
      <c r="Q28" s="49" t="s">
        <v>339</v>
      </c>
      <c r="R28" s="5"/>
      <c r="S28" s="5"/>
      <c r="T28" s="5"/>
      <c r="U28" s="5"/>
      <c r="V28" s="5"/>
      <c r="W28" s="6"/>
      <c r="X28" s="49" t="s">
        <v>340</v>
      </c>
      <c r="Y28" s="5"/>
      <c r="Z28" s="5"/>
      <c r="AA28" s="5"/>
      <c r="AB28" s="5"/>
      <c r="AC28" s="5"/>
      <c r="AD28" s="6"/>
      <c r="AE28" s="48" t="s">
        <v>212</v>
      </c>
      <c r="AF28" s="6"/>
      <c r="AG28" s="55" t="s">
        <v>52</v>
      </c>
      <c r="AH28" s="5"/>
      <c r="AI28" s="6"/>
      <c r="AJ28" s="48"/>
      <c r="AK28" s="5"/>
      <c r="AL28" s="6"/>
      <c r="AM28" s="48"/>
      <c r="AN28" s="5"/>
      <c r="AO28" s="6"/>
      <c r="AP28" s="48"/>
      <c r="AQ28" s="5"/>
      <c r="AR28" s="6"/>
      <c r="AS28" s="48"/>
      <c r="AT28" s="5"/>
      <c r="AU28" s="6"/>
      <c r="AV28" s="55" t="s">
        <v>50</v>
      </c>
      <c r="AW28" s="5"/>
      <c r="AX28" s="6"/>
      <c r="AY28" s="48"/>
      <c r="AZ28" s="5"/>
      <c r="BA28" s="6"/>
      <c r="BB28" s="55" t="s">
        <v>216</v>
      </c>
      <c r="BC28" s="5"/>
      <c r="BD28" s="6"/>
      <c r="BE28" s="55" t="s">
        <v>217</v>
      </c>
      <c r="BF28" s="5"/>
      <c r="BG28" s="6"/>
      <c r="BH28" s="48"/>
      <c r="BI28" s="5"/>
      <c r="BJ28" s="6"/>
      <c r="BK28" s="54" t="s">
        <v>341</v>
      </c>
      <c r="BL28" s="5"/>
      <c r="BM28" s="5"/>
      <c r="BN28" s="5"/>
      <c r="BO28" s="5"/>
      <c r="BP28" s="5"/>
      <c r="BQ28" s="6"/>
    </row>
    <row r="29" ht="223.5" customHeight="1">
      <c r="A29" s="47">
        <v>15.0</v>
      </c>
      <c r="B29" s="49" t="s">
        <v>342</v>
      </c>
      <c r="C29" s="5"/>
      <c r="D29" s="6"/>
      <c r="E29" s="49" t="s">
        <v>343</v>
      </c>
      <c r="F29" s="5"/>
      <c r="G29" s="5"/>
      <c r="H29" s="5"/>
      <c r="I29" s="6"/>
      <c r="J29" s="49" t="s">
        <v>308</v>
      </c>
      <c r="K29" s="5"/>
      <c r="L29" s="5"/>
      <c r="M29" s="5"/>
      <c r="N29" s="5"/>
      <c r="O29" s="5"/>
      <c r="P29" s="6"/>
      <c r="Q29" s="49" t="s">
        <v>344</v>
      </c>
      <c r="R29" s="5"/>
      <c r="S29" s="5"/>
      <c r="T29" s="5"/>
      <c r="U29" s="5"/>
      <c r="V29" s="5"/>
      <c r="W29" s="6"/>
      <c r="X29" s="49" t="s">
        <v>345</v>
      </c>
      <c r="Y29" s="5"/>
      <c r="Z29" s="5"/>
      <c r="AA29" s="5"/>
      <c r="AB29" s="5"/>
      <c r="AC29" s="5"/>
      <c r="AD29" s="6"/>
      <c r="AE29" s="48" t="s">
        <v>212</v>
      </c>
      <c r="AF29" s="6"/>
      <c r="AG29" s="55" t="s">
        <v>50</v>
      </c>
      <c r="AH29" s="5"/>
      <c r="AI29" s="6"/>
      <c r="AJ29" s="48"/>
      <c r="AK29" s="5"/>
      <c r="AL29" s="6"/>
      <c r="AM29" s="55" t="s">
        <v>214</v>
      </c>
      <c r="AN29" s="5"/>
      <c r="AO29" s="6"/>
      <c r="AP29" s="56">
        <v>46145.0</v>
      </c>
      <c r="AQ29" s="5"/>
      <c r="AR29" s="6"/>
      <c r="AS29" s="48"/>
      <c r="AT29" s="5"/>
      <c r="AU29" s="6"/>
      <c r="AV29" s="55" t="s">
        <v>50</v>
      </c>
      <c r="AW29" s="5"/>
      <c r="AX29" s="6"/>
      <c r="AY29" s="48"/>
      <c r="AZ29" s="5"/>
      <c r="BA29" s="6"/>
      <c r="BB29" s="55" t="s">
        <v>216</v>
      </c>
      <c r="BC29" s="5"/>
      <c r="BD29" s="6"/>
      <c r="BE29" s="55" t="s">
        <v>217</v>
      </c>
      <c r="BF29" s="5"/>
      <c r="BG29" s="6"/>
      <c r="BH29" s="48"/>
      <c r="BI29" s="5"/>
      <c r="BJ29" s="6"/>
      <c r="BK29" s="49" t="s">
        <v>279</v>
      </c>
      <c r="BL29" s="5"/>
      <c r="BM29" s="5"/>
      <c r="BN29" s="5"/>
      <c r="BO29" s="5"/>
      <c r="BP29" s="5"/>
      <c r="BQ29" s="6"/>
    </row>
    <row r="30" ht="22.5" customHeight="1">
      <c r="A30" s="21" t="s">
        <v>346</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6"/>
    </row>
    <row r="31" ht="450.0" customHeight="1">
      <c r="A31" s="47">
        <v>16.0</v>
      </c>
      <c r="B31" s="49" t="s">
        <v>347</v>
      </c>
      <c r="C31" s="5"/>
      <c r="D31" s="6"/>
      <c r="E31" s="49" t="s">
        <v>348</v>
      </c>
      <c r="F31" s="5"/>
      <c r="G31" s="5"/>
      <c r="H31" s="5"/>
      <c r="I31" s="6"/>
      <c r="J31" s="49" t="s">
        <v>349</v>
      </c>
      <c r="K31" s="5"/>
      <c r="L31" s="5"/>
      <c r="M31" s="5"/>
      <c r="N31" s="5"/>
      <c r="O31" s="5"/>
      <c r="P31" s="6"/>
      <c r="Q31" s="54" t="s">
        <v>350</v>
      </c>
      <c r="R31" s="5"/>
      <c r="S31" s="5"/>
      <c r="T31" s="5"/>
      <c r="U31" s="5"/>
      <c r="V31" s="5"/>
      <c r="W31" s="6"/>
      <c r="X31" s="49" t="s">
        <v>351</v>
      </c>
      <c r="Y31" s="5"/>
      <c r="Z31" s="5"/>
      <c r="AA31" s="5"/>
      <c r="AB31" s="5"/>
      <c r="AC31" s="5"/>
      <c r="AD31" s="6"/>
      <c r="AE31" s="48" t="s">
        <v>263</v>
      </c>
      <c r="AF31" s="6"/>
      <c r="AG31" s="55" t="s">
        <v>50</v>
      </c>
      <c r="AH31" s="5"/>
      <c r="AI31" s="6"/>
      <c r="AJ31" s="48"/>
      <c r="AK31" s="5"/>
      <c r="AL31" s="6"/>
      <c r="AM31" s="55" t="s">
        <v>214</v>
      </c>
      <c r="AN31" s="5"/>
      <c r="AO31" s="6"/>
      <c r="AP31" s="56">
        <v>46145.0</v>
      </c>
      <c r="AQ31" s="5"/>
      <c r="AR31" s="6"/>
      <c r="AS31" s="48"/>
      <c r="AT31" s="5"/>
      <c r="AU31" s="6"/>
      <c r="AV31" s="55" t="s">
        <v>50</v>
      </c>
      <c r="AW31" s="5"/>
      <c r="AX31" s="6"/>
      <c r="AY31" s="48"/>
      <c r="AZ31" s="5"/>
      <c r="BA31" s="6"/>
      <c r="BB31" s="55" t="s">
        <v>216</v>
      </c>
      <c r="BC31" s="5"/>
      <c r="BD31" s="6"/>
      <c r="BE31" s="55" t="s">
        <v>217</v>
      </c>
      <c r="BF31" s="5"/>
      <c r="BG31" s="6"/>
      <c r="BH31" s="48"/>
      <c r="BI31" s="5"/>
      <c r="BJ31" s="6"/>
      <c r="BK31" s="49"/>
      <c r="BL31" s="5"/>
      <c r="BM31" s="5"/>
      <c r="BN31" s="5"/>
      <c r="BO31" s="5"/>
      <c r="BP31" s="5"/>
      <c r="BQ31" s="6"/>
    </row>
    <row r="32" ht="432.0" customHeight="1">
      <c r="A32" s="47">
        <v>17.0</v>
      </c>
      <c r="B32" s="49" t="s">
        <v>352</v>
      </c>
      <c r="C32" s="5"/>
      <c r="D32" s="6"/>
      <c r="E32" s="49" t="s">
        <v>353</v>
      </c>
      <c r="F32" s="5"/>
      <c r="G32" s="5"/>
      <c r="H32" s="5"/>
      <c r="I32" s="6"/>
      <c r="J32" s="49" t="s">
        <v>354</v>
      </c>
      <c r="K32" s="5"/>
      <c r="L32" s="5"/>
      <c r="M32" s="5"/>
      <c r="N32" s="5"/>
      <c r="O32" s="5"/>
      <c r="P32" s="6"/>
      <c r="Q32" s="54" t="s">
        <v>355</v>
      </c>
      <c r="R32" s="5"/>
      <c r="S32" s="5"/>
      <c r="T32" s="5"/>
      <c r="U32" s="5"/>
      <c r="V32" s="5"/>
      <c r="W32" s="6"/>
      <c r="X32" s="49" t="s">
        <v>356</v>
      </c>
      <c r="Y32" s="5"/>
      <c r="Z32" s="5"/>
      <c r="AA32" s="5"/>
      <c r="AB32" s="5"/>
      <c r="AC32" s="5"/>
      <c r="AD32" s="6"/>
      <c r="AE32" s="48" t="s">
        <v>272</v>
      </c>
      <c r="AF32" s="6"/>
      <c r="AG32" s="55" t="s">
        <v>50</v>
      </c>
      <c r="AH32" s="5"/>
      <c r="AI32" s="6"/>
      <c r="AJ32" s="48"/>
      <c r="AK32" s="5"/>
      <c r="AL32" s="6"/>
      <c r="AM32" s="55" t="s">
        <v>214</v>
      </c>
      <c r="AN32" s="5"/>
      <c r="AO32" s="6"/>
      <c r="AP32" s="56">
        <v>46145.0</v>
      </c>
      <c r="AQ32" s="5"/>
      <c r="AR32" s="6"/>
      <c r="AS32" s="48"/>
      <c r="AT32" s="5"/>
      <c r="AU32" s="6"/>
      <c r="AV32" s="55" t="s">
        <v>50</v>
      </c>
      <c r="AW32" s="5"/>
      <c r="AX32" s="6"/>
      <c r="AY32" s="48"/>
      <c r="AZ32" s="5"/>
      <c r="BA32" s="6"/>
      <c r="BB32" s="55" t="s">
        <v>216</v>
      </c>
      <c r="BC32" s="5"/>
      <c r="BD32" s="6"/>
      <c r="BE32" s="55" t="s">
        <v>217</v>
      </c>
      <c r="BF32" s="5"/>
      <c r="BG32" s="6"/>
      <c r="BH32" s="48"/>
      <c r="BI32" s="5"/>
      <c r="BJ32" s="6"/>
      <c r="BK32" s="49"/>
      <c r="BL32" s="5"/>
      <c r="BM32" s="5"/>
      <c r="BN32" s="5"/>
      <c r="BO32" s="5"/>
      <c r="BP32" s="5"/>
      <c r="BQ32" s="6"/>
    </row>
    <row r="33" ht="450.0" customHeight="1">
      <c r="A33" s="47">
        <v>18.0</v>
      </c>
      <c r="B33" s="49" t="s">
        <v>357</v>
      </c>
      <c r="C33" s="5"/>
      <c r="D33" s="6"/>
      <c r="E33" s="49" t="s">
        <v>358</v>
      </c>
      <c r="F33" s="5"/>
      <c r="G33" s="5"/>
      <c r="H33" s="5"/>
      <c r="I33" s="6"/>
      <c r="J33" s="49" t="s">
        <v>349</v>
      </c>
      <c r="K33" s="5"/>
      <c r="L33" s="5"/>
      <c r="M33" s="5"/>
      <c r="N33" s="5"/>
      <c r="O33" s="5"/>
      <c r="P33" s="6"/>
      <c r="Q33" s="54" t="s">
        <v>359</v>
      </c>
      <c r="R33" s="5"/>
      <c r="S33" s="5"/>
      <c r="T33" s="5"/>
      <c r="U33" s="5"/>
      <c r="V33" s="5"/>
      <c r="W33" s="6"/>
      <c r="X33" s="49" t="s">
        <v>360</v>
      </c>
      <c r="Y33" s="5"/>
      <c r="Z33" s="5"/>
      <c r="AA33" s="5"/>
      <c r="AB33" s="5"/>
      <c r="AC33" s="5"/>
      <c r="AD33" s="6"/>
      <c r="AE33" s="48" t="s">
        <v>263</v>
      </c>
      <c r="AF33" s="6"/>
      <c r="AG33" s="55" t="s">
        <v>50</v>
      </c>
      <c r="AH33" s="5"/>
      <c r="AI33" s="6"/>
      <c r="AJ33" s="48"/>
      <c r="AK33" s="5"/>
      <c r="AL33" s="6"/>
      <c r="AM33" s="55" t="s">
        <v>214</v>
      </c>
      <c r="AN33" s="5"/>
      <c r="AO33" s="6"/>
      <c r="AP33" s="56">
        <v>46145.0</v>
      </c>
      <c r="AQ33" s="5"/>
      <c r="AR33" s="6"/>
      <c r="AS33" s="48"/>
      <c r="AT33" s="5"/>
      <c r="AU33" s="6"/>
      <c r="AV33" s="55" t="s">
        <v>50</v>
      </c>
      <c r="AW33" s="5"/>
      <c r="AX33" s="6"/>
      <c r="AY33" s="48"/>
      <c r="AZ33" s="5"/>
      <c r="BA33" s="6"/>
      <c r="BB33" s="55" t="s">
        <v>216</v>
      </c>
      <c r="BC33" s="5"/>
      <c r="BD33" s="6"/>
      <c r="BE33" s="55" t="s">
        <v>217</v>
      </c>
      <c r="BF33" s="5"/>
      <c r="BG33" s="6"/>
      <c r="BH33" s="48"/>
      <c r="BI33" s="5"/>
      <c r="BJ33" s="6"/>
      <c r="BK33" s="49"/>
      <c r="BL33" s="5"/>
      <c r="BM33" s="5"/>
      <c r="BN33" s="5"/>
      <c r="BO33" s="5"/>
      <c r="BP33" s="5"/>
      <c r="BQ33" s="6"/>
    </row>
    <row r="34" ht="415.5" customHeight="1">
      <c r="A34" s="47">
        <v>19.0</v>
      </c>
      <c r="B34" s="49" t="s">
        <v>361</v>
      </c>
      <c r="C34" s="5"/>
      <c r="D34" s="6"/>
      <c r="E34" s="49" t="s">
        <v>362</v>
      </c>
      <c r="F34" s="5"/>
      <c r="G34" s="5"/>
      <c r="H34" s="5"/>
      <c r="I34" s="6"/>
      <c r="J34" s="49" t="s">
        <v>363</v>
      </c>
      <c r="K34" s="5"/>
      <c r="L34" s="5"/>
      <c r="M34" s="5"/>
      <c r="N34" s="5"/>
      <c r="O34" s="5"/>
      <c r="P34" s="6"/>
      <c r="Q34" s="49" t="s">
        <v>364</v>
      </c>
      <c r="R34" s="5"/>
      <c r="S34" s="5"/>
      <c r="T34" s="5"/>
      <c r="U34" s="5"/>
      <c r="V34" s="5"/>
      <c r="W34" s="6"/>
      <c r="X34" s="49" t="s">
        <v>365</v>
      </c>
      <c r="Y34" s="5"/>
      <c r="Z34" s="5"/>
      <c r="AA34" s="5"/>
      <c r="AB34" s="5"/>
      <c r="AC34" s="5"/>
      <c r="AD34" s="6"/>
      <c r="AE34" s="48" t="s">
        <v>263</v>
      </c>
      <c r="AF34" s="6"/>
      <c r="AG34" s="55" t="s">
        <v>50</v>
      </c>
      <c r="AH34" s="5"/>
      <c r="AI34" s="6"/>
      <c r="AJ34" s="48"/>
      <c r="AK34" s="5"/>
      <c r="AL34" s="6"/>
      <c r="AM34" s="55" t="s">
        <v>214</v>
      </c>
      <c r="AN34" s="5"/>
      <c r="AO34" s="6"/>
      <c r="AP34" s="56">
        <v>46145.0</v>
      </c>
      <c r="AQ34" s="5"/>
      <c r="AR34" s="6"/>
      <c r="AS34" s="48"/>
      <c r="AT34" s="5"/>
      <c r="AU34" s="6"/>
      <c r="AV34" s="55" t="s">
        <v>50</v>
      </c>
      <c r="AW34" s="5"/>
      <c r="AX34" s="6"/>
      <c r="AY34" s="48"/>
      <c r="AZ34" s="5"/>
      <c r="BA34" s="6"/>
      <c r="BB34" s="55" t="s">
        <v>216</v>
      </c>
      <c r="BC34" s="5"/>
      <c r="BD34" s="6"/>
      <c r="BE34" s="55" t="s">
        <v>217</v>
      </c>
      <c r="BF34" s="5"/>
      <c r="BG34" s="6"/>
      <c r="BH34" s="48"/>
      <c r="BI34" s="5"/>
      <c r="BJ34" s="6"/>
      <c r="BK34" s="49"/>
      <c r="BL34" s="5"/>
      <c r="BM34" s="5"/>
      <c r="BN34" s="5"/>
      <c r="BO34" s="5"/>
      <c r="BP34" s="5"/>
      <c r="BQ34" s="6"/>
    </row>
    <row r="35" ht="399.75" customHeight="1">
      <c r="A35" s="47">
        <v>20.0</v>
      </c>
      <c r="B35" s="49" t="s">
        <v>366</v>
      </c>
      <c r="C35" s="5"/>
      <c r="D35" s="6"/>
      <c r="E35" s="49" t="s">
        <v>367</v>
      </c>
      <c r="F35" s="5"/>
      <c r="G35" s="5"/>
      <c r="H35" s="5"/>
      <c r="I35" s="6"/>
      <c r="J35" s="49" t="s">
        <v>363</v>
      </c>
      <c r="K35" s="5"/>
      <c r="L35" s="5"/>
      <c r="M35" s="5"/>
      <c r="N35" s="5"/>
      <c r="O35" s="5"/>
      <c r="P35" s="6"/>
      <c r="Q35" s="49" t="s">
        <v>368</v>
      </c>
      <c r="R35" s="5"/>
      <c r="S35" s="5"/>
      <c r="T35" s="5"/>
      <c r="U35" s="5"/>
      <c r="V35" s="5"/>
      <c r="W35" s="6"/>
      <c r="X35" s="49" t="s">
        <v>369</v>
      </c>
      <c r="Y35" s="5"/>
      <c r="Z35" s="5"/>
      <c r="AA35" s="5"/>
      <c r="AB35" s="5"/>
      <c r="AC35" s="5"/>
      <c r="AD35" s="6"/>
      <c r="AE35" s="48" t="s">
        <v>272</v>
      </c>
      <c r="AF35" s="6"/>
      <c r="AG35" s="55" t="s">
        <v>50</v>
      </c>
      <c r="AH35" s="5"/>
      <c r="AI35" s="6"/>
      <c r="AJ35" s="48"/>
      <c r="AK35" s="5"/>
      <c r="AL35" s="6"/>
      <c r="AM35" s="55" t="s">
        <v>214</v>
      </c>
      <c r="AN35" s="5"/>
      <c r="AO35" s="6"/>
      <c r="AP35" s="56">
        <v>46145.0</v>
      </c>
      <c r="AQ35" s="5"/>
      <c r="AR35" s="6"/>
      <c r="AS35" s="48"/>
      <c r="AT35" s="5"/>
      <c r="AU35" s="6"/>
      <c r="AV35" s="55" t="s">
        <v>50</v>
      </c>
      <c r="AW35" s="5"/>
      <c r="AX35" s="6"/>
      <c r="AY35" s="48"/>
      <c r="AZ35" s="5"/>
      <c r="BA35" s="6"/>
      <c r="BB35" s="55" t="s">
        <v>216</v>
      </c>
      <c r="BC35" s="5"/>
      <c r="BD35" s="6"/>
      <c r="BE35" s="55" t="s">
        <v>217</v>
      </c>
      <c r="BF35" s="5"/>
      <c r="BG35" s="6"/>
      <c r="BH35" s="48"/>
      <c r="BI35" s="5"/>
      <c r="BJ35" s="6"/>
      <c r="BK35" s="49"/>
      <c r="BL35" s="5"/>
      <c r="BM35" s="5"/>
      <c r="BN35" s="5"/>
      <c r="BO35" s="5"/>
      <c r="BP35" s="5"/>
      <c r="BQ35" s="6"/>
    </row>
    <row r="36" ht="336.0" customHeight="1">
      <c r="A36" s="47">
        <v>21.0</v>
      </c>
      <c r="B36" s="49" t="s">
        <v>370</v>
      </c>
      <c r="C36" s="5"/>
      <c r="D36" s="6"/>
      <c r="E36" s="49" t="s">
        <v>371</v>
      </c>
      <c r="F36" s="5"/>
      <c r="G36" s="5"/>
      <c r="H36" s="5"/>
      <c r="I36" s="6"/>
      <c r="J36" s="49" t="s">
        <v>363</v>
      </c>
      <c r="K36" s="5"/>
      <c r="L36" s="5"/>
      <c r="M36" s="5"/>
      <c r="N36" s="5"/>
      <c r="O36" s="5"/>
      <c r="P36" s="6"/>
      <c r="Q36" s="49" t="s">
        <v>372</v>
      </c>
      <c r="R36" s="5"/>
      <c r="S36" s="5"/>
      <c r="T36" s="5"/>
      <c r="U36" s="5"/>
      <c r="V36" s="5"/>
      <c r="W36" s="6"/>
      <c r="X36" s="49" t="s">
        <v>373</v>
      </c>
      <c r="Y36" s="5"/>
      <c r="Z36" s="5"/>
      <c r="AA36" s="5"/>
      <c r="AB36" s="5"/>
      <c r="AC36" s="5"/>
      <c r="AD36" s="6"/>
      <c r="AE36" s="48" t="s">
        <v>263</v>
      </c>
      <c r="AF36" s="6"/>
      <c r="AG36" s="55" t="s">
        <v>50</v>
      </c>
      <c r="AH36" s="5"/>
      <c r="AI36" s="6"/>
      <c r="AJ36" s="48"/>
      <c r="AK36" s="5"/>
      <c r="AL36" s="6"/>
      <c r="AM36" s="55" t="s">
        <v>214</v>
      </c>
      <c r="AN36" s="5"/>
      <c r="AO36" s="6"/>
      <c r="AP36" s="56">
        <v>46145.0</v>
      </c>
      <c r="AQ36" s="5"/>
      <c r="AR36" s="6"/>
      <c r="AS36" s="48"/>
      <c r="AT36" s="5"/>
      <c r="AU36" s="6"/>
      <c r="AV36" s="55" t="s">
        <v>50</v>
      </c>
      <c r="AW36" s="5"/>
      <c r="AX36" s="6"/>
      <c r="AY36" s="48"/>
      <c r="AZ36" s="5"/>
      <c r="BA36" s="6"/>
      <c r="BB36" s="55" t="s">
        <v>216</v>
      </c>
      <c r="BC36" s="5"/>
      <c r="BD36" s="6"/>
      <c r="BE36" s="55" t="s">
        <v>217</v>
      </c>
      <c r="BF36" s="5"/>
      <c r="BG36" s="6"/>
      <c r="BH36" s="48"/>
      <c r="BI36" s="5"/>
      <c r="BJ36" s="6"/>
      <c r="BK36" s="49"/>
      <c r="BL36" s="5"/>
      <c r="BM36" s="5"/>
      <c r="BN36" s="5"/>
      <c r="BO36" s="5"/>
      <c r="BP36" s="5"/>
      <c r="BQ36" s="6"/>
    </row>
    <row r="37" ht="288.0" customHeight="1">
      <c r="A37" s="47">
        <v>22.0</v>
      </c>
      <c r="B37" s="49" t="s">
        <v>374</v>
      </c>
      <c r="C37" s="5"/>
      <c r="D37" s="6"/>
      <c r="E37" s="49" t="s">
        <v>375</v>
      </c>
      <c r="F37" s="5"/>
      <c r="G37" s="5"/>
      <c r="H37" s="5"/>
      <c r="I37" s="6"/>
      <c r="J37" s="49" t="s">
        <v>354</v>
      </c>
      <c r="K37" s="5"/>
      <c r="L37" s="5"/>
      <c r="M37" s="5"/>
      <c r="N37" s="5"/>
      <c r="O37" s="5"/>
      <c r="P37" s="6"/>
      <c r="Q37" s="49" t="s">
        <v>376</v>
      </c>
      <c r="R37" s="5"/>
      <c r="S37" s="5"/>
      <c r="T37" s="5"/>
      <c r="U37" s="5"/>
      <c r="V37" s="5"/>
      <c r="W37" s="6"/>
      <c r="X37" s="49" t="s">
        <v>377</v>
      </c>
      <c r="Y37" s="5"/>
      <c r="Z37" s="5"/>
      <c r="AA37" s="5"/>
      <c r="AB37" s="5"/>
      <c r="AC37" s="5"/>
      <c r="AD37" s="6"/>
      <c r="AE37" s="48" t="s">
        <v>212</v>
      </c>
      <c r="AF37" s="6"/>
      <c r="AG37" s="55" t="s">
        <v>50</v>
      </c>
      <c r="AH37" s="5"/>
      <c r="AI37" s="6"/>
      <c r="AJ37" s="48"/>
      <c r="AK37" s="5"/>
      <c r="AL37" s="6"/>
      <c r="AM37" s="55" t="s">
        <v>214</v>
      </c>
      <c r="AN37" s="5"/>
      <c r="AO37" s="6"/>
      <c r="AP37" s="56">
        <v>46145.0</v>
      </c>
      <c r="AQ37" s="5"/>
      <c r="AR37" s="6"/>
      <c r="AS37" s="48"/>
      <c r="AT37" s="5"/>
      <c r="AU37" s="6"/>
      <c r="AV37" s="55" t="s">
        <v>50</v>
      </c>
      <c r="AW37" s="5"/>
      <c r="AX37" s="6"/>
      <c r="AY37" s="48"/>
      <c r="AZ37" s="5"/>
      <c r="BA37" s="6"/>
      <c r="BB37" s="55" t="s">
        <v>216</v>
      </c>
      <c r="BC37" s="5"/>
      <c r="BD37" s="6"/>
      <c r="BE37" s="55" t="s">
        <v>217</v>
      </c>
      <c r="BF37" s="5"/>
      <c r="BG37" s="6"/>
      <c r="BH37" s="48"/>
      <c r="BI37" s="5"/>
      <c r="BJ37" s="6"/>
      <c r="BK37" s="49"/>
      <c r="BL37" s="5"/>
      <c r="BM37" s="5"/>
      <c r="BN37" s="5"/>
      <c r="BO37" s="5"/>
      <c r="BP37" s="5"/>
      <c r="BQ37" s="6"/>
    </row>
    <row r="38" ht="319.5" customHeight="1">
      <c r="A38" s="47">
        <v>23.0</v>
      </c>
      <c r="B38" s="49" t="s">
        <v>378</v>
      </c>
      <c r="C38" s="5"/>
      <c r="D38" s="6"/>
      <c r="E38" s="49" t="s">
        <v>379</v>
      </c>
      <c r="F38" s="5"/>
      <c r="G38" s="5"/>
      <c r="H38" s="5"/>
      <c r="I38" s="6"/>
      <c r="J38" s="49" t="s">
        <v>380</v>
      </c>
      <c r="K38" s="5"/>
      <c r="L38" s="5"/>
      <c r="M38" s="5"/>
      <c r="N38" s="5"/>
      <c r="O38" s="5"/>
      <c r="P38" s="6"/>
      <c r="Q38" s="49" t="s">
        <v>381</v>
      </c>
      <c r="R38" s="5"/>
      <c r="S38" s="5"/>
      <c r="T38" s="5"/>
      <c r="U38" s="5"/>
      <c r="V38" s="5"/>
      <c r="W38" s="6"/>
      <c r="X38" s="49" t="s">
        <v>382</v>
      </c>
      <c r="Y38" s="5"/>
      <c r="Z38" s="5"/>
      <c r="AA38" s="5"/>
      <c r="AB38" s="5"/>
      <c r="AC38" s="5"/>
      <c r="AD38" s="6"/>
      <c r="AE38" s="48" t="s">
        <v>263</v>
      </c>
      <c r="AF38" s="6"/>
      <c r="AG38" s="55" t="s">
        <v>50</v>
      </c>
      <c r="AH38" s="5"/>
      <c r="AI38" s="6"/>
      <c r="AJ38" s="48"/>
      <c r="AK38" s="5"/>
      <c r="AL38" s="6"/>
      <c r="AM38" s="55" t="s">
        <v>214</v>
      </c>
      <c r="AN38" s="5"/>
      <c r="AO38" s="6"/>
      <c r="AP38" s="56">
        <v>46145.0</v>
      </c>
      <c r="AQ38" s="5"/>
      <c r="AR38" s="6"/>
      <c r="AS38" s="48"/>
      <c r="AT38" s="5"/>
      <c r="AU38" s="6"/>
      <c r="AV38" s="55" t="s">
        <v>50</v>
      </c>
      <c r="AW38" s="5"/>
      <c r="AX38" s="6"/>
      <c r="AY38" s="48"/>
      <c r="AZ38" s="5"/>
      <c r="BA38" s="6"/>
      <c r="BB38" s="55" t="s">
        <v>216</v>
      </c>
      <c r="BC38" s="5"/>
      <c r="BD38" s="6"/>
      <c r="BE38" s="55" t="s">
        <v>383</v>
      </c>
      <c r="BF38" s="5"/>
      <c r="BG38" s="6"/>
      <c r="BH38" s="48"/>
      <c r="BI38" s="5"/>
      <c r="BJ38" s="6"/>
      <c r="BK38" s="49"/>
      <c r="BL38" s="5"/>
      <c r="BM38" s="5"/>
      <c r="BN38" s="5"/>
      <c r="BO38" s="5"/>
      <c r="BP38" s="5"/>
      <c r="BQ38" s="6"/>
    </row>
    <row r="39" ht="399.75" customHeight="1">
      <c r="A39" s="47">
        <v>24.0</v>
      </c>
      <c r="B39" s="49" t="s">
        <v>384</v>
      </c>
      <c r="C39" s="5"/>
      <c r="D39" s="6"/>
      <c r="E39" s="49" t="s">
        <v>385</v>
      </c>
      <c r="F39" s="5"/>
      <c r="G39" s="5"/>
      <c r="H39" s="5"/>
      <c r="I39" s="6"/>
      <c r="J39" s="49" t="s">
        <v>386</v>
      </c>
      <c r="K39" s="5"/>
      <c r="L39" s="5"/>
      <c r="M39" s="5"/>
      <c r="N39" s="5"/>
      <c r="O39" s="5"/>
      <c r="P39" s="6"/>
      <c r="Q39" s="49" t="s">
        <v>387</v>
      </c>
      <c r="R39" s="5"/>
      <c r="S39" s="5"/>
      <c r="T39" s="5"/>
      <c r="U39" s="5"/>
      <c r="V39" s="5"/>
      <c r="W39" s="6"/>
      <c r="X39" s="49" t="s">
        <v>388</v>
      </c>
      <c r="Y39" s="5"/>
      <c r="Z39" s="5"/>
      <c r="AA39" s="5"/>
      <c r="AB39" s="5"/>
      <c r="AC39" s="5"/>
      <c r="AD39" s="6"/>
      <c r="AE39" s="48" t="s">
        <v>272</v>
      </c>
      <c r="AF39" s="6"/>
      <c r="AG39" s="55" t="s">
        <v>50</v>
      </c>
      <c r="AH39" s="5"/>
      <c r="AI39" s="6"/>
      <c r="AJ39" s="48"/>
      <c r="AK39" s="5"/>
      <c r="AL39" s="6"/>
      <c r="AM39" s="55" t="s">
        <v>214</v>
      </c>
      <c r="AN39" s="5"/>
      <c r="AO39" s="6"/>
      <c r="AP39" s="56">
        <v>46145.0</v>
      </c>
      <c r="AQ39" s="5"/>
      <c r="AR39" s="6"/>
      <c r="AS39" s="48"/>
      <c r="AT39" s="5"/>
      <c r="AU39" s="6"/>
      <c r="AV39" s="55" t="s">
        <v>50</v>
      </c>
      <c r="AW39" s="5"/>
      <c r="AX39" s="6"/>
      <c r="AY39" s="48"/>
      <c r="AZ39" s="5"/>
      <c r="BA39" s="6"/>
      <c r="BB39" s="55" t="s">
        <v>216</v>
      </c>
      <c r="BC39" s="5"/>
      <c r="BD39" s="6"/>
      <c r="BE39" s="55" t="s">
        <v>383</v>
      </c>
      <c r="BF39" s="5"/>
      <c r="BG39" s="6"/>
      <c r="BH39" s="48"/>
      <c r="BI39" s="5"/>
      <c r="BJ39" s="6"/>
      <c r="BK39" s="49" t="s">
        <v>389</v>
      </c>
      <c r="BL39" s="5"/>
      <c r="BM39" s="5"/>
      <c r="BN39" s="5"/>
      <c r="BO39" s="5"/>
      <c r="BP39" s="5"/>
      <c r="BQ39" s="6"/>
    </row>
    <row r="40" ht="336.0" customHeight="1">
      <c r="A40" s="47">
        <v>25.0</v>
      </c>
      <c r="B40" s="49" t="s">
        <v>390</v>
      </c>
      <c r="C40" s="5"/>
      <c r="D40" s="6"/>
      <c r="E40" s="49" t="s">
        <v>391</v>
      </c>
      <c r="F40" s="5"/>
      <c r="G40" s="5"/>
      <c r="H40" s="5"/>
      <c r="I40" s="6"/>
      <c r="J40" s="49" t="s">
        <v>392</v>
      </c>
      <c r="K40" s="5"/>
      <c r="L40" s="5"/>
      <c r="M40" s="5"/>
      <c r="N40" s="5"/>
      <c r="O40" s="5"/>
      <c r="P40" s="6"/>
      <c r="Q40" s="49" t="s">
        <v>393</v>
      </c>
      <c r="R40" s="5"/>
      <c r="S40" s="5"/>
      <c r="T40" s="5"/>
      <c r="U40" s="5"/>
      <c r="V40" s="5"/>
      <c r="W40" s="6"/>
      <c r="X40" s="49" t="s">
        <v>394</v>
      </c>
      <c r="Y40" s="5"/>
      <c r="Z40" s="5"/>
      <c r="AA40" s="5"/>
      <c r="AB40" s="5"/>
      <c r="AC40" s="5"/>
      <c r="AD40" s="6"/>
      <c r="AE40" s="48" t="s">
        <v>212</v>
      </c>
      <c r="AF40" s="6"/>
      <c r="AG40" s="55" t="s">
        <v>50</v>
      </c>
      <c r="AH40" s="5"/>
      <c r="AI40" s="6"/>
      <c r="AJ40" s="48"/>
      <c r="AK40" s="5"/>
      <c r="AL40" s="6"/>
      <c r="AM40" s="55" t="s">
        <v>214</v>
      </c>
      <c r="AN40" s="5"/>
      <c r="AO40" s="6"/>
      <c r="AP40" s="56">
        <v>46145.0</v>
      </c>
      <c r="AQ40" s="5"/>
      <c r="AR40" s="6"/>
      <c r="AS40" s="48"/>
      <c r="AT40" s="5"/>
      <c r="AU40" s="6"/>
      <c r="AV40" s="55" t="s">
        <v>50</v>
      </c>
      <c r="AW40" s="5"/>
      <c r="AX40" s="6"/>
      <c r="AY40" s="48"/>
      <c r="AZ40" s="5"/>
      <c r="BA40" s="6"/>
      <c r="BB40" s="55" t="s">
        <v>216</v>
      </c>
      <c r="BC40" s="5"/>
      <c r="BD40" s="6"/>
      <c r="BE40" s="55" t="s">
        <v>383</v>
      </c>
      <c r="BF40" s="5"/>
      <c r="BG40" s="6"/>
      <c r="BH40" s="48"/>
      <c r="BI40" s="5"/>
      <c r="BJ40" s="6"/>
      <c r="BK40" s="49"/>
      <c r="BL40" s="5"/>
      <c r="BM40" s="5"/>
      <c r="BN40" s="5"/>
      <c r="BO40" s="5"/>
      <c r="BP40" s="5"/>
      <c r="BQ40" s="6"/>
    </row>
    <row r="41" ht="367.5" customHeight="1">
      <c r="A41" s="47">
        <v>26.0</v>
      </c>
      <c r="B41" s="49" t="s">
        <v>395</v>
      </c>
      <c r="C41" s="5"/>
      <c r="D41" s="6"/>
      <c r="E41" s="49" t="s">
        <v>396</v>
      </c>
      <c r="F41" s="5"/>
      <c r="G41" s="5"/>
      <c r="H41" s="5"/>
      <c r="I41" s="6"/>
      <c r="J41" s="49" t="s">
        <v>386</v>
      </c>
      <c r="K41" s="5"/>
      <c r="L41" s="5"/>
      <c r="M41" s="5"/>
      <c r="N41" s="5"/>
      <c r="O41" s="5"/>
      <c r="P41" s="6"/>
      <c r="Q41" s="49" t="s">
        <v>397</v>
      </c>
      <c r="R41" s="5"/>
      <c r="S41" s="5"/>
      <c r="T41" s="5"/>
      <c r="U41" s="5"/>
      <c r="V41" s="5"/>
      <c r="W41" s="6"/>
      <c r="X41" s="49" t="s">
        <v>398</v>
      </c>
      <c r="Y41" s="5"/>
      <c r="Z41" s="5"/>
      <c r="AA41" s="5"/>
      <c r="AB41" s="5"/>
      <c r="AC41" s="5"/>
      <c r="AD41" s="6"/>
      <c r="AE41" s="48" t="s">
        <v>212</v>
      </c>
      <c r="AF41" s="6"/>
      <c r="AG41" s="55" t="s">
        <v>50</v>
      </c>
      <c r="AH41" s="5"/>
      <c r="AI41" s="6"/>
      <c r="AJ41" s="48"/>
      <c r="AK41" s="5"/>
      <c r="AL41" s="6"/>
      <c r="AM41" s="55" t="s">
        <v>214</v>
      </c>
      <c r="AN41" s="5"/>
      <c r="AO41" s="6"/>
      <c r="AP41" s="56">
        <v>46145.0</v>
      </c>
      <c r="AQ41" s="5"/>
      <c r="AR41" s="6"/>
      <c r="AS41" s="48"/>
      <c r="AT41" s="5"/>
      <c r="AU41" s="6"/>
      <c r="AV41" s="55" t="s">
        <v>50</v>
      </c>
      <c r="AW41" s="5"/>
      <c r="AX41" s="6"/>
      <c r="AY41" s="48"/>
      <c r="AZ41" s="5"/>
      <c r="BA41" s="6"/>
      <c r="BB41" s="55" t="s">
        <v>216</v>
      </c>
      <c r="BC41" s="5"/>
      <c r="BD41" s="6"/>
      <c r="BE41" s="55" t="s">
        <v>383</v>
      </c>
      <c r="BF41" s="5"/>
      <c r="BG41" s="6"/>
      <c r="BH41" s="48"/>
      <c r="BI41" s="5"/>
      <c r="BJ41" s="6"/>
      <c r="BK41" s="49"/>
      <c r="BL41" s="5"/>
      <c r="BM41" s="5"/>
      <c r="BN41" s="5"/>
      <c r="BO41" s="5"/>
      <c r="BP41" s="5"/>
      <c r="BQ41" s="6"/>
    </row>
    <row r="42" ht="450.0" customHeight="1">
      <c r="A42" s="47">
        <v>27.0</v>
      </c>
      <c r="B42" s="49" t="s">
        <v>399</v>
      </c>
      <c r="C42" s="5"/>
      <c r="D42" s="6"/>
      <c r="E42" s="49" t="s">
        <v>400</v>
      </c>
      <c r="F42" s="5"/>
      <c r="G42" s="5"/>
      <c r="H42" s="5"/>
      <c r="I42" s="6"/>
      <c r="J42" s="49" t="s">
        <v>354</v>
      </c>
      <c r="K42" s="5"/>
      <c r="L42" s="5"/>
      <c r="M42" s="5"/>
      <c r="N42" s="5"/>
      <c r="O42" s="5"/>
      <c r="P42" s="6"/>
      <c r="Q42" s="54" t="s">
        <v>401</v>
      </c>
      <c r="R42" s="5"/>
      <c r="S42" s="5"/>
      <c r="T42" s="5"/>
      <c r="U42" s="5"/>
      <c r="V42" s="5"/>
      <c r="W42" s="6"/>
      <c r="X42" s="49" t="s">
        <v>402</v>
      </c>
      <c r="Y42" s="5"/>
      <c r="Z42" s="5"/>
      <c r="AA42" s="5"/>
      <c r="AB42" s="5"/>
      <c r="AC42" s="5"/>
      <c r="AD42" s="6"/>
      <c r="AE42" s="48" t="s">
        <v>263</v>
      </c>
      <c r="AF42" s="6"/>
      <c r="AG42" s="55" t="s">
        <v>50</v>
      </c>
      <c r="AH42" s="5"/>
      <c r="AI42" s="6"/>
      <c r="AJ42" s="48"/>
      <c r="AK42" s="5"/>
      <c r="AL42" s="6"/>
      <c r="AM42" s="55" t="s">
        <v>214</v>
      </c>
      <c r="AN42" s="5"/>
      <c r="AO42" s="6"/>
      <c r="AP42" s="56">
        <v>46145.0</v>
      </c>
      <c r="AQ42" s="5"/>
      <c r="AR42" s="6"/>
      <c r="AS42" s="48"/>
      <c r="AT42" s="5"/>
      <c r="AU42" s="6"/>
      <c r="AV42" s="55" t="s">
        <v>50</v>
      </c>
      <c r="AW42" s="5"/>
      <c r="AX42" s="6"/>
      <c r="AY42" s="48"/>
      <c r="AZ42" s="5"/>
      <c r="BA42" s="6"/>
      <c r="BB42" s="55" t="s">
        <v>216</v>
      </c>
      <c r="BC42" s="5"/>
      <c r="BD42" s="6"/>
      <c r="BE42" s="55" t="s">
        <v>383</v>
      </c>
      <c r="BF42" s="5"/>
      <c r="BG42" s="6"/>
      <c r="BH42" s="48"/>
      <c r="BI42" s="5"/>
      <c r="BJ42" s="6"/>
      <c r="BK42" s="49" t="s">
        <v>403</v>
      </c>
      <c r="BL42" s="5"/>
      <c r="BM42" s="5"/>
      <c r="BN42" s="5"/>
      <c r="BO42" s="5"/>
      <c r="BP42" s="5"/>
      <c r="BQ42" s="6"/>
    </row>
    <row r="43" ht="22.5" customHeight="1">
      <c r="A43" s="21" t="s">
        <v>404</v>
      </c>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6"/>
    </row>
    <row r="44" ht="240.0" customHeight="1">
      <c r="A44" s="47">
        <v>28.0</v>
      </c>
      <c r="B44" s="49" t="s">
        <v>405</v>
      </c>
      <c r="C44" s="5"/>
      <c r="D44" s="6"/>
      <c r="E44" s="49" t="s">
        <v>406</v>
      </c>
      <c r="F44" s="5"/>
      <c r="G44" s="5"/>
      <c r="H44" s="5"/>
      <c r="I44" s="6"/>
      <c r="J44" s="49" t="s">
        <v>407</v>
      </c>
      <c r="K44" s="5"/>
      <c r="L44" s="5"/>
      <c r="M44" s="5"/>
      <c r="N44" s="5"/>
      <c r="O44" s="5"/>
      <c r="P44" s="6"/>
      <c r="Q44" s="49" t="s">
        <v>408</v>
      </c>
      <c r="R44" s="5"/>
      <c r="S44" s="5"/>
      <c r="T44" s="5"/>
      <c r="U44" s="5"/>
      <c r="V44" s="5"/>
      <c r="W44" s="6"/>
      <c r="X44" s="49" t="s">
        <v>409</v>
      </c>
      <c r="Y44" s="5"/>
      <c r="Z44" s="5"/>
      <c r="AA44" s="5"/>
      <c r="AB44" s="5"/>
      <c r="AC44" s="5"/>
      <c r="AD44" s="6"/>
      <c r="AE44" s="48" t="s">
        <v>212</v>
      </c>
      <c r="AF44" s="6"/>
      <c r="AG44" s="55" t="s">
        <v>50</v>
      </c>
      <c r="AH44" s="5"/>
      <c r="AI44" s="6"/>
      <c r="AJ44" s="48"/>
      <c r="AK44" s="5"/>
      <c r="AL44" s="6"/>
      <c r="AM44" s="55" t="s">
        <v>214</v>
      </c>
      <c r="AN44" s="5"/>
      <c r="AO44" s="6"/>
      <c r="AP44" s="56">
        <v>46145.0</v>
      </c>
      <c r="AQ44" s="5"/>
      <c r="AR44" s="6"/>
      <c r="AS44" s="48"/>
      <c r="AT44" s="5"/>
      <c r="AU44" s="6"/>
      <c r="AV44" s="55" t="s">
        <v>50</v>
      </c>
      <c r="AW44" s="5"/>
      <c r="AX44" s="6"/>
      <c r="AY44" s="48"/>
      <c r="AZ44" s="5"/>
      <c r="BA44" s="6"/>
      <c r="BB44" s="55" t="s">
        <v>216</v>
      </c>
      <c r="BC44" s="5"/>
      <c r="BD44" s="6"/>
      <c r="BE44" s="55" t="s">
        <v>383</v>
      </c>
      <c r="BF44" s="5"/>
      <c r="BG44" s="6"/>
      <c r="BH44" s="48"/>
      <c r="BI44" s="5"/>
      <c r="BJ44" s="6"/>
      <c r="BK44" s="49"/>
      <c r="BL44" s="5"/>
      <c r="BM44" s="5"/>
      <c r="BN44" s="5"/>
      <c r="BO44" s="5"/>
      <c r="BP44" s="5"/>
      <c r="BQ44" s="6"/>
    </row>
    <row r="45" ht="288.0" customHeight="1">
      <c r="A45" s="47">
        <v>29.0</v>
      </c>
      <c r="B45" s="49" t="s">
        <v>410</v>
      </c>
      <c r="C45" s="5"/>
      <c r="D45" s="6"/>
      <c r="E45" s="49" t="s">
        <v>411</v>
      </c>
      <c r="F45" s="5"/>
      <c r="G45" s="5"/>
      <c r="H45" s="5"/>
      <c r="I45" s="6"/>
      <c r="J45" s="49" t="s">
        <v>412</v>
      </c>
      <c r="K45" s="5"/>
      <c r="L45" s="5"/>
      <c r="M45" s="5"/>
      <c r="N45" s="5"/>
      <c r="O45" s="5"/>
      <c r="P45" s="6"/>
      <c r="Q45" s="54" t="s">
        <v>413</v>
      </c>
      <c r="R45" s="5"/>
      <c r="S45" s="5"/>
      <c r="T45" s="5"/>
      <c r="U45" s="5"/>
      <c r="V45" s="5"/>
      <c r="W45" s="6"/>
      <c r="X45" s="49" t="s">
        <v>414</v>
      </c>
      <c r="Y45" s="5"/>
      <c r="Z45" s="5"/>
      <c r="AA45" s="5"/>
      <c r="AB45" s="5"/>
      <c r="AC45" s="5"/>
      <c r="AD45" s="6"/>
      <c r="AE45" s="48" t="s">
        <v>212</v>
      </c>
      <c r="AF45" s="6"/>
      <c r="AG45" s="55" t="s">
        <v>50</v>
      </c>
      <c r="AH45" s="5"/>
      <c r="AI45" s="6"/>
      <c r="AJ45" s="48"/>
      <c r="AK45" s="5"/>
      <c r="AL45" s="6"/>
      <c r="AM45" s="55" t="s">
        <v>214</v>
      </c>
      <c r="AN45" s="5"/>
      <c r="AO45" s="6"/>
      <c r="AP45" s="56">
        <v>46145.0</v>
      </c>
      <c r="AQ45" s="5"/>
      <c r="AR45" s="6"/>
      <c r="AS45" s="48"/>
      <c r="AT45" s="5"/>
      <c r="AU45" s="6"/>
      <c r="AV45" s="55" t="s">
        <v>50</v>
      </c>
      <c r="AW45" s="5"/>
      <c r="AX45" s="6"/>
      <c r="AY45" s="48"/>
      <c r="AZ45" s="5"/>
      <c r="BA45" s="6"/>
      <c r="BB45" s="55" t="s">
        <v>216</v>
      </c>
      <c r="BC45" s="5"/>
      <c r="BD45" s="6"/>
      <c r="BE45" s="55" t="s">
        <v>383</v>
      </c>
      <c r="BF45" s="5"/>
      <c r="BG45" s="6"/>
      <c r="BH45" s="48"/>
      <c r="BI45" s="5"/>
      <c r="BJ45" s="6"/>
      <c r="BK45" s="49"/>
      <c r="BL45" s="5"/>
      <c r="BM45" s="5"/>
      <c r="BN45" s="5"/>
      <c r="BO45" s="5"/>
      <c r="BP45" s="5"/>
      <c r="BQ45" s="6"/>
    </row>
    <row r="46" ht="450.0" customHeight="1">
      <c r="A46" s="47">
        <v>30.0</v>
      </c>
      <c r="B46" s="49" t="s">
        <v>415</v>
      </c>
      <c r="C46" s="5"/>
      <c r="D46" s="6"/>
      <c r="E46" s="49" t="s">
        <v>416</v>
      </c>
      <c r="F46" s="5"/>
      <c r="G46" s="5"/>
      <c r="H46" s="5"/>
      <c r="I46" s="6"/>
      <c r="J46" s="49" t="s">
        <v>417</v>
      </c>
      <c r="K46" s="5"/>
      <c r="L46" s="5"/>
      <c r="M46" s="5"/>
      <c r="N46" s="5"/>
      <c r="O46" s="5"/>
      <c r="P46" s="6"/>
      <c r="Q46" s="54" t="s">
        <v>418</v>
      </c>
      <c r="R46" s="5"/>
      <c r="S46" s="5"/>
      <c r="T46" s="5"/>
      <c r="U46" s="5"/>
      <c r="V46" s="5"/>
      <c r="W46" s="6"/>
      <c r="X46" s="49" t="s">
        <v>419</v>
      </c>
      <c r="Y46" s="5"/>
      <c r="Z46" s="5"/>
      <c r="AA46" s="5"/>
      <c r="AB46" s="5"/>
      <c r="AC46" s="5"/>
      <c r="AD46" s="6"/>
      <c r="AE46" s="48" t="s">
        <v>212</v>
      </c>
      <c r="AF46" s="6"/>
      <c r="AG46" s="55" t="s">
        <v>50</v>
      </c>
      <c r="AH46" s="5"/>
      <c r="AI46" s="6"/>
      <c r="AJ46" s="48"/>
      <c r="AK46" s="5"/>
      <c r="AL46" s="6"/>
      <c r="AM46" s="55" t="s">
        <v>214</v>
      </c>
      <c r="AN46" s="5"/>
      <c r="AO46" s="6"/>
      <c r="AP46" s="56">
        <v>46145.0</v>
      </c>
      <c r="AQ46" s="5"/>
      <c r="AR46" s="6"/>
      <c r="AS46" s="48"/>
      <c r="AT46" s="5"/>
      <c r="AU46" s="6"/>
      <c r="AV46" s="55" t="s">
        <v>50</v>
      </c>
      <c r="AW46" s="5"/>
      <c r="AX46" s="6"/>
      <c r="AY46" s="48"/>
      <c r="AZ46" s="5"/>
      <c r="BA46" s="6"/>
      <c r="BB46" s="55" t="s">
        <v>216</v>
      </c>
      <c r="BC46" s="5"/>
      <c r="BD46" s="6"/>
      <c r="BE46" s="55" t="s">
        <v>383</v>
      </c>
      <c r="BF46" s="5"/>
      <c r="BG46" s="6"/>
      <c r="BH46" s="48"/>
      <c r="BI46" s="5"/>
      <c r="BJ46" s="6"/>
      <c r="BK46" s="49"/>
      <c r="BL46" s="5"/>
      <c r="BM46" s="5"/>
      <c r="BN46" s="5"/>
      <c r="BO46" s="5"/>
      <c r="BP46" s="5"/>
      <c r="BQ46" s="6"/>
    </row>
    <row r="47" ht="450.0" customHeight="1">
      <c r="A47" s="47">
        <v>31.0</v>
      </c>
      <c r="B47" s="49" t="s">
        <v>420</v>
      </c>
      <c r="C47" s="5"/>
      <c r="D47" s="6"/>
      <c r="E47" s="49" t="s">
        <v>421</v>
      </c>
      <c r="F47" s="5"/>
      <c r="G47" s="5"/>
      <c r="H47" s="5"/>
      <c r="I47" s="6"/>
      <c r="J47" s="49" t="s">
        <v>422</v>
      </c>
      <c r="K47" s="5"/>
      <c r="L47" s="5"/>
      <c r="M47" s="5"/>
      <c r="N47" s="5"/>
      <c r="O47" s="5"/>
      <c r="P47" s="6"/>
      <c r="Q47" s="49" t="s">
        <v>423</v>
      </c>
      <c r="R47" s="5"/>
      <c r="S47" s="5"/>
      <c r="T47" s="5"/>
      <c r="U47" s="5"/>
      <c r="V47" s="5"/>
      <c r="W47" s="6"/>
      <c r="X47" s="54" t="s">
        <v>424</v>
      </c>
      <c r="Y47" s="5"/>
      <c r="Z47" s="5"/>
      <c r="AA47" s="5"/>
      <c r="AB47" s="5"/>
      <c r="AC47" s="5"/>
      <c r="AD47" s="6"/>
      <c r="AE47" s="48" t="s">
        <v>263</v>
      </c>
      <c r="AF47" s="6"/>
      <c r="AG47" s="55" t="s">
        <v>50</v>
      </c>
      <c r="AH47" s="5"/>
      <c r="AI47" s="6"/>
      <c r="AJ47" s="48"/>
      <c r="AK47" s="5"/>
      <c r="AL47" s="6"/>
      <c r="AM47" s="55" t="s">
        <v>214</v>
      </c>
      <c r="AN47" s="5"/>
      <c r="AO47" s="6"/>
      <c r="AP47" s="56">
        <v>46145.0</v>
      </c>
      <c r="AQ47" s="5"/>
      <c r="AR47" s="6"/>
      <c r="AS47" s="48"/>
      <c r="AT47" s="5"/>
      <c r="AU47" s="6"/>
      <c r="AV47" s="55" t="s">
        <v>50</v>
      </c>
      <c r="AW47" s="5"/>
      <c r="AX47" s="6"/>
      <c r="AY47" s="48"/>
      <c r="AZ47" s="5"/>
      <c r="BA47" s="6"/>
      <c r="BB47" s="55" t="s">
        <v>216</v>
      </c>
      <c r="BC47" s="5"/>
      <c r="BD47" s="6"/>
      <c r="BE47" s="55" t="s">
        <v>383</v>
      </c>
      <c r="BF47" s="5"/>
      <c r="BG47" s="6"/>
      <c r="BH47" s="48"/>
      <c r="BI47" s="5"/>
      <c r="BJ47" s="6"/>
      <c r="BK47" s="49"/>
      <c r="BL47" s="5"/>
      <c r="BM47" s="5"/>
      <c r="BN47" s="5"/>
      <c r="BO47" s="5"/>
      <c r="BP47" s="5"/>
      <c r="BQ47" s="6"/>
    </row>
    <row r="48" ht="450.0" customHeight="1">
      <c r="A48" s="47">
        <v>32.0</v>
      </c>
      <c r="B48" s="49" t="s">
        <v>425</v>
      </c>
      <c r="C48" s="5"/>
      <c r="D48" s="6"/>
      <c r="E48" s="49" t="s">
        <v>426</v>
      </c>
      <c r="F48" s="5"/>
      <c r="G48" s="5"/>
      <c r="H48" s="5"/>
      <c r="I48" s="6"/>
      <c r="J48" s="49" t="s">
        <v>422</v>
      </c>
      <c r="K48" s="5"/>
      <c r="L48" s="5"/>
      <c r="M48" s="5"/>
      <c r="N48" s="5"/>
      <c r="O48" s="5"/>
      <c r="P48" s="6"/>
      <c r="Q48" s="54" t="s">
        <v>427</v>
      </c>
      <c r="R48" s="5"/>
      <c r="S48" s="5"/>
      <c r="T48" s="5"/>
      <c r="U48" s="5"/>
      <c r="V48" s="5"/>
      <c r="W48" s="6"/>
      <c r="X48" s="54" t="s">
        <v>428</v>
      </c>
      <c r="Y48" s="5"/>
      <c r="Z48" s="5"/>
      <c r="AA48" s="5"/>
      <c r="AB48" s="5"/>
      <c r="AC48" s="5"/>
      <c r="AD48" s="6"/>
      <c r="AE48" s="48" t="s">
        <v>263</v>
      </c>
      <c r="AF48" s="6"/>
      <c r="AG48" s="55" t="s">
        <v>50</v>
      </c>
      <c r="AH48" s="5"/>
      <c r="AI48" s="6"/>
      <c r="AJ48" s="48"/>
      <c r="AK48" s="5"/>
      <c r="AL48" s="6"/>
      <c r="AM48" s="55" t="s">
        <v>214</v>
      </c>
      <c r="AN48" s="5"/>
      <c r="AO48" s="6"/>
      <c r="AP48" s="56">
        <v>46145.0</v>
      </c>
      <c r="AQ48" s="5"/>
      <c r="AR48" s="6"/>
      <c r="AS48" s="48"/>
      <c r="AT48" s="5"/>
      <c r="AU48" s="6"/>
      <c r="AV48" s="55" t="s">
        <v>50</v>
      </c>
      <c r="AW48" s="5"/>
      <c r="AX48" s="6"/>
      <c r="AY48" s="48"/>
      <c r="AZ48" s="5"/>
      <c r="BA48" s="6"/>
      <c r="BB48" s="55" t="s">
        <v>216</v>
      </c>
      <c r="BC48" s="5"/>
      <c r="BD48" s="6"/>
      <c r="BE48" s="55" t="s">
        <v>383</v>
      </c>
      <c r="BF48" s="5"/>
      <c r="BG48" s="6"/>
      <c r="BH48" s="48"/>
      <c r="BI48" s="5"/>
      <c r="BJ48" s="6"/>
      <c r="BK48" s="49" t="s">
        <v>429</v>
      </c>
      <c r="BL48" s="5"/>
      <c r="BM48" s="5"/>
      <c r="BN48" s="5"/>
      <c r="BO48" s="5"/>
      <c r="BP48" s="5"/>
      <c r="BQ48" s="6"/>
    </row>
    <row r="49" ht="450.0" customHeight="1">
      <c r="A49" s="47">
        <v>33.0</v>
      </c>
      <c r="B49" s="49" t="s">
        <v>430</v>
      </c>
      <c r="C49" s="5"/>
      <c r="D49" s="6"/>
      <c r="E49" s="49" t="s">
        <v>431</v>
      </c>
      <c r="F49" s="5"/>
      <c r="G49" s="5"/>
      <c r="H49" s="5"/>
      <c r="I49" s="6"/>
      <c r="J49" s="49" t="s">
        <v>432</v>
      </c>
      <c r="K49" s="5"/>
      <c r="L49" s="5"/>
      <c r="M49" s="5"/>
      <c r="N49" s="5"/>
      <c r="O49" s="5"/>
      <c r="P49" s="6"/>
      <c r="Q49" s="49" t="s">
        <v>433</v>
      </c>
      <c r="R49" s="5"/>
      <c r="S49" s="5"/>
      <c r="T49" s="5"/>
      <c r="U49" s="5"/>
      <c r="V49" s="5"/>
      <c r="W49" s="6"/>
      <c r="X49" s="49" t="s">
        <v>434</v>
      </c>
      <c r="Y49" s="5"/>
      <c r="Z49" s="5"/>
      <c r="AA49" s="5"/>
      <c r="AB49" s="5"/>
      <c r="AC49" s="5"/>
      <c r="AD49" s="6"/>
      <c r="AE49" s="48" t="s">
        <v>263</v>
      </c>
      <c r="AF49" s="6"/>
      <c r="AG49" s="55" t="s">
        <v>50</v>
      </c>
      <c r="AH49" s="5"/>
      <c r="AI49" s="6"/>
      <c r="AJ49" s="48"/>
      <c r="AK49" s="5"/>
      <c r="AL49" s="6"/>
      <c r="AM49" s="55" t="s">
        <v>214</v>
      </c>
      <c r="AN49" s="5"/>
      <c r="AO49" s="6"/>
      <c r="AP49" s="56">
        <v>46145.0</v>
      </c>
      <c r="AQ49" s="5"/>
      <c r="AR49" s="6"/>
      <c r="AS49" s="48"/>
      <c r="AT49" s="5"/>
      <c r="AU49" s="6"/>
      <c r="AV49" s="55" t="s">
        <v>50</v>
      </c>
      <c r="AW49" s="5"/>
      <c r="AX49" s="6"/>
      <c r="AY49" s="48"/>
      <c r="AZ49" s="5"/>
      <c r="BA49" s="6"/>
      <c r="BB49" s="55" t="s">
        <v>216</v>
      </c>
      <c r="BC49" s="5"/>
      <c r="BD49" s="6"/>
      <c r="BE49" s="55" t="s">
        <v>383</v>
      </c>
      <c r="BF49" s="5"/>
      <c r="BG49" s="6"/>
      <c r="BH49" s="48"/>
      <c r="BI49" s="5"/>
      <c r="BJ49" s="6"/>
      <c r="BK49" s="49"/>
      <c r="BL49" s="5"/>
      <c r="BM49" s="5"/>
      <c r="BN49" s="5"/>
      <c r="BO49" s="5"/>
      <c r="BP49" s="5"/>
      <c r="BQ49" s="6"/>
    </row>
    <row r="50" ht="319.5" customHeight="1">
      <c r="A50" s="47">
        <v>34.0</v>
      </c>
      <c r="B50" s="49" t="s">
        <v>435</v>
      </c>
      <c r="C50" s="5"/>
      <c r="D50" s="6"/>
      <c r="E50" s="49" t="s">
        <v>436</v>
      </c>
      <c r="F50" s="5"/>
      <c r="G50" s="5"/>
      <c r="H50" s="5"/>
      <c r="I50" s="6"/>
      <c r="J50" s="49" t="s">
        <v>437</v>
      </c>
      <c r="K50" s="5"/>
      <c r="L50" s="5"/>
      <c r="M50" s="5"/>
      <c r="N50" s="5"/>
      <c r="O50" s="5"/>
      <c r="P50" s="6"/>
      <c r="Q50" s="54" t="s">
        <v>438</v>
      </c>
      <c r="R50" s="5"/>
      <c r="S50" s="5"/>
      <c r="T50" s="5"/>
      <c r="U50" s="5"/>
      <c r="V50" s="5"/>
      <c r="W50" s="6"/>
      <c r="X50" s="49" t="s">
        <v>439</v>
      </c>
      <c r="Y50" s="5"/>
      <c r="Z50" s="5"/>
      <c r="AA50" s="5"/>
      <c r="AB50" s="5"/>
      <c r="AC50" s="5"/>
      <c r="AD50" s="6"/>
      <c r="AE50" s="48" t="s">
        <v>212</v>
      </c>
      <c r="AF50" s="6"/>
      <c r="AG50" s="55" t="s">
        <v>50</v>
      </c>
      <c r="AH50" s="5"/>
      <c r="AI50" s="6"/>
      <c r="AJ50" s="48"/>
      <c r="AK50" s="5"/>
      <c r="AL50" s="6"/>
      <c r="AM50" s="55" t="s">
        <v>214</v>
      </c>
      <c r="AN50" s="5"/>
      <c r="AO50" s="6"/>
      <c r="AP50" s="56">
        <v>46145.0</v>
      </c>
      <c r="AQ50" s="5"/>
      <c r="AR50" s="6"/>
      <c r="AS50" s="48"/>
      <c r="AT50" s="5"/>
      <c r="AU50" s="6"/>
      <c r="AV50" s="55" t="s">
        <v>50</v>
      </c>
      <c r="AW50" s="5"/>
      <c r="AX50" s="6"/>
      <c r="AY50" s="48"/>
      <c r="AZ50" s="5"/>
      <c r="BA50" s="6"/>
      <c r="BB50" s="55" t="s">
        <v>216</v>
      </c>
      <c r="BC50" s="5"/>
      <c r="BD50" s="6"/>
      <c r="BE50" s="55" t="s">
        <v>383</v>
      </c>
      <c r="BF50" s="5"/>
      <c r="BG50" s="6"/>
      <c r="BH50" s="48"/>
      <c r="BI50" s="5"/>
      <c r="BJ50" s="6"/>
      <c r="BK50" s="49"/>
      <c r="BL50" s="5"/>
      <c r="BM50" s="5"/>
      <c r="BN50" s="5"/>
      <c r="BO50" s="5"/>
      <c r="BP50" s="5"/>
      <c r="BQ50" s="6"/>
    </row>
    <row r="51" ht="447.75" customHeight="1">
      <c r="A51" s="47">
        <v>35.0</v>
      </c>
      <c r="B51" s="49" t="s">
        <v>440</v>
      </c>
      <c r="C51" s="5"/>
      <c r="D51" s="6"/>
      <c r="E51" s="49" t="s">
        <v>441</v>
      </c>
      <c r="F51" s="5"/>
      <c r="G51" s="5"/>
      <c r="H51" s="5"/>
      <c r="I51" s="6"/>
      <c r="J51" s="49" t="s">
        <v>442</v>
      </c>
      <c r="K51" s="5"/>
      <c r="L51" s="5"/>
      <c r="M51" s="5"/>
      <c r="N51" s="5"/>
      <c r="O51" s="5"/>
      <c r="P51" s="6"/>
      <c r="Q51" s="49" t="s">
        <v>443</v>
      </c>
      <c r="R51" s="5"/>
      <c r="S51" s="5"/>
      <c r="T51" s="5"/>
      <c r="U51" s="5"/>
      <c r="V51" s="5"/>
      <c r="W51" s="6"/>
      <c r="X51" s="54" t="s">
        <v>444</v>
      </c>
      <c r="Y51" s="5"/>
      <c r="Z51" s="5"/>
      <c r="AA51" s="5"/>
      <c r="AB51" s="5"/>
      <c r="AC51" s="5"/>
      <c r="AD51" s="6"/>
      <c r="AE51" s="48" t="s">
        <v>263</v>
      </c>
      <c r="AF51" s="6"/>
      <c r="AG51" s="55" t="s">
        <v>50</v>
      </c>
      <c r="AH51" s="5"/>
      <c r="AI51" s="6"/>
      <c r="AJ51" s="48"/>
      <c r="AK51" s="5"/>
      <c r="AL51" s="6"/>
      <c r="AM51" s="55" t="s">
        <v>214</v>
      </c>
      <c r="AN51" s="5"/>
      <c r="AO51" s="6"/>
      <c r="AP51" s="56">
        <v>46145.0</v>
      </c>
      <c r="AQ51" s="5"/>
      <c r="AR51" s="6"/>
      <c r="AS51" s="48"/>
      <c r="AT51" s="5"/>
      <c r="AU51" s="6"/>
      <c r="AV51" s="55" t="s">
        <v>50</v>
      </c>
      <c r="AW51" s="5"/>
      <c r="AX51" s="6"/>
      <c r="AY51" s="48"/>
      <c r="AZ51" s="5"/>
      <c r="BA51" s="6"/>
      <c r="BB51" s="55" t="s">
        <v>216</v>
      </c>
      <c r="BC51" s="5"/>
      <c r="BD51" s="6"/>
      <c r="BE51" s="55" t="s">
        <v>383</v>
      </c>
      <c r="BF51" s="5"/>
      <c r="BG51" s="6"/>
      <c r="BH51" s="48"/>
      <c r="BI51" s="5"/>
      <c r="BJ51" s="6"/>
      <c r="BK51" s="49" t="s">
        <v>279</v>
      </c>
      <c r="BL51" s="5"/>
      <c r="BM51" s="5"/>
      <c r="BN51" s="5"/>
      <c r="BO51" s="5"/>
      <c r="BP51" s="5"/>
      <c r="BQ51" s="6"/>
    </row>
    <row r="52" ht="22.5" customHeight="1">
      <c r="A52" s="21" t="s">
        <v>445</v>
      </c>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6"/>
    </row>
    <row r="53" ht="450.0" customHeight="1">
      <c r="A53" s="47">
        <v>36.0</v>
      </c>
      <c r="B53" s="49" t="s">
        <v>446</v>
      </c>
      <c r="C53" s="5"/>
      <c r="D53" s="6"/>
      <c r="E53" s="49" t="s">
        <v>447</v>
      </c>
      <c r="F53" s="5"/>
      <c r="G53" s="5"/>
      <c r="H53" s="5"/>
      <c r="I53" s="6"/>
      <c r="J53" s="49" t="s">
        <v>448</v>
      </c>
      <c r="K53" s="5"/>
      <c r="L53" s="5"/>
      <c r="M53" s="5"/>
      <c r="N53" s="5"/>
      <c r="O53" s="5"/>
      <c r="P53" s="6"/>
      <c r="Q53" s="54" t="s">
        <v>449</v>
      </c>
      <c r="R53" s="5"/>
      <c r="S53" s="5"/>
      <c r="T53" s="5"/>
      <c r="U53" s="5"/>
      <c r="V53" s="5"/>
      <c r="W53" s="6"/>
      <c r="X53" s="49" t="s">
        <v>450</v>
      </c>
      <c r="Y53" s="5"/>
      <c r="Z53" s="5"/>
      <c r="AA53" s="5"/>
      <c r="AB53" s="5"/>
      <c r="AC53" s="5"/>
      <c r="AD53" s="6"/>
      <c r="AE53" s="48" t="s">
        <v>212</v>
      </c>
      <c r="AF53" s="6"/>
      <c r="AG53" s="55" t="s">
        <v>50</v>
      </c>
      <c r="AH53" s="5"/>
      <c r="AI53" s="6"/>
      <c r="AJ53" s="48"/>
      <c r="AK53" s="5"/>
      <c r="AL53" s="6"/>
      <c r="AM53" s="55" t="s">
        <v>214</v>
      </c>
      <c r="AN53" s="5"/>
      <c r="AO53" s="6"/>
      <c r="AP53" s="56">
        <v>46145.0</v>
      </c>
      <c r="AQ53" s="5"/>
      <c r="AR53" s="6"/>
      <c r="AS53" s="48"/>
      <c r="AT53" s="5"/>
      <c r="AU53" s="6"/>
      <c r="AV53" s="55" t="s">
        <v>50</v>
      </c>
      <c r="AW53" s="5"/>
      <c r="AX53" s="6"/>
      <c r="AY53" s="48"/>
      <c r="AZ53" s="5"/>
      <c r="BA53" s="6"/>
      <c r="BB53" s="55" t="s">
        <v>216</v>
      </c>
      <c r="BC53" s="5"/>
      <c r="BD53" s="6"/>
      <c r="BE53" s="55" t="s">
        <v>383</v>
      </c>
      <c r="BF53" s="5"/>
      <c r="BG53" s="6"/>
      <c r="BH53" s="48"/>
      <c r="BI53" s="5"/>
      <c r="BJ53" s="6"/>
      <c r="BK53" s="49"/>
      <c r="BL53" s="5"/>
      <c r="BM53" s="5"/>
      <c r="BN53" s="5"/>
      <c r="BO53" s="5"/>
      <c r="BP53" s="5"/>
      <c r="BQ53" s="6"/>
    </row>
    <row r="54" ht="450.0" customHeight="1">
      <c r="A54" s="47">
        <v>37.0</v>
      </c>
      <c r="B54" s="49" t="s">
        <v>451</v>
      </c>
      <c r="C54" s="5"/>
      <c r="D54" s="6"/>
      <c r="E54" s="49" t="s">
        <v>452</v>
      </c>
      <c r="F54" s="5"/>
      <c r="G54" s="5"/>
      <c r="H54" s="5"/>
      <c r="I54" s="6"/>
      <c r="J54" s="49" t="s">
        <v>453</v>
      </c>
      <c r="K54" s="5"/>
      <c r="L54" s="5"/>
      <c r="M54" s="5"/>
      <c r="N54" s="5"/>
      <c r="O54" s="5"/>
      <c r="P54" s="6"/>
      <c r="Q54" s="49" t="s">
        <v>454</v>
      </c>
      <c r="R54" s="5"/>
      <c r="S54" s="5"/>
      <c r="T54" s="5"/>
      <c r="U54" s="5"/>
      <c r="V54" s="5"/>
      <c r="W54" s="6"/>
      <c r="X54" s="49" t="s">
        <v>455</v>
      </c>
      <c r="Y54" s="5"/>
      <c r="Z54" s="5"/>
      <c r="AA54" s="5"/>
      <c r="AB54" s="5"/>
      <c r="AC54" s="5"/>
      <c r="AD54" s="6"/>
      <c r="AE54" s="48" t="s">
        <v>212</v>
      </c>
      <c r="AF54" s="6"/>
      <c r="AG54" s="55" t="s">
        <v>50</v>
      </c>
      <c r="AH54" s="5"/>
      <c r="AI54" s="6"/>
      <c r="AJ54" s="48"/>
      <c r="AK54" s="5"/>
      <c r="AL54" s="6"/>
      <c r="AM54" s="55" t="s">
        <v>214</v>
      </c>
      <c r="AN54" s="5"/>
      <c r="AO54" s="6"/>
      <c r="AP54" s="56">
        <v>46145.0</v>
      </c>
      <c r="AQ54" s="5"/>
      <c r="AR54" s="6"/>
      <c r="AS54" s="48"/>
      <c r="AT54" s="5"/>
      <c r="AU54" s="6"/>
      <c r="AV54" s="55" t="s">
        <v>50</v>
      </c>
      <c r="AW54" s="5"/>
      <c r="AX54" s="6"/>
      <c r="AY54" s="48"/>
      <c r="AZ54" s="5"/>
      <c r="BA54" s="6"/>
      <c r="BB54" s="55" t="s">
        <v>216</v>
      </c>
      <c r="BC54" s="5"/>
      <c r="BD54" s="6"/>
      <c r="BE54" s="55" t="s">
        <v>383</v>
      </c>
      <c r="BF54" s="5"/>
      <c r="BG54" s="6"/>
      <c r="BH54" s="48"/>
      <c r="BI54" s="5"/>
      <c r="BJ54" s="6"/>
      <c r="BK54" s="49"/>
      <c r="BL54" s="5"/>
      <c r="BM54" s="5"/>
      <c r="BN54" s="5"/>
      <c r="BO54" s="5"/>
      <c r="BP54" s="5"/>
      <c r="BQ54" s="6"/>
    </row>
    <row r="55" ht="415.5" customHeight="1">
      <c r="A55" s="47">
        <v>38.0</v>
      </c>
      <c r="B55" s="49" t="s">
        <v>456</v>
      </c>
      <c r="C55" s="5"/>
      <c r="D55" s="6"/>
      <c r="E55" s="49" t="s">
        <v>457</v>
      </c>
      <c r="F55" s="5"/>
      <c r="G55" s="5"/>
      <c r="H55" s="5"/>
      <c r="I55" s="6"/>
      <c r="J55" s="49" t="s">
        <v>458</v>
      </c>
      <c r="K55" s="5"/>
      <c r="L55" s="5"/>
      <c r="M55" s="5"/>
      <c r="N55" s="5"/>
      <c r="O55" s="5"/>
      <c r="P55" s="6"/>
      <c r="Q55" s="54" t="s">
        <v>459</v>
      </c>
      <c r="R55" s="5"/>
      <c r="S55" s="5"/>
      <c r="T55" s="5"/>
      <c r="U55" s="5"/>
      <c r="V55" s="5"/>
      <c r="W55" s="6"/>
      <c r="X55" s="54" t="s">
        <v>460</v>
      </c>
      <c r="Y55" s="5"/>
      <c r="Z55" s="5"/>
      <c r="AA55" s="5"/>
      <c r="AB55" s="5"/>
      <c r="AC55" s="5"/>
      <c r="AD55" s="6"/>
      <c r="AE55" s="48" t="s">
        <v>263</v>
      </c>
      <c r="AF55" s="6"/>
      <c r="AG55" s="55" t="s">
        <v>50</v>
      </c>
      <c r="AH55" s="5"/>
      <c r="AI55" s="6"/>
      <c r="AJ55" s="48"/>
      <c r="AK55" s="5"/>
      <c r="AL55" s="6"/>
      <c r="AM55" s="55" t="s">
        <v>214</v>
      </c>
      <c r="AN55" s="5"/>
      <c r="AO55" s="6"/>
      <c r="AP55" s="56">
        <v>46145.0</v>
      </c>
      <c r="AQ55" s="5"/>
      <c r="AR55" s="6"/>
      <c r="AS55" s="48"/>
      <c r="AT55" s="5"/>
      <c r="AU55" s="6"/>
      <c r="AV55" s="55" t="s">
        <v>50</v>
      </c>
      <c r="AW55" s="5"/>
      <c r="AX55" s="6"/>
      <c r="AY55" s="48"/>
      <c r="AZ55" s="5"/>
      <c r="BA55" s="6"/>
      <c r="BB55" s="55" t="s">
        <v>216</v>
      </c>
      <c r="BC55" s="5"/>
      <c r="BD55" s="6"/>
      <c r="BE55" s="55" t="s">
        <v>383</v>
      </c>
      <c r="BF55" s="5"/>
      <c r="BG55" s="6"/>
      <c r="BH55" s="48"/>
      <c r="BI55" s="5"/>
      <c r="BJ55" s="6"/>
      <c r="BK55" s="49"/>
      <c r="BL55" s="5"/>
      <c r="BM55" s="5"/>
      <c r="BN55" s="5"/>
      <c r="BO55" s="5"/>
      <c r="BP55" s="5"/>
      <c r="BQ55" s="6"/>
    </row>
    <row r="56" ht="450.0" customHeight="1">
      <c r="A56" s="47">
        <v>39.0</v>
      </c>
      <c r="B56" s="49" t="s">
        <v>461</v>
      </c>
      <c r="C56" s="5"/>
      <c r="D56" s="6"/>
      <c r="E56" s="49" t="s">
        <v>462</v>
      </c>
      <c r="F56" s="5"/>
      <c r="G56" s="5"/>
      <c r="H56" s="5"/>
      <c r="I56" s="6"/>
      <c r="J56" s="49" t="s">
        <v>458</v>
      </c>
      <c r="K56" s="5"/>
      <c r="L56" s="5"/>
      <c r="M56" s="5"/>
      <c r="N56" s="5"/>
      <c r="O56" s="5"/>
      <c r="P56" s="6"/>
      <c r="Q56" s="49" t="s">
        <v>463</v>
      </c>
      <c r="R56" s="5"/>
      <c r="S56" s="5"/>
      <c r="T56" s="5"/>
      <c r="U56" s="5"/>
      <c r="V56" s="5"/>
      <c r="W56" s="6"/>
      <c r="X56" s="49" t="s">
        <v>464</v>
      </c>
      <c r="Y56" s="5"/>
      <c r="Z56" s="5"/>
      <c r="AA56" s="5"/>
      <c r="AB56" s="5"/>
      <c r="AC56" s="5"/>
      <c r="AD56" s="6"/>
      <c r="AE56" s="48" t="s">
        <v>263</v>
      </c>
      <c r="AF56" s="6"/>
      <c r="AG56" s="55" t="s">
        <v>50</v>
      </c>
      <c r="AH56" s="5"/>
      <c r="AI56" s="6"/>
      <c r="AJ56" s="48"/>
      <c r="AK56" s="5"/>
      <c r="AL56" s="6"/>
      <c r="AM56" s="55" t="s">
        <v>214</v>
      </c>
      <c r="AN56" s="5"/>
      <c r="AO56" s="6"/>
      <c r="AP56" s="56">
        <v>46145.0</v>
      </c>
      <c r="AQ56" s="5"/>
      <c r="AR56" s="6"/>
      <c r="AS56" s="48"/>
      <c r="AT56" s="5"/>
      <c r="AU56" s="6"/>
      <c r="AV56" s="55" t="s">
        <v>50</v>
      </c>
      <c r="AW56" s="5"/>
      <c r="AX56" s="6"/>
      <c r="AY56" s="48"/>
      <c r="AZ56" s="5"/>
      <c r="BA56" s="6"/>
      <c r="BB56" s="55" t="s">
        <v>216</v>
      </c>
      <c r="BC56" s="5"/>
      <c r="BD56" s="6"/>
      <c r="BE56" s="55" t="s">
        <v>383</v>
      </c>
      <c r="BF56" s="5"/>
      <c r="BG56" s="6"/>
      <c r="BH56" s="48"/>
      <c r="BI56" s="5"/>
      <c r="BJ56" s="6"/>
      <c r="BK56" s="49"/>
      <c r="BL56" s="5"/>
      <c r="BM56" s="5"/>
      <c r="BN56" s="5"/>
      <c r="BO56" s="5"/>
      <c r="BP56" s="5"/>
      <c r="BQ56" s="6"/>
    </row>
    <row r="57" ht="450.0" customHeight="1">
      <c r="A57" s="47">
        <v>40.0</v>
      </c>
      <c r="B57" s="49" t="s">
        <v>465</v>
      </c>
      <c r="C57" s="5"/>
      <c r="D57" s="6"/>
      <c r="E57" s="49" t="s">
        <v>466</v>
      </c>
      <c r="F57" s="5"/>
      <c r="G57" s="5"/>
      <c r="H57" s="5"/>
      <c r="I57" s="6"/>
      <c r="J57" s="49" t="s">
        <v>467</v>
      </c>
      <c r="K57" s="5"/>
      <c r="L57" s="5"/>
      <c r="M57" s="5"/>
      <c r="N57" s="5"/>
      <c r="O57" s="5"/>
      <c r="P57" s="6"/>
      <c r="Q57" s="49" t="s">
        <v>468</v>
      </c>
      <c r="R57" s="5"/>
      <c r="S57" s="5"/>
      <c r="T57" s="5"/>
      <c r="U57" s="5"/>
      <c r="V57" s="5"/>
      <c r="W57" s="6"/>
      <c r="X57" s="49" t="s">
        <v>469</v>
      </c>
      <c r="Y57" s="5"/>
      <c r="Z57" s="5"/>
      <c r="AA57" s="5"/>
      <c r="AB57" s="5"/>
      <c r="AC57" s="5"/>
      <c r="AD57" s="6"/>
      <c r="AE57" s="48" t="s">
        <v>263</v>
      </c>
      <c r="AF57" s="6"/>
      <c r="AG57" s="55" t="s">
        <v>50</v>
      </c>
      <c r="AH57" s="5"/>
      <c r="AI57" s="6"/>
      <c r="AJ57" s="48"/>
      <c r="AK57" s="5"/>
      <c r="AL57" s="6"/>
      <c r="AM57" s="55" t="s">
        <v>214</v>
      </c>
      <c r="AN57" s="5"/>
      <c r="AO57" s="6"/>
      <c r="AP57" s="56">
        <v>46145.0</v>
      </c>
      <c r="AQ57" s="5"/>
      <c r="AR57" s="6"/>
      <c r="AS57" s="48"/>
      <c r="AT57" s="5"/>
      <c r="AU57" s="6"/>
      <c r="AV57" s="55" t="s">
        <v>50</v>
      </c>
      <c r="AW57" s="5"/>
      <c r="AX57" s="6"/>
      <c r="AY57" s="48"/>
      <c r="AZ57" s="5"/>
      <c r="BA57" s="6"/>
      <c r="BB57" s="55" t="s">
        <v>216</v>
      </c>
      <c r="BC57" s="5"/>
      <c r="BD57" s="6"/>
      <c r="BE57" s="55" t="s">
        <v>383</v>
      </c>
      <c r="BF57" s="5"/>
      <c r="BG57" s="6"/>
      <c r="BH57" s="48"/>
      <c r="BI57" s="5"/>
      <c r="BJ57" s="6"/>
      <c r="BK57" s="49"/>
      <c r="BL57" s="5"/>
      <c r="BM57" s="5"/>
      <c r="BN57" s="5"/>
      <c r="BO57" s="5"/>
      <c r="BP57" s="5"/>
      <c r="BQ57" s="6"/>
    </row>
    <row r="58" ht="450.0" customHeight="1">
      <c r="A58" s="47">
        <v>41.0</v>
      </c>
      <c r="B58" s="49" t="s">
        <v>470</v>
      </c>
      <c r="C58" s="5"/>
      <c r="D58" s="6"/>
      <c r="E58" s="49" t="s">
        <v>471</v>
      </c>
      <c r="F58" s="5"/>
      <c r="G58" s="5"/>
      <c r="H58" s="5"/>
      <c r="I58" s="6"/>
      <c r="J58" s="49" t="s">
        <v>472</v>
      </c>
      <c r="K58" s="5"/>
      <c r="L58" s="5"/>
      <c r="M58" s="5"/>
      <c r="N58" s="5"/>
      <c r="O58" s="5"/>
      <c r="P58" s="6"/>
      <c r="Q58" s="49" t="s">
        <v>473</v>
      </c>
      <c r="R58" s="5"/>
      <c r="S58" s="5"/>
      <c r="T58" s="5"/>
      <c r="U58" s="5"/>
      <c r="V58" s="5"/>
      <c r="W58" s="6"/>
      <c r="X58" s="49" t="s">
        <v>474</v>
      </c>
      <c r="Y58" s="5"/>
      <c r="Z58" s="5"/>
      <c r="AA58" s="5"/>
      <c r="AB58" s="5"/>
      <c r="AC58" s="5"/>
      <c r="AD58" s="6"/>
      <c r="AE58" s="48" t="s">
        <v>212</v>
      </c>
      <c r="AF58" s="6"/>
      <c r="AG58" s="55" t="s">
        <v>50</v>
      </c>
      <c r="AH58" s="5"/>
      <c r="AI58" s="6"/>
      <c r="AJ58" s="48"/>
      <c r="AK58" s="5"/>
      <c r="AL58" s="6"/>
      <c r="AM58" s="55" t="s">
        <v>214</v>
      </c>
      <c r="AN58" s="5"/>
      <c r="AO58" s="6"/>
      <c r="AP58" s="56">
        <v>46145.0</v>
      </c>
      <c r="AQ58" s="5"/>
      <c r="AR58" s="6"/>
      <c r="AS58" s="48"/>
      <c r="AT58" s="5"/>
      <c r="AU58" s="6"/>
      <c r="AV58" s="55" t="s">
        <v>50</v>
      </c>
      <c r="AW58" s="5"/>
      <c r="AX58" s="6"/>
      <c r="AY58" s="48"/>
      <c r="AZ58" s="5"/>
      <c r="BA58" s="6"/>
      <c r="BB58" s="55" t="s">
        <v>216</v>
      </c>
      <c r="BC58" s="5"/>
      <c r="BD58" s="6"/>
      <c r="BE58" s="55" t="s">
        <v>383</v>
      </c>
      <c r="BF58" s="5"/>
      <c r="BG58" s="6"/>
      <c r="BH58" s="48"/>
      <c r="BI58" s="5"/>
      <c r="BJ58" s="6"/>
      <c r="BK58" s="49"/>
      <c r="BL58" s="5"/>
      <c r="BM58" s="5"/>
      <c r="BN58" s="5"/>
      <c r="BO58" s="5"/>
      <c r="BP58" s="5"/>
      <c r="BQ58" s="6"/>
    </row>
    <row r="59" ht="319.5" customHeight="1">
      <c r="A59" s="47">
        <v>42.0</v>
      </c>
      <c r="B59" s="49" t="s">
        <v>475</v>
      </c>
      <c r="C59" s="5"/>
      <c r="D59" s="6"/>
      <c r="E59" s="49" t="s">
        <v>476</v>
      </c>
      <c r="F59" s="5"/>
      <c r="G59" s="5"/>
      <c r="H59" s="5"/>
      <c r="I59" s="6"/>
      <c r="J59" s="49" t="s">
        <v>477</v>
      </c>
      <c r="K59" s="5"/>
      <c r="L59" s="5"/>
      <c r="M59" s="5"/>
      <c r="N59" s="5"/>
      <c r="O59" s="5"/>
      <c r="P59" s="6"/>
      <c r="Q59" s="49" t="s">
        <v>478</v>
      </c>
      <c r="R59" s="5"/>
      <c r="S59" s="5"/>
      <c r="T59" s="5"/>
      <c r="U59" s="5"/>
      <c r="V59" s="5"/>
      <c r="W59" s="6"/>
      <c r="X59" s="49" t="s">
        <v>479</v>
      </c>
      <c r="Y59" s="5"/>
      <c r="Z59" s="5"/>
      <c r="AA59" s="5"/>
      <c r="AB59" s="5"/>
      <c r="AC59" s="5"/>
      <c r="AD59" s="6"/>
      <c r="AE59" s="48" t="s">
        <v>263</v>
      </c>
      <c r="AF59" s="6"/>
      <c r="AG59" s="55" t="s">
        <v>50</v>
      </c>
      <c r="AH59" s="5"/>
      <c r="AI59" s="6"/>
      <c r="AJ59" s="48"/>
      <c r="AK59" s="5"/>
      <c r="AL59" s="6"/>
      <c r="AM59" s="55" t="s">
        <v>214</v>
      </c>
      <c r="AN59" s="5"/>
      <c r="AO59" s="6"/>
      <c r="AP59" s="56">
        <v>46145.0</v>
      </c>
      <c r="AQ59" s="5"/>
      <c r="AR59" s="6"/>
      <c r="AS59" s="48"/>
      <c r="AT59" s="5"/>
      <c r="AU59" s="6"/>
      <c r="AV59" s="55" t="s">
        <v>50</v>
      </c>
      <c r="AW59" s="5"/>
      <c r="AX59" s="6"/>
      <c r="AY59" s="48"/>
      <c r="AZ59" s="5"/>
      <c r="BA59" s="6"/>
      <c r="BB59" s="55" t="s">
        <v>216</v>
      </c>
      <c r="BC59" s="5"/>
      <c r="BD59" s="6"/>
      <c r="BE59" s="55" t="s">
        <v>383</v>
      </c>
      <c r="BF59" s="5"/>
      <c r="BG59" s="6"/>
      <c r="BH59" s="48"/>
      <c r="BI59" s="5"/>
      <c r="BJ59" s="6"/>
      <c r="BK59" s="49"/>
      <c r="BL59" s="5"/>
      <c r="BM59" s="5"/>
      <c r="BN59" s="5"/>
      <c r="BO59" s="5"/>
      <c r="BP59" s="5"/>
      <c r="BQ59" s="6"/>
    </row>
    <row r="60" ht="351.75" customHeight="1">
      <c r="A60" s="47">
        <v>43.0</v>
      </c>
      <c r="B60" s="49" t="s">
        <v>480</v>
      </c>
      <c r="C60" s="5"/>
      <c r="D60" s="6"/>
      <c r="E60" s="49" t="s">
        <v>481</v>
      </c>
      <c r="F60" s="5"/>
      <c r="G60" s="5"/>
      <c r="H60" s="5"/>
      <c r="I60" s="6"/>
      <c r="J60" s="49" t="s">
        <v>482</v>
      </c>
      <c r="K60" s="5"/>
      <c r="L60" s="5"/>
      <c r="M60" s="5"/>
      <c r="N60" s="5"/>
      <c r="O60" s="5"/>
      <c r="P60" s="6"/>
      <c r="Q60" s="49" t="s">
        <v>483</v>
      </c>
      <c r="R60" s="5"/>
      <c r="S60" s="5"/>
      <c r="T60" s="5"/>
      <c r="U60" s="5"/>
      <c r="V60" s="5"/>
      <c r="W60" s="6"/>
      <c r="X60" s="49" t="s">
        <v>484</v>
      </c>
      <c r="Y60" s="5"/>
      <c r="Z60" s="5"/>
      <c r="AA60" s="5"/>
      <c r="AB60" s="5"/>
      <c r="AC60" s="5"/>
      <c r="AD60" s="6"/>
      <c r="AE60" s="48" t="s">
        <v>263</v>
      </c>
      <c r="AF60" s="6"/>
      <c r="AG60" s="55" t="s">
        <v>50</v>
      </c>
      <c r="AH60" s="5"/>
      <c r="AI60" s="6"/>
      <c r="AJ60" s="48"/>
      <c r="AK60" s="5"/>
      <c r="AL60" s="6"/>
      <c r="AM60" s="55" t="s">
        <v>214</v>
      </c>
      <c r="AN60" s="5"/>
      <c r="AO60" s="6"/>
      <c r="AP60" s="56">
        <v>46145.0</v>
      </c>
      <c r="AQ60" s="5"/>
      <c r="AR60" s="6"/>
      <c r="AS60" s="48"/>
      <c r="AT60" s="5"/>
      <c r="AU60" s="6"/>
      <c r="AV60" s="55" t="s">
        <v>50</v>
      </c>
      <c r="AW60" s="5"/>
      <c r="AX60" s="6"/>
      <c r="AY60" s="48"/>
      <c r="AZ60" s="5"/>
      <c r="BA60" s="6"/>
      <c r="BB60" s="55" t="s">
        <v>216</v>
      </c>
      <c r="BC60" s="5"/>
      <c r="BD60" s="6"/>
      <c r="BE60" s="55" t="s">
        <v>383</v>
      </c>
      <c r="BF60" s="5"/>
      <c r="BG60" s="6"/>
      <c r="BH60" s="48"/>
      <c r="BI60" s="5"/>
      <c r="BJ60" s="6"/>
      <c r="BK60" s="49"/>
      <c r="BL60" s="5"/>
      <c r="BM60" s="5"/>
      <c r="BN60" s="5"/>
      <c r="BO60" s="5"/>
      <c r="BP60" s="5"/>
      <c r="BQ60" s="6"/>
    </row>
    <row r="61" ht="384.0" customHeight="1">
      <c r="A61" s="47">
        <v>44.0</v>
      </c>
      <c r="B61" s="49" t="s">
        <v>485</v>
      </c>
      <c r="C61" s="5"/>
      <c r="D61" s="6"/>
      <c r="E61" s="49" t="s">
        <v>486</v>
      </c>
      <c r="F61" s="5"/>
      <c r="G61" s="5"/>
      <c r="H61" s="5"/>
      <c r="I61" s="6"/>
      <c r="J61" s="49" t="s">
        <v>487</v>
      </c>
      <c r="K61" s="5"/>
      <c r="L61" s="5"/>
      <c r="M61" s="5"/>
      <c r="N61" s="5"/>
      <c r="O61" s="5"/>
      <c r="P61" s="6"/>
      <c r="Q61" s="49" t="s">
        <v>488</v>
      </c>
      <c r="R61" s="5"/>
      <c r="S61" s="5"/>
      <c r="T61" s="5"/>
      <c r="U61" s="5"/>
      <c r="V61" s="5"/>
      <c r="W61" s="6"/>
      <c r="X61" s="49" t="s">
        <v>489</v>
      </c>
      <c r="Y61" s="5"/>
      <c r="Z61" s="5"/>
      <c r="AA61" s="5"/>
      <c r="AB61" s="5"/>
      <c r="AC61" s="5"/>
      <c r="AD61" s="6"/>
      <c r="AE61" s="48" t="s">
        <v>263</v>
      </c>
      <c r="AF61" s="6"/>
      <c r="AG61" s="55" t="s">
        <v>50</v>
      </c>
      <c r="AH61" s="5"/>
      <c r="AI61" s="6"/>
      <c r="AJ61" s="48"/>
      <c r="AK61" s="5"/>
      <c r="AL61" s="6"/>
      <c r="AM61" s="55" t="s">
        <v>214</v>
      </c>
      <c r="AN61" s="5"/>
      <c r="AO61" s="6"/>
      <c r="AP61" s="56">
        <v>46145.0</v>
      </c>
      <c r="AQ61" s="5"/>
      <c r="AR61" s="6"/>
      <c r="AS61" s="48"/>
      <c r="AT61" s="5"/>
      <c r="AU61" s="6"/>
      <c r="AV61" s="55" t="s">
        <v>50</v>
      </c>
      <c r="AW61" s="5"/>
      <c r="AX61" s="6"/>
      <c r="AY61" s="48"/>
      <c r="AZ61" s="5"/>
      <c r="BA61" s="6"/>
      <c r="BB61" s="55" t="s">
        <v>216</v>
      </c>
      <c r="BC61" s="5"/>
      <c r="BD61" s="6"/>
      <c r="BE61" s="55" t="s">
        <v>383</v>
      </c>
      <c r="BF61" s="5"/>
      <c r="BG61" s="6"/>
      <c r="BH61" s="48"/>
      <c r="BI61" s="5"/>
      <c r="BJ61" s="6"/>
      <c r="BK61" s="49"/>
      <c r="BL61" s="5"/>
      <c r="BM61" s="5"/>
      <c r="BN61" s="5"/>
      <c r="BO61" s="5"/>
      <c r="BP61" s="5"/>
      <c r="BQ61" s="6"/>
    </row>
    <row r="62" ht="384.0" customHeight="1">
      <c r="A62" s="47">
        <v>45.0</v>
      </c>
      <c r="B62" s="49" t="s">
        <v>490</v>
      </c>
      <c r="C62" s="5"/>
      <c r="D62" s="6"/>
      <c r="E62" s="49" t="s">
        <v>491</v>
      </c>
      <c r="F62" s="5"/>
      <c r="G62" s="5"/>
      <c r="H62" s="5"/>
      <c r="I62" s="6"/>
      <c r="J62" s="49" t="s">
        <v>492</v>
      </c>
      <c r="K62" s="5"/>
      <c r="L62" s="5"/>
      <c r="M62" s="5"/>
      <c r="N62" s="5"/>
      <c r="O62" s="5"/>
      <c r="P62" s="6"/>
      <c r="Q62" s="49" t="s">
        <v>493</v>
      </c>
      <c r="R62" s="5"/>
      <c r="S62" s="5"/>
      <c r="T62" s="5"/>
      <c r="U62" s="5"/>
      <c r="V62" s="5"/>
      <c r="W62" s="6"/>
      <c r="X62" s="49" t="s">
        <v>494</v>
      </c>
      <c r="Y62" s="5"/>
      <c r="Z62" s="5"/>
      <c r="AA62" s="5"/>
      <c r="AB62" s="5"/>
      <c r="AC62" s="5"/>
      <c r="AD62" s="6"/>
      <c r="AE62" s="48" t="s">
        <v>212</v>
      </c>
      <c r="AF62" s="6"/>
      <c r="AG62" s="55" t="s">
        <v>50</v>
      </c>
      <c r="AH62" s="5"/>
      <c r="AI62" s="6"/>
      <c r="AJ62" s="48"/>
      <c r="AK62" s="5"/>
      <c r="AL62" s="6"/>
      <c r="AM62" s="55" t="s">
        <v>214</v>
      </c>
      <c r="AN62" s="5"/>
      <c r="AO62" s="6"/>
      <c r="AP62" s="56">
        <v>46145.0</v>
      </c>
      <c r="AQ62" s="5"/>
      <c r="AR62" s="6"/>
      <c r="AS62" s="48"/>
      <c r="AT62" s="5"/>
      <c r="AU62" s="6"/>
      <c r="AV62" s="55" t="s">
        <v>50</v>
      </c>
      <c r="AW62" s="5"/>
      <c r="AX62" s="6"/>
      <c r="AY62" s="48"/>
      <c r="AZ62" s="5"/>
      <c r="BA62" s="6"/>
      <c r="BB62" s="55" t="s">
        <v>216</v>
      </c>
      <c r="BC62" s="5"/>
      <c r="BD62" s="6"/>
      <c r="BE62" s="55" t="s">
        <v>383</v>
      </c>
      <c r="BF62" s="5"/>
      <c r="BG62" s="6"/>
      <c r="BH62" s="48"/>
      <c r="BI62" s="5"/>
      <c r="BJ62" s="6"/>
      <c r="BK62" s="49" t="s">
        <v>279</v>
      </c>
      <c r="BL62" s="5"/>
      <c r="BM62" s="5"/>
      <c r="BN62" s="5"/>
      <c r="BO62" s="5"/>
      <c r="BP62" s="5"/>
      <c r="BQ62" s="6"/>
    </row>
    <row r="63" ht="22.5" customHeight="1">
      <c r="A63" s="21" t="s">
        <v>495</v>
      </c>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6"/>
    </row>
    <row r="64" ht="399.75" customHeight="1">
      <c r="A64" s="47">
        <v>46.0</v>
      </c>
      <c r="B64" s="49" t="s">
        <v>496</v>
      </c>
      <c r="C64" s="5"/>
      <c r="D64" s="6"/>
      <c r="E64" s="49" t="s">
        <v>497</v>
      </c>
      <c r="F64" s="5"/>
      <c r="G64" s="5"/>
      <c r="H64" s="5"/>
      <c r="I64" s="6"/>
      <c r="J64" s="49" t="s">
        <v>498</v>
      </c>
      <c r="K64" s="5"/>
      <c r="L64" s="5"/>
      <c r="M64" s="5"/>
      <c r="N64" s="5"/>
      <c r="O64" s="5"/>
      <c r="P64" s="6"/>
      <c r="Q64" s="54" t="s">
        <v>499</v>
      </c>
      <c r="R64" s="5"/>
      <c r="S64" s="5"/>
      <c r="T64" s="5"/>
      <c r="U64" s="5"/>
      <c r="V64" s="5"/>
      <c r="W64" s="6"/>
      <c r="X64" s="54" t="s">
        <v>500</v>
      </c>
      <c r="Y64" s="5"/>
      <c r="Z64" s="5"/>
      <c r="AA64" s="5"/>
      <c r="AB64" s="5"/>
      <c r="AC64" s="5"/>
      <c r="AD64" s="6"/>
      <c r="AE64" s="48" t="s">
        <v>263</v>
      </c>
      <c r="AF64" s="6"/>
      <c r="AG64" s="55" t="s">
        <v>50</v>
      </c>
      <c r="AH64" s="5"/>
      <c r="AI64" s="6"/>
      <c r="AJ64" s="48"/>
      <c r="AK64" s="5"/>
      <c r="AL64" s="6"/>
      <c r="AM64" s="55" t="s">
        <v>214</v>
      </c>
      <c r="AN64" s="5"/>
      <c r="AO64" s="6"/>
      <c r="AP64" s="56">
        <v>46145.0</v>
      </c>
      <c r="AQ64" s="5"/>
      <c r="AR64" s="6"/>
      <c r="AS64" s="48"/>
      <c r="AT64" s="5"/>
      <c r="AU64" s="6"/>
      <c r="AV64" s="55" t="s">
        <v>50</v>
      </c>
      <c r="AW64" s="5"/>
      <c r="AX64" s="6"/>
      <c r="AY64" s="48"/>
      <c r="AZ64" s="5"/>
      <c r="BA64" s="6"/>
      <c r="BB64" s="55" t="s">
        <v>216</v>
      </c>
      <c r="BC64" s="5"/>
      <c r="BD64" s="6"/>
      <c r="BE64" s="55" t="s">
        <v>501</v>
      </c>
      <c r="BF64" s="5"/>
      <c r="BG64" s="6"/>
      <c r="BH64" s="48"/>
      <c r="BI64" s="5"/>
      <c r="BJ64" s="6"/>
      <c r="BK64" s="49"/>
      <c r="BL64" s="5"/>
      <c r="BM64" s="5"/>
      <c r="BN64" s="5"/>
      <c r="BO64" s="5"/>
      <c r="BP64" s="5"/>
      <c r="BQ64" s="6"/>
    </row>
    <row r="65" ht="255.75" customHeight="1">
      <c r="A65" s="47">
        <v>47.0</v>
      </c>
      <c r="B65" s="49" t="s">
        <v>502</v>
      </c>
      <c r="C65" s="5"/>
      <c r="D65" s="6"/>
      <c r="E65" s="49" t="s">
        <v>503</v>
      </c>
      <c r="F65" s="5"/>
      <c r="G65" s="5"/>
      <c r="H65" s="5"/>
      <c r="I65" s="6"/>
      <c r="J65" s="49" t="s">
        <v>504</v>
      </c>
      <c r="K65" s="5"/>
      <c r="L65" s="5"/>
      <c r="M65" s="5"/>
      <c r="N65" s="5"/>
      <c r="O65" s="5"/>
      <c r="P65" s="6"/>
      <c r="Q65" s="49" t="s">
        <v>505</v>
      </c>
      <c r="R65" s="5"/>
      <c r="S65" s="5"/>
      <c r="T65" s="5"/>
      <c r="U65" s="5"/>
      <c r="V65" s="5"/>
      <c r="W65" s="6"/>
      <c r="X65" s="54" t="s">
        <v>506</v>
      </c>
      <c r="Y65" s="5"/>
      <c r="Z65" s="5"/>
      <c r="AA65" s="5"/>
      <c r="AB65" s="5"/>
      <c r="AC65" s="5"/>
      <c r="AD65" s="6"/>
      <c r="AE65" s="48" t="s">
        <v>263</v>
      </c>
      <c r="AF65" s="6"/>
      <c r="AG65" s="55" t="s">
        <v>50</v>
      </c>
      <c r="AH65" s="5"/>
      <c r="AI65" s="6"/>
      <c r="AJ65" s="48"/>
      <c r="AK65" s="5"/>
      <c r="AL65" s="6"/>
      <c r="AM65" s="55" t="s">
        <v>214</v>
      </c>
      <c r="AN65" s="5"/>
      <c r="AO65" s="6"/>
      <c r="AP65" s="56">
        <v>46145.0</v>
      </c>
      <c r="AQ65" s="5"/>
      <c r="AR65" s="6"/>
      <c r="AS65" s="48"/>
      <c r="AT65" s="5"/>
      <c r="AU65" s="6"/>
      <c r="AV65" s="55" t="s">
        <v>50</v>
      </c>
      <c r="AW65" s="5"/>
      <c r="AX65" s="6"/>
      <c r="AY65" s="48"/>
      <c r="AZ65" s="5"/>
      <c r="BA65" s="6"/>
      <c r="BB65" s="55" t="s">
        <v>216</v>
      </c>
      <c r="BC65" s="5"/>
      <c r="BD65" s="6"/>
      <c r="BE65" s="55" t="s">
        <v>501</v>
      </c>
      <c r="BF65" s="5"/>
      <c r="BG65" s="6"/>
      <c r="BH65" s="48"/>
      <c r="BI65" s="5"/>
      <c r="BJ65" s="6"/>
      <c r="BK65" s="49"/>
      <c r="BL65" s="5"/>
      <c r="BM65" s="5"/>
      <c r="BN65" s="5"/>
      <c r="BO65" s="5"/>
      <c r="BP65" s="5"/>
      <c r="BQ65" s="6"/>
    </row>
    <row r="66" ht="255.75" customHeight="1">
      <c r="A66" s="47">
        <v>48.0</v>
      </c>
      <c r="B66" s="49" t="s">
        <v>507</v>
      </c>
      <c r="C66" s="5"/>
      <c r="D66" s="6"/>
      <c r="E66" s="49" t="s">
        <v>508</v>
      </c>
      <c r="F66" s="5"/>
      <c r="G66" s="5"/>
      <c r="H66" s="5"/>
      <c r="I66" s="6"/>
      <c r="J66" s="49" t="s">
        <v>509</v>
      </c>
      <c r="K66" s="5"/>
      <c r="L66" s="5"/>
      <c r="M66" s="5"/>
      <c r="N66" s="5"/>
      <c r="O66" s="5"/>
      <c r="P66" s="6"/>
      <c r="Q66" s="54" t="s">
        <v>510</v>
      </c>
      <c r="R66" s="5"/>
      <c r="S66" s="5"/>
      <c r="T66" s="5"/>
      <c r="U66" s="5"/>
      <c r="V66" s="5"/>
      <c r="W66" s="6"/>
      <c r="X66" s="54" t="s">
        <v>511</v>
      </c>
      <c r="Y66" s="5"/>
      <c r="Z66" s="5"/>
      <c r="AA66" s="5"/>
      <c r="AB66" s="5"/>
      <c r="AC66" s="5"/>
      <c r="AD66" s="6"/>
      <c r="AE66" s="48" t="s">
        <v>263</v>
      </c>
      <c r="AF66" s="6"/>
      <c r="AG66" s="55" t="s">
        <v>50</v>
      </c>
      <c r="AH66" s="5"/>
      <c r="AI66" s="6"/>
      <c r="AJ66" s="48"/>
      <c r="AK66" s="5"/>
      <c r="AL66" s="6"/>
      <c r="AM66" s="55" t="s">
        <v>214</v>
      </c>
      <c r="AN66" s="5"/>
      <c r="AO66" s="6"/>
      <c r="AP66" s="56">
        <v>46145.0</v>
      </c>
      <c r="AQ66" s="5"/>
      <c r="AR66" s="6"/>
      <c r="AS66" s="48"/>
      <c r="AT66" s="5"/>
      <c r="AU66" s="6"/>
      <c r="AV66" s="55" t="s">
        <v>50</v>
      </c>
      <c r="AW66" s="5"/>
      <c r="AX66" s="6"/>
      <c r="AY66" s="48"/>
      <c r="AZ66" s="5"/>
      <c r="BA66" s="6"/>
      <c r="BB66" s="55" t="s">
        <v>216</v>
      </c>
      <c r="BC66" s="5"/>
      <c r="BD66" s="6"/>
      <c r="BE66" s="55" t="s">
        <v>501</v>
      </c>
      <c r="BF66" s="5"/>
      <c r="BG66" s="6"/>
      <c r="BH66" s="48"/>
      <c r="BI66" s="5"/>
      <c r="BJ66" s="6"/>
      <c r="BK66" s="49"/>
      <c r="BL66" s="5"/>
      <c r="BM66" s="5"/>
      <c r="BN66" s="5"/>
      <c r="BO66" s="5"/>
      <c r="BP66" s="5"/>
      <c r="BQ66" s="6"/>
    </row>
    <row r="67" ht="319.5" customHeight="1">
      <c r="A67" s="47">
        <v>49.0</v>
      </c>
      <c r="B67" s="49" t="s">
        <v>512</v>
      </c>
      <c r="C67" s="5"/>
      <c r="D67" s="6"/>
      <c r="E67" s="49" t="s">
        <v>513</v>
      </c>
      <c r="F67" s="5"/>
      <c r="G67" s="5"/>
      <c r="H67" s="5"/>
      <c r="I67" s="6"/>
      <c r="J67" s="49" t="s">
        <v>514</v>
      </c>
      <c r="K67" s="5"/>
      <c r="L67" s="5"/>
      <c r="M67" s="5"/>
      <c r="N67" s="5"/>
      <c r="O67" s="5"/>
      <c r="P67" s="6"/>
      <c r="Q67" s="54" t="s">
        <v>515</v>
      </c>
      <c r="R67" s="5"/>
      <c r="S67" s="5"/>
      <c r="T67" s="5"/>
      <c r="U67" s="5"/>
      <c r="V67" s="5"/>
      <c r="W67" s="6"/>
      <c r="X67" s="49" t="s">
        <v>516</v>
      </c>
      <c r="Y67" s="5"/>
      <c r="Z67" s="5"/>
      <c r="AA67" s="5"/>
      <c r="AB67" s="5"/>
      <c r="AC67" s="5"/>
      <c r="AD67" s="6"/>
      <c r="AE67" s="48" t="s">
        <v>263</v>
      </c>
      <c r="AF67" s="6"/>
      <c r="AG67" s="55" t="s">
        <v>50</v>
      </c>
      <c r="AH67" s="5"/>
      <c r="AI67" s="6"/>
      <c r="AJ67" s="48"/>
      <c r="AK67" s="5"/>
      <c r="AL67" s="6"/>
      <c r="AM67" s="55" t="s">
        <v>214</v>
      </c>
      <c r="AN67" s="5"/>
      <c r="AO67" s="6"/>
      <c r="AP67" s="56">
        <v>46145.0</v>
      </c>
      <c r="AQ67" s="5"/>
      <c r="AR67" s="6"/>
      <c r="AS67" s="48"/>
      <c r="AT67" s="5"/>
      <c r="AU67" s="6"/>
      <c r="AV67" s="55" t="s">
        <v>50</v>
      </c>
      <c r="AW67" s="5"/>
      <c r="AX67" s="6"/>
      <c r="AY67" s="48"/>
      <c r="AZ67" s="5"/>
      <c r="BA67" s="6"/>
      <c r="BB67" s="55" t="s">
        <v>216</v>
      </c>
      <c r="BC67" s="5"/>
      <c r="BD67" s="6"/>
      <c r="BE67" s="55" t="s">
        <v>501</v>
      </c>
      <c r="BF67" s="5"/>
      <c r="BG67" s="6"/>
      <c r="BH67" s="48"/>
      <c r="BI67" s="5"/>
      <c r="BJ67" s="6"/>
      <c r="BK67" s="49"/>
      <c r="BL67" s="5"/>
      <c r="BM67" s="5"/>
      <c r="BN67" s="5"/>
      <c r="BO67" s="5"/>
      <c r="BP67" s="5"/>
      <c r="BQ67" s="6"/>
    </row>
    <row r="68" ht="447.75" customHeight="1">
      <c r="A68" s="47">
        <v>50.0</v>
      </c>
      <c r="B68" s="49" t="s">
        <v>517</v>
      </c>
      <c r="C68" s="5"/>
      <c r="D68" s="6"/>
      <c r="E68" s="49" t="s">
        <v>518</v>
      </c>
      <c r="F68" s="5"/>
      <c r="G68" s="5"/>
      <c r="H68" s="5"/>
      <c r="I68" s="6"/>
      <c r="J68" s="49" t="s">
        <v>519</v>
      </c>
      <c r="K68" s="5"/>
      <c r="L68" s="5"/>
      <c r="M68" s="5"/>
      <c r="N68" s="5"/>
      <c r="O68" s="5"/>
      <c r="P68" s="6"/>
      <c r="Q68" s="49" t="s">
        <v>520</v>
      </c>
      <c r="R68" s="5"/>
      <c r="S68" s="5"/>
      <c r="T68" s="5"/>
      <c r="U68" s="5"/>
      <c r="V68" s="5"/>
      <c r="W68" s="6"/>
      <c r="X68" s="49" t="s">
        <v>521</v>
      </c>
      <c r="Y68" s="5"/>
      <c r="Z68" s="5"/>
      <c r="AA68" s="5"/>
      <c r="AB68" s="5"/>
      <c r="AC68" s="5"/>
      <c r="AD68" s="6"/>
      <c r="AE68" s="48" t="s">
        <v>263</v>
      </c>
      <c r="AF68" s="6"/>
      <c r="AG68" s="55" t="s">
        <v>52</v>
      </c>
      <c r="AH68" s="5"/>
      <c r="AI68" s="6"/>
      <c r="AJ68" s="48"/>
      <c r="AK68" s="5"/>
      <c r="AL68" s="6"/>
      <c r="AM68" s="48"/>
      <c r="AN68" s="5"/>
      <c r="AO68" s="6"/>
      <c r="AP68" s="48"/>
      <c r="AQ68" s="5"/>
      <c r="AR68" s="6"/>
      <c r="AS68" s="48"/>
      <c r="AT68" s="5"/>
      <c r="AU68" s="6"/>
      <c r="AV68" s="55" t="s">
        <v>50</v>
      </c>
      <c r="AW68" s="5"/>
      <c r="AX68" s="6"/>
      <c r="AY68" s="48"/>
      <c r="AZ68" s="5"/>
      <c r="BA68" s="6"/>
      <c r="BB68" s="55" t="s">
        <v>216</v>
      </c>
      <c r="BC68" s="5"/>
      <c r="BD68" s="6"/>
      <c r="BE68" s="55" t="s">
        <v>501</v>
      </c>
      <c r="BF68" s="5"/>
      <c r="BG68" s="6"/>
      <c r="BH68" s="48"/>
      <c r="BI68" s="5"/>
      <c r="BJ68" s="6"/>
      <c r="BK68" s="49"/>
      <c r="BL68" s="5"/>
      <c r="BM68" s="5"/>
      <c r="BN68" s="5"/>
      <c r="BO68" s="5"/>
      <c r="BP68" s="5"/>
      <c r="BQ68" s="6"/>
    </row>
    <row r="69" ht="384.0" customHeight="1">
      <c r="A69" s="47">
        <v>51.0</v>
      </c>
      <c r="B69" s="49" t="s">
        <v>522</v>
      </c>
      <c r="C69" s="5"/>
      <c r="D69" s="6"/>
      <c r="E69" s="49" t="s">
        <v>523</v>
      </c>
      <c r="F69" s="5"/>
      <c r="G69" s="5"/>
      <c r="H69" s="5"/>
      <c r="I69" s="6"/>
      <c r="J69" s="49" t="s">
        <v>524</v>
      </c>
      <c r="K69" s="5"/>
      <c r="L69" s="5"/>
      <c r="M69" s="5"/>
      <c r="N69" s="5"/>
      <c r="O69" s="5"/>
      <c r="P69" s="6"/>
      <c r="Q69" s="49" t="s">
        <v>525</v>
      </c>
      <c r="R69" s="5"/>
      <c r="S69" s="5"/>
      <c r="T69" s="5"/>
      <c r="U69" s="5"/>
      <c r="V69" s="5"/>
      <c r="W69" s="6"/>
      <c r="X69" s="49" t="s">
        <v>526</v>
      </c>
      <c r="Y69" s="5"/>
      <c r="Z69" s="5"/>
      <c r="AA69" s="5"/>
      <c r="AB69" s="5"/>
      <c r="AC69" s="5"/>
      <c r="AD69" s="6"/>
      <c r="AE69" s="48" t="s">
        <v>263</v>
      </c>
      <c r="AF69" s="6"/>
      <c r="AG69" s="55" t="s">
        <v>52</v>
      </c>
      <c r="AH69" s="5"/>
      <c r="AI69" s="6"/>
      <c r="AJ69" s="48"/>
      <c r="AK69" s="5"/>
      <c r="AL69" s="6"/>
      <c r="AM69" s="48"/>
      <c r="AN69" s="5"/>
      <c r="AO69" s="6"/>
      <c r="AP69" s="48"/>
      <c r="AQ69" s="5"/>
      <c r="AR69" s="6"/>
      <c r="AS69" s="48"/>
      <c r="AT69" s="5"/>
      <c r="AU69" s="6"/>
      <c r="AV69" s="55" t="s">
        <v>50</v>
      </c>
      <c r="AW69" s="5"/>
      <c r="AX69" s="6"/>
      <c r="AY69" s="48"/>
      <c r="AZ69" s="5"/>
      <c r="BA69" s="6"/>
      <c r="BB69" s="55" t="s">
        <v>216</v>
      </c>
      <c r="BC69" s="5"/>
      <c r="BD69" s="6"/>
      <c r="BE69" s="55" t="s">
        <v>501</v>
      </c>
      <c r="BF69" s="5"/>
      <c r="BG69" s="6"/>
      <c r="BH69" s="48"/>
      <c r="BI69" s="5"/>
      <c r="BJ69" s="6"/>
      <c r="BK69" s="49"/>
      <c r="BL69" s="5"/>
      <c r="BM69" s="5"/>
      <c r="BN69" s="5"/>
      <c r="BO69" s="5"/>
      <c r="BP69" s="5"/>
      <c r="BQ69" s="6"/>
    </row>
    <row r="70" ht="319.5" customHeight="1">
      <c r="A70" s="47">
        <v>52.0</v>
      </c>
      <c r="B70" s="49" t="s">
        <v>527</v>
      </c>
      <c r="C70" s="5"/>
      <c r="D70" s="6"/>
      <c r="E70" s="49" t="s">
        <v>528</v>
      </c>
      <c r="F70" s="5"/>
      <c r="G70" s="5"/>
      <c r="H70" s="5"/>
      <c r="I70" s="6"/>
      <c r="J70" s="49" t="s">
        <v>529</v>
      </c>
      <c r="K70" s="5"/>
      <c r="L70" s="5"/>
      <c r="M70" s="5"/>
      <c r="N70" s="5"/>
      <c r="O70" s="5"/>
      <c r="P70" s="6"/>
      <c r="Q70" s="49" t="s">
        <v>530</v>
      </c>
      <c r="R70" s="5"/>
      <c r="S70" s="5"/>
      <c r="T70" s="5"/>
      <c r="U70" s="5"/>
      <c r="V70" s="5"/>
      <c r="W70" s="6"/>
      <c r="X70" s="54" t="s">
        <v>531</v>
      </c>
      <c r="Y70" s="5"/>
      <c r="Z70" s="5"/>
      <c r="AA70" s="5"/>
      <c r="AB70" s="5"/>
      <c r="AC70" s="5"/>
      <c r="AD70" s="6"/>
      <c r="AE70" s="48" t="s">
        <v>263</v>
      </c>
      <c r="AF70" s="6"/>
      <c r="AG70" s="55" t="s">
        <v>50</v>
      </c>
      <c r="AH70" s="5"/>
      <c r="AI70" s="6"/>
      <c r="AJ70" s="48"/>
      <c r="AK70" s="5"/>
      <c r="AL70" s="6"/>
      <c r="AM70" s="55" t="s">
        <v>214</v>
      </c>
      <c r="AN70" s="5"/>
      <c r="AO70" s="6"/>
      <c r="AP70" s="56">
        <v>46145.0</v>
      </c>
      <c r="AQ70" s="5"/>
      <c r="AR70" s="6"/>
      <c r="AS70" s="48"/>
      <c r="AT70" s="5"/>
      <c r="AU70" s="6"/>
      <c r="AV70" s="55" t="s">
        <v>50</v>
      </c>
      <c r="AW70" s="5"/>
      <c r="AX70" s="6"/>
      <c r="AY70" s="48"/>
      <c r="AZ70" s="5"/>
      <c r="BA70" s="6"/>
      <c r="BB70" s="55" t="s">
        <v>216</v>
      </c>
      <c r="BC70" s="5"/>
      <c r="BD70" s="6"/>
      <c r="BE70" s="55" t="s">
        <v>501</v>
      </c>
      <c r="BF70" s="5"/>
      <c r="BG70" s="6"/>
      <c r="BH70" s="48"/>
      <c r="BI70" s="5"/>
      <c r="BJ70" s="6"/>
      <c r="BK70" s="49" t="s">
        <v>279</v>
      </c>
      <c r="BL70" s="5"/>
      <c r="BM70" s="5"/>
      <c r="BN70" s="5"/>
      <c r="BO70" s="5"/>
      <c r="BP70" s="5"/>
      <c r="BQ70" s="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7">
    <mergeCell ref="BE22:BG22"/>
    <mergeCell ref="BH22:BJ22"/>
    <mergeCell ref="AJ22:AL22"/>
    <mergeCell ref="AM22:AO22"/>
    <mergeCell ref="AP22:AR22"/>
    <mergeCell ref="AS22:AU22"/>
    <mergeCell ref="AV22:AX22"/>
    <mergeCell ref="AY22:BA22"/>
    <mergeCell ref="BB22:BD22"/>
    <mergeCell ref="BE20:BG20"/>
    <mergeCell ref="BH20:BJ20"/>
    <mergeCell ref="BK20:BQ20"/>
    <mergeCell ref="AJ20:AL20"/>
    <mergeCell ref="AM20:AO20"/>
    <mergeCell ref="AP20:AR20"/>
    <mergeCell ref="AS20:AU20"/>
    <mergeCell ref="AV20:AX20"/>
    <mergeCell ref="AY20:BA20"/>
    <mergeCell ref="BB20:BD20"/>
    <mergeCell ref="B20:D20"/>
    <mergeCell ref="E20:I20"/>
    <mergeCell ref="J20:P20"/>
    <mergeCell ref="Q20:W20"/>
    <mergeCell ref="X20:AD20"/>
    <mergeCell ref="AE20:AF20"/>
    <mergeCell ref="AG20:AI20"/>
    <mergeCell ref="BE21:BG21"/>
    <mergeCell ref="BH21:BJ21"/>
    <mergeCell ref="BK21:BQ21"/>
    <mergeCell ref="BK22:BQ22"/>
    <mergeCell ref="AJ21:AL21"/>
    <mergeCell ref="AM21:AO21"/>
    <mergeCell ref="AP21:AR21"/>
    <mergeCell ref="AS21:AU21"/>
    <mergeCell ref="AV21:AX21"/>
    <mergeCell ref="AY21:BA21"/>
    <mergeCell ref="BB21:BD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BB26:BD26"/>
    <mergeCell ref="BE26:BG26"/>
    <mergeCell ref="AG26:AI26"/>
    <mergeCell ref="AJ26:AL26"/>
    <mergeCell ref="AM26:AO26"/>
    <mergeCell ref="AP26:AR26"/>
    <mergeCell ref="AS26:AU26"/>
    <mergeCell ref="AV26:AX26"/>
    <mergeCell ref="AY26:BA26"/>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H26:BJ26"/>
    <mergeCell ref="BK26:BQ26"/>
    <mergeCell ref="AJ24:AL24"/>
    <mergeCell ref="AM24:AO24"/>
    <mergeCell ref="AP24:AR24"/>
    <mergeCell ref="AS24:AU24"/>
    <mergeCell ref="AV24:AX24"/>
    <mergeCell ref="AY24:BA24"/>
    <mergeCell ref="BB24:BD24"/>
    <mergeCell ref="E24:I24"/>
    <mergeCell ref="J24:P24"/>
    <mergeCell ref="Q24:W24"/>
    <mergeCell ref="X24:AD24"/>
    <mergeCell ref="AE24:AF24"/>
    <mergeCell ref="AG24:AI24"/>
    <mergeCell ref="A25:BQ25"/>
    <mergeCell ref="B24:D24"/>
    <mergeCell ref="B26:D26"/>
    <mergeCell ref="E26:I26"/>
    <mergeCell ref="J26:P26"/>
    <mergeCell ref="Q26:W26"/>
    <mergeCell ref="X26:AD26"/>
    <mergeCell ref="AE26:AF26"/>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G19:AI19"/>
    <mergeCell ref="AJ19:AL19"/>
    <mergeCell ref="AM19:AO19"/>
    <mergeCell ref="AP19:AR19"/>
    <mergeCell ref="AS19:AU19"/>
    <mergeCell ref="AV19:AX19"/>
    <mergeCell ref="AY19:BA19"/>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H19:BJ19"/>
    <mergeCell ref="BK19:BQ19"/>
    <mergeCell ref="AJ17:AL17"/>
    <mergeCell ref="AM17:AO17"/>
    <mergeCell ref="AP17:AR17"/>
    <mergeCell ref="AS17:AU17"/>
    <mergeCell ref="AV17:AX17"/>
    <mergeCell ref="AY17:BA17"/>
    <mergeCell ref="BB17:BD17"/>
    <mergeCell ref="E17:I17"/>
    <mergeCell ref="J17:P17"/>
    <mergeCell ref="Q17:W17"/>
    <mergeCell ref="X17:AD17"/>
    <mergeCell ref="AE17:AF17"/>
    <mergeCell ref="AG17:AI17"/>
    <mergeCell ref="A18:BQ18"/>
    <mergeCell ref="B17:D17"/>
    <mergeCell ref="B19:D19"/>
    <mergeCell ref="E19:I19"/>
    <mergeCell ref="J19:P19"/>
    <mergeCell ref="Q19:W19"/>
    <mergeCell ref="X19:AD19"/>
    <mergeCell ref="AE19:AF19"/>
    <mergeCell ref="BE29:BG29"/>
    <mergeCell ref="BH29:BJ29"/>
    <mergeCell ref="AJ29:AL29"/>
    <mergeCell ref="AM29:AO29"/>
    <mergeCell ref="AP29:AR29"/>
    <mergeCell ref="AS29:AU29"/>
    <mergeCell ref="AV29:AX29"/>
    <mergeCell ref="AY29:BA29"/>
    <mergeCell ref="BB29:BD29"/>
    <mergeCell ref="E29:I29"/>
    <mergeCell ref="J29:P29"/>
    <mergeCell ref="Q29:W29"/>
    <mergeCell ref="X29:AD29"/>
    <mergeCell ref="AE29:AF29"/>
    <mergeCell ref="AG29:AI29"/>
    <mergeCell ref="A30:BQ30"/>
    <mergeCell ref="B29:D29"/>
    <mergeCell ref="B31:D31"/>
    <mergeCell ref="E31:I31"/>
    <mergeCell ref="J31:P31"/>
    <mergeCell ref="Q31:W31"/>
    <mergeCell ref="X31:AD31"/>
    <mergeCell ref="AE31:AF31"/>
    <mergeCell ref="BH31:BJ31"/>
    <mergeCell ref="BK31:BQ31"/>
    <mergeCell ref="AM31:AO31"/>
    <mergeCell ref="AP31:AR31"/>
    <mergeCell ref="AS31:AU31"/>
    <mergeCell ref="AV31:AX31"/>
    <mergeCell ref="AY31:BA31"/>
    <mergeCell ref="BB31:BD31"/>
    <mergeCell ref="BE31:BG31"/>
    <mergeCell ref="BE27:BG27"/>
    <mergeCell ref="BH27:BJ27"/>
    <mergeCell ref="BK27:BQ27"/>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E28:BG28"/>
    <mergeCell ref="BH28:BJ28"/>
    <mergeCell ref="BK28:BQ28"/>
    <mergeCell ref="BK29:BQ29"/>
    <mergeCell ref="AJ28:AL28"/>
    <mergeCell ref="AM28:AO28"/>
    <mergeCell ref="AP28:AR28"/>
    <mergeCell ref="AS28:AU28"/>
    <mergeCell ref="AV28:AX28"/>
    <mergeCell ref="AY28:BA28"/>
    <mergeCell ref="BB28:BD28"/>
    <mergeCell ref="B28:D28"/>
    <mergeCell ref="E28:I28"/>
    <mergeCell ref="J28:P28"/>
    <mergeCell ref="Q28:W28"/>
    <mergeCell ref="X28:AD28"/>
    <mergeCell ref="AE28:AF28"/>
    <mergeCell ref="AG28:AI28"/>
    <mergeCell ref="BE32:BG32"/>
    <mergeCell ref="BH32:BJ32"/>
    <mergeCell ref="BK32:BQ32"/>
    <mergeCell ref="AJ32:AL32"/>
    <mergeCell ref="AM32:AO32"/>
    <mergeCell ref="AP32:AR32"/>
    <mergeCell ref="AS32:AU32"/>
    <mergeCell ref="AV32:AX32"/>
    <mergeCell ref="AY32:BA32"/>
    <mergeCell ref="BB32:BD32"/>
    <mergeCell ref="AJ34:AL34"/>
    <mergeCell ref="AM34:AO34"/>
    <mergeCell ref="AP34:AR34"/>
    <mergeCell ref="AS34:AU34"/>
    <mergeCell ref="AV34:AX34"/>
    <mergeCell ref="AY34:BA34"/>
    <mergeCell ref="BB34:BD34"/>
    <mergeCell ref="B34:D34"/>
    <mergeCell ref="E34:I34"/>
    <mergeCell ref="J34:P34"/>
    <mergeCell ref="Q34:W34"/>
    <mergeCell ref="X34:AD34"/>
    <mergeCell ref="AE34:AF34"/>
    <mergeCell ref="AG34:AI34"/>
    <mergeCell ref="BE35:BG35"/>
    <mergeCell ref="BH35:BJ35"/>
    <mergeCell ref="AJ35:AL35"/>
    <mergeCell ref="AM35:AO35"/>
    <mergeCell ref="AP35:AR35"/>
    <mergeCell ref="AS35:AU35"/>
    <mergeCell ref="AV35:AX35"/>
    <mergeCell ref="AY35:BA35"/>
    <mergeCell ref="BB35:BD35"/>
    <mergeCell ref="AE32:AF32"/>
    <mergeCell ref="AG32:AI32"/>
    <mergeCell ref="AG31:AI31"/>
    <mergeCell ref="AJ31:AL31"/>
    <mergeCell ref="B32:D32"/>
    <mergeCell ref="E32:I32"/>
    <mergeCell ref="J32:P32"/>
    <mergeCell ref="Q32:W32"/>
    <mergeCell ref="X32:AD32"/>
    <mergeCell ref="BE33:BG33"/>
    <mergeCell ref="BH33:BJ33"/>
    <mergeCell ref="BK33:BQ33"/>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E34:BG34"/>
    <mergeCell ref="BH34:BJ34"/>
    <mergeCell ref="BK34:BQ34"/>
    <mergeCell ref="BK35:BQ35"/>
    <mergeCell ref="B35:D35"/>
    <mergeCell ref="E35:I35"/>
    <mergeCell ref="J35:P35"/>
    <mergeCell ref="Q35:W35"/>
    <mergeCell ref="X35:AD35"/>
    <mergeCell ref="AE35:AF35"/>
    <mergeCell ref="AG35:AI35"/>
    <mergeCell ref="BE38:BG38"/>
    <mergeCell ref="BH38:BJ38"/>
    <mergeCell ref="AJ38:AL38"/>
    <mergeCell ref="AM38:AO38"/>
    <mergeCell ref="AP38:AR38"/>
    <mergeCell ref="AS38:AU38"/>
    <mergeCell ref="AV38:AX38"/>
    <mergeCell ref="AY38:BA38"/>
    <mergeCell ref="BB38:BD38"/>
    <mergeCell ref="BE36:BG36"/>
    <mergeCell ref="BH36:BJ36"/>
    <mergeCell ref="BK36:BQ36"/>
    <mergeCell ref="AJ36:AL36"/>
    <mergeCell ref="AM36:AO36"/>
    <mergeCell ref="AP36:AR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K38:BQ38"/>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BE41:BG41"/>
    <mergeCell ref="BH41:BJ41"/>
    <mergeCell ref="AJ41:AL41"/>
    <mergeCell ref="AM41:AO41"/>
    <mergeCell ref="AP41:AR41"/>
    <mergeCell ref="AS41:AU41"/>
    <mergeCell ref="AV41:AX41"/>
    <mergeCell ref="AY41:BA41"/>
    <mergeCell ref="BB41:BD41"/>
    <mergeCell ref="BE39:BG39"/>
    <mergeCell ref="BH39:BJ39"/>
    <mergeCell ref="BK39:BQ39"/>
    <mergeCell ref="AJ39:AL39"/>
    <mergeCell ref="AM39:AO39"/>
    <mergeCell ref="AP39:AR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BK40:BQ40"/>
    <mergeCell ref="BK41:BQ41"/>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BE45:BG45"/>
    <mergeCell ref="BH45:BJ45"/>
    <mergeCell ref="AJ45:AL45"/>
    <mergeCell ref="AM45:AO45"/>
    <mergeCell ref="AP45:AR45"/>
    <mergeCell ref="AS45:AU45"/>
    <mergeCell ref="AV45:AX45"/>
    <mergeCell ref="AY45:BA45"/>
    <mergeCell ref="BB45:BD45"/>
    <mergeCell ref="BE42:BG42"/>
    <mergeCell ref="BH42:BJ42"/>
    <mergeCell ref="BK42:BQ42"/>
    <mergeCell ref="AJ42:AL42"/>
    <mergeCell ref="AM42:AO42"/>
    <mergeCell ref="AP42:AR42"/>
    <mergeCell ref="AS42:AU42"/>
    <mergeCell ref="AV42:AX42"/>
    <mergeCell ref="AY42:BA42"/>
    <mergeCell ref="BB42:BD42"/>
    <mergeCell ref="E42:I42"/>
    <mergeCell ref="J42:P42"/>
    <mergeCell ref="Q42:W42"/>
    <mergeCell ref="X42:AD42"/>
    <mergeCell ref="AE42:AF42"/>
    <mergeCell ref="AG42:AI42"/>
    <mergeCell ref="A43:BQ43"/>
    <mergeCell ref="BB44:BD44"/>
    <mergeCell ref="BE44:BG44"/>
    <mergeCell ref="BH44:BJ44"/>
    <mergeCell ref="BK44:BQ44"/>
    <mergeCell ref="BK45:BQ45"/>
    <mergeCell ref="AG44:AI44"/>
    <mergeCell ref="AJ44:AL44"/>
    <mergeCell ref="AM44:AO44"/>
    <mergeCell ref="AP44:AR44"/>
    <mergeCell ref="AS44:AU44"/>
    <mergeCell ref="AV44:AX44"/>
    <mergeCell ref="AY44:BA44"/>
    <mergeCell ref="B42:D42"/>
    <mergeCell ref="B44:D44"/>
    <mergeCell ref="E44:I44"/>
    <mergeCell ref="J44:P44"/>
    <mergeCell ref="Q44:W44"/>
    <mergeCell ref="X44:AD44"/>
    <mergeCell ref="AE44:AF44"/>
    <mergeCell ref="B45:D45"/>
    <mergeCell ref="E45:I45"/>
    <mergeCell ref="J45:P45"/>
    <mergeCell ref="Q45:W45"/>
    <mergeCell ref="X45:AD45"/>
    <mergeCell ref="AE45:AF45"/>
    <mergeCell ref="AG45:AI45"/>
    <mergeCell ref="BE48:BG48"/>
    <mergeCell ref="BH48:BJ48"/>
    <mergeCell ref="AJ48:AL48"/>
    <mergeCell ref="AM48:AO48"/>
    <mergeCell ref="AP48:AR48"/>
    <mergeCell ref="AS48:AU48"/>
    <mergeCell ref="AV48:AX48"/>
    <mergeCell ref="AY48:BA48"/>
    <mergeCell ref="BB48:BD48"/>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BE51:BG51"/>
    <mergeCell ref="BH51:BJ51"/>
    <mergeCell ref="AJ51:AL51"/>
    <mergeCell ref="AM51:AO51"/>
    <mergeCell ref="AP51:AR51"/>
    <mergeCell ref="AS51:AU51"/>
    <mergeCell ref="AV51:AX51"/>
    <mergeCell ref="AY51:BA51"/>
    <mergeCell ref="BB51:BD51"/>
    <mergeCell ref="BB64:BD64"/>
    <mergeCell ref="BE64:BG64"/>
    <mergeCell ref="AG64:AI64"/>
    <mergeCell ref="AJ64:AL64"/>
    <mergeCell ref="AM64:AO64"/>
    <mergeCell ref="AP64:AR64"/>
    <mergeCell ref="AS64:AU64"/>
    <mergeCell ref="AV64:AX64"/>
    <mergeCell ref="AY64:BA64"/>
    <mergeCell ref="BE61:BG61"/>
    <mergeCell ref="BH61:BJ61"/>
    <mergeCell ref="BK61:BQ61"/>
    <mergeCell ref="AJ61:AL61"/>
    <mergeCell ref="AM61:AO61"/>
    <mergeCell ref="AP61:AR61"/>
    <mergeCell ref="AS61:AU61"/>
    <mergeCell ref="AV61:AX61"/>
    <mergeCell ref="AY61:BA61"/>
    <mergeCell ref="BB61:BD61"/>
    <mergeCell ref="B61:D61"/>
    <mergeCell ref="E61:I61"/>
    <mergeCell ref="J61:P61"/>
    <mergeCell ref="Q61:W61"/>
    <mergeCell ref="X61:AD61"/>
    <mergeCell ref="AE61:AF61"/>
    <mergeCell ref="AG61:AI61"/>
    <mergeCell ref="BE62:BG62"/>
    <mergeCell ref="BH62:BJ62"/>
    <mergeCell ref="BK62:BQ62"/>
    <mergeCell ref="BH64:BJ64"/>
    <mergeCell ref="BK64:BQ64"/>
    <mergeCell ref="AJ62:AL62"/>
    <mergeCell ref="AM62:AO62"/>
    <mergeCell ref="AP62:AR62"/>
    <mergeCell ref="AS62:AU62"/>
    <mergeCell ref="AV62:AX62"/>
    <mergeCell ref="AY62:BA62"/>
    <mergeCell ref="BB62:BD62"/>
    <mergeCell ref="E62:I62"/>
    <mergeCell ref="J62:P62"/>
    <mergeCell ref="Q62:W62"/>
    <mergeCell ref="X62:AD62"/>
    <mergeCell ref="AE62:AF62"/>
    <mergeCell ref="AG62:AI62"/>
    <mergeCell ref="A63:BQ63"/>
    <mergeCell ref="B62:D62"/>
    <mergeCell ref="B64:D64"/>
    <mergeCell ref="E64:I64"/>
    <mergeCell ref="J64:P64"/>
    <mergeCell ref="Q64:W64"/>
    <mergeCell ref="X64:AD64"/>
    <mergeCell ref="AE64:AF64"/>
    <mergeCell ref="BE67:BG67"/>
    <mergeCell ref="BH67:BJ67"/>
    <mergeCell ref="AJ67:AL67"/>
    <mergeCell ref="AM67:AO67"/>
    <mergeCell ref="AP67:AR67"/>
    <mergeCell ref="AS67:AU67"/>
    <mergeCell ref="AV67:AX67"/>
    <mergeCell ref="AY67:BA67"/>
    <mergeCell ref="BB67:BD67"/>
    <mergeCell ref="BE65:BG65"/>
    <mergeCell ref="BH65:BJ65"/>
    <mergeCell ref="BK65:BQ65"/>
    <mergeCell ref="AJ65:AL65"/>
    <mergeCell ref="AM65:AO65"/>
    <mergeCell ref="AP65:AR65"/>
    <mergeCell ref="AS65:AU65"/>
    <mergeCell ref="AV65:AX65"/>
    <mergeCell ref="AY65:BA65"/>
    <mergeCell ref="BB65:BD65"/>
    <mergeCell ref="B65:D65"/>
    <mergeCell ref="E65:I65"/>
    <mergeCell ref="J65:P65"/>
    <mergeCell ref="Q65:W65"/>
    <mergeCell ref="X65:AD65"/>
    <mergeCell ref="AE65:AF65"/>
    <mergeCell ref="AG65:AI65"/>
    <mergeCell ref="BE66:BG66"/>
    <mergeCell ref="BH66:BJ66"/>
    <mergeCell ref="BK66:BQ66"/>
    <mergeCell ref="BK67:BQ67"/>
    <mergeCell ref="AJ66:AL66"/>
    <mergeCell ref="AM66:AO66"/>
    <mergeCell ref="AP66:AR66"/>
    <mergeCell ref="AS66:AU66"/>
    <mergeCell ref="AV66:AX66"/>
    <mergeCell ref="AY66:BA66"/>
    <mergeCell ref="BB66:BD66"/>
    <mergeCell ref="B66:D66"/>
    <mergeCell ref="E66:I66"/>
    <mergeCell ref="J66:P66"/>
    <mergeCell ref="Q66:W66"/>
    <mergeCell ref="X66:AD66"/>
    <mergeCell ref="AE66:AF66"/>
    <mergeCell ref="AG66:AI66"/>
    <mergeCell ref="B67:D67"/>
    <mergeCell ref="E67:I67"/>
    <mergeCell ref="J67:P67"/>
    <mergeCell ref="Q67:W67"/>
    <mergeCell ref="X67:AD67"/>
    <mergeCell ref="AE67:AF67"/>
    <mergeCell ref="AG67:AI67"/>
    <mergeCell ref="BE70:BG70"/>
    <mergeCell ref="BH70:BJ70"/>
    <mergeCell ref="AJ70:AL70"/>
    <mergeCell ref="AM70:AO70"/>
    <mergeCell ref="AP70:AR70"/>
    <mergeCell ref="AS70:AU70"/>
    <mergeCell ref="AV70:AX70"/>
    <mergeCell ref="AY70:BA70"/>
    <mergeCell ref="BB70:BD70"/>
    <mergeCell ref="BE68:BG68"/>
    <mergeCell ref="BH68:BJ68"/>
    <mergeCell ref="BK68:BQ68"/>
    <mergeCell ref="AJ68:AL68"/>
    <mergeCell ref="AM68:AO68"/>
    <mergeCell ref="AP68:AR68"/>
    <mergeCell ref="AS68:AU68"/>
    <mergeCell ref="AV68:AX68"/>
    <mergeCell ref="AY68:BA68"/>
    <mergeCell ref="BB68:BD68"/>
    <mergeCell ref="B68:D68"/>
    <mergeCell ref="E68:I68"/>
    <mergeCell ref="J68:P68"/>
    <mergeCell ref="Q68:W68"/>
    <mergeCell ref="X68:AD68"/>
    <mergeCell ref="AE68:AF68"/>
    <mergeCell ref="AG68:AI68"/>
    <mergeCell ref="BE69:BG69"/>
    <mergeCell ref="BH69:BJ69"/>
    <mergeCell ref="BK69:BQ69"/>
    <mergeCell ref="BK70:BQ70"/>
    <mergeCell ref="AJ69:AL69"/>
    <mergeCell ref="AM69:AO69"/>
    <mergeCell ref="AP69:AR69"/>
    <mergeCell ref="AS69:AU69"/>
    <mergeCell ref="AV69:AX69"/>
    <mergeCell ref="AY69:BA69"/>
    <mergeCell ref="BB69:BD69"/>
    <mergeCell ref="B69:D69"/>
    <mergeCell ref="E69:I69"/>
    <mergeCell ref="J69:P69"/>
    <mergeCell ref="Q69:W69"/>
    <mergeCell ref="X69:AD69"/>
    <mergeCell ref="AE69:AF69"/>
    <mergeCell ref="AG69:AI69"/>
    <mergeCell ref="B70:D70"/>
    <mergeCell ref="E70:I70"/>
    <mergeCell ref="J70:P70"/>
    <mergeCell ref="Q70:W70"/>
    <mergeCell ref="X70:AD70"/>
    <mergeCell ref="AE70:AF70"/>
    <mergeCell ref="AG70:AI70"/>
    <mergeCell ref="E51:I51"/>
    <mergeCell ref="J51:P51"/>
    <mergeCell ref="Q51:W51"/>
    <mergeCell ref="X51:AD51"/>
    <mergeCell ref="AE51:AF51"/>
    <mergeCell ref="AG51:AI51"/>
    <mergeCell ref="A52:BQ52"/>
    <mergeCell ref="B51:D51"/>
    <mergeCell ref="B53:D53"/>
    <mergeCell ref="E53:I53"/>
    <mergeCell ref="J53:P53"/>
    <mergeCell ref="Q53:W53"/>
    <mergeCell ref="X53:AD53"/>
    <mergeCell ref="AE53:AF53"/>
    <mergeCell ref="BH53:BJ53"/>
    <mergeCell ref="BK53:BQ53"/>
    <mergeCell ref="AM53:AO53"/>
    <mergeCell ref="AP53:AR53"/>
    <mergeCell ref="AS53:AU53"/>
    <mergeCell ref="AV53:AX53"/>
    <mergeCell ref="AY53:BA53"/>
    <mergeCell ref="BB53:BD53"/>
    <mergeCell ref="BE53:BG53"/>
    <mergeCell ref="BE49:BG49"/>
    <mergeCell ref="BH49:BJ49"/>
    <mergeCell ref="BK49:BQ49"/>
    <mergeCell ref="AJ49:AL49"/>
    <mergeCell ref="AM49:AO49"/>
    <mergeCell ref="AP49:AR49"/>
    <mergeCell ref="AS49:AU49"/>
    <mergeCell ref="AV49:AX49"/>
    <mergeCell ref="AY49:BA49"/>
    <mergeCell ref="BB49:BD49"/>
    <mergeCell ref="B49:D49"/>
    <mergeCell ref="E49:I49"/>
    <mergeCell ref="J49:P49"/>
    <mergeCell ref="Q49:W49"/>
    <mergeCell ref="X49:AD49"/>
    <mergeCell ref="AE49:AF49"/>
    <mergeCell ref="AG49:AI49"/>
    <mergeCell ref="BE50:BG50"/>
    <mergeCell ref="BH50:BJ50"/>
    <mergeCell ref="BK50:BQ50"/>
    <mergeCell ref="BK51:BQ51"/>
    <mergeCell ref="AJ50:AL50"/>
    <mergeCell ref="AM50:AO50"/>
    <mergeCell ref="AP50:AR50"/>
    <mergeCell ref="AS50:AU50"/>
    <mergeCell ref="AV50:AX50"/>
    <mergeCell ref="AY50:BA50"/>
    <mergeCell ref="BB50:BD50"/>
    <mergeCell ref="B50:D50"/>
    <mergeCell ref="E50:I50"/>
    <mergeCell ref="J50:P50"/>
    <mergeCell ref="Q50:W50"/>
    <mergeCell ref="X50:AD50"/>
    <mergeCell ref="AE50:AF50"/>
    <mergeCell ref="AG50:AI50"/>
    <mergeCell ref="BE54:BG54"/>
    <mergeCell ref="BH54:BJ54"/>
    <mergeCell ref="BK54:BQ54"/>
    <mergeCell ref="AJ54:AL54"/>
    <mergeCell ref="AM54:AO54"/>
    <mergeCell ref="AP54:AR54"/>
    <mergeCell ref="AS54:AU54"/>
    <mergeCell ref="AV54:AX54"/>
    <mergeCell ref="AY54:BA54"/>
    <mergeCell ref="BB54:BD54"/>
    <mergeCell ref="AJ56:AL56"/>
    <mergeCell ref="AM56:AO56"/>
    <mergeCell ref="AP56:AR56"/>
    <mergeCell ref="AS56:AU56"/>
    <mergeCell ref="AV56:AX56"/>
    <mergeCell ref="AY56:BA56"/>
    <mergeCell ref="BB56:BD56"/>
    <mergeCell ref="B56:D56"/>
    <mergeCell ref="E56:I56"/>
    <mergeCell ref="J56:P56"/>
    <mergeCell ref="Q56:W56"/>
    <mergeCell ref="X56:AD56"/>
    <mergeCell ref="AE56:AF56"/>
    <mergeCell ref="AG56:AI56"/>
    <mergeCell ref="BE57:BG57"/>
    <mergeCell ref="BH57:BJ57"/>
    <mergeCell ref="AJ57:AL57"/>
    <mergeCell ref="AM57:AO57"/>
    <mergeCell ref="AP57:AR57"/>
    <mergeCell ref="AS57:AU57"/>
    <mergeCell ref="AV57:AX57"/>
    <mergeCell ref="AY57:BA57"/>
    <mergeCell ref="BB57:BD57"/>
    <mergeCell ref="AE54:AF54"/>
    <mergeCell ref="AG54:AI54"/>
    <mergeCell ref="AG53:AI53"/>
    <mergeCell ref="AJ53:AL53"/>
    <mergeCell ref="B54:D54"/>
    <mergeCell ref="E54:I54"/>
    <mergeCell ref="J54:P54"/>
    <mergeCell ref="Q54:W54"/>
    <mergeCell ref="X54:AD54"/>
    <mergeCell ref="BE55:BG55"/>
    <mergeCell ref="BH55:BJ55"/>
    <mergeCell ref="BK55:BQ55"/>
    <mergeCell ref="AJ55:AL55"/>
    <mergeCell ref="AM55:AO55"/>
    <mergeCell ref="AP55:AR55"/>
    <mergeCell ref="AS55:AU55"/>
    <mergeCell ref="AV55:AX55"/>
    <mergeCell ref="AY55:BA55"/>
    <mergeCell ref="BB55:BD55"/>
    <mergeCell ref="B55:D55"/>
    <mergeCell ref="E55:I55"/>
    <mergeCell ref="J55:P55"/>
    <mergeCell ref="Q55:W55"/>
    <mergeCell ref="X55:AD55"/>
    <mergeCell ref="AE55:AF55"/>
    <mergeCell ref="AG55:AI55"/>
    <mergeCell ref="BE56:BG56"/>
    <mergeCell ref="BH56:BJ56"/>
    <mergeCell ref="BK56:BQ56"/>
    <mergeCell ref="BK57:BQ57"/>
    <mergeCell ref="B57:D57"/>
    <mergeCell ref="E57:I57"/>
    <mergeCell ref="J57:P57"/>
    <mergeCell ref="Q57:W57"/>
    <mergeCell ref="X57:AD57"/>
    <mergeCell ref="AE57:AF57"/>
    <mergeCell ref="AG57:AI57"/>
    <mergeCell ref="BE60:BG60"/>
    <mergeCell ref="BH60:BJ60"/>
    <mergeCell ref="AJ60:AL60"/>
    <mergeCell ref="AM60:AO60"/>
    <mergeCell ref="AP60:AR60"/>
    <mergeCell ref="AS60:AU60"/>
    <mergeCell ref="AV60:AX60"/>
    <mergeCell ref="AY60:BA60"/>
    <mergeCell ref="BB60:BD60"/>
    <mergeCell ref="BE58:BG58"/>
    <mergeCell ref="BH58:BJ58"/>
    <mergeCell ref="BK58:BQ58"/>
    <mergeCell ref="AJ58:AL58"/>
    <mergeCell ref="AM58:AO58"/>
    <mergeCell ref="AP58:AR58"/>
    <mergeCell ref="AS58:AU58"/>
    <mergeCell ref="AV58:AX58"/>
    <mergeCell ref="AY58:BA58"/>
    <mergeCell ref="BB58:BD58"/>
    <mergeCell ref="B58:D58"/>
    <mergeCell ref="E58:I58"/>
    <mergeCell ref="J58:P58"/>
    <mergeCell ref="Q58:W58"/>
    <mergeCell ref="X58:AD58"/>
    <mergeCell ref="AE58:AF58"/>
    <mergeCell ref="AG58:AI58"/>
    <mergeCell ref="BE59:BG59"/>
    <mergeCell ref="BH59:BJ59"/>
    <mergeCell ref="BK59:BQ59"/>
    <mergeCell ref="BK60:BQ60"/>
    <mergeCell ref="AJ59:AL59"/>
    <mergeCell ref="AM59:AO59"/>
    <mergeCell ref="AP59:AR59"/>
    <mergeCell ref="AS59:AU59"/>
    <mergeCell ref="AV59:AX59"/>
    <mergeCell ref="AY59:BA59"/>
    <mergeCell ref="BB59:BD59"/>
    <mergeCell ref="B59:D59"/>
    <mergeCell ref="E59:I59"/>
    <mergeCell ref="J59:P59"/>
    <mergeCell ref="Q59:W59"/>
    <mergeCell ref="X59:AD59"/>
    <mergeCell ref="AE59:AF59"/>
    <mergeCell ref="AG59:AI59"/>
    <mergeCell ref="B60:D60"/>
    <mergeCell ref="E60:I60"/>
    <mergeCell ref="J60:P60"/>
    <mergeCell ref="Q60:W60"/>
    <mergeCell ref="X60:AD60"/>
    <mergeCell ref="AE60:AF60"/>
    <mergeCell ref="AG60:AI60"/>
  </mergeCells>
  <dataValidations>
    <dataValidation type="list" allowBlank="1" sqref="F1">
      <formula1>"単体テスト,結合テスト,システムテスト"</formula1>
    </dataValidation>
    <dataValidation type="list" allowBlank="1" sqref="AG14:AG17 AV13:AV17 AG19:AG24 AV19:AV24 AG26:AG29 AV26:AV29 AG31:AG42 AV31:AV42 AG44:AG51 AV44:AV51 AG53:AG62 AV53:AV62 AG64:AG70 AV64:AV70">
      <formula1>"合格,不合格,未テスト,N/A"</formula1>
    </dataValidation>
    <dataValidation type="list" allowBlank="1" sqref="AE13:AE17 AE19:AE24 AE26:AE29 AE31:AE42 AE44:AE51 AE53:AE62 AE64:AE70">
      <formula1>"N,A,B"</formula1>
    </dataValidation>
    <dataValidation type="list" allowBlank="1" sqref="AG13">
      <formula1>"合格,不合格,未テスト,N/A"</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2026-05-13T04:01:49Z</dcterms:created>
  <dc:creator>openpyxl</dc:creator>
</cp:coreProperties>
</file>