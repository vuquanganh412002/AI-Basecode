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<sst xmlns="http://schemas.openxmlformats.org/spreadsheetml/2006/main" count="1259" uniqueCount="681">
  <si>
    <t>クラウド版購読者管理システム</t>
  </si>
  <si>
    <t>ファイルダウンロード画面</t>
  </si>
  <si>
    <t>版1.0</t>
  </si>
  <si>
    <t>フォーマットコード</t>
  </si>
  <si>
    <t>16-BM/PM/VTI</t>
  </si>
  <si>
    <t>フォーマットバージョン</t>
  </si>
  <si>
    <t>1.0</t>
  </si>
  <si>
    <t>発行日</t>
  </si>
  <si>
    <t>2026/08/12</t>
  </si>
  <si>
    <t>項番</t>
  </si>
  <si>
    <t>バージョン</t>
  </si>
  <si>
    <t>担当者</t>
  </si>
  <si>
    <t>変更内容</t>
  </si>
  <si>
    <t>確認者</t>
  </si>
  <si>
    <t>承認者</t>
  </si>
  <si>
    <t>2026-05-27</t>
  </si>
  <si>
    <t>Kieu Thi Diem</t>
  </si>
  <si>
    <t>新規作成</t>
  </si>
  <si>
    <t>Nguyen Huy Dat</t>
  </si>
  <si>
    <t>2026-07-02</t>
  </si>
  <si>
    <t>1.1</t>
  </si>
  <si>
    <t>Tran Duc Tuyen</t>
  </si>
  <si>
    <t>データソースを `t_file_download` に変更。一覧列を再構成（対象年月列を削除し、ダウンロード種別を追加）。ダウンロード実行は `t_file_download` へ登録せず `t_log`（log_type=4）のみ記録。日農ダウンロード許可フラグ（403制御）と複数ファイル一括ダウンロード（ZIP）のテストケースを追加。</t>
  </si>
  <si>
    <t>2026-08-06</t>
  </si>
  <si>
    <t>1.2</t>
  </si>
  <si>
    <t>実装との差分是正（顧客要件2026-07の2件が未反映だった）：①中央会の参照範囲を「同一都道府県の全JA」（#52132）へ書き換え。②日農ダウンロード許可フラグの対象ロールに中央会を追加し、自分が出力したファイルは本フラグを見ない例外を追記。</t>
  </si>
  <si>
    <t>2026-08-12</t>
  </si>
  <si>
    <t>1.3</t>
  </si>
  <si>
    <t>全面改訂。①テストケース番号を文書内で連番に再採番し、分類保留としていたカテゴリを廃止して全ケースを意味の合うカテゴリへ収容。②観点一覧（44観点）へのマッピングを全ケースに付与。③エラー一覧の全9行を網羅（`DATA_SCOPE_VIOLATION` は本画面では存在隠蔽により404へ寄せる設計であることを検証するケースとして収容）。④画面設計書と実装の差分3件（ダウンロード種別の検索条件、一括ダウンロードの操作方法、検索結果0件時の文言）を該当ケースの備考に記録。⑤性能・多重タブ・Cookie属性の観点を追加。</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</si>
  <si>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</si>
  <si>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</si>
  <si>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</si>
  <si>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</si>
  <si>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</si>
  <si>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</si>
  <si>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</si>
  <si>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</si>
  <si>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</si>
  <si>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</si>
  <si>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dạng cloud dành cho JA, cung cấp các</t>
  </si>
  <si>
    <t>chức năng quản lý thông tin độc giả, quản lý lịch sử đặt mua, quản lý dữ liệu</t>
  </si>
  <si>
    <t>chuyển khoản tự động.</t>
  </si>
  <si>
    <t>Các chức năng chính bao gồm đăng ký・cập nhật・tìm kiếm thông tin độc giả,</t>
  </si>
  <si>
    <t>quản lý lịch sử thay đổi nội dung đặt mua, tạo và quản lý dữ liệu chuyển khoản</t>
  </si>
  <si>
    <t>tự động, chức năng upload・download file, quản lý thông báo hệ thống.</t>
  </si>
  <si>
    <t>Ngoài ra hệ thống còn hỗ trợ các chức năng bảo mật・audit như quản lý đăng nhập</t>
  </si>
  <si>
    <t>của user, ghi lịch sử đăng nhập, ghi log thao tác của user.</t>
  </si>
  <si>
    <t>2.資料目的</t>
  </si>
  <si>
    <t>Tài liệu mô tả chi tiết test specification được tạo mới trên hệ thống cho</t>
  </si>
  <si>
    <t>「Màn hình download file (ACSMS-SCR-022)」.</t>
  </si>
  <si>
    <t>Tài liệu này tham khảo ISTQB và IEEE 829, đáp ứng các tiêu chuẩn chất lượng sau.</t>
  </si>
  <si>
    <t>- Mỗi testcase được tạo dựa trên một scenario duy nhất (single responsibility).</t>
  </si>
  <si>
    <t>- Các bước được mô tả ở mức độ có thể tái hiện, nêu rõ test data.</t>
  </si>
  <si>
    <t>- Kết quả mong đợi phải đo lường được (nội dung message, kết quả query DB, HTTP status code, v.v.).</t>
  </si>
  <si>
    <t>3.関連資料</t>
  </si>
  <si>
    <t>No</t>
  </si>
  <si>
    <t>資料コード</t>
  </si>
  <si>
    <t>資料名</t>
  </si>
  <si>
    <t>ACSMS-SCR-022</t>
  </si>
  <si>
    <t>Tài liệu thiết kế màn hình download file</t>
  </si>
  <si>
    <t>ACSMS-SCR-022-api</t>
  </si>
  <si>
    <t>Tài liệu thiết kế API màn hình download file</t>
  </si>
  <si>
    <t>ACSMS-API-COMMON-001</t>
  </si>
  <si>
    <t>Lấy danh sách tỉnh thành (`GET /api/v1/todofuken`). Định nghĩa tại: SCR-009</t>
  </si>
  <si>
    <t>testcase-viewpoints</t>
  </si>
  <si>
    <t>Danh sách test viewpoint dùng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</si>
  <si>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</si>
  <si>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</si>
  <si>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</si>
  <si>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</si>
  <si>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</si>
  <si>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</si>
  <si>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</si>
  <si>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</si>
  <si>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</si>
  <si>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</si>
  <si>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</si>
  <si>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</si>
  <si>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</si>
  <si>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</si>
  <si>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</si>
  <si>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</si>
  <si>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</si>
  <si>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</si>
  <si>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</si>
  <si>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</si>
  <si>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</si>
  <si>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</si>
  <si>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</si>
  <si>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</si>
  <si>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</si>
  <si>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</si>
  <si>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</si>
  <si>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</si>
  <si>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</si>
  <si>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</si>
  <si>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</si>
  <si>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</si>
  <si>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</si>
  <si>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</si>
  <si>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</si>
  <si>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</si>
  <si>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</si>
  <si>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</si>
  <si>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</si>
  <si>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</si>
  <si>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</si>
  <si>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</si>
  <si>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</si>
  <si>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</si>
  <si>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</si>
  <si>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</si>
  <si>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</si>
  <si>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</si>
  <si>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</si>
  <si>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</si>
  <si>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</si>
  <si>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</si>
  <si>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</si>
  <si>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</si>
  <si>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</si>
  <si>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</si>
  <si>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</si>
  <si>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</si>
  <si>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</si>
  <si>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</si>
  <si>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</si>
  <si>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</si>
  <si>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</si>
  <si>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</si>
  <si>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</si>
  <si>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</si>
  <si>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</si>
  <si>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</si>
  <si>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</si>
  <si>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</si>
  <si>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</si>
  <si>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</si>
  <si>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</si>
  <si>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</si>
  <si>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</si>
  <si>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</si>
  <si>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</si>
  <si>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</si>
  <si>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</si>
  <si>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</si>
  <si>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</si>
  <si>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</si>
  <si>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</si>
  <si>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</si>
  <si>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</si>
  <si>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</si>
  <si>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</si>
  <si>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</si>
  <si>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</si>
  <si>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</si>
  <si>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</si>
  <si>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</si>
  <si>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</si>
  <si>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</si>
  <si>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</si>
  <si>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</si>
  <si>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</si>
  <si>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</si>
  <si>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</si>
  <si>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</si>
  <si>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</si>
  <si>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</si>
  <si>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</si>
  <si>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</si>
  <si>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</si>
  <si>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</si>
  <si>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</si>
  <si>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</si>
  <si>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</si>
  <si>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</si>
  <si>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</si>
  <si>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</si>
  <si>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</si>
  <si>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</si>
  <si>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</si>
  <si>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</si>
  <si>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</si>
  <si>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</si>
  <si>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</si>
  <si>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</si>
  <si>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</si>
  <si>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</si>
  <si>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</si>
  <si>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</si>
  <si>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</si>
  <si>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</si>
  <si>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</si>
  <si>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</si>
  <si>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</si>
  <si>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</si>
  <si>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</si>
  <si>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</si>
  <si>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</si>
  <si>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</si>
  <si>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</si>
  <si>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</si>
  <si>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</si>
  <si>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</si>
  <si>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</si>
  <si>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</si>
  <si>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</si>
  <si>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</si>
  <si>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</si>
  <si>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</si>
  <si>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</si>
  <si>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</si>
  <si>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</si>
  <si>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</si>
  <si>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</si>
  <si>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</si>
  <si>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</si>
  <si>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</si>
  <si>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</si>
  <si>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</si>
  <si>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</si>
  <si>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</si>
  <si>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</si>
  <si>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</si>
  <si>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</si>
  <si>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</si>
  <si>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</si>
  <si>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</si>
  <si>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</si>
  <si>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</si>
  <si>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</si>
  <si>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</si>
  <si>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</si>
  <si>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</si>
  <si>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</si>
  <si>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</si>
  <si>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</si>
  <si>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</si>
  <si>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</si>
  <si>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</si>
  <si>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</si>
  <si>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</si>
  <si>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</si>
  <si>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</si>
  <si>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</si>
  <si>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</si>
  <si>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</si>
  <si>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</si>
  <si>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</si>
  <si>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</si>
  <si>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</si>
  <si>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</si>
  <si>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</si>
  <si>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</si>
  <si>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</si>
  <si>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</si>
  <si>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ACSMS-SCR-022_ファイルダウンロード画面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</si>
  <si>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</si>
  <si>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</si>
  <si>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</si>
  <si>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</si>
  <si>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</si>
  <si>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</si>
  <si>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</si>
  <si>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</si>
  <si>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</si>
  <si>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</si>
  <si>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</si>
  <si>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</si>
  <si>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</si>
  <si>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</si>
  <si>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</si>
  <si>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</si>
  <si>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</si>
  <si>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</si>
  <si>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</si>
  <si>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</si>
  <si>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</si>
  <si>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</si>
  <si>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ACSMS-TC-022-001</t>
  </si>
  <si>
    <t>NICHINO_ADMIN truy cập màn hình và tham chiếu toàn bộ dữ liệu</t>
  </si>
  <si>
    <t>・role: NICHINO_ADMIN
・Đã login (đã xác thực 2 bước)
・Có quyền「file.download」
・`t_file_download` đã có file của nhiều JA và file dành cho toàn JA (`ja_id IS NULL`)</t>
  </si>
  <si>
    <r>
      <rPr>
        <b/>
        <sz val="10"/>
        <color rgb="FF000000"/>
        <rFont val="メイリオ"/>
        <charset val="134"/>
      </rPr>
      <t xml:space="preserve">ステップ1：
</t>
    </r>
    <r>
      <rPr>
        <sz val="10"/>
        <color rgb="FF000000"/>
        <rFont val="メイリオ"/>
        <charset val="134"/>
      </rPr>
      <t xml:space="preserve">Mở dashboard, kiểm tra mục「ファイルダウンロード」trên sidebar
</t>
    </r>
    <r>
      <rPr>
        <b/>
        <sz val="10"/>
        <color rgb="FF000000"/>
        <rFont val="メイリオ"/>
        <charset val="134"/>
      </rPr>
      <t xml:space="preserve">ステップ2：
</t>
    </r>
    <r>
      <rPr>
        <sz val="10"/>
        <color rgb="FF000000"/>
        <rFont val="メイリオ"/>
        <charset val="134"/>
      </rPr>
      <t xml:space="preserve">Click「ファイルダウンロード」để chuyển sang màn hình
</t>
    </r>
    <r>
      <rPr>
        <b/>
        <sz val="10"/>
        <color rgb="FF000000"/>
        <rFont val="メイリオ"/>
        <charset val="134"/>
      </rPr>
      <t xml:space="preserve">ステップ3：
</t>
    </r>
    <r>
      <rPr>
        <sz val="10"/>
        <color rgb="FF000000"/>
        <rFont val="メイリオ"/>
        <charset val="134"/>
      </rPr>
      <t xml:space="preserve">Kiểm tra response của GET「/api/v1/file-download」trên tab Network của DevTools
</t>
    </r>
    <r>
      <rPr>
        <b/>
        <sz val="10"/>
        <color rgb="FF000000"/>
        <rFont val="メイリオ"/>
        <charset val="134"/>
      </rPr>
      <t xml:space="preserve">ステップ4：
</t>
    </r>
    <r>
      <rPr>
        <sz val="10"/>
        <color rgb="FF000000"/>
        <rFont val="メイリオ"/>
        <charset val="134"/>
      </rPr>
      <t xml:space="preserve">Thực thi query sau trên DB và đối chiếu số lượng với `meta.total` của response
</t>
    </r>
    <r>
      <rPr>
        <sz val="10"/>
        <color rgb="FF000000"/>
        <rFont val="メイリオ"/>
        <charset val="134"/>
      </rPr>
      <t xml:space="preserve">```sql
</t>
    </r>
    <r>
      <rPr>
        <sz val="10"/>
        <color rgb="FF000000"/>
        <rFont val="メイリオ"/>
        <charset val="134"/>
      </rPr>
      <t xml:space="preserve">SELECT COUNT(*) AS total
</t>
    </r>
    <r>
      <rPr>
        <sz val="10"/>
        <color rgb="FF000000"/>
        <rFont val="メイリオ"/>
        <charset val="134"/>
      </rPr>
      <t xml:space="preserve">FROM t_file_download
</t>
    </r>
    <r>
      <rPr>
        <sz val="10"/>
        <color rgb="FF000000"/>
        <rFont val="メイリオ"/>
        <charset val="134"/>
      </rPr>
      <t xml:space="preserve">WHERE deleted_at IS NULL;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</si>
  <si>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Sidebar hiển thị mục「ファイルダウンロード」
</t>
    </r>
    <r>
      <rPr>
        <b/>
        <sz val="10"/>
        <color rgb="FF000000"/>
        <rFont val="メイリオ"/>
        <charset val="134"/>
      </rPr>
      <t xml:space="preserve">ステップ2：
</t>
    </r>
    <r>
      <rPr>
        <sz val="10"/>
        <color rgb="FF000000"/>
        <rFont val="メイリオ"/>
        <charset val="134"/>
      </rPr>
      <t xml:space="preserve">・Chuyển sang「/file-download」
</t>
    </r>
    <r>
      <rPr>
        <sz val="10"/>
        <color rgb="FF000000"/>
        <rFont val="メイリオ"/>
        <charset val="134"/>
      </rPr>
      <t xml:space="preserve">・Màn hình được hiển thị
</t>
    </r>
    <r>
      <rPr>
        <sz val="10"/>
        <color rgb="FF000000"/>
        <rFont val="メイリオ"/>
        <charset val="134"/>
      </rPr>
      <t xml:space="preserve">・Không hiển thị toast từ chối truy cập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・Mảng `data` chứa file thuộc nhiều JA khác nhau
</t>
    </r>
    <r>
      <rPr>
        <b/>
        <sz val="10"/>
        <color rgb="FF000000"/>
        <rFont val="メイリオ"/>
        <charset val="134"/>
      </rPr>
      <t xml:space="preserve">ステップ4：
</t>
    </r>
    <r>
      <rPr>
        <sz val="10"/>
        <color rgb="FF000000"/>
        <rFont val="メイリオ"/>
        <charset val="134"/>
      </rPr>
      <t xml:space="preserve">Tổng số bản ghi trong DB khớp với `meta.total` của response
</t>
    </r>
    <r>
      <rPr>
        <b/>
        <sz val="10"/>
        <color rgb="FF000000"/>
        <rFont val="メイリオ"/>
        <charset val="134"/>
      </rPr>
      <t xml:space="preserve">補足：
</t>
    </r>
    <r>
      <rPr>
        <sz val="10"/>
        <color rgb="FF000000"/>
        <rFont val="メイリオ"/>
        <charset val="134"/>
      </rPr>
      <t xml:space="preserve">・NICHINO_ADMIN không bị lọc phạm vi tham chiếu, xem được toàn bộ `t_file_download`
</t>
    </r>
    <r>
      <rPr>
        <sz val="10"/>
        <color rgb="FF000000"/>
        <rFont val="メイリオ"/>
        <charset val="134"/>
      </rPr>
      <t>・Cả file của JA khác và file dành cho toàn JA (`ja_id IS NULL`) đều được hiển thị</t>
    </r>
  </si>
  <si>
    <t>N</t>
  </si>
  <si>
    <t>diem.kieuthi</t>
  </si>
  <si>
    <t>anh.vuquang</t>
  </si>
  <si>
    <t>ACSMS-TC-022-002</t>
  </si>
  <si>
    <t>NICHINO_STAFF truy cập màn hình và tham chiếu toàn bộ dữ liệu</t>
  </si>
  <si>
    <t>・role: NICHINO_STAFF
・Đã login (đã xác thực 2 bước)
・Có quyền「file.download」
・`t_file_download` đã có file của nhiều JA</t>
  </si>
  <si>
    <r>
      <rPr>
        <b/>
        <sz val="10"/>
        <color rgb="FF000000"/>
        <rFont val="メイリオ"/>
        <charset val="134"/>
      </rPr>
      <t xml:space="preserve">ステップ1：
</t>
    </r>
    <r>
      <rPr>
        <sz val="10"/>
        <color rgb="FF000000"/>
        <rFont val="メイリオ"/>
        <charset val="134"/>
      </rPr>
      <t xml:space="preserve">Mở dashboard, kiểm tra mục「ファイルダウンロード」trên sidebar
</t>
    </r>
    <r>
      <rPr>
        <b/>
        <sz val="10"/>
        <color rgb="FF000000"/>
        <rFont val="メイリオ"/>
        <charset val="134"/>
      </rPr>
      <t xml:space="preserve">ステップ2：
</t>
    </r>
    <r>
      <rPr>
        <sz val="10"/>
        <color rgb="FF000000"/>
        <rFont val="メイリオ"/>
        <charset val="134"/>
      </rPr>
      <t xml:space="preserve">Nhập「/file-download」vào thanh địa chỉ trình duyệt để truy cập trực tiếp
</t>
    </r>
    <r>
      <rPr>
        <b/>
        <sz val="10"/>
        <color rgb="FF000000"/>
        <rFont val="メイリオ"/>
        <charset val="134"/>
      </rPr>
      <t xml:space="preserve">ステップ3：
</t>
    </r>
    <r>
      <rPr>
        <sz val="10"/>
        <color rgb="FF000000"/>
        <rFont val="メイリオ"/>
        <charset val="134"/>
      </rPr>
      <t>Kiểm tra response của GET「/api/v1/file-download」trên tab Network của DevTools</t>
    </r>
  </si>
  <si>
    <r>
      <rPr>
        <b/>
        <sz val="10"/>
        <color rgb="FF000000"/>
        <rFont val="メイリオ"/>
        <charset val="134"/>
      </rPr>
      <t xml:space="preserve">ステップ1：
</t>
    </r>
    <r>
      <rPr>
        <sz val="10"/>
        <color rgb="FF000000"/>
        <rFont val="メイリオ"/>
        <charset val="134"/>
      </rPr>
      <t xml:space="preserve">Sidebar hiển thị mục「ファイルダウンロード」
</t>
    </r>
    <r>
      <rPr>
        <b/>
        <sz val="10"/>
        <color rgb="FF000000"/>
        <rFont val="メイリオ"/>
        <charset val="134"/>
      </rPr>
      <t xml:space="preserve">ステップ2：
</t>
    </r>
    <r>
      <rPr>
        <sz val="10"/>
        <color rgb="FF000000"/>
        <rFont val="メイリオ"/>
        <charset val="134"/>
      </rPr>
      <t xml:space="preserve">・Màn hình được hiển thị
</t>
    </r>
    <r>
      <rPr>
        <sz val="10"/>
        <color rgb="FF000000"/>
        <rFont val="メイリオ"/>
        <charset val="134"/>
      </rPr>
      <t xml:space="preserve">・Không hiển thị toast từ chối truy cập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・Phạm vi tham chiếu giống NICHINO_ADMIN (toàn bộ)
</t>
    </r>
    <r>
      <rPr>
        <b/>
        <sz val="10"/>
        <color rgb="FF000000"/>
        <rFont val="メイリオ"/>
        <charset val="134"/>
      </rPr>
      <t xml:space="preserve">補足：
</t>
    </r>
    <r>
      <rPr>
        <sz val="10"/>
        <color rgb="FF000000"/>
        <rFont val="メイリオ"/>
        <charset val="134"/>
      </rPr>
      <t>・Nhân viên Nichino có cùng phạm vi tham chiếu với quản trị viên Nichino, không có khác biệt</t>
    </r>
  </si>
  <si>
    <t>ACSMS-TC-022-003</t>
  </si>
  <si>
    <t>Phạm vi tham chiếu của CHUOKAI — toàn bộ JA cùng tỉnh thành</t>
  </si>
  <si>
    <t>・role: CHUOKAI
・Đã login (đã xác thực 2 bước)
・Có quyền「file.download」
・Session được phát hành với `todofuken_code` =「13」(Tokyo)
・Có từ 2 JA trở lên thuộc mã tỉnh「13」và từ 1 JA trở lên thuộc mã「27」(Osaka)
・Các JA trên đều đã có file, và có từ 1 file dành cho toàn JA (`ja_id IS NULL`)</t>
  </si>
  <si>
    <r>
      <rPr>
        <b/>
        <sz val="10"/>
        <color rgb="FF000000"/>
        <rFont val="メイリオ"/>
        <charset val="134"/>
      </rPr>
      <t xml:space="preserve">ステップ1：
</t>
    </r>
    <r>
      <rPr>
        <sz val="10"/>
        <color rgb="FF000000"/>
        <rFont val="メイリオ"/>
        <charset val="134"/>
      </rPr>
      <t xml:space="preserve">Mở「/file-download」và kiểm tra tên JA hiển thị trong danh sách
</t>
    </r>
    <r>
      <rPr>
        <b/>
        <sz val="10"/>
        <color rgb="FF000000"/>
        <rFont val="メイリオ"/>
        <charset val="134"/>
      </rPr>
      <t xml:space="preserve">ステップ2：
</t>
    </r>
    <r>
      <rPr>
        <sz val="10"/>
        <color rgb="FF000000"/>
        <rFont val="メイリオ"/>
        <charset val="134"/>
      </rPr>
      <t xml:space="preserve">Kiểm tra `data[].ja_id` trong response GET「/api/v1/file-download」trên tab Network của DevTools
</t>
    </r>
    <r>
      <rPr>
        <b/>
        <sz val="10"/>
        <color rgb="FF000000"/>
        <rFont val="メイリオ"/>
        <charset val="134"/>
      </rPr>
      <t xml:space="preserve">ステップ3：
</t>
    </r>
    <r>
      <rPr>
        <sz val="10"/>
        <color rgb="FF000000"/>
        <rFont val="メイリオ"/>
        <charset val="134"/>
      </rPr>
      <t xml:space="preserve">Thực thi query sau trên DB để tính phạm vi tham chiếu mong đợi
</t>
    </r>
    <r>
      <rPr>
        <sz val="10"/>
        <color rgb="FF000000"/>
        <rFont val="メイリオ"/>
        <charset val="134"/>
      </rPr>
      <t xml:space="preserve">```sql
</t>
    </r>
    <r>
      <rPr>
        <sz val="10"/>
        <color rgb="FF000000"/>
        <rFont val="メイリオ"/>
        <charset val="134"/>
      </rPr>
      <t xml:space="preserve">SELECT ja_id FROM m_ja
</t>
    </r>
    <r>
      <rPr>
        <sz val="10"/>
        <color rgb="FF000000"/>
        <rFont val="メイリオ"/>
        <charset val="134"/>
      </rPr>
      <t xml:space="preserve">WHERE todofuken_code = '13'
</t>
    </r>
    <r>
      <rPr>
        <sz val="10"/>
        <color rgb="FF000000"/>
        <rFont val="メイリオ"/>
        <charset val="134"/>
      </rPr>
      <t xml:space="preserve">AND deleted_at IS NULL;
</t>
    </r>
    <r>
      <rPr>
        <sz val="10"/>
        <color rgb="FF000000"/>
        <rFont val="メイリオ"/>
        <charset val="134"/>
      </rPr>
      <t xml:space="preserve">```
</t>
    </r>
    <r>
      <rPr>
        <b/>
        <sz val="10"/>
        <color rgb="FF000000"/>
        <rFont val="メイリオ"/>
        <charset val="134"/>
      </rPr>
      <t xml:space="preserve">ステップ4：
</t>
    </r>
    <r>
      <rPr>
        <sz val="10"/>
        <color rgb="FF000000"/>
        <rFont val="メイリオ"/>
        <charset val="134"/>
      </rPr>
      <t>Ghi lại `file_download_id` của file thuộc JA tỉnh Osaka (mã「27」) và truy cập trực tiếp URL「/api/v1/file-download/{id}/download」</t>
    </r>
  </si>
  <si>
    <r>
      <rPr>
        <b/>
        <sz val="10"/>
        <color rgb="FF000000"/>
        <rFont val="メイリオ"/>
        <charset val="134"/>
      </rPr>
      <t xml:space="preserve">ステップ1：
</t>
    </r>
    <r>
      <rPr>
        <sz val="10"/>
        <color rgb="FF000000"/>
        <rFont val="メイリオ"/>
        <charset val="134"/>
      </rPr>
      <t xml:space="preserve">File của toàn bộ JA thuộc Tokyo được hiển thị
</t>
    </r>
    <r>
      <rPr>
        <b/>
        <sz val="10"/>
        <color rgb="FF000000"/>
        <rFont val="メイリオ"/>
        <charset val="134"/>
      </rPr>
      <t xml:space="preserve">ステップ2：
</t>
    </r>
    <r>
      <rPr>
        <sz val="10"/>
        <color rgb="FF000000"/>
        <rFont val="メイリオ"/>
        <charset val="134"/>
      </rPr>
      <t xml:space="preserve">・Trả về HTTP 200
</t>
    </r>
    <r>
      <rPr>
        <sz val="10"/>
        <color rgb="FF000000"/>
        <rFont val="メイリオ"/>
        <charset val="134"/>
      </rPr>
      <t xml:space="preserve">・`data[].ja_id` chỉ gồm「JA thuộc mã tỉnh 13」hoặc `null` (dành cho toàn JA)
</t>
    </r>
    <r>
      <rPr>
        <sz val="10"/>
        <color rgb="FF000000"/>
        <rFont val="メイリオ"/>
        <charset val="134"/>
      </rPr>
      <t xml:space="preserve">・Không chứa file thuộc JA của tỉnh Osaka
</t>
    </r>
    <r>
      <rPr>
        <b/>
        <sz val="10"/>
        <color rgb="FF000000"/>
        <rFont val="メイリオ"/>
        <charset val="134"/>
      </rPr>
      <t xml:space="preserve">ステップ3：
</t>
    </r>
    <r>
      <rPr>
        <sz val="10"/>
        <color rgb="FF000000"/>
        <rFont val="メイリオ"/>
        <charset val="134"/>
      </rPr>
      <t xml:space="preserve">Nhóm JA từ kết quả query bước 3 khớp với nhóm JA đã kiểm tra ở bước 2
</t>
    </r>
    <r>
      <rPr>
        <b/>
        <sz val="10"/>
        <color rgb="FF000000"/>
        <rFont val="メイリオ"/>
        <charset val="134"/>
      </rPr>
      <t xml:space="preserve">ステップ4：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補足：
</t>
    </r>
    <r>
      <rPr>
        <sz val="10"/>
        <color rgb="FF000000"/>
        <rFont val="メイリオ"/>
        <charset val="134"/>
      </rPr>
      <t xml:space="preserve">・Phạm vi tham chiếu của Chuokai được mở rộng thành toàn bộ JA cùng tỉnh, không phải chỉ JA của mình (yêu cầu khách hàng 2026-07 / #52132)
</t>
    </r>
    <r>
      <rPr>
        <sz val="10"/>
        <color rgb="FF000000"/>
        <rFont val="メイリオ"/>
        <charset val="134"/>
      </rPr>
      <t xml:space="preserve">・Tỉnh được mở rộng do `todofuken_code` trong session quyết định, nên chỉ định tỉnh khác trong request cũng không tham chiếu được
</t>
    </r>
    <r>
      <rPr>
        <sz val="10"/>
        <color rgb="FF000000"/>
        <rFont val="メイリオ"/>
        <charset val="134"/>
      </rPr>
      <t>・Các dòng hiển thị trong danh sách được đánh giá bằng cùng phạm vi tham chiếu ở download đơn lẻ・preview・download hàng loạt</t>
    </r>
  </si>
  <si>
    <t>`docs/requirement/account_concept.md` ※5 ghi phạm vi tham chiếu của Chuokai là「Chuokai của mình + JA quản hạt」nhưng đây là mô tả trước thay đổi 2026-07. Tài liệu thiết kế màn hình v1.2・thiết kế API v1.3・implement đều là「toàn bộ JA cùng tỉnh」, testcase này lấy cái sau làm chuẩn.</t>
  </si>
  <si>
    <t>ACSMS-TC-022-004</t>
  </si>
  <si>
    <t>Phạm vi tham chiếu của JA_HONTEN — JA của mình và file dành cho toàn JA</t>
  </si>
  <si>
    <t>・role: JA_HONTEN
・Đã login (đã xác thực 2 bước)
・Có quyền「file.download」
・Session được phát hành với `ja_id` = 1
・Đã có file với `ja_id` = 1 / 2 và file dành cho toàn JA (`ja_id IS NULL`)</t>
  </si>
  <si>
    <r>
      <rPr>
        <b/>
        <sz val="10"/>
        <color rgb="FF000000"/>
        <rFont val="メイリオ"/>
        <charset val="134"/>
      </rPr>
      <t xml:space="preserve">ステップ1：
</t>
    </r>
    <r>
      <rPr>
        <sz val="10"/>
        <color rgb="FF000000"/>
        <rFont val="メイリオ"/>
        <charset val="134"/>
      </rPr>
      <t xml:space="preserve">Mở「/file-download」và kiểm tra tên JA hiển thị trong danh sách
</t>
    </r>
    <r>
      <rPr>
        <b/>
        <sz val="10"/>
        <color rgb="FF000000"/>
        <rFont val="メイリオ"/>
        <charset val="134"/>
      </rPr>
      <t xml:space="preserve">ステップ2：
</t>
    </r>
    <r>
      <rPr>
        <sz val="10"/>
        <color rgb="FF000000"/>
        <rFont val="メイリオ"/>
        <charset val="134"/>
      </rPr>
      <t xml:space="preserve">Kiểm tra `data[].ja_id` trong response GET「/api/v1/file-download」trên tab Network của DevTools
</t>
    </r>
    <r>
      <rPr>
        <b/>
        <sz val="10"/>
        <color rgb="FF000000"/>
        <rFont val="メイリオ"/>
        <charset val="134"/>
      </rPr>
      <t xml:space="preserve">ステップ3：
</t>
    </r>
    <r>
      <rPr>
        <sz val="10"/>
        <color rgb="FF000000"/>
        <rFont val="メイリオ"/>
        <charset val="134"/>
      </rPr>
      <t>Kiểm tra trạng thái dropdown「JA名」trong khu vực tìm kiếm</t>
    </r>
  </si>
  <si>
    <r>
      <rPr>
        <b/>
        <sz val="10"/>
        <color rgb="FF000000"/>
        <rFont val="メイリオ"/>
        <charset val="134"/>
      </rPr>
      <t xml:space="preserve">ステップ1：
</t>
    </r>
    <r>
      <rPr>
        <sz val="10"/>
        <color rgb="FF000000"/>
        <rFont val="メイリオ"/>
        <charset val="134"/>
      </rPr>
      <t xml:space="preserve">Chỉ hiển thị file của JA mình (`ja_id` = 1) và file dành cho toàn JA
</t>
    </r>
    <r>
      <rPr>
        <b/>
        <sz val="10"/>
        <color rgb="FF000000"/>
        <rFont val="メイリオ"/>
        <charset val="134"/>
      </rPr>
      <t xml:space="preserve">ステップ2：
</t>
    </r>
    <r>
      <rPr>
        <sz val="10"/>
        <color rgb="FF000000"/>
        <rFont val="メイリオ"/>
        <charset val="134"/>
      </rPr>
      <t xml:space="preserve">・Trả về HTTP 200
</t>
    </r>
    <r>
      <rPr>
        <sz val="10"/>
        <color rgb="FF000000"/>
        <rFont val="メイリオ"/>
        <charset val="134"/>
      </rPr>
      <t xml:space="preserve">・`data[].ja_id` chỉ gồm 1 hoặc `null`
</t>
    </r>
    <r>
      <rPr>
        <sz val="10"/>
        <color rgb="FF000000"/>
        <rFont val="メイリオ"/>
        <charset val="134"/>
      </rPr>
      <t xml:space="preserve">・Không chứa file có `ja_id` = 2
</t>
    </r>
    <r>
      <rPr>
        <b/>
        <sz val="10"/>
        <color rgb="FF000000"/>
        <rFont val="メイリオ"/>
        <charset val="134"/>
      </rPr>
      <t xml:space="preserve">ステップ3：
</t>
    </r>
    <r>
      <rPr>
        <sz val="10"/>
        <color rgb="FF000000"/>
        <rFont val="メイリオ"/>
        <charset val="134"/>
      </rPr>
      <t xml:space="preserve">Dropdown「JA名」hiển thị ở trạng thái disable (do tự động lọc theo JA của mình)
</t>
    </r>
    <r>
      <rPr>
        <b/>
        <sz val="10"/>
        <color rgb="FF000000"/>
        <rFont val="メイリオ"/>
        <charset val="134"/>
      </rPr>
      <t xml:space="preserve">補足：
</t>
    </r>
    <r>
      <rPr>
        <sz val="10"/>
        <color rgb="FF000000"/>
        <rFont val="メイリオ"/>
        <charset val="134"/>
      </rPr>
      <t xml:space="preserve">・JA Honten không tham chiếu được file ngoài JA của mình
</t>
    </r>
    <r>
      <rPr>
        <sz val="10"/>
        <color rgb="FF000000"/>
        <rFont val="メイリオ"/>
        <charset val="134"/>
      </rPr>
      <t>・Phạm vi tham chiếu không mở rộng sang JA khác cùng tỉnh (chỉ Chuokai được mở rộng)</t>
    </r>
  </si>
  <si>
    <t>ACSMS-TC-022-005</t>
  </si>
  <si>
    <t>Phạm vi tham chiếu của JA_KANRI_SHITEN — không lọc theo đơn vị chi nhánh quản lý</t>
  </si>
  <si>
    <t>・role: JA_KANRI_SHITEN
・Đã login (đã xác thực 2 bước)
・Có quyền「file.download」
・Session được phát hành với `ja_id` = 1, `kanri_shiten_id` = 10
・Đã có nhiều file với `ja_id` = 1 do người phụ trách của các chi nhánh quản lý khác nhau tạo</t>
  </si>
  <si>
    <r>
      <rPr>
        <b/>
        <sz val="10"/>
        <color rgb="FF000000"/>
        <rFont val="メイリオ"/>
        <charset val="134"/>
      </rPr>
      <t xml:space="preserve">ステップ1：
</t>
    </r>
    <r>
      <rPr>
        <sz val="10"/>
        <color rgb="FF000000"/>
        <rFont val="メイリオ"/>
        <charset val="134"/>
      </rPr>
      <t xml:space="preserve">Mở「/file-download」và kiểm tra số lượng trong danh sách
</t>
    </r>
    <r>
      <rPr>
        <b/>
        <sz val="10"/>
        <color rgb="FF000000"/>
        <rFont val="メイリオ"/>
        <charset val="134"/>
      </rPr>
      <t xml:space="preserve">ステップ2：
</t>
    </r>
    <r>
      <rPr>
        <sz val="10"/>
        <color rgb="FF000000"/>
        <rFont val="メイリオ"/>
        <charset val="134"/>
      </rPr>
      <t xml:space="preserve">Kiểm tra `data[].ja_id` trong response GET「/api/v1/file-download」trên tab Network của DevTools
</t>
    </r>
    <r>
      <rPr>
        <b/>
        <sz val="10"/>
        <color rgb="FF000000"/>
        <rFont val="メイリオ"/>
        <charset val="134"/>
      </rPr>
      <t xml:space="preserve">ステップ3：
</t>
    </r>
    <r>
      <rPr>
        <sz val="10"/>
        <color rgb="FF000000"/>
        <rFont val="メイリオ"/>
        <charset val="134"/>
      </rPr>
      <t xml:space="preserve">Thực thi query sau trên DB và đối chiếu với số lượng của response
</t>
    </r>
    <r>
      <rPr>
        <sz val="10"/>
        <color rgb="FF000000"/>
        <rFont val="メイリオ"/>
        <charset val="134"/>
      </rPr>
      <t xml:space="preserve">```sql
</t>
    </r>
    <r>
      <rPr>
        <sz val="10"/>
        <color rgb="FF000000"/>
        <rFont val="メイリオ"/>
        <charset val="134"/>
      </rPr>
      <t xml:space="preserve">SELECT COUNT(*) AS total
</t>
    </r>
    <r>
      <rPr>
        <sz val="10"/>
        <color rgb="FF000000"/>
        <rFont val="メイリオ"/>
        <charset val="134"/>
      </rPr>
      <t xml:space="preserve">FROM t_file_download
</t>
    </r>
    <r>
      <rPr>
        <sz val="10"/>
        <color rgb="FF000000"/>
        <rFont val="メイリオ"/>
        <charset val="134"/>
      </rPr>
      <t xml:space="preserve">WHERE deleted_at IS NULL
</t>
    </r>
    <r>
      <rPr>
        <sz val="10"/>
        <color rgb="FF000000"/>
        <rFont val="メイリオ"/>
        <charset val="134"/>
      </rPr>
      <t xml:space="preserve">AND (ja_id = 1 OR ja_id IS NULL);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</si>
  <si>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File của JA mình được hiển thị bất kể chi nhánh quản lý
</t>
    </r>
    <r>
      <rPr>
        <b/>
        <sz val="10"/>
        <color rgb="FF000000"/>
        <rFont val="メイリオ"/>
        <charset val="134"/>
      </rPr>
      <t xml:space="preserve">ステップ2：
</t>
    </r>
    <r>
      <rPr>
        <sz val="10"/>
        <color rgb="FF000000"/>
        <rFont val="メイリオ"/>
        <charset val="134"/>
      </rPr>
      <t xml:space="preserve">・Trả về HTTP 200
</t>
    </r>
    <r>
      <rPr>
        <sz val="10"/>
        <color rgb="FF000000"/>
        <rFont val="メイリオ"/>
        <charset val="134"/>
      </rPr>
      <t xml:space="preserve">・`data[].ja_id` chỉ gồm 1 hoặc `null`
</t>
    </r>
    <r>
      <rPr>
        <b/>
        <sz val="10"/>
        <color rgb="FF000000"/>
        <rFont val="メイリオ"/>
        <charset val="134"/>
      </rPr>
      <t xml:space="preserve">ステップ3：
</t>
    </r>
    <r>
      <rPr>
        <sz val="10"/>
        <color rgb="FF000000"/>
        <rFont val="メイリオ"/>
        <charset val="134"/>
      </rPr>
      <t xml:space="preserve">Số lượng trong DB khớp với `meta.total` của response
</t>
    </r>
    <r>
      <rPr>
        <b/>
        <sz val="10"/>
        <color rgb="FF000000"/>
        <rFont val="メイリオ"/>
        <charset val="134"/>
      </rPr>
      <t xml:space="preserve">補足：
</t>
    </r>
    <r>
      <rPr>
        <sz val="10"/>
        <color rgb="FF000000"/>
        <rFont val="メイリオ"/>
        <charset val="134"/>
      </rPr>
      <t>・Phạm vi tham chiếu của JA Kanri Shiten giống JA Honten, không lọc theo đơn vị chi nhánh quản lý</t>
    </r>
  </si>
  <si>
    <t>ACSMS-TC-022-006</t>
  </si>
  <si>
    <t>CHUOKAI — fallback về JA của mình khi session chưa có `todofuken_code`</t>
  </si>
  <si>
    <t>・role: CHUOKAI
・Đã login (đã xác thực 2 bước)
・Có quyền「file.download」
・Đã tái hiện session phát hành trước khi release chức năng này (chưa có `todofuken_code` trên Redis)
・Session có `ja_id` = 1, cùng tỉnh có JA với `ja_id` = 2</t>
  </si>
  <si>
    <r>
      <rPr>
        <b/>
        <sz val="10"/>
        <color rgb="FF000000"/>
        <rFont val="游ゴシック"/>
        <charset val="134"/>
      </rPr>
      <t xml:space="preserve">ステップ1：
</t>
    </r>
    <r>
      <rPr>
        <sz val="10"/>
        <color rgb="FF000000"/>
        <rFont val="游ゴシック"/>
        <charset val="134"/>
      </rPr>
      <t xml:space="preserve">Kiểm tra nội dung session trên Redis, xác nhận không chứa `todofuken_code`
```
GET session:{session_id}
```
</t>
    </r>
    <r>
      <rPr>
        <b/>
        <sz val="10"/>
        <color rgb="FF000000"/>
        <rFont val="游ゴシック"/>
        <charset val="134"/>
      </rPr>
      <t xml:space="preserve">ステップ2：
</t>
    </r>
    <r>
      <rPr>
        <sz val="10"/>
        <color rgb="FF000000"/>
        <rFont val="游ゴシック"/>
        <charset val="134"/>
      </rPr>
      <t xml:space="preserve">Mở「/file-download」với session đó và kiểm tra tên JA hiển thị trong danh sách
</t>
    </r>
    <r>
      <rPr>
        <b/>
        <sz val="10"/>
        <color rgb="FF000000"/>
        <rFont val="游ゴシック"/>
        <charset val="134"/>
      </rPr>
      <t xml:space="preserve">ステップ3：
</t>
    </r>
    <r>
      <rPr>
        <sz val="10"/>
        <color rgb="FF000000"/>
        <rFont val="游ゴシック"/>
        <charset val="134"/>
      </rPr>
      <t xml:space="preserve">Kiểm tra `data[].ja_id` trong response GET「/api/v1/file-download」trên tab Network của DevTools
</t>
    </r>
    <r>
      <rPr>
        <b/>
        <sz val="10"/>
        <color rgb="FF000000"/>
        <rFont val="游ゴシック"/>
        <charset val="134"/>
      </rPr>
      <t xml:space="preserve">ステップ4：
</t>
    </r>
    <r>
      <rPr>
        <sz val="10"/>
        <color rgb="FF000000"/>
        <rFont val="游ゴシック"/>
        <charset val="134"/>
      </rPr>
      <t>Logout một lần, login lại rồi thực hiện kiểm tra tương tự</t>
    </r>
  </si>
  <si>
    <r>
      <rPr>
        <b/>
        <sz val="10"/>
        <color rgb="FF000000"/>
        <rFont val="游ゴシック"/>
        <charset val="134"/>
      </rPr>
      <t xml:space="preserve">ステップ1：
</t>
    </r>
    <r>
      <rPr>
        <sz val="10"/>
        <color rgb="FF000000"/>
        <rFont val="游ゴシック"/>
        <charset val="134"/>
      </rPr>
      <t xml:space="preserve">Session không tồn tại `todofuken_code`
</t>
    </r>
    <r>
      <rPr>
        <b/>
        <sz val="10"/>
        <color rgb="FF000000"/>
        <rFont val="游ゴシック"/>
        <charset val="134"/>
      </rPr>
      <t xml:space="preserve">ステップ2：
</t>
    </r>
    <r>
      <rPr>
        <sz val="10"/>
        <color rgb="FF000000"/>
        <rFont val="游ゴシック"/>
        <charset val="134"/>
      </rPr>
      <t xml:space="preserve">Chỉ hiển thị file của JA mình (`ja_id` = 1) và file dành cho toàn JA
</t>
    </r>
    <r>
      <rPr>
        <b/>
        <sz val="10"/>
        <color rgb="FF000000"/>
        <rFont val="游ゴシック"/>
        <charset val="134"/>
      </rPr>
      <t xml:space="preserve">ステップ3：
</t>
    </r>
    <r>
      <rPr>
        <sz val="10"/>
        <color rgb="FF000000"/>
        <rFont val="游ゴシック"/>
        <charset val="134"/>
      </rPr>
      <t xml:space="preserve">・Trả về HTTP 200
・`data[].ja_id` chỉ gồm 1
・Không chứa file có `ja_id` = 2
</t>
    </r>
    <r>
      <rPr>
        <b/>
        <sz val="10"/>
        <color rgb="FF000000"/>
        <rFont val="游ゴシック"/>
        <charset val="134"/>
      </rPr>
      <t xml:space="preserve">ステップ4：
</t>
    </r>
    <r>
      <rPr>
        <sz val="10"/>
        <color rgb="FF000000"/>
        <rFont val="游ゴシック"/>
        <charset val="134"/>
      </rPr>
      <t xml:space="preserve">Sau khi login lại, `todofuken_code` được gán và file của toàn bộ JA cùng tỉnh được hiển thị
</t>
    </r>
    <r>
      <rPr>
        <b/>
        <sz val="10"/>
        <color rgb="FF000000"/>
        <rFont val="游ゴシック"/>
        <charset val="134"/>
      </rPr>
      <t xml:space="preserve">補足：
</t>
    </r>
    <r>
      <rPr>
        <sz val="10"/>
        <color rgb="FF000000"/>
        <rFont val="游ゴシック"/>
        <charset val="134"/>
      </rPr>
      <t>・Session cũ không có `todofuken_code` cũng không bị terminate bất thường, thu hẹp về phạm vi chỉ JA của mình như trước
・Việc mở rộng phạm vi tham chiếu không được áp dụng ngoài ý muốn cho session cũ</t>
    </r>
  </si>
  <si>
    <t>ACSMS-TC-022-007</t>
  </si>
  <si>
    <t>Việc mở rộng phạm vi theo tỉnh không lan sang các role JA</t>
  </si>
  <si>
    <t>・Đã login bằng tài khoản JA_HONTEN có giữ `todofuken_code` (đã xác thực 2 bước)
・Có quyền「file.download」
・Cùng tỉnh có từ 1 JA khác ngoài JA của mình, và JA đó đã có file</t>
  </si>
  <si>
    <r>
      <rPr>
        <b/>
        <sz val="10"/>
        <color rgb="FF000000"/>
        <rFont val="メイリオ"/>
        <charset val="134"/>
      </rPr>
      <t xml:space="preserve">ステップ1：
</t>
    </r>
    <r>
      <rPr>
        <sz val="10"/>
        <color rgb="FF000000"/>
        <rFont val="メイリオ"/>
        <charset val="134"/>
      </rPr>
      <t xml:space="preserve">Kiểm tra nội dung session trên Redis, xác nhận `todofuken_code` đã được thiết lập
</t>
    </r>
    <r>
      <rPr>
        <b/>
        <sz val="10"/>
        <color rgb="FF000000"/>
        <rFont val="メイリオ"/>
        <charset val="134"/>
      </rPr>
      <t xml:space="preserve">ステップ2：
</t>
    </r>
    <r>
      <rPr>
        <sz val="10"/>
        <color rgb="FF000000"/>
        <rFont val="メイリオ"/>
        <charset val="134"/>
      </rPr>
      <t xml:space="preserve">Mở「/file-download」và kiểm tra tên JA hiển thị trong danh sách
</t>
    </r>
    <r>
      <rPr>
        <b/>
        <sz val="10"/>
        <color rgb="FF000000"/>
        <rFont val="メイリオ"/>
        <charset val="134"/>
      </rPr>
      <t xml:space="preserve">ステップ3：
</t>
    </r>
    <r>
      <rPr>
        <sz val="10"/>
        <color rgb="FF000000"/>
        <rFont val="メイリオ"/>
        <charset val="134"/>
      </rPr>
      <t>Thực hiện kiểm tra tương tự với tài khoản JA_KANRI_SHITEN</t>
    </r>
  </si>
  <si>
    <r>
      <rPr>
        <b/>
        <sz val="10"/>
        <color rgb="FF000000"/>
        <rFont val="メイリオ"/>
        <charset val="134"/>
      </rPr>
      <t xml:space="preserve">ステップ1：
</t>
    </r>
    <r>
      <rPr>
        <sz val="10"/>
        <color rgb="FF000000"/>
        <rFont val="メイリオ"/>
        <charset val="134"/>
      </rPr>
      <t xml:space="preserve">Session đã thiết lập `todofuken_code`
</t>
    </r>
    <r>
      <rPr>
        <b/>
        <sz val="10"/>
        <color rgb="FF000000"/>
        <rFont val="メイリオ"/>
        <charset val="134"/>
      </rPr>
      <t xml:space="preserve">ステップ2：
</t>
    </r>
    <r>
      <rPr>
        <sz val="10"/>
        <color rgb="FF000000"/>
        <rFont val="メイリオ"/>
        <charset val="134"/>
      </rPr>
      <t xml:space="preserve">・Chỉ hiển thị file của JA mình và file dành cho toàn JA
</t>
    </r>
    <r>
      <rPr>
        <sz val="10"/>
        <color rgb="FF000000"/>
        <rFont val="メイリオ"/>
        <charset val="134"/>
      </rPr>
      <t xml:space="preserve">・Không hiển thị file của JA khác cùng tỉnh
</t>
    </r>
    <r>
      <rPr>
        <b/>
        <sz val="10"/>
        <color rgb="FF000000"/>
        <rFont val="メイリオ"/>
        <charset val="134"/>
      </rPr>
      <t xml:space="preserve">ステップ3：
</t>
    </r>
    <r>
      <rPr>
        <sz val="10"/>
        <color rgb="FF000000"/>
        <rFont val="メイリオ"/>
        <charset val="134"/>
      </rPr>
      <t xml:space="preserve">Với JA_KANRI_SHITEN cũng tương tự, không hiển thị file của JA khác cùng tỉnh
</t>
    </r>
    <r>
      <rPr>
        <b/>
        <sz val="10"/>
        <color rgb="FF000000"/>
        <rFont val="メイリオ"/>
        <charset val="134"/>
      </rPr>
      <t xml:space="preserve">補足：
</t>
    </r>
    <r>
      <rPr>
        <sz val="10"/>
        <color rgb="FF000000"/>
        <rFont val="メイリオ"/>
        <charset val="134"/>
      </rPr>
      <t>・Việc mở rộng phạm vi chỉ áp dụng khi `role_code` là CHUOKAI, không phán đoán bằng việc có hay không `todofuken_code`</t>
    </r>
  </si>
  <si>
    <t>JA Honten・JA Kanri Shiten cũng giữ `todofuken_code`, nên nếu chỉ phán đoán phạm vi bằng việc có tỉnh thì các role vốn phải đóng trong JA của mình cũng lan ra toàn JA trong tỉnh. Đây là case phát hiện hồi quy xác nhận việc giới hạn bằng role code đã được implement.</t>
  </si>
  <si>
    <t>ACSMS-TC-022-008</t>
  </si>
  <si>
    <t>Tính nhất quán giữa các lựa chọn dropdown lọc JA và phạm vi tham chiếu</t>
  </si>
  <si>
    <t>・Đã chuẩn bị 3 tài khoản NICHINO_ADMIN / CHUOKAI / JA_HONTEN (đều đã xác thực 2 bước)
・Có quyền「file.download」
・Session của tài khoản CHUOKAI đã thiết lập `todofuken_code`</t>
  </si>
  <si>
    <r>
      <rPr>
        <b/>
        <sz val="10"/>
        <color rgb="FF000000"/>
        <rFont val="メイリオ"/>
        <charset val="134"/>
      </rPr>
      <t xml:space="preserve">ステップ1：
</t>
    </r>
    <r>
      <rPr>
        <sz val="10"/>
        <color rgb="FF000000"/>
        <rFont val="メイリオ"/>
        <charset val="134"/>
      </rPr>
      <t xml:space="preserve">Login NICHINO_ADMIN mở「/file-download」, mở dropdown「JA名」và kiểm tra các lựa chọn
</t>
    </r>
    <r>
      <rPr>
        <b/>
        <sz val="10"/>
        <color rgb="FF000000"/>
        <rFont val="メイリオ"/>
        <charset val="134"/>
      </rPr>
      <t xml:space="preserve">ステップ2：
</t>
    </r>
    <r>
      <rPr>
        <sz val="10"/>
        <color rgb="FF000000"/>
        <rFont val="メイリオ"/>
        <charset val="134"/>
      </rPr>
      <t xml:space="preserve">Thực hiện thao tác tương tự với CHUOKAI, kiểm tra tỉnh của các JA trong danh sách lựa chọn
</t>
    </r>
    <r>
      <rPr>
        <b/>
        <sz val="10"/>
        <color rgb="FF000000"/>
        <rFont val="メイリオ"/>
        <charset val="134"/>
      </rPr>
      <t xml:space="preserve">ステップ3：
</t>
    </r>
    <r>
      <rPr>
        <sz val="10"/>
        <color rgb="FF000000"/>
        <rFont val="メイリオ"/>
        <charset val="134"/>
      </rPr>
      <t>Thực hiện thao tác tương tự với JA_HONTEN, kiểm tra trạng thái active của dropdown</t>
    </r>
  </si>
  <si>
    <r>
      <rPr>
        <b/>
        <sz val="10"/>
        <color rgb="FF000000"/>
        <rFont val="游ゴシック"/>
        <charset val="134"/>
      </rPr>
      <t xml:space="preserve">ステップ1：
</t>
    </r>
    <r>
      <rPr>
        <sz val="10"/>
        <color rgb="FF000000"/>
        <rFont val="游ゴシック"/>
        <charset val="134"/>
      </rPr>
      <t xml:space="preserve">Toàn bộ JA được hiển thị làm lựa chọn
</t>
    </r>
    <r>
      <rPr>
        <b/>
        <sz val="10"/>
        <color rgb="FF000000"/>
        <rFont val="游ゴシック"/>
        <charset val="134"/>
      </rPr>
      <t xml:space="preserve">ステップ2：
</t>
    </r>
    <r>
      <rPr>
        <sz val="10"/>
        <color rgb="FF000000"/>
        <rFont val="游ゴシック"/>
        <charset val="134"/>
      </rPr>
      <t xml:space="preserve">・Chỉ JA cùng tỉnh được hiển thị làm lựa chọn
・JA của tỉnh khác không nằm trong danh sách lựa chọn
</t>
    </r>
    <r>
      <rPr>
        <b/>
        <sz val="10"/>
        <color rgb="FF000000"/>
        <rFont val="游ゴシック"/>
        <charset val="134"/>
      </rPr>
      <t xml:space="preserve">ステップ3：
</t>
    </r>
    <r>
      <rPr>
        <sz val="10"/>
        <color rgb="FF000000"/>
        <rFont val="游ゴシック"/>
        <charset val="134"/>
      </rPr>
      <t xml:space="preserve">Dropdown hiển thị ở trạng thái disable
</t>
    </r>
    <r>
      <rPr>
        <b/>
        <sz val="10"/>
        <color rgb="FF000000"/>
        <rFont val="游ゴシック"/>
        <charset val="134"/>
      </rPr>
      <t xml:space="preserve">補足：
</t>
    </r>
    <r>
      <rPr>
        <sz val="10"/>
        <color rgb="FF000000"/>
        <rFont val="游ゴシック"/>
        <charset val="134"/>
      </rPr>
      <t>・Lựa chọn lọc khớp với phạm vi tham chiếu của danh sách, không thể chỉ định JA không có trong lựa chọn làm điều kiện tìm kiếm</t>
    </r>
  </si>
  <si>
    <t>ACSMS-TC-022-009</t>
  </si>
  <si>
    <t>Truy cập trực tiếp file ngoài phạm vi tham chiếu — 404 do ẩn sự tồn tại</t>
  </si>
  <si>
    <t>・role: JA_HONTEN
・Đã login (đã xác thực 2 bước)
・Có quyền「file.download」
・Session được phát hành với `ja_id` = 1
・Đã có file với `ja_id` = 2 (giả sử `file_download_id` = 999)</t>
  </si>
  <si>
    <r>
      <rPr>
        <b/>
        <sz val="10"/>
        <color rgb="FF000000"/>
        <rFont val="游ゴシック"/>
        <charset val="134"/>
      </rPr>
      <t xml:space="preserve">ステップ1：
</t>
    </r>
    <r>
      <rPr>
        <sz val="10"/>
        <color rgb="FF000000"/>
        <rFont val="游ゴシック"/>
        <charset val="134"/>
      </rPr>
      <t xml:space="preserve">Mở「/file-download」, xác nhận dòng có `file_download_id` = 999 không hiển thị trong danh sách
</t>
    </r>
    <r>
      <rPr>
        <b/>
        <sz val="10"/>
        <color rgb="FF000000"/>
        <rFont val="游ゴシック"/>
        <charset val="134"/>
      </rPr>
      <t xml:space="preserve">ステップ2：
</t>
    </r>
    <r>
      <rPr>
        <sz val="10"/>
        <color rgb="FF000000"/>
        <rFont val="游ゴシック"/>
        <charset val="134"/>
      </rPr>
      <t xml:space="preserve">Gửi GET「/api/v1/file-download/999/preview」trên tab Network của DevTools
</t>
    </r>
    <r>
      <rPr>
        <b/>
        <sz val="10"/>
        <color rgb="FF000000"/>
        <rFont val="游ゴシック"/>
        <charset val="134"/>
      </rPr>
      <t xml:space="preserve">ステップ3：
</t>
    </r>
    <r>
      <rPr>
        <sz val="10"/>
        <color rgb="FF000000"/>
        <rFont val="游ゴシック"/>
        <charset val="134"/>
      </rPr>
      <t xml:space="preserve">Gửi tương tự GET「/api/v1/file-download/999/download」
</t>
    </r>
    <r>
      <rPr>
        <b/>
        <sz val="10"/>
        <color rgb="FF000000"/>
        <rFont val="游ゴシック"/>
        <charset val="134"/>
      </rPr>
      <t xml:space="preserve">ステップ4：
</t>
    </r>
    <r>
      <rPr>
        <sz val="10"/>
        <color rgb="FF000000"/>
        <rFont val="游ゴシック"/>
        <charset val="134"/>
      </rPr>
      <t>Gửi POST「/api/v1/file-download/download-zip」với request body `{ "file_download_ids": [999] }`</t>
    </r>
  </si>
  <si>
    <r>
      <rPr>
        <b/>
        <sz val="10"/>
        <color rgb="FF000000"/>
        <rFont val="メイリオ"/>
        <charset val="134"/>
      </rPr>
      <t xml:space="preserve">ステップ1：
</t>
    </r>
    <r>
      <rPr>
        <sz val="10"/>
        <color rgb="FF000000"/>
        <rFont val="メイリオ"/>
        <charset val="134"/>
      </rPr>
      <t xml:space="preserve">File đó không hiển thị trong danh sách
</t>
    </r>
    <r>
      <rPr>
        <b/>
        <sz val="10"/>
        <color rgb="FF000000"/>
        <rFont val="メイリオ"/>
        <charset val="134"/>
      </rPr>
      <t xml:space="preserve">ステップ2：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ステップ3：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ステップ4：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補足：
</t>
    </r>
    <r>
      <rPr>
        <sz val="10"/>
        <color rgb="FF000000"/>
        <rFont val="メイリオ"/>
        <charset val="134"/>
      </rPr>
      <t xml:space="preserve">・File ngoài phạm vi tham chiếu trả về 404 chứ không phải 403, không thể suy đoán sự tồn tại của file
</t>
    </r>
    <r>
      <rPr>
        <sz val="10"/>
        <color rgb="FF000000"/>
        <rFont val="メイリオ"/>
        <charset val="134"/>
      </rPr>
      <t>・`error_code` không trả về `DATA_SCOPE_VIOLATION`</t>
    </r>
  </si>
  <si>
    <t>Danh sách lỗi của tài liệu thiết kế API có ghi `DATA_SCOPE_VIOLATION` (HTTP 403 / `このデータへのアクセス権限がありません。`), nhưng màn hình này thiết kế dồn vi phạm phạm vi tham chiếu về 404 (ẩn sự tồn tại) nên error code này không phát sinh khi vận hành bình thường. Testcase này bao phủ dòng đó như một case phát hiện hồi quy xác nhận không trả về 403.</t>
  </si>
  <si>
    <t>ACSMS-TC-022-010</t>
  </si>
  <si>
    <t>User chưa xác thực truy cập trực tiếp URL</t>
  </si>
  <si>
    <t>・Trạng thái chưa login (không có session cookie)
・Đã xóa cookie của trình duyệt</t>
  </si>
  <si>
    <r>
      <rPr>
        <b/>
        <sz val="10"/>
        <color rgb="FF000000"/>
        <rFont val="メイリオ"/>
        <charset val="134"/>
      </rPr>
      <t xml:space="preserve">ステップ1：
</t>
    </r>
    <r>
      <rPr>
        <sz val="10"/>
        <color rgb="FF000000"/>
        <rFont val="メイリオ"/>
        <charset val="134"/>
      </rPr>
      <t xml:space="preserve">Nhập「/file-download」vào thanh địa chỉ trình duyệt để truy cập trực tiếp
</t>
    </r>
    <r>
      <rPr>
        <b/>
        <sz val="10"/>
        <color rgb="FF000000"/>
        <rFont val="メイリオ"/>
        <charset val="134"/>
      </rPr>
      <t xml:space="preserve">ステップ2：
</t>
    </r>
    <r>
      <rPr>
        <sz val="10"/>
        <color rgb="FF000000"/>
        <rFont val="メイリオ"/>
        <charset val="134"/>
      </rPr>
      <t xml:space="preserve">Gửi GET「/api/v1/file-download」trên tab Network của DevTools
</t>
    </r>
    <r>
      <rPr>
        <b/>
        <sz val="10"/>
        <color rgb="FF000000"/>
        <rFont val="メイリオ"/>
        <charset val="134"/>
      </rPr>
      <t xml:space="preserve">ステップ3：
</t>
    </r>
    <r>
      <rPr>
        <sz val="10"/>
        <color rgb="FF000000"/>
        <rFont val="メイリオ"/>
        <charset val="134"/>
      </rPr>
      <t>Gửi tương tự GET「/api/v1/file-download/1/download」</t>
    </r>
  </si>
  <si>
    <r>
      <rPr>
        <b/>
        <sz val="10"/>
        <color rgb="FF000000"/>
        <rFont val="メイリオ"/>
        <charset val="134"/>
      </rPr>
      <t xml:space="preserve">ステップ1：
</t>
    </r>
    <r>
      <rPr>
        <sz val="10"/>
        <color rgb="FF000000"/>
        <rFont val="メイリオ"/>
        <charset val="134"/>
      </rPr>
      <t xml:space="preserve">Chuyển sang「/login」và query parameter `redirect` giữ lại URL ban đầu
</t>
    </r>
    <r>
      <rPr>
        <b/>
        <sz val="10"/>
        <color rgb="FF000000"/>
        <rFont val="メイリオ"/>
        <charset val="134"/>
      </rPr>
      <t xml:space="preserve">ステップ2：
</t>
    </r>
    <r>
      <rPr>
        <sz val="10"/>
        <color rgb="FF000000"/>
        <rFont val="メイリオ"/>
        <charset val="134"/>
      </rPr>
      <t xml:space="preserve">Trả về HTTP 401 (`error_code: UNAUTHORIZED`, message `セッションが切れました。再度ログインしてください。`)
</t>
    </r>
    <r>
      <rPr>
        <b/>
        <sz val="10"/>
        <color rgb="FF000000"/>
        <rFont val="メイリオ"/>
        <charset val="134"/>
      </rPr>
      <t xml:space="preserve">ステップ3：
</t>
    </r>
    <r>
      <rPr>
        <sz val="10"/>
        <color rgb="FF000000"/>
        <rFont val="メイリオ"/>
        <charset val="134"/>
      </rPr>
      <t xml:space="preserve">Trả về HTTP 401 (`error_code: UNAUTHORIZED`, message `セッションが切れました。再度ログインしてください。`)
</t>
    </r>
    <r>
      <rPr>
        <b/>
        <sz val="10"/>
        <color rgb="FF000000"/>
        <rFont val="メイリオ"/>
        <charset val="134"/>
      </rPr>
      <t xml:space="preserve">補足：
</t>
    </r>
    <r>
      <rPr>
        <sz val="10"/>
        <color rgb="FF000000"/>
        <rFont val="メイリオ"/>
        <charset val="134"/>
      </rPr>
      <t>・Ở trạng thái chưa xác thực, không thực hiện được cả danh sách file lẫn download</t>
    </r>
  </si>
  <si>
    <t>ACSMS-TC-022-011</t>
  </si>
  <si>
    <t>Cấm truy cập với tài khoản không có quyền「file.download」</t>
  </si>
  <si>
    <t>・Đã login (đã xác thực 2 bước)
・Đã chuẩn bị tạm role không có quyền「file.download」(loại `file.download` khỏi `m_roles_permissions`)</t>
  </si>
  <si>
    <r>
      <rPr>
        <b/>
        <sz val="10"/>
        <color rgb="FF000000"/>
        <rFont val="メイリオ"/>
        <charset val="134"/>
      </rPr>
      <t xml:space="preserve">ステップ1：
</t>
    </r>
    <r>
      <rPr>
        <sz val="10"/>
        <color rgb="FF000000"/>
        <rFont val="メイリオ"/>
        <charset val="134"/>
      </rPr>
      <t xml:space="preserve">Mở dashboard, xác nhận mục「ファイルダウンロード」không hiển thị trên sidebar
</t>
    </r>
    <r>
      <rPr>
        <b/>
        <sz val="10"/>
        <color rgb="FF000000"/>
        <rFont val="メイリオ"/>
        <charset val="134"/>
      </rPr>
      <t xml:space="preserve">ステップ2：
</t>
    </r>
    <r>
      <rPr>
        <sz val="10"/>
        <color rgb="FF000000"/>
        <rFont val="メイリオ"/>
        <charset val="134"/>
      </rPr>
      <t xml:space="preserve">Nhập「/file-download」vào thanh địa chỉ trình duyệt để truy cập trực tiếp
</t>
    </r>
    <r>
      <rPr>
        <b/>
        <sz val="10"/>
        <color rgb="FF000000"/>
        <rFont val="メイリオ"/>
        <charset val="134"/>
      </rPr>
      <t xml:space="preserve">ステップ3：
</t>
    </r>
    <r>
      <rPr>
        <sz val="10"/>
        <color rgb="FF000000"/>
        <rFont val="メイリオ"/>
        <charset val="134"/>
      </rPr>
      <t xml:space="preserve">Gửi GET「/api/v1/file-download」trên tab Network của DevTools
</t>
    </r>
    <r>
      <rPr>
        <b/>
        <sz val="10"/>
        <color rgb="FF000000"/>
        <rFont val="メイリオ"/>
        <charset val="134"/>
      </rPr>
      <t xml:space="preserve">ステップ4：
</t>
    </r>
    <r>
      <rPr>
        <sz val="10"/>
        <color rgb="FF000000"/>
        <rFont val="メイリオ"/>
        <charset val="134"/>
      </rPr>
      <t>Sau khi kết thúc test, khôi phục quyền đã loại bỏ</t>
    </r>
  </si>
  <si>
    <r>
      <rPr>
        <b/>
        <sz val="10"/>
        <color rgb="FF000000"/>
        <rFont val="メイリオ"/>
        <charset val="134"/>
      </rPr>
      <t xml:space="preserve">ステップ1：
</t>
    </r>
    <r>
      <rPr>
        <sz val="10"/>
        <color rgb="FF000000"/>
        <rFont val="メイリオ"/>
        <charset val="134"/>
      </rPr>
      <t xml:space="preserve">Sidebar không hiển thị mục「ファイルダウンロード」
</t>
    </r>
    <r>
      <rPr>
        <b/>
        <sz val="10"/>
        <color rgb="FF000000"/>
        <rFont val="メイリオ"/>
        <charset val="134"/>
      </rPr>
      <t xml:space="preserve">ステップ2：
</t>
    </r>
    <r>
      <rPr>
        <sz val="10"/>
        <color rgb="FF000000"/>
        <rFont val="メイリオ"/>
        <charset val="134"/>
      </rPr>
      <t xml:space="preserve">・Hiển thị toast「アクセス権がありません。」
</t>
    </r>
    <r>
      <rPr>
        <sz val="10"/>
        <color rgb="FF000000"/>
        <rFont val="メイリオ"/>
        <charset val="134"/>
      </rPr>
      <t xml:space="preserve">・Chuyển về「/dashboard」
</t>
    </r>
    <r>
      <rPr>
        <b/>
        <sz val="10"/>
        <color rgb="FF000000"/>
        <rFont val="メイリオ"/>
        <charset val="134"/>
      </rPr>
      <t xml:space="preserve">ステップ3：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ステップ4：
</t>
    </r>
    <r>
      <rPr>
        <sz val="10"/>
        <color rgb="FF000000"/>
        <rFont val="メイリオ"/>
        <charset val="134"/>
      </rPr>
      <t xml:space="preserve">Quyền được khôi phục, có thể truy cập lại màn hình
</t>
    </r>
    <r>
      <rPr>
        <b/>
        <sz val="10"/>
        <color rgb="FF000000"/>
        <rFont val="メイリオ"/>
        <charset val="134"/>
      </rPr>
      <t xml:space="preserve">補足：
</t>
    </r>
    <r>
      <rPr>
        <sz val="10"/>
        <color rgb="FF000000"/>
        <rFont val="メイリオ"/>
        <charset val="134"/>
      </rPr>
      <t>・Truy cập được kiểm soát ở cả 3 lớp: menu phía frontend, router guard phía frontend, API guard phía backend</t>
    </r>
  </si>
  <si>
    <t>`file.download` được cấp cho cả 5 role, nên case này thực hiện bằng cách tạm thu hồi quyền trên môi trường test. Đây là case phát hiện hồi quy xác nhận permission guard hoạt động.</t>
  </si>
  <si>
    <t>Hiển thị màn hình・Responsive (Layout &amp; Responsive)</t>
  </si>
  <si>
    <t>ACSMS-TC-022-012</t>
  </si>
  <si>
    <t>Hiển thị tiêu đề màn hình và layout ban đầu</t>
  </si>
  <si>
    <t>・role: NICHINO_ADMIN
・Đã login (đã xác thực 2 bước)
・Có quyền「file.download」
・`t_file_download` đã có từ 20 file trở lên</t>
  </si>
  <si>
    <r>
      <rPr>
        <b/>
        <sz val="10"/>
        <color rgb="FF000000"/>
        <rFont val="メイリオ"/>
        <charset val="134"/>
      </rPr>
      <t xml:space="preserve">ステップ1：
</t>
    </r>
    <r>
      <rPr>
        <sz val="10"/>
        <color rgb="FF000000"/>
        <rFont val="メイリオ"/>
        <charset val="134"/>
      </rPr>
      <t xml:space="preserve">Mở「/file-download」và kiểm tra tiêu đề ở phía trên màn hình
</t>
    </r>
    <r>
      <rPr>
        <b/>
        <sz val="10"/>
        <color rgb="FF000000"/>
        <rFont val="メイリオ"/>
        <charset val="134"/>
      </rPr>
      <t xml:space="preserve">ステップ2：
</t>
    </r>
    <r>
      <rPr>
        <sz val="10"/>
        <color rgb="FF000000"/>
        <rFont val="メイリオ"/>
        <charset val="134"/>
      </rPr>
      <t xml:space="preserve">Xác nhận cấu trúc gồm 2 khối: khu vực điều kiện tìm kiếm và khu vực danh sách
</t>
    </r>
    <r>
      <rPr>
        <b/>
        <sz val="10"/>
        <color rgb="FF000000"/>
        <rFont val="メイリオ"/>
        <charset val="134"/>
      </rPr>
      <t xml:space="preserve">ステップ3：
</t>
    </r>
    <r>
      <rPr>
        <sz val="10"/>
        <color rgb="FF000000"/>
        <rFont val="メイリオ"/>
        <charset val="134"/>
      </rPr>
      <t>Kiểm tra tiêu đề khu vực danh sách và đường viền・màu nền của card</t>
    </r>
  </si>
  <si>
    <r>
      <rPr>
        <b/>
        <sz val="10"/>
        <color rgb="FF000000"/>
        <rFont val="メイリオ"/>
        <charset val="134"/>
      </rPr>
      <t xml:space="preserve">ステップ1：
</t>
    </r>
    <r>
      <rPr>
        <sz val="10"/>
        <color rgb="FF000000"/>
        <rFont val="メイリオ"/>
        <charset val="134"/>
      </rPr>
      <t xml:space="preserve">Tiêu đề màn hình「ファイルダウンロード」được hiển thị
</t>
    </r>
    <r>
      <rPr>
        <b/>
        <sz val="10"/>
        <color rgb="FF000000"/>
        <rFont val="メイリオ"/>
        <charset val="134"/>
      </rPr>
      <t xml:space="preserve">ステップ2：
</t>
    </r>
    <r>
      <rPr>
        <sz val="10"/>
        <color rgb="FF000000"/>
        <rFont val="メイリオ"/>
        <charset val="134"/>
      </rPr>
      <t xml:space="preserve">Khu vực điều kiện tìm kiếm ở trên, khu vực danh sách ở dưới
</t>
    </r>
    <r>
      <rPr>
        <b/>
        <sz val="10"/>
        <color rgb="FF000000"/>
        <rFont val="メイリオ"/>
        <charset val="134"/>
      </rPr>
      <t xml:space="preserve">ステップ3：
</t>
    </r>
    <r>
      <rPr>
        <sz val="10"/>
        <color rgb="FF000000"/>
        <rFont val="メイリオ"/>
        <charset val="134"/>
      </rPr>
      <t xml:space="preserve">Tiêu đề khu vực danh sách「ファイル一覧」được hiển thị
</t>
    </r>
    <r>
      <rPr>
        <b/>
        <sz val="10"/>
        <color rgb="FF000000"/>
        <rFont val="メイリオ"/>
        <charset val="134"/>
      </rPr>
      <t xml:space="preserve">補足：
</t>
    </r>
    <r>
      <rPr>
        <sz val="10"/>
        <color rgb="FF000000"/>
        <rFont val="メイリオ"/>
        <charset val="134"/>
      </rPr>
      <t xml:space="preserve">・Không vỡ layout
</t>
    </r>
    <r>
      <rPr>
        <sz val="10"/>
        <color rgb="FF000000"/>
        <rFont val="メイリオ"/>
        <charset val="134"/>
      </rPr>
      <t>・Tiêu đề màn hình và breadcrumb do layout chung vẽ, không hiển thị trùng lặp ở phía màn hình</t>
    </r>
  </si>
  <si>
    <t>ACSMS-TC-022-013</t>
  </si>
  <si>
    <t>Hiển thị các mục và button trong khu vực điều kiện tìm kiếm</t>
  </si>
  <si>
    <t>・role: NICHINO_ADMIN
・Đã login (đã xác thực 2 bước)
・Có quyền「file.download」</t>
  </si>
  <si>
    <r>
      <rPr>
        <b/>
        <sz val="10"/>
        <color rgb="FF000000"/>
        <rFont val="メイリオ"/>
        <charset val="134"/>
      </rPr>
      <t xml:space="preserve">ステップ1：
</t>
    </r>
    <r>
      <rPr>
        <sz val="10"/>
        <color rgb="FF000000"/>
        <rFont val="メイリオ"/>
        <charset val="134"/>
      </rPr>
      <t xml:space="preserve">Mở「/file-download」và kiểm tra các mục nhập trong khu vực điều kiện tìm kiếm theo thứ tự từ trái
</t>
    </r>
    <r>
      <rPr>
        <b/>
        <sz val="10"/>
        <color rgb="FF000000"/>
        <rFont val="メイリオ"/>
        <charset val="134"/>
      </rPr>
      <t xml:space="preserve">ステップ2：
</t>
    </r>
    <r>
      <rPr>
        <sz val="10"/>
        <color rgb="FF000000"/>
        <rFont val="メイリオ"/>
        <charset val="134"/>
      </rPr>
      <t xml:space="preserve">Kiểm tra label và placeholder của từng mục nhập
</t>
    </r>
    <r>
      <rPr>
        <b/>
        <sz val="10"/>
        <color rgb="FF000000"/>
        <rFont val="メイリオ"/>
        <charset val="134"/>
      </rPr>
      <t xml:space="preserve">ステップ3：
</t>
    </r>
    <r>
      <rPr>
        <sz val="10"/>
        <color rgb="FF000000"/>
        <rFont val="メイリオ"/>
        <charset val="134"/>
      </rPr>
      <t>Kiểm tra thứ tự sắp xếp và trạng thái active của các button trong khu vực điều kiện tìm kiếm</t>
    </r>
  </si>
  <si>
    <r>
      <rPr>
        <b/>
        <sz val="10"/>
        <color rgb="FF000000"/>
        <rFont val="メイリオ"/>
        <charset val="134"/>
      </rPr>
      <t xml:space="preserve">ステップ1：
</t>
    </r>
    <r>
      <rPr>
        <sz val="10"/>
        <color rgb="FF000000"/>
        <rFont val="メイリオ"/>
        <charset val="134"/>
      </rPr>
      <t xml:space="preserve">3 mục「ファイル名」「都道府県」「JA名」được hiển thị
</t>
    </r>
    <r>
      <rPr>
        <b/>
        <sz val="10"/>
        <color rgb="FF000000"/>
        <rFont val="メイリオ"/>
        <charset val="134"/>
      </rPr>
      <t xml:space="preserve">ステップ2：
</t>
    </r>
    <r>
      <rPr>
        <sz val="10"/>
        <color rgb="FF000000"/>
        <rFont val="メイリオ"/>
        <charset val="134"/>
      </rPr>
      <t xml:space="preserve">・「ファイル名」hiển thị dạng textbox
</t>
    </r>
    <r>
      <rPr>
        <sz val="10"/>
        <color rgb="FF000000"/>
        <rFont val="メイリオ"/>
        <charset val="134"/>
      </rPr>
      <t xml:space="preserve">・「都道府県」「JA名」hiển thị dạng dropdown
</t>
    </r>
    <r>
      <rPr>
        <sz val="10"/>
        <color rgb="FF000000"/>
        <rFont val="メイリオ"/>
        <charset val="134"/>
      </rPr>
      <t xml:space="preserve">・Mỗi mục đều được liên kết với label
</t>
    </r>
    <r>
      <rPr>
        <b/>
        <sz val="10"/>
        <color rgb="FF000000"/>
        <rFont val="メイリオ"/>
        <charset val="134"/>
      </rPr>
      <t xml:space="preserve">ステップ3：
</t>
    </r>
    <r>
      <rPr>
        <sz val="10"/>
        <color rgb="FF000000"/>
        <rFont val="メイリオ"/>
        <charset val="134"/>
      </rPr>
      <t xml:space="preserve">Button「検索」hiển thị dạng button chính, button「クリア」dạng button phụ, ở trạng thái active
</t>
    </r>
    <r>
      <rPr>
        <b/>
        <sz val="10"/>
        <color rgb="FF000000"/>
        <rFont val="メイリオ"/>
        <charset val="134"/>
      </rPr>
      <t xml:space="preserve">補足：
</t>
    </r>
    <r>
      <rPr>
        <sz val="10"/>
        <color rgb="FF000000"/>
        <rFont val="メイリオ"/>
        <charset val="134"/>
      </rPr>
      <t>・Không mục nào bắt buộc, có thể thực hiện tìm kiếm khi để trống</t>
    </r>
  </si>
  <si>
    <t>Trong「画面項目定義 検索条件」của tài liệu thiết kế màn hình có định nghĩa dropdown「ダウンロード種別」(item ID `download_type`) là mục thứ 4, nhưng khu vực điều kiện tìm kiếm của implement hiện tại không có. Phía API đã hỗ trợ lọc theo điều kiện này, sẽ verify bằng cách gọi trực tiếp API ở ACSMS-TC-022-038. Việc có cần thêm dropdown vào màn hình hay không là hạng mục cần xác nhận với khách hàng.</t>
  </si>
  <si>
    <t>ACSMS-TC-022-014</t>
  </si>
  <si>
    <t>Cấu trúc cột và thứ tự hiển thị của bảng danh sách</t>
  </si>
  <si>
    <t>・role: NICHINO_ADMIN
・Đã login (đã xác thực 2 bước)
・Có quyền「file.download」
・`t_file_download` đã có từ 5 file trở lên</t>
  </si>
  <si>
    <r>
      <rPr>
        <b/>
        <sz val="10"/>
        <color rgb="FF000000"/>
        <rFont val="メイリオ"/>
        <charset val="134"/>
      </rPr>
      <t xml:space="preserve">ステップ1：
</t>
    </r>
    <r>
      <rPr>
        <sz val="10"/>
        <color rgb="FF000000"/>
        <rFont val="メイリオ"/>
        <charset val="134"/>
      </rPr>
      <t xml:space="preserve">Mở「/file-download」và kiểm tra header của bảng danh sách theo thứ tự từ trái
</t>
    </r>
    <r>
      <rPr>
        <b/>
        <sz val="10"/>
        <color rgb="FF000000"/>
        <rFont val="メイリオ"/>
        <charset val="134"/>
      </rPr>
      <t xml:space="preserve">ステップ2：
</t>
    </r>
    <r>
      <rPr>
        <sz val="10"/>
        <color rgb="FF000000"/>
        <rFont val="メイリオ"/>
        <charset val="134"/>
      </rPr>
      <t xml:space="preserve">Kiểm tra định dạng hiển thị của「ダウンロード日時」「サイズ」ở từng dòng
</t>
    </r>
    <r>
      <rPr>
        <b/>
        <sz val="10"/>
        <color rgb="FF000000"/>
        <rFont val="メイリオ"/>
        <charset val="134"/>
      </rPr>
      <t xml:space="preserve">ステップ3：
</t>
    </r>
    <r>
      <rPr>
        <sz val="10"/>
        <color rgb="FF000000"/>
        <rFont val="メイリオ"/>
        <charset val="134"/>
      </rPr>
      <t>Kiểm tra hiển thị icon của các cột có thể sắp xếp</t>
    </r>
  </si>
  <si>
    <r>
      <rPr>
        <b/>
        <sz val="10"/>
        <color rgb="FF000000"/>
        <rFont val="メイリオ"/>
        <charset val="134"/>
      </rPr>
      <t xml:space="preserve">ステップ1：
</t>
    </r>
    <r>
      <rPr>
        <sz val="10"/>
        <color rgb="FF000000"/>
        <rFont val="メイリオ"/>
        <charset val="134"/>
      </rPr>
      <t xml:space="preserve">Hiển thị theo thứ tự: checkbox chọn, ダウンロード日時, 作成者, JA名, ダウンロード種別, ファイル名, サイズ
</t>
    </r>
    <r>
      <rPr>
        <b/>
        <sz val="10"/>
        <color rgb="FF000000"/>
        <rFont val="メイリオ"/>
        <charset val="134"/>
      </rPr>
      <t xml:space="preserve">ステップ2：
</t>
    </r>
    <r>
      <rPr>
        <sz val="10"/>
        <color rgb="FF000000"/>
        <rFont val="メイリオ"/>
        <charset val="134"/>
      </rPr>
      <t xml:space="preserve">・「ダウンロード日時」hiển thị dạng `YYYY/MM/DD HH:mm`
</t>
    </r>
    <r>
      <rPr>
        <sz val="10"/>
        <color rgb="FF000000"/>
        <rFont val="メイリオ"/>
        <charset val="134"/>
      </rPr>
      <t xml:space="preserve">・「サイズ」hiển thị giá trị byte có phân cách hàng nghìn
</t>
    </r>
    <r>
      <rPr>
        <b/>
        <sz val="10"/>
        <color rgb="FF000000"/>
        <rFont val="メイリオ"/>
        <charset val="134"/>
      </rPr>
      <t xml:space="preserve">ステップ3：
</t>
    </r>
    <r>
      <rPr>
        <sz val="10"/>
        <color rgb="FF000000"/>
        <rFont val="メイリオ"/>
        <charset val="134"/>
      </rPr>
      <t xml:space="preserve">Icon sắp xếp được hiển thị ở「ダウンロード日時」「作成者」「ファイル名」
</t>
    </r>
    <r>
      <rPr>
        <b/>
        <sz val="10"/>
        <color rgb="FF000000"/>
        <rFont val="メイリオ"/>
        <charset val="134"/>
      </rPr>
      <t xml:space="preserve">補足：
</t>
    </r>
    <r>
      <rPr>
        <sz val="10"/>
        <color rgb="FF000000"/>
        <rFont val="メイリオ"/>
        <charset val="134"/>
      </rPr>
      <t xml:space="preserve">・Cột「JA名」hiển thị nối mã JA và tên JA
</t>
    </r>
    <r>
      <rPr>
        <sz val="10"/>
        <color rgb="FF000000"/>
        <rFont val="メイリオ"/>
        <charset val="134"/>
      </rPr>
      <t>・Với file dành cho toàn JA (`ja_id` là `null`), cột「JA名」hiển thị trống</t>
    </r>
  </si>
  <si>
    <t>ACSMS-TC-022-015</t>
  </si>
  <si>
    <t>Hiển thị phân trang và lựa chọn số lượng hiển thị</t>
  </si>
  <si>
    <t>・role: NICHINO_ADMIN
・Đã login (đã xác thực 2 bước)
・Có quyền「file.download」
・`t_file_download` đã có từ 25 file trở lên</t>
  </si>
  <si>
    <r>
      <rPr>
        <b/>
        <sz val="10"/>
        <color rgb="FF000000"/>
        <rFont val="メイリオ"/>
        <charset val="134"/>
      </rPr>
      <t xml:space="preserve">ステップ1：
</t>
    </r>
    <r>
      <rPr>
        <sz val="10"/>
        <color rgb="FF000000"/>
        <rFont val="メイリオ"/>
        <charset val="134"/>
      </rPr>
      <t xml:space="preserve">Mở「/file-download」và kiểm tra phân trang phía dưới danh sách
</t>
    </r>
    <r>
      <rPr>
        <b/>
        <sz val="10"/>
        <color rgb="FF000000"/>
        <rFont val="メイリオ"/>
        <charset val="134"/>
      </rPr>
      <t xml:space="preserve">ステップ2：
</t>
    </r>
    <r>
      <rPr>
        <sz val="10"/>
        <color rgb="FF000000"/>
        <rFont val="メイリオ"/>
        <charset val="134"/>
      </rPr>
      <t xml:space="preserve">Mở lựa chọn số lượng hiển thị và kiểm tra
</t>
    </r>
    <r>
      <rPr>
        <b/>
        <sz val="10"/>
        <color rgb="FF000000"/>
        <rFont val="メイリオ"/>
        <charset val="134"/>
      </rPr>
      <t xml:space="preserve">ステップ3：
</t>
    </r>
    <r>
      <rPr>
        <sz val="10"/>
        <color rgb="FF000000"/>
        <rFont val="メイリオ"/>
        <charset val="134"/>
      </rPr>
      <t>Đổi số lượng hiển thị thành 50, kiểm tra số dòng trên mỗi trang</t>
    </r>
  </si>
  <si>
    <r>
      <rPr>
        <b/>
        <sz val="10"/>
        <color rgb="FF000000"/>
        <rFont val="メイリオ"/>
        <charset val="134"/>
      </rPr>
      <t xml:space="preserve">ステップ1：
</t>
    </r>
    <r>
      <rPr>
        <sz val="10"/>
        <color rgb="FF000000"/>
        <rFont val="メイリオ"/>
        <charset val="134"/>
      </rPr>
      <t xml:space="preserve">Phân trang hiển thị ở dưới bên trái danh sách, có thể xác nhận tổng số và trang hiện tại
</t>
    </r>
    <r>
      <rPr>
        <b/>
        <sz val="10"/>
        <color rgb="FF000000"/>
        <rFont val="メイリオ"/>
        <charset val="134"/>
      </rPr>
      <t xml:space="preserve">ステップ2：
</t>
    </r>
    <r>
      <rPr>
        <sz val="10"/>
        <color rgb="FF000000"/>
        <rFont val="メイリオ"/>
        <charset val="134"/>
      </rPr>
      <t xml:space="preserve">Lựa chọn số lượng hiển thị gồm「10 / 頁」「20 / 頁」「50 / 頁」「100 / 頁」
</t>
    </r>
    <r>
      <rPr>
        <b/>
        <sz val="10"/>
        <color rgb="FF000000"/>
        <rFont val="メイリオ"/>
        <charset val="134"/>
      </rPr>
      <t xml:space="preserve">ステップ3：
</t>
    </r>
    <r>
      <rPr>
        <sz val="10"/>
        <color rgb="FF000000"/>
        <rFont val="メイリオ"/>
        <charset val="134"/>
      </rPr>
      <t xml:space="preserve">Hiển thị tối đa 50 dòng trên mỗi trang
</t>
    </r>
    <r>
      <rPr>
        <b/>
        <sz val="10"/>
        <color rgb="FF000000"/>
        <rFont val="メイリオ"/>
        <charset val="134"/>
      </rPr>
      <t xml:space="preserve">補足：
</t>
    </r>
    <r>
      <rPr>
        <sz val="10"/>
        <color rgb="FF000000"/>
        <rFont val="メイリオ"/>
        <charset val="134"/>
      </rPr>
      <t>・Số lượng hiển thị ban đầu là 20</t>
    </r>
  </si>
  <si>
    <t>ACSMS-TC-022-016</t>
  </si>
  <si>
    <t>Biểu hiện trực quan của dòng ngoài phạm vi thao tác</t>
  </si>
  <si>
    <t>・role: NICHINO_ADMIN
・Đã login (đã xác thực 2 bước)
・Có quyền「file.download」
・Có từ 1 file đã xóa logical (`deleted_at IS NOT NULL`)
・Có từ 1 file `nichino_download_allowed_flg = false` do tài khoản khác tạo</t>
  </si>
  <si>
    <r>
      <rPr>
        <b/>
        <sz val="10"/>
        <color rgb="FF000000"/>
        <rFont val="メイリオ"/>
        <charset val="134"/>
      </rPr>
      <t xml:space="preserve">ステップ1：
</t>
    </r>
    <r>
      <rPr>
        <sz val="10"/>
        <color rgb="FF000000"/>
        <rFont val="メイリオ"/>
        <charset val="134"/>
      </rPr>
      <t xml:space="preserve">Mở「/file-download」và kiểm tra hiển thị của dòng file đã xóa logical
</t>
    </r>
    <r>
      <rPr>
        <b/>
        <sz val="10"/>
        <color rgb="FF000000"/>
        <rFont val="メイリオ"/>
        <charset val="134"/>
      </rPr>
      <t xml:space="preserve">ステップ2：
</t>
    </r>
    <r>
      <rPr>
        <sz val="10"/>
        <color rgb="FF000000"/>
        <rFont val="メイリオ"/>
        <charset val="134"/>
      </rPr>
      <t xml:space="preserve">Kiểm tra hiển thị của dòng file có `nichino_download_allowed_flg = false`
</t>
    </r>
    <r>
      <rPr>
        <b/>
        <sz val="10"/>
        <color rgb="FF000000"/>
        <rFont val="メイリオ"/>
        <charset val="134"/>
      </rPr>
      <t xml:space="preserve">ステップ3：
</t>
    </r>
    <r>
      <rPr>
        <sz val="10"/>
        <color rgb="FF000000"/>
        <rFont val="メイリオ"/>
        <charset val="134"/>
      </rPr>
      <t>Click checkbox của 2 loại dòng trên</t>
    </r>
  </si>
  <si>
    <r>
      <rPr>
        <b/>
        <sz val="10"/>
        <color rgb="FF000000"/>
        <rFont val="メイリオ"/>
        <charset val="134"/>
      </rPr>
      <t xml:space="preserve">ステップ1：
</t>
    </r>
    <r>
      <rPr>
        <sz val="10"/>
        <color rgb="FF000000"/>
        <rFont val="メイリオ"/>
        <charset val="134"/>
      </rPr>
      <t xml:space="preserve">Tên file hiển thị dạng text màu nhạt có gạch ngang
</t>
    </r>
    <r>
      <rPr>
        <b/>
        <sz val="10"/>
        <color rgb="FF000000"/>
        <rFont val="メイリオ"/>
        <charset val="134"/>
      </rPr>
      <t xml:space="preserve">ステップ2：
</t>
    </r>
    <r>
      <rPr>
        <sz val="10"/>
        <color rgb="FF000000"/>
        <rFont val="メイリオ"/>
        <charset val="134"/>
      </rPr>
      <t xml:space="preserve">Tên file hiển thị dạng plain text không phải link
</t>
    </r>
    <r>
      <rPr>
        <b/>
        <sz val="10"/>
        <color rgb="FF000000"/>
        <rFont val="メイリオ"/>
        <charset val="134"/>
      </rPr>
      <t xml:space="preserve">ステップ3：
</t>
    </r>
    <r>
      <rPr>
        <sz val="10"/>
        <color rgb="FF000000"/>
        <rFont val="メイリオ"/>
        <charset val="134"/>
      </rPr>
      <t xml:space="preserve">Cả hai checkbox đều ở trạng thái disable, không thể chọn được
</t>
    </r>
    <r>
      <rPr>
        <b/>
        <sz val="10"/>
        <color rgb="FF000000"/>
        <rFont val="メイリオ"/>
        <charset val="134"/>
      </rPr>
      <t xml:space="preserve">補足：
</t>
    </r>
    <r>
      <rPr>
        <sz val="10"/>
        <color rgb="FF000000"/>
        <rFont val="メイリオ"/>
        <charset val="134"/>
      </rPr>
      <t>・Dòng ngoài phạm vi thao tác vẫn hiển thị trong danh sách nhưng không thực hiện được chọn・preview・download</t>
    </r>
  </si>
  <si>
    <t>ACSMS-TC-022-017</t>
  </si>
  <si>
    <t>Layout responsive (độ rộng tablet・mobile)</t>
  </si>
  <si>
    <r>
      <rPr>
        <b/>
        <sz val="10"/>
        <color rgb="FF000000"/>
        <rFont val="メイリオ"/>
        <charset val="134"/>
      </rPr>
      <t xml:space="preserve">ステップ1：
</t>
    </r>
    <r>
      <rPr>
        <sz val="10"/>
        <color rgb="FF000000"/>
        <rFont val="メイリオ"/>
        <charset val="134"/>
      </rPr>
      <t xml:space="preserve">Mở「/file-download」, đặt độ rộng màn hình 1280px trên DevTools và kiểm tra hiển thị
</t>
    </r>
    <r>
      <rPr>
        <b/>
        <sz val="10"/>
        <color rgb="FF000000"/>
        <rFont val="メイリオ"/>
        <charset val="134"/>
      </rPr>
      <t xml:space="preserve">ステップ2：
</t>
    </r>
    <r>
      <rPr>
        <sz val="10"/>
        <color rgb="FF000000"/>
        <rFont val="メイリオ"/>
        <charset val="134"/>
      </rPr>
      <t xml:space="preserve">Đổi độ rộng màn hình thành 768px (tablet) và kiểm tra hiển thị
</t>
    </r>
    <r>
      <rPr>
        <b/>
        <sz val="10"/>
        <color rgb="FF000000"/>
        <rFont val="メイリオ"/>
        <charset val="134"/>
      </rPr>
      <t xml:space="preserve">ステップ3：
</t>
    </r>
    <r>
      <rPr>
        <sz val="10"/>
        <color rgb="FF000000"/>
        <rFont val="メイリオ"/>
        <charset val="134"/>
      </rPr>
      <t>Đổi độ rộng màn hình thành 375px (mobile) và kiểm tra hiển thị</t>
    </r>
  </si>
  <si>
    <r>
      <rPr>
        <b/>
        <sz val="10"/>
        <color rgb="FF000000"/>
        <rFont val="メイリオ"/>
        <charset val="134"/>
      </rPr>
      <t xml:space="preserve">ステップ1：
</t>
    </r>
    <r>
      <rPr>
        <sz val="10"/>
        <color rgb="FF000000"/>
        <rFont val="メイリオ"/>
        <charset val="134"/>
      </rPr>
      <t xml:space="preserve">3 mục điều kiện tìm kiếm hiển thị ngang hàng, đều nằm gọn trong khung card
</t>
    </r>
    <r>
      <rPr>
        <b/>
        <sz val="10"/>
        <color rgb="FF000000"/>
        <rFont val="メイリオ"/>
        <charset val="134"/>
      </rPr>
      <t xml:space="preserve">ステップ2：
</t>
    </r>
    <r>
      <rPr>
        <sz val="10"/>
        <color rgb="FF000000"/>
        <rFont val="メイリオ"/>
        <charset val="134"/>
      </rPr>
      <t xml:space="preserve">・Điều kiện tìm kiếm hiển thị xuống dòng
</t>
    </r>
    <r>
      <rPr>
        <sz val="10"/>
        <color rgb="FF000000"/>
        <rFont val="メイリオ"/>
        <charset val="134"/>
      </rPr>
      <t xml:space="preserve">・Bảng danh sách có thể scroll ngang, toàn trang không scroll ngang
</t>
    </r>
    <r>
      <rPr>
        <b/>
        <sz val="10"/>
        <color rgb="FF000000"/>
        <rFont val="メイリオ"/>
        <charset val="134"/>
      </rPr>
      <t xml:space="preserve">ステップ3：
</t>
    </r>
    <r>
      <rPr>
        <sz val="10"/>
        <color rgb="FF000000"/>
        <rFont val="メイリオ"/>
        <charset val="134"/>
      </rPr>
      <t xml:space="preserve">Sidebar được thu gọn, không vỡ layout
</t>
    </r>
    <r>
      <rPr>
        <b/>
        <sz val="10"/>
        <color rgb="FF000000"/>
        <rFont val="メイリオ"/>
        <charset val="134"/>
      </rPr>
      <t xml:space="preserve">補足：
</t>
    </r>
    <r>
      <rPr>
        <sz val="10"/>
        <color rgb="FF000000"/>
        <rFont val="メイリオ"/>
        <charset val="134"/>
      </rPr>
      <t>・Ở mọi breakpoint, các button thao tác không tràn ra ngoài màn hình</t>
    </r>
  </si>
  <si>
    <t>ACSMS-TC-022-018</t>
  </si>
  <si>
    <t>Di chuyển focus và thực thi bằng thao tác bàn phím</t>
  </si>
  <si>
    <r>
      <rPr>
        <b/>
        <sz val="10"/>
        <color rgb="FF000000"/>
        <rFont val="メイリオ"/>
        <charset val="134"/>
      </rPr>
      <t xml:space="preserve">ステップ1：
</t>
    </r>
    <r>
      <rPr>
        <sz val="10"/>
        <color rgb="FF000000"/>
        <rFont val="メイリオ"/>
        <charset val="134"/>
      </rPr>
      <t xml:space="preserve">Mở「/file-download」, nhấn phím Tab liên tục và kiểm tra thứ tự di chuyển focus
</t>
    </r>
    <r>
      <rPr>
        <b/>
        <sz val="10"/>
        <color rgb="FF000000"/>
        <rFont val="メイリオ"/>
        <charset val="134"/>
      </rPr>
      <t xml:space="preserve">ステップ2：
</t>
    </r>
    <r>
      <rPr>
        <sz val="10"/>
        <color rgb="FF000000"/>
        <rFont val="メイリオ"/>
        <charset val="134"/>
      </rPr>
      <t xml:space="preserve">Nhấn phím Enter khi đang focus vào「ファイル名」
</t>
    </r>
    <r>
      <rPr>
        <b/>
        <sz val="10"/>
        <color rgb="FF000000"/>
        <rFont val="メイリオ"/>
        <charset val="134"/>
      </rPr>
      <t xml:space="preserve">ステップ3：
</t>
    </r>
    <r>
      <rPr>
        <sz val="10"/>
        <color rgb="FF000000"/>
        <rFont val="メイリオ"/>
        <charset val="134"/>
      </rPr>
      <t xml:space="preserve">Dùng phím Tab di chuyển đến checkbox của danh sách, chọn bằng phím Space
</t>
    </r>
    <r>
      <rPr>
        <b/>
        <sz val="10"/>
        <color rgb="FF000000"/>
        <rFont val="メイリオ"/>
        <charset val="134"/>
      </rPr>
      <t xml:space="preserve">ステップ4：
</t>
    </r>
    <r>
      <rPr>
        <sz val="10"/>
        <color rgb="FF000000"/>
        <rFont val="メイリオ"/>
        <charset val="134"/>
      </rPr>
      <t>Dùng phím Tab di chuyển đến button「ダウンロード実行」, nhấn phím Enter</t>
    </r>
  </si>
  <si>
    <r>
      <rPr>
        <b/>
        <sz val="10"/>
        <color rgb="FF000000"/>
        <rFont val="メイリオ"/>
        <charset val="134"/>
      </rPr>
      <t xml:space="preserve">ステップ1：
</t>
    </r>
    <r>
      <rPr>
        <sz val="10"/>
        <color rgb="FF000000"/>
        <rFont val="メイリオ"/>
        <charset val="134"/>
      </rPr>
      <t xml:space="preserve">Focus di chuyển theo thứ tự ファイル名 → 都道府県 → JA名 → 検索 → クリア → danh sách
</t>
    </r>
    <r>
      <rPr>
        <b/>
        <sz val="10"/>
        <color rgb="FF000000"/>
        <rFont val="メイリオ"/>
        <charset val="134"/>
      </rPr>
      <t xml:space="preserve">ステップ2：
</t>
    </r>
    <r>
      <rPr>
        <sz val="10"/>
        <color rgb="FF000000"/>
        <rFont val="メイリオ"/>
        <charset val="134"/>
      </rPr>
      <t xml:space="preserve">Tìm kiếm được thực hiện
</t>
    </r>
    <r>
      <rPr>
        <b/>
        <sz val="10"/>
        <color rgb="FF000000"/>
        <rFont val="メイリオ"/>
        <charset val="134"/>
      </rPr>
      <t xml:space="preserve">ステップ3：
</t>
    </r>
    <r>
      <rPr>
        <sz val="10"/>
        <color rgb="FF000000"/>
        <rFont val="メイリオ"/>
        <charset val="134"/>
      </rPr>
      <t xml:space="preserve">Checkbox được chọn, dòng được highlight
</t>
    </r>
    <r>
      <rPr>
        <b/>
        <sz val="10"/>
        <color rgb="FF000000"/>
        <rFont val="メイリオ"/>
        <charset val="134"/>
      </rPr>
      <t xml:space="preserve">ステップ4：
</t>
    </r>
    <r>
      <rPr>
        <sz val="10"/>
        <color rgb="FF000000"/>
        <rFont val="メイリオ"/>
        <charset val="134"/>
      </rPr>
      <t xml:space="preserve">Download được thực hiện
</t>
    </r>
    <r>
      <rPr>
        <b/>
        <sz val="10"/>
        <color rgb="FF000000"/>
        <rFont val="メイリオ"/>
        <charset val="134"/>
      </rPr>
      <t xml:space="preserve">補足：
</t>
    </r>
    <r>
      <rPr>
        <sz val="10"/>
        <color rgb="FF000000"/>
        <rFont val="メイリオ"/>
        <charset val="134"/>
      </rPr>
      <t xml:space="preserve">・Có thể hoàn thành chuỗi thao tác từ tìm kiếm đến chọn・download mà không dùng chuột
</t>
    </r>
    <r>
      <rPr>
        <sz val="10"/>
        <color rgb="FF000000"/>
        <rFont val="メイリオ"/>
        <charset val="134"/>
      </rPr>
      <t>・Mục được focus hiển thị đường viền trực quan</t>
    </r>
  </si>
  <si>
    <t>Header・Breadcrumb (Header &amp; Breadcrumb)</t>
  </si>
  <si>
    <t>ACSMS-TC-022-019</t>
  </si>
  <si>
    <t>Hiển thị và điều hướng cấp bậc breadcrumb</t>
  </si>
  <si>
    <r>
      <rPr>
        <b/>
        <sz val="10"/>
        <color rgb="FF000000"/>
        <rFont val="メイリオ"/>
        <charset val="134"/>
      </rPr>
      <t xml:space="preserve">ステップ1：
</t>
    </r>
    <r>
      <rPr>
        <sz val="10"/>
        <color rgb="FF000000"/>
        <rFont val="メイリオ"/>
        <charset val="134"/>
      </rPr>
      <t xml:space="preserve">Mở「/file-download」và kiểm tra breadcrumb phía trên màn hình
</t>
    </r>
    <r>
      <rPr>
        <b/>
        <sz val="10"/>
        <color rgb="FF000000"/>
        <rFont val="メイリオ"/>
        <charset val="134"/>
      </rPr>
      <t xml:space="preserve">ステップ2：
</t>
    </r>
    <r>
      <rPr>
        <sz val="10"/>
        <color rgb="FF000000"/>
        <rFont val="メイリオ"/>
        <charset val="134"/>
      </rPr>
      <t xml:space="preserve">Kiểm tra việc có link hay không của từng phần tử breadcrumb
</t>
    </r>
    <r>
      <rPr>
        <b/>
        <sz val="10"/>
        <color rgb="FF000000"/>
        <rFont val="メイリオ"/>
        <charset val="134"/>
      </rPr>
      <t xml:space="preserve">ステップ3：
</t>
    </r>
    <r>
      <rPr>
        <sz val="10"/>
        <color rgb="FF000000"/>
        <rFont val="メイリオ"/>
        <charset val="134"/>
      </rPr>
      <t>Click「ホーム」trên breadcrumb</t>
    </r>
  </si>
  <si>
    <r>
      <rPr>
        <b/>
        <sz val="10"/>
        <color rgb="FF000000"/>
        <rFont val="メイリオ"/>
        <charset val="134"/>
      </rPr>
      <t xml:space="preserve">ステップ1：
</t>
    </r>
    <r>
      <rPr>
        <sz val="10"/>
        <color rgb="FF000000"/>
        <rFont val="メイリオ"/>
        <charset val="134"/>
      </rPr>
      <t xml:space="preserve">Hiển thị 2 cấp「ホーム &gt; ファイルダウンロード」
</t>
    </r>
    <r>
      <rPr>
        <b/>
        <sz val="10"/>
        <color rgb="FF000000"/>
        <rFont val="メイリオ"/>
        <charset val="134"/>
      </rPr>
      <t xml:space="preserve">ステップ2：
</t>
    </r>
    <r>
      <rPr>
        <sz val="10"/>
        <color rgb="FF000000"/>
        <rFont val="メイリオ"/>
        <charset val="134"/>
      </rPr>
      <t xml:space="preserve">「ホーム」hiển thị dạng link,「ファイルダウンロード」là vị trí hiện tại nên không có link
</t>
    </r>
    <r>
      <rPr>
        <b/>
        <sz val="10"/>
        <color rgb="FF000000"/>
        <rFont val="メイリオ"/>
        <charset val="134"/>
      </rPr>
      <t xml:space="preserve">ステップ3：
</t>
    </r>
    <r>
      <rPr>
        <sz val="10"/>
        <color rgb="FF000000"/>
        <rFont val="メイリオ"/>
        <charset val="134"/>
      </rPr>
      <t xml:space="preserve">Chuyển sang「/dashboard」
</t>
    </r>
    <r>
      <rPr>
        <b/>
        <sz val="10"/>
        <color rgb="FF000000"/>
        <rFont val="メイリオ"/>
        <charset val="134"/>
      </rPr>
      <t xml:space="preserve">補足：
</t>
    </r>
    <r>
      <rPr>
        <sz val="10"/>
        <color rgb="FF000000"/>
        <rFont val="メイリオ"/>
        <charset val="134"/>
      </rPr>
      <t>・Breadcrumb do layout chung vẽ, không hiển thị trùng lặp ở phía màn hình</t>
    </r>
  </si>
  <si>
    <t>ACSMS-TC-022-020</t>
  </si>
  <si>
    <t>Hiển thị thông tin user đăng nhập trên header</t>
  </si>
  <si>
    <r>
      <rPr>
        <b/>
        <sz val="10"/>
        <color rgb="FF000000"/>
        <rFont val="メイリオ"/>
        <charset val="134"/>
      </rPr>
      <t xml:space="preserve">ステップ1：
</t>
    </r>
    <r>
      <rPr>
        <sz val="10"/>
        <color rgb="FF000000"/>
        <rFont val="メイリオ"/>
        <charset val="134"/>
      </rPr>
      <t xml:space="preserve">Mở「/file-download」và kiểm tra hiển thị ở góc trên bên phải header
</t>
    </r>
    <r>
      <rPr>
        <b/>
        <sz val="10"/>
        <color rgb="FF000000"/>
        <rFont val="メイリオ"/>
        <charset val="134"/>
      </rPr>
      <t xml:space="preserve">ステップ2：
</t>
    </r>
    <r>
      <rPr>
        <sz val="10"/>
        <color rgb="FF000000"/>
        <rFont val="メイリオ"/>
        <charset val="134"/>
      </rPr>
      <t xml:space="preserve">Đối chiếu tên user hiển thị với `m_account.account_name` trong DB
</t>
    </r>
    <r>
      <rPr>
        <b/>
        <sz val="10"/>
        <color rgb="FF000000"/>
        <rFont val="メイリオ"/>
        <charset val="134"/>
      </rPr>
      <t xml:space="preserve">ステップ3：
</t>
    </r>
    <r>
      <rPr>
        <sz val="10"/>
        <color rgb="FF000000"/>
        <rFont val="メイリオ"/>
        <charset val="134"/>
      </rPr>
      <t>Click vào tên user và kiểm tra menu hiển thị</t>
    </r>
  </si>
  <si>
    <r>
      <rPr>
        <b/>
        <sz val="10"/>
        <color rgb="FF000000"/>
        <rFont val="メイリオ"/>
        <charset val="134"/>
      </rPr>
      <t xml:space="preserve">ステップ1：
</t>
    </r>
    <r>
      <rPr>
        <sz val="10"/>
        <color rgb="FF000000"/>
        <rFont val="メイリオ"/>
        <charset val="134"/>
      </rPr>
      <t xml:space="preserve">Tên user đăng nhập được hiển thị
</t>
    </r>
    <r>
      <rPr>
        <b/>
        <sz val="10"/>
        <color rgb="FF000000"/>
        <rFont val="メイリオ"/>
        <charset val="134"/>
      </rPr>
      <t xml:space="preserve">ステップ2：
</t>
    </r>
    <r>
      <rPr>
        <sz val="10"/>
        <color rgb="FF000000"/>
        <rFont val="メイリオ"/>
        <charset val="134"/>
      </rPr>
      <t xml:space="preserve">Tên hiển thị khớp với giá trị trong DB
</t>
    </r>
    <r>
      <rPr>
        <b/>
        <sz val="10"/>
        <color rgb="FF000000"/>
        <rFont val="メイリオ"/>
        <charset val="134"/>
      </rPr>
      <t xml:space="preserve">ステップ3：
</t>
    </r>
    <r>
      <rPr>
        <sz val="10"/>
        <color rgb="FF000000"/>
        <rFont val="メイリオ"/>
        <charset val="134"/>
      </rPr>
      <t xml:space="preserve">Menu chứa mục「ログアウト」được hiển thị
</t>
    </r>
    <r>
      <rPr>
        <b/>
        <sz val="10"/>
        <color rgb="FF000000"/>
        <rFont val="メイリオ"/>
        <charset val="134"/>
      </rPr>
      <t xml:space="preserve">補足：
</t>
    </r>
    <r>
      <rPr>
        <sz val="10"/>
        <color rgb="FF000000"/>
        <rFont val="メイリオ"/>
        <charset val="134"/>
      </rPr>
      <t>・Header không hiển thị thông tin nhạy cảm như mật khẩu hay session ID</t>
    </r>
  </si>
  <si>
    <t>ACSMS-TC-022-021</t>
  </si>
  <si>
    <t>Hiển thị khi chuyển chế độ dark mode</t>
  </si>
  <si>
    <r>
      <rPr>
        <b/>
        <sz val="10"/>
        <color rgb="FF000000"/>
        <rFont val="游ゴシック"/>
        <charset val="134"/>
      </rPr>
      <t xml:space="preserve">ステップ1：
</t>
    </r>
    <r>
      <rPr>
        <sz val="10"/>
        <color rgb="FF000000"/>
        <rFont val="游ゴシック"/>
        <charset val="134"/>
      </rPr>
      <t xml:space="preserve">Mở「/file-download」và click button chuyển dark mode trên header
</t>
    </r>
    <r>
      <rPr>
        <b/>
        <sz val="10"/>
        <color rgb="FF000000"/>
        <rFont val="游ゴシック"/>
        <charset val="134"/>
      </rPr>
      <t xml:space="preserve">ステップ2：
</t>
    </r>
    <r>
      <rPr>
        <sz val="10"/>
        <color rgb="FF000000"/>
        <rFont val="游ゴシック"/>
        <charset val="134"/>
      </rPr>
      <t xml:space="preserve">Kiểm tra màu nền và màu chữ của khu vực điều kiện tìm kiếm・bảng danh sách
</t>
    </r>
    <r>
      <rPr>
        <b/>
        <sz val="10"/>
        <color rgb="FF000000"/>
        <rFont val="游ゴシック"/>
        <charset val="134"/>
      </rPr>
      <t xml:space="preserve">ステップ3：
</t>
    </r>
    <r>
      <rPr>
        <sz val="10"/>
        <color rgb="FF000000"/>
        <rFont val="游ゴシック"/>
        <charset val="134"/>
      </rPr>
      <t>Click lại button chuyển để trở về light mode</t>
    </r>
  </si>
  <si>
    <r>
      <rPr>
        <b/>
        <sz val="10"/>
        <color rgb="FF000000"/>
        <rFont val="游ゴシック"/>
        <charset val="134"/>
      </rPr>
      <t xml:space="preserve">ステップ1：
</t>
    </r>
    <r>
      <rPr>
        <sz val="10"/>
        <color rgb="FF000000"/>
        <rFont val="游ゴシック"/>
        <charset val="134"/>
      </rPr>
      <t xml:space="preserve">Toàn màn hình chuyển sang tông màu tối
</t>
    </r>
    <r>
      <rPr>
        <b/>
        <sz val="10"/>
        <color rgb="FF000000"/>
        <rFont val="游ゴシック"/>
        <charset val="134"/>
      </rPr>
      <t xml:space="preserve">ステップ2：
</t>
    </r>
    <r>
      <rPr>
        <sz val="10"/>
        <color rgb="FF000000"/>
        <rFont val="游ゴシック"/>
        <charset val="134"/>
      </rPr>
      <t xml:space="preserve">Đảm bảo độ tương phản giữa màu chữ và màu nền, nội dung đọc được
</t>
    </r>
    <r>
      <rPr>
        <b/>
        <sz val="10"/>
        <color rgb="FF000000"/>
        <rFont val="游ゴシック"/>
        <charset val="134"/>
      </rPr>
      <t xml:space="preserve">ステップ3：
</t>
    </r>
    <r>
      <rPr>
        <sz val="10"/>
        <color rgb="FF000000"/>
        <rFont val="游ゴシック"/>
        <charset val="134"/>
      </rPr>
      <t xml:space="preserve">Trở về tông màu của light mode
</t>
    </r>
    <r>
      <rPr>
        <b/>
        <sz val="10"/>
        <color rgb="FF000000"/>
        <rFont val="游ゴシック"/>
        <charset val="134"/>
      </rPr>
      <t xml:space="preserve">補足：
</t>
    </r>
    <r>
      <rPr>
        <sz val="10"/>
        <color rgb="FF000000"/>
        <rFont val="游ゴシック"/>
        <charset val="134"/>
      </rPr>
      <t>・Ở cả hai chế độ đều không vỡ layout
・Hiển thị màu nhạt của dòng ngoài phạm vi thao tác vẫn phân biệt được ở dark mode</t>
    </r>
  </si>
  <si>
    <t>Validation đầu vào — Điều kiện tìm kiếm (Input Validation)</t>
  </si>
  <si>
    <t>ACSMS-TC-022-022</t>
  </si>
  <si>
    <t>Tên file — nhập hợp lệ cho tìm kiếm partial match</t>
  </si>
  <si>
    <t>・role: NICHINO_ADMIN
・Đã login (đã xác thực 2 bước)
・Có quyền「file.download」
・Đã có 3 file chứa「zougen」trong tên và 2 file không chứa</t>
  </si>
  <si>
    <r>
      <rPr>
        <b/>
        <sz val="10"/>
        <color rgb="FF000000"/>
        <rFont val="メイリオ"/>
        <charset val="134"/>
      </rPr>
      <t xml:space="preserve">ステップ1：
</t>
    </r>
    <r>
      <rPr>
        <sz val="10"/>
        <color rgb="FF000000"/>
        <rFont val="メイリオ"/>
        <charset val="134"/>
      </rPr>
      <t xml:space="preserve">Mở「/file-download」và nhập「zougen」vào「ファイル名」
</t>
    </r>
    <r>
      <rPr>
        <b/>
        <sz val="10"/>
        <color rgb="FF000000"/>
        <rFont val="メイリオ"/>
        <charset val="134"/>
      </rPr>
      <t xml:space="preserve">ステップ2：
</t>
    </r>
    <r>
      <rPr>
        <sz val="10"/>
        <color rgb="FF000000"/>
        <rFont val="メイリオ"/>
        <charset val="134"/>
      </rPr>
      <t xml:space="preserve">Click button「検索」
</t>
    </r>
    <r>
      <rPr>
        <b/>
        <sz val="10"/>
        <color rgb="FF000000"/>
        <rFont val="メイリオ"/>
        <charset val="134"/>
      </rPr>
      <t xml:space="preserve">ステップ3：
</t>
    </r>
    <r>
      <rPr>
        <sz val="10"/>
        <color rgb="FF000000"/>
        <rFont val="メイリオ"/>
        <charset val="134"/>
      </rPr>
      <t>Kiểm tra request parameter của GET「/api/v1/file-download」trên tab Network của DevTools</t>
    </r>
  </si>
  <si>
    <r>
      <rPr>
        <b/>
        <sz val="10"/>
        <color rgb="FF000000"/>
        <rFont val="メイリオ"/>
        <charset val="134"/>
      </rPr>
      <t xml:space="preserve">ステップ1：
</t>
    </r>
    <r>
      <rPr>
        <sz val="10"/>
        <color rgb="FF000000"/>
        <rFont val="メイリオ"/>
        <charset val="134"/>
      </rPr>
      <t xml:space="preserve">Giá trị nhập được phản ánh vào「ファイル名」
</t>
    </r>
    <r>
      <rPr>
        <b/>
        <sz val="10"/>
        <color rgb="FF000000"/>
        <rFont val="メイリオ"/>
        <charset val="134"/>
      </rPr>
      <t xml:space="preserve">ステップ2：
</t>
    </r>
    <r>
      <rPr>
        <sz val="10"/>
        <color rgb="FF000000"/>
        <rFont val="メイリオ"/>
        <charset val="134"/>
      </rPr>
      <t xml:space="preserve">Chỉ hiển thị 3 file có tên chứa「zougen」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・`file_name=zougen` được gửi dưới dạng query parameter
</t>
    </r>
    <r>
      <rPr>
        <b/>
        <sz val="10"/>
        <color rgb="FF000000"/>
        <rFont val="メイリオ"/>
        <charset val="134"/>
      </rPr>
      <t xml:space="preserve">補足：
</t>
    </r>
    <r>
      <rPr>
        <sz val="10"/>
        <color rgb="FF000000"/>
        <rFont val="メイリオ"/>
        <charset val="134"/>
      </rPr>
      <t xml:space="preserve">・Có thể search partial match
</t>
    </r>
    <r>
      <rPr>
        <sz val="10"/>
        <color rgb="FF000000"/>
        <rFont val="メイリオ"/>
        <charset val="134"/>
      </rPr>
      <t>・Không phân biệt chữ hoa chữ thường</t>
    </r>
  </si>
  <si>
    <t>ACSMS-TC-022-023</t>
  </si>
  <si>
    <t>Tên file — tự động loại bỏ khoảng trắng trước sau</t>
  </si>
  <si>
    <t>・role: NICHINO_ADMIN
・Đã login (đã xác thực 2 bước)
・Có quyền「file.download」
・Đã có 3 file chứa「zougen」trong tên</t>
  </si>
  <si>
    <r>
      <rPr>
        <b/>
        <sz val="10"/>
        <color rgb="FF000000"/>
        <rFont val="メイリオ"/>
        <charset val="134"/>
      </rPr>
      <t xml:space="preserve">ステップ1：
</t>
    </r>
    <r>
      <rPr>
        <sz val="10"/>
        <color rgb="FF000000"/>
        <rFont val="メイリオ"/>
        <charset val="134"/>
      </rPr>
      <t xml:space="preserve">Mở「/file-download」và nhập「  zougen  」có khoảng trắng half-width trước sau vào「ファイル名」
</t>
    </r>
    <r>
      <rPr>
        <b/>
        <sz val="10"/>
        <color rgb="FF000000"/>
        <rFont val="メイリオ"/>
        <charset val="134"/>
      </rPr>
      <t xml:space="preserve">ステップ2：
</t>
    </r>
    <r>
      <rPr>
        <sz val="10"/>
        <color rgb="FF000000"/>
        <rFont val="メイリオ"/>
        <charset val="134"/>
      </rPr>
      <t xml:space="preserve">Click button「検索」và kiểm tra hiển thị của ô nhập
</t>
    </r>
    <r>
      <rPr>
        <b/>
        <sz val="10"/>
        <color rgb="FF000000"/>
        <rFont val="メイリオ"/>
        <charset val="134"/>
      </rPr>
      <t xml:space="preserve">ステップ3：
</t>
    </r>
    <r>
      <rPr>
        <sz val="10"/>
        <color rgb="FF000000"/>
        <rFont val="メイリオ"/>
        <charset val="134"/>
      </rPr>
      <t xml:space="preserve">Kiểm tra giá trị `file_name` đã gửi trên tab Network của DevTools
</t>
    </r>
    <r>
      <rPr>
        <b/>
        <sz val="10"/>
        <color rgb="FF000000"/>
        <rFont val="メイリオ"/>
        <charset val="134"/>
      </rPr>
      <t xml:space="preserve">ステップ4：
</t>
    </r>
    <r>
      <rPr>
        <sz val="10"/>
        <color rgb="FF000000"/>
        <rFont val="メイリオ"/>
        <charset val="134"/>
      </rPr>
      <t>Thực hiện thao tác tương tự với「　zougen　」có khoảng trắng full-width trước sau</t>
    </r>
  </si>
  <si>
    <r>
      <rPr>
        <b/>
        <sz val="10"/>
        <color rgb="FF000000"/>
        <rFont val="メイリオ"/>
        <charset val="134"/>
      </rPr>
      <t xml:space="preserve">ステップ1：
</t>
    </r>
    <r>
      <rPr>
        <sz val="10"/>
        <color rgb="FF000000"/>
        <rFont val="メイリオ"/>
        <charset val="134"/>
      </rPr>
      <t xml:space="preserve">Giá trị nhập được hiển thị nguyên trạng
</t>
    </r>
    <r>
      <rPr>
        <b/>
        <sz val="10"/>
        <color rgb="FF000000"/>
        <rFont val="メイリオ"/>
        <charset val="134"/>
      </rPr>
      <t xml:space="preserve">ステップ2：
</t>
    </r>
    <r>
      <rPr>
        <sz val="10"/>
        <color rgb="FF000000"/>
        <rFont val="メイリオ"/>
        <charset val="134"/>
      </rPr>
      <t xml:space="preserve">・Hiển thị của ô nhập được cập nhật thành「zougen」
</t>
    </r>
    <r>
      <rPr>
        <sz val="10"/>
        <color rgb="FF000000"/>
        <rFont val="メイリオ"/>
        <charset val="134"/>
      </rPr>
      <t xml:space="preserve">・Hiển thị 3 file
</t>
    </r>
    <r>
      <rPr>
        <b/>
        <sz val="10"/>
        <color rgb="FF000000"/>
        <rFont val="メイリオ"/>
        <charset val="134"/>
      </rPr>
      <t xml:space="preserve">ステップ3：
</t>
    </r>
    <r>
      <rPr>
        <sz val="10"/>
        <color rgb="FF000000"/>
        <rFont val="メイリオ"/>
        <charset val="134"/>
      </rPr>
      <t xml:space="preserve">`file_name=zougen` được gửi, không chứa ký tự khoảng trắng trước sau
</t>
    </r>
    <r>
      <rPr>
        <b/>
        <sz val="10"/>
        <color rgb="FF000000"/>
        <rFont val="メイリオ"/>
        <charset val="134"/>
      </rPr>
      <t xml:space="preserve">ステップ4：
</t>
    </r>
    <r>
      <rPr>
        <sz val="10"/>
        <color rgb="FF000000"/>
        <rFont val="メイリオ"/>
        <charset val="134"/>
      </rPr>
      <t xml:space="preserve">Trường hợp khoảng trắng full-width cũng được loại bỏ tương tự, hiển thị 3 file
</t>
    </r>
    <r>
      <rPr>
        <b/>
        <sz val="10"/>
        <color rgb="FF000000"/>
        <rFont val="メイリオ"/>
        <charset val="134"/>
      </rPr>
      <t xml:space="preserve">補足：
</t>
    </r>
    <r>
      <rPr>
        <sz val="10"/>
        <color rgb="FF000000"/>
        <rFont val="メイリオ"/>
        <charset val="134"/>
      </rPr>
      <t xml:space="preserve">・Giá trị nhập được trim
</t>
    </r>
    <r>
      <rPr>
        <sz val="10"/>
        <color rgb="FF000000"/>
        <rFont val="メイリオ"/>
        <charset val="134"/>
      </rPr>
      <t>・Ký tự khoảng trắng lẫn vào khi paste không ảnh hưởng đến kết quả tìm kiếm</t>
    </r>
  </si>
  <si>
    <t>ACSMS-TC-022-024</t>
  </si>
  <si>
    <t>Tên file — tối đa 255 ký tự (giá trị biên trên)</t>
  </si>
  <si>
    <r>
      <rPr>
        <b/>
        <sz val="10"/>
        <color rgb="FF000000"/>
        <rFont val="メイリオ"/>
        <charset val="134"/>
      </rPr>
      <t xml:space="preserve">ステップ1：
</t>
    </r>
    <r>
      <rPr>
        <sz val="10"/>
        <color rgb="FF000000"/>
        <rFont val="メイリオ"/>
        <charset val="134"/>
      </rPr>
      <t xml:space="preserve">Mở「/file-download」và nhập chuỗi 255 ký tự vào「ファイル名」
</t>
    </r>
    <r>
      <rPr>
        <b/>
        <sz val="10"/>
        <color rgb="FF000000"/>
        <rFont val="メイリオ"/>
        <charset val="134"/>
      </rPr>
      <t xml:space="preserve">ステップ2：
</t>
    </r>
    <r>
      <rPr>
        <sz val="10"/>
        <color rgb="FF000000"/>
        <rFont val="メイリオ"/>
        <charset val="134"/>
      </rPr>
      <t xml:space="preserve">Click button「検索」
</t>
    </r>
    <r>
      <rPr>
        <b/>
        <sz val="10"/>
        <color rgb="FF000000"/>
        <rFont val="メイリオ"/>
        <charset val="134"/>
      </rPr>
      <t xml:space="preserve">ステップ3：
</t>
    </r>
    <r>
      <rPr>
        <sz val="10"/>
        <color rgb="FF000000"/>
        <rFont val="メイリオ"/>
        <charset val="134"/>
      </rPr>
      <t>Kiểm tra response trên tab Network của DevTools</t>
    </r>
  </si>
  <si>
    <r>
      <rPr>
        <b/>
        <sz val="10"/>
        <color rgb="FF000000"/>
        <rFont val="メイリオ"/>
        <charset val="134"/>
      </rPr>
      <t xml:space="preserve">ステップ1：
</t>
    </r>
    <r>
      <rPr>
        <sz val="10"/>
        <color rgb="FF000000"/>
        <rFont val="メイリオ"/>
        <charset val="134"/>
      </rPr>
      <t xml:space="preserve">Nhập được đủ 255 ký tự
</t>
    </r>
    <r>
      <rPr>
        <b/>
        <sz val="10"/>
        <color rgb="FF000000"/>
        <rFont val="メイリオ"/>
        <charset val="134"/>
      </rPr>
      <t xml:space="preserve">ステップ2：
</t>
    </r>
    <r>
      <rPr>
        <sz val="10"/>
        <color rgb="FF000000"/>
        <rFont val="メイリオ"/>
        <charset val="134"/>
      </rPr>
      <t xml:space="preserve">Không hiển thị lỗi, tìm kiếm được thực hiện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・Hiển thị 0 kết quả search
</t>
    </r>
    <r>
      <rPr>
        <b/>
        <sz val="10"/>
        <color rgb="FF000000"/>
        <rFont val="メイリオ"/>
        <charset val="134"/>
      </rPr>
      <t xml:space="preserve">補足：
</t>
    </r>
    <r>
      <rPr>
        <sz val="10"/>
        <color rgb="FF000000"/>
        <rFont val="メイリオ"/>
        <charset val="134"/>
      </rPr>
      <t>・Có thể tìm kiếm trong giới hạn số ký tự cho phép</t>
    </r>
  </si>
  <si>
    <t>ACSMS-TC-022-025</t>
  </si>
  <si>
    <t>Tên file — 256 ký tự (vượt giá trị biên trên)</t>
  </si>
  <si>
    <r>
      <rPr>
        <b/>
        <sz val="10"/>
        <color rgb="FF000000"/>
        <rFont val="游ゴシック"/>
        <charset val="134"/>
      </rPr>
      <t xml:space="preserve">ステップ1：
</t>
    </r>
    <r>
      <rPr>
        <sz val="10"/>
        <color rgb="FF000000"/>
        <rFont val="游ゴシック"/>
        <charset val="134"/>
      </rPr>
      <t xml:space="preserve">Gửi GET「/api/v1/file-download?file_name={chuỗi 256 ký tự}」trên tab Network của DevTools
</t>
    </r>
    <r>
      <rPr>
        <b/>
        <sz val="10"/>
        <color rgb="FF000000"/>
        <rFont val="游ゴシック"/>
        <charset val="134"/>
      </rPr>
      <t xml:space="preserve">ステップ2：
</t>
    </r>
    <r>
      <rPr>
        <sz val="10"/>
        <color rgb="FF000000"/>
        <rFont val="游ゴシック"/>
        <charset val="134"/>
      </rPr>
      <t xml:space="preserve">Kiểm tra mảng `errors` của response
</t>
    </r>
    <r>
      <rPr>
        <b/>
        <sz val="10"/>
        <color rgb="FF000000"/>
        <rFont val="游ゴシック"/>
        <charset val="134"/>
      </rPr>
      <t xml:space="preserve">ステップ3：
</t>
    </r>
    <r>
      <rPr>
        <sz val="10"/>
        <color rgb="FF000000"/>
        <rFont val="游ゴシック"/>
        <charset val="134"/>
      </rPr>
      <t>Paste 256 ký tự vào ô nhập「ファイル名」trên màn hình và kiểm tra số ký tự nhập được</t>
    </r>
  </si>
  <si>
    <r>
      <rPr>
        <b/>
        <sz val="10"/>
        <color rgb="FF000000"/>
        <rFont val="游ゴシック"/>
        <charset val="134"/>
      </rPr>
      <t xml:space="preserve">ステップ1：
</t>
    </r>
    <r>
      <rPr>
        <sz val="10"/>
        <color rgb="FF000000"/>
        <rFont val="游ゴシック"/>
        <charset val="134"/>
      </rPr>
      <t xml:space="preserve">Trả về HTTP 400 (`error_code: VALIDATION_ERROR`, message `入力値が不正です。詳細はerrorsフィールドを確認してください。`)
</t>
    </r>
    <r>
      <rPr>
        <b/>
        <sz val="10"/>
        <color rgb="FF000000"/>
        <rFont val="游ゴシック"/>
        <charset val="134"/>
      </rPr>
      <t xml:space="preserve">ステップ2：
</t>
    </r>
    <r>
      <rPr>
        <sz val="10"/>
        <color rgb="FF000000"/>
        <rFont val="游ゴシック"/>
        <charset val="134"/>
      </rPr>
      <t xml:space="preserve">`errors` chứa `{ "field": "file_name", "message": "ファイル名は最大255文字で指定してください。" }`
</t>
    </r>
    <r>
      <rPr>
        <b/>
        <sz val="10"/>
        <color rgb="FF000000"/>
        <rFont val="游ゴシック"/>
        <charset val="134"/>
      </rPr>
      <t xml:space="preserve">ステップ3：
</t>
    </r>
    <r>
      <rPr>
        <sz val="10"/>
        <color rgb="FF000000"/>
        <rFont val="游ゴシック"/>
        <charset val="134"/>
      </rPr>
      <t xml:space="preserve">Ô nhập chỉ nhập được tối đa 255 ký tự
</t>
    </r>
    <r>
      <rPr>
        <b/>
        <sz val="10"/>
        <color rgb="FF000000"/>
        <rFont val="游ゴシック"/>
        <charset val="134"/>
      </rPr>
      <t xml:space="preserve">補足：
</t>
    </r>
    <r>
      <rPr>
        <sz val="10"/>
        <color rgb="FF000000"/>
        <rFont val="游ゴシック"/>
        <charset val="134"/>
      </rPr>
      <t>・Hiển thị lỗi vượt quá số ký tự
・Giới hạn được đảm bảo ở cả giới hạn ký tự phía màn hình và kiểm tra phía backend</t>
    </r>
  </si>
  <si>
    <t>ACSMS-TC-022-026</t>
  </si>
  <si>
    <t>Dropdown tỉnh thành — hiển thị 47 mục và chọn</t>
  </si>
  <si>
    <r>
      <rPr>
        <b/>
        <sz val="10"/>
        <color rgb="FF000000"/>
        <rFont val="メイリオ"/>
        <charset val="134"/>
      </rPr>
      <t xml:space="preserve">ステップ1：
</t>
    </r>
    <r>
      <rPr>
        <sz val="10"/>
        <color rgb="FF000000"/>
        <rFont val="メイリオ"/>
        <charset val="134"/>
      </rPr>
      <t xml:space="preserve">Mở「/file-download」và mở dropdown「都道府県」
</t>
    </r>
    <r>
      <rPr>
        <b/>
        <sz val="10"/>
        <color rgb="FF000000"/>
        <rFont val="メイリオ"/>
        <charset val="134"/>
      </rPr>
      <t xml:space="preserve">ステップ2：
</t>
    </r>
    <r>
      <rPr>
        <sz val="10"/>
        <color rgb="FF000000"/>
        <rFont val="メイリオ"/>
        <charset val="134"/>
      </rPr>
      <t xml:space="preserve">Kiểm tra số lượng và định dạng hiển thị của các lựa chọn
</t>
    </r>
    <r>
      <rPr>
        <b/>
        <sz val="10"/>
        <color rgb="FF000000"/>
        <rFont val="メイリオ"/>
        <charset val="134"/>
      </rPr>
      <t xml:space="preserve">ステップ3：
</t>
    </r>
    <r>
      <rPr>
        <sz val="10"/>
        <color rgb="FF000000"/>
        <rFont val="メイリオ"/>
        <charset val="134"/>
      </rPr>
      <t xml:space="preserve">Kiểm tra response của GET「/api/v1/todofuken」trên tab Network của DevTools
</t>
    </r>
    <r>
      <rPr>
        <b/>
        <sz val="10"/>
        <color rgb="FF000000"/>
        <rFont val="メイリオ"/>
        <charset val="134"/>
      </rPr>
      <t xml:space="preserve">ステップ4：
</t>
    </r>
    <r>
      <rPr>
        <sz val="10"/>
        <color rgb="FF000000"/>
        <rFont val="メイリオ"/>
        <charset val="134"/>
      </rPr>
      <t>Chọn「13 東京都」và click button「検索」</t>
    </r>
  </si>
  <si>
    <r>
      <rPr>
        <b/>
        <sz val="10"/>
        <color rgb="FF000000"/>
        <rFont val="メイリオ"/>
        <charset val="134"/>
      </rPr>
      <t xml:space="preserve">ステップ1：
</t>
    </r>
    <r>
      <rPr>
        <sz val="10"/>
        <color rgb="FF000000"/>
        <rFont val="メイリオ"/>
        <charset val="134"/>
      </rPr>
      <t xml:space="preserve">Dropdown được mở
</t>
    </r>
    <r>
      <rPr>
        <b/>
        <sz val="10"/>
        <color rgb="FF000000"/>
        <rFont val="メイリオ"/>
        <charset val="134"/>
      </rPr>
      <t xml:space="preserve">ステップ2：
</t>
    </r>
    <r>
      <rPr>
        <sz val="10"/>
        <color rgb="FF000000"/>
        <rFont val="メイリオ"/>
        <charset val="134"/>
      </rPr>
      <t xml:space="preserve">47 lựa chọn hiển thị theo định dạng「mã tên」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・Mảng `data` chứa 47 mục
</t>
    </r>
    <r>
      <rPr>
        <b/>
        <sz val="10"/>
        <color rgb="FF000000"/>
        <rFont val="メイリオ"/>
        <charset val="134"/>
      </rPr>
      <t xml:space="preserve">ステップ4：
</t>
    </r>
    <r>
      <rPr>
        <sz val="10"/>
        <color rgb="FF000000"/>
        <rFont val="メイリオ"/>
        <charset val="134"/>
      </rPr>
      <t xml:space="preserve">`todofuken_code=13` được gửi, chỉ hiển thị file của JA thuộc Tokyo
</t>
    </r>
    <r>
      <rPr>
        <b/>
        <sz val="10"/>
        <color rgb="FF000000"/>
        <rFont val="メイリオ"/>
        <charset val="134"/>
      </rPr>
      <t xml:space="preserve">補足：
</t>
    </r>
    <r>
      <rPr>
        <sz val="10"/>
        <color rgb="FF000000"/>
        <rFont val="メイリオ"/>
        <charset val="134"/>
      </rPr>
      <t>・Dropdown tỉnh thành không lọc theo role, luôn hiển thị đủ 47 mục</t>
    </r>
  </si>
  <si>
    <t>ACSMS-TC-022-027</t>
  </si>
  <si>
    <t>Mã tỉnh thành — gửi trực tiếp giá trị sai định dạng</t>
  </si>
  <si>
    <r>
      <rPr>
        <b/>
        <sz val="10"/>
        <color rgb="FF000000"/>
        <rFont val="游ゴシック"/>
        <charset val="134"/>
      </rPr>
      <t xml:space="preserve">ステップ1：
</t>
    </r>
    <r>
      <rPr>
        <sz val="10"/>
        <color rgb="FF000000"/>
        <rFont val="游ゴシック"/>
        <charset val="134"/>
      </rPr>
      <t xml:space="preserve">Gửi GET「/api/v1/file-download?todofuken_code=1」trên tab Network của DevTools
</t>
    </r>
    <r>
      <rPr>
        <b/>
        <sz val="10"/>
        <color rgb="FF000000"/>
        <rFont val="游ゴシック"/>
        <charset val="134"/>
      </rPr>
      <t xml:space="preserve">ステップ2：
</t>
    </r>
    <r>
      <rPr>
        <sz val="10"/>
        <color rgb="FF000000"/>
        <rFont val="游ゴシック"/>
        <charset val="134"/>
      </rPr>
      <t xml:space="preserve">Gửi GET「/api/v1/file-download?todofuken_code=abc」
</t>
    </r>
    <r>
      <rPr>
        <b/>
        <sz val="10"/>
        <color rgb="FF000000"/>
        <rFont val="游ゴシック"/>
        <charset val="134"/>
      </rPr>
      <t xml:space="preserve">ステップ3：
</t>
    </r>
    <r>
      <rPr>
        <sz val="10"/>
        <color rgb="FF000000"/>
        <rFont val="游ゴシック"/>
        <charset val="134"/>
      </rPr>
      <t xml:space="preserve">Gửi GET「/api/v1/file-download?todofuken_code=１３」(số full-width)
</t>
    </r>
    <r>
      <rPr>
        <b/>
        <sz val="10"/>
        <color rgb="FF000000"/>
        <rFont val="游ゴシック"/>
        <charset val="134"/>
      </rPr>
      <t xml:space="preserve">ステップ4：
</t>
    </r>
    <r>
      <rPr>
        <sz val="10"/>
        <color rgb="FF000000"/>
        <rFont val="游ゴシック"/>
        <charset val="134"/>
      </rPr>
      <t>Kiểm tra mảng `errors` của tất cả response</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</si>
  <si>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ステップ2：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ステップ3：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ステップ4：
</t>
    </r>
    <r>
      <rPr>
        <sz val="10"/>
        <color rgb="FF000000"/>
        <rFont val="メイリオ"/>
        <charset val="134"/>
      </rPr>
      <t xml:space="preserve">Tất cả `errors` đều chứa `{ "field": "todofuken_code", "message": "都道府県コードは半角数字2桁で入力してください。" }`
</t>
    </r>
    <r>
      <rPr>
        <b/>
        <sz val="10"/>
        <color rgb="FF000000"/>
        <rFont val="メイリオ"/>
        <charset val="134"/>
      </rPr>
      <t xml:space="preserve">補足：
</t>
    </r>
    <r>
      <rPr>
        <sz val="10"/>
        <color rgb="FF000000"/>
        <rFont val="メイリオ"/>
        <charset val="134"/>
      </rPr>
      <t xml:space="preserve">・Hiển thị lỗi format
</t>
    </r>
    <r>
      <rPr>
        <sz val="10"/>
        <color rgb="FF000000"/>
        <rFont val="メイリオ"/>
        <charset val="134"/>
      </rPr>
      <t>・Không chấp nhận giá trị khác 2 chữ số half-width</t>
    </r>
  </si>
  <si>
    <t>ACSMS-TC-022-028</t>
  </si>
  <si>
    <t>Loại download — gửi trực tiếp giá trị ngoài phạm vi cho phép</t>
  </si>
  <si>
    <r>
      <rPr>
        <b/>
        <sz val="10"/>
        <color rgb="FF000000"/>
        <rFont val="游ゴシック"/>
        <charset val="134"/>
      </rPr>
      <t xml:space="preserve">ステップ1：
</t>
    </r>
    <r>
      <rPr>
        <sz val="10"/>
        <color rgb="FF000000"/>
        <rFont val="游ゴシック"/>
        <charset val="134"/>
      </rPr>
      <t xml:space="preserve">Gửi GET「/api/v1/file-download?download_type=0」trên tab Network của DevTools
</t>
    </r>
    <r>
      <rPr>
        <b/>
        <sz val="10"/>
        <color rgb="FF000000"/>
        <rFont val="游ゴシック"/>
        <charset val="134"/>
      </rPr>
      <t xml:space="preserve">ステップ2：
</t>
    </r>
    <r>
      <rPr>
        <sz val="10"/>
        <color rgb="FF000000"/>
        <rFont val="游ゴシック"/>
        <charset val="134"/>
      </rPr>
      <t xml:space="preserve">Gửi GET「/api/v1/file-download?download_type=6」
</t>
    </r>
    <r>
      <rPr>
        <b/>
        <sz val="10"/>
        <color rgb="FF000000"/>
        <rFont val="游ゴシック"/>
        <charset val="134"/>
      </rPr>
      <t xml:space="preserve">ステップ3：
</t>
    </r>
    <r>
      <rPr>
        <sz val="10"/>
        <color rgb="FF000000"/>
        <rFont val="游ゴシック"/>
        <charset val="134"/>
      </rPr>
      <t xml:space="preserve">Gửi GET「/api/v1/file-download?download_type=abc」
</t>
    </r>
    <r>
      <rPr>
        <b/>
        <sz val="10"/>
        <color rgb="FF000000"/>
        <rFont val="游ゴシック"/>
        <charset val="134"/>
      </rPr>
      <t xml:space="preserve">ステップ4：
</t>
    </r>
    <r>
      <rPr>
        <sz val="10"/>
        <color rgb="FF000000"/>
        <rFont val="游ゴシック"/>
        <charset val="134"/>
      </rPr>
      <t>Thực thi query sau trên DB để xác nhận phạm vi giá trị cho phép
```sql
SELECT code_value, code_name
FROM m_code
WHERE code_category = 'DOWNLOAD_TYPE'
ORDER BY code_value;
```</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</si>
  <si>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t>
    </r>
    <r>
      <rPr>
        <sz val="10"/>
        <color rgb="FF000000"/>
        <rFont val="メイリオ"/>
        <charset val="134"/>
      </rPr>
      <t xml:space="preserve">・`errors` chứa `{ "field": "download_type", "message": "ダウンロード種別は1〜5で指定してください。" }`
</t>
    </r>
    <r>
      <rPr>
        <b/>
        <sz val="10"/>
        <color rgb="FF000000"/>
        <rFont val="メイリオ"/>
        <charset val="134"/>
      </rPr>
      <t xml:space="preserve">ステップ2：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ステップ3：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ステップ4：
</t>
    </r>
    <r>
      <rPr>
        <sz val="10"/>
        <color rgb="FF000000"/>
        <rFont val="メイリオ"/>
        <charset val="134"/>
      </rPr>
      <t xml:space="preserve">`code_value` từ 1 đến 5 gồm 5 bản ghi, khớp với phạm vi kiểm tra
</t>
    </r>
    <r>
      <rPr>
        <b/>
        <sz val="10"/>
        <color rgb="FF000000"/>
        <rFont val="メイリオ"/>
        <charset val="134"/>
      </rPr>
      <t xml:space="preserve">補足：
</t>
    </r>
    <r>
      <rPr>
        <sz val="10"/>
        <color rgb="FF000000"/>
        <rFont val="メイリオ"/>
        <charset val="134"/>
      </rPr>
      <t>・Không chấp nhận giá trị ngoài 1〜5</t>
    </r>
  </si>
  <si>
    <t>ACSMS-TC-022-029</t>
  </si>
  <si>
    <t>per_page — giá trị biên (1 / 100 / 101 / 0)</t>
  </si>
  <si>
    <t>・role: NICHINO_ADMIN
・Đã login (đã xác thực 2 bước)
・Có quyền「file.download」
・`t_file_download` đã có từ 120 file trở lên</t>
  </si>
  <si>
    <r>
      <rPr>
        <b/>
        <sz val="10"/>
        <color rgb="FF000000"/>
        <rFont val="游ゴシック"/>
        <charset val="134"/>
      </rPr>
      <t xml:space="preserve">ステップ1：
</t>
    </r>
    <r>
      <rPr>
        <sz val="10"/>
        <color rgb="FF000000"/>
        <rFont val="游ゴシック"/>
        <charset val="134"/>
      </rPr>
      <t xml:space="preserve">Gửi GET「/api/v1/file-download?per_page=1」trên tab Network của DevTools
</t>
    </r>
    <r>
      <rPr>
        <b/>
        <sz val="10"/>
        <color rgb="FF000000"/>
        <rFont val="游ゴシック"/>
        <charset val="134"/>
      </rPr>
      <t xml:space="preserve">ステップ2：
</t>
    </r>
    <r>
      <rPr>
        <sz val="10"/>
        <color rgb="FF000000"/>
        <rFont val="游ゴシック"/>
        <charset val="134"/>
      </rPr>
      <t xml:space="preserve">Gửi GET「/api/v1/file-download?per_page=100」
</t>
    </r>
    <r>
      <rPr>
        <b/>
        <sz val="10"/>
        <color rgb="FF000000"/>
        <rFont val="游ゴシック"/>
        <charset val="134"/>
      </rPr>
      <t xml:space="preserve">ステップ3：
</t>
    </r>
    <r>
      <rPr>
        <sz val="10"/>
        <color rgb="FF000000"/>
        <rFont val="游ゴシック"/>
        <charset val="134"/>
      </rPr>
      <t xml:space="preserve">Gửi GET「/api/v1/file-download?per_page=101」
</t>
    </r>
    <r>
      <rPr>
        <b/>
        <sz val="10"/>
        <color rgb="FF000000"/>
        <rFont val="游ゴシック"/>
        <charset val="134"/>
      </rPr>
      <t xml:space="preserve">ステップ4：
</t>
    </r>
    <r>
      <rPr>
        <sz val="10"/>
        <color rgb="FF000000"/>
        <rFont val="游ゴシック"/>
        <charset val="134"/>
      </rPr>
      <t>Gửi GET「/api/v1/file-download?per_page=0」</t>
    </r>
  </si>
  <si>
    <r>
      <rPr>
        <b/>
        <sz val="10"/>
        <color rgb="FF000000"/>
        <rFont val="メイリオ"/>
        <charset val="134"/>
      </rPr>
      <t xml:space="preserve">ステップ1：
</t>
    </r>
    <r>
      <rPr>
        <sz val="10"/>
        <color rgb="FF000000"/>
        <rFont val="メイリオ"/>
        <charset val="134"/>
      </rPr>
      <t xml:space="preserve">・Trả về HTTP 200
</t>
    </r>
    <r>
      <rPr>
        <sz val="10"/>
        <color rgb="FF000000"/>
        <rFont val="メイリオ"/>
        <charset val="134"/>
      </rPr>
      <t xml:space="preserve">・Mảng `data` trả về 1 mục
</t>
    </r>
    <r>
      <rPr>
        <b/>
        <sz val="10"/>
        <color rgb="FF000000"/>
        <rFont val="メイリオ"/>
        <charset val="134"/>
      </rPr>
      <t xml:space="preserve">ステップ2：
</t>
    </r>
    <r>
      <rPr>
        <sz val="10"/>
        <color rgb="FF000000"/>
        <rFont val="メイリオ"/>
        <charset val="134"/>
      </rPr>
      <t xml:space="preserve">・Trả về HTTP 200
</t>
    </r>
    <r>
      <rPr>
        <sz val="10"/>
        <color rgb="FF000000"/>
        <rFont val="メイリオ"/>
        <charset val="134"/>
      </rPr>
      <t xml:space="preserve">・Mảng `data` trả về 100 mục
</t>
    </r>
    <r>
      <rPr>
        <b/>
        <sz val="10"/>
        <color rgb="FF000000"/>
        <rFont val="メイリオ"/>
        <charset val="134"/>
      </rPr>
      <t xml:space="preserve">ステップ3：
</t>
    </r>
    <r>
      <rPr>
        <sz val="10"/>
        <color rgb="FF000000"/>
        <rFont val="メイリオ"/>
        <charset val="134"/>
      </rPr>
      <t xml:space="preserve">・Trả về HTTP 400 (`error_code: VALIDATION_ERROR`, message `入力値が不正です。詳細はerrorsフィールドを確認してください。`)
</t>
    </r>
    <r>
      <rPr>
        <sz val="10"/>
        <color rgb="FF000000"/>
        <rFont val="メイリオ"/>
        <charset val="134"/>
      </rPr>
      <t xml:space="preserve">・`errors` chứa `{ "field": "per_page", "message": "1ページあたりの件数は1〜100の範囲で指定してください。" }`
</t>
    </r>
    <r>
      <rPr>
        <b/>
        <sz val="10"/>
        <color rgb="FF000000"/>
        <rFont val="メイリオ"/>
        <charset val="134"/>
      </rPr>
      <t xml:space="preserve">ステップ4：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補足：
</t>
    </r>
    <r>
      <rPr>
        <sz val="10"/>
        <color rgb="FF000000"/>
        <rFont val="メイリオ"/>
        <charset val="134"/>
      </rPr>
      <t>・Chấp nhận giá trị biên trên 100, không chấp nhận từ 101 trở lên và từ 0 trở xuống</t>
    </r>
  </si>
  <si>
    <t>ACSMS-TC-022-030</t>
  </si>
  <si>
    <t>page — giá trị biên (1 / 0 / vượt tổng số trang)</t>
  </si>
  <si>
    <t>・role: NICHINO_ADMIN
・Đã login (đã xác thực 2 bước)
・Có quyền「file.download」
・`t_file_download` đã có 25 file (`per_page` = 20 nên có 2 trang)</t>
  </si>
  <si>
    <r>
      <rPr>
        <b/>
        <sz val="10"/>
        <color rgb="FF000000"/>
        <rFont val="メイリオ"/>
        <charset val="134"/>
      </rPr>
      <t xml:space="preserve">ステップ1：
</t>
    </r>
    <r>
      <rPr>
        <sz val="10"/>
        <color rgb="FF000000"/>
        <rFont val="メイリオ"/>
        <charset val="134"/>
      </rPr>
      <t xml:space="preserve">Gửi GET「/api/v1/file-download?page=1&amp;per_page=20」trên tab Network của DevTools
</t>
    </r>
    <r>
      <rPr>
        <b/>
        <sz val="10"/>
        <color rgb="FF000000"/>
        <rFont val="メイリオ"/>
        <charset val="134"/>
      </rPr>
      <t xml:space="preserve">ステップ2：
</t>
    </r>
    <r>
      <rPr>
        <sz val="10"/>
        <color rgb="FF000000"/>
        <rFont val="メイリオ"/>
        <charset val="134"/>
      </rPr>
      <t xml:space="preserve">Gửi GET「/api/v1/file-download?page=0&amp;per_page=20」
</t>
    </r>
    <r>
      <rPr>
        <b/>
        <sz val="10"/>
        <color rgb="FF000000"/>
        <rFont val="メイリオ"/>
        <charset val="134"/>
      </rPr>
      <t xml:space="preserve">ステップ3：
</t>
    </r>
    <r>
      <rPr>
        <sz val="10"/>
        <color rgb="FF000000"/>
        <rFont val="メイリオ"/>
        <charset val="134"/>
      </rPr>
      <t>Gửi GET「/api/v1/file-download?page=99&amp;per_page=20」</t>
    </r>
  </si>
  <si>
    <r>
      <rPr>
        <b/>
        <sz val="10"/>
        <color rgb="FF000000"/>
        <rFont val="メイリオ"/>
        <charset val="134"/>
      </rPr>
      <t xml:space="preserve">ステップ1：
</t>
    </r>
    <r>
      <rPr>
        <sz val="10"/>
        <color rgb="FF000000"/>
        <rFont val="メイリオ"/>
        <charset val="134"/>
      </rPr>
      <t xml:space="preserve">・Trả về HTTP 200
</t>
    </r>
    <r>
      <rPr>
        <sz val="10"/>
        <color rgb="FF000000"/>
        <rFont val="メイリオ"/>
        <charset val="134"/>
      </rPr>
      <t xml:space="preserve">・Mảng `data` 20 mục, `meta.total_pages` = 2
</t>
    </r>
    <r>
      <rPr>
        <b/>
        <sz val="10"/>
        <color rgb="FF000000"/>
        <rFont val="メイリオ"/>
        <charset val="134"/>
      </rPr>
      <t xml:space="preserve">ステップ2：
</t>
    </r>
    <r>
      <rPr>
        <sz val="10"/>
        <color rgb="FF000000"/>
        <rFont val="メイリオ"/>
        <charset val="134"/>
      </rPr>
      <t xml:space="preserve">・Trả về HTTP 400 (`error_code: VALIDATION_ERROR`, message `入力値が不正です。詳細はerrorsフィールドを確認してください。`)
</t>
    </r>
    <r>
      <rPr>
        <sz val="10"/>
        <color rgb="FF000000"/>
        <rFont val="メイリオ"/>
        <charset val="134"/>
      </rPr>
      <t xml:space="preserve">・`errors` chứa `{ "field": "page", "message": "ページ番号は 1 以上で指定してください。" }`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・Mảng `data` trả về mảng rỗng, `meta.total` vẫn là 25
</t>
    </r>
    <r>
      <rPr>
        <b/>
        <sz val="10"/>
        <color rgb="FF000000"/>
        <rFont val="メイリオ"/>
        <charset val="134"/>
      </rPr>
      <t xml:space="preserve">補足：
</t>
    </r>
    <r>
      <rPr>
        <sz val="10"/>
        <color rgb="FF000000"/>
        <rFont val="メイリオ"/>
        <charset val="134"/>
      </rPr>
      <t xml:space="preserve">・Số trang vượt tổng số trang không báo lỗi mà trả về mảng rỗng
</t>
    </r>
    <r>
      <rPr>
        <sz val="10"/>
        <color rgb="FF000000"/>
        <rFont val="メイリオ"/>
        <charset val="134"/>
      </rPr>
      <t>・Không phát sinh lỗi ngoài dự kiến</t>
    </r>
  </si>
  <si>
    <t>`ページ番号は 1 以上で指定してください。` không được liệt kê riêng trong danh sách error message của tài liệu thiết kế API, nguồn là định nghĩa DTO của implement. Khuyến nghị bổ sung message vào tài liệu thiết kế API.</t>
  </si>
  <si>
    <t>ACSMS-TC-022-031</t>
  </si>
  <si>
    <t>sort_by / sort_order — gửi trực tiếp giá trị ngoài phạm vi cho phép</t>
  </si>
  <si>
    <r>
      <rPr>
        <b/>
        <sz val="10"/>
        <color rgb="FF000000"/>
        <rFont val="メイリオ"/>
        <charset val="134"/>
      </rPr>
      <t xml:space="preserve">ステップ1：
</t>
    </r>
    <r>
      <rPr>
        <sz val="10"/>
        <color rgb="FF000000"/>
        <rFont val="メイリオ"/>
        <charset val="134"/>
      </rPr>
      <t xml:space="preserve">Gửi GET「/api/v1/file-download?sort_by=file_path」trên tab Network của DevTools
</t>
    </r>
    <r>
      <rPr>
        <b/>
        <sz val="10"/>
        <color rgb="FF000000"/>
        <rFont val="メイリオ"/>
        <charset val="134"/>
      </rPr>
      <t xml:space="preserve">ステップ2：
</t>
    </r>
    <r>
      <rPr>
        <sz val="10"/>
        <color rgb="FF000000"/>
        <rFont val="メイリオ"/>
        <charset val="134"/>
      </rPr>
      <t xml:space="preserve">Gửi GET「/api/v1/file-download?sort_by=download_datetime; DROP TABLE t_file_download」
</t>
    </r>
    <r>
      <rPr>
        <b/>
        <sz val="10"/>
        <color rgb="FF000000"/>
        <rFont val="メイリオ"/>
        <charset val="134"/>
      </rPr>
      <t xml:space="preserve">ステップ3：
</t>
    </r>
    <r>
      <rPr>
        <sz val="10"/>
        <color rgb="FF000000"/>
        <rFont val="メイリオ"/>
        <charset val="134"/>
      </rPr>
      <t xml:space="preserve">Gửi GET「/api/v1/file-download?sort_order=random」
</t>
    </r>
    <r>
      <rPr>
        <b/>
        <sz val="10"/>
        <color rgb="FF000000"/>
        <rFont val="メイリオ"/>
        <charset val="134"/>
      </rPr>
      <t xml:space="preserve">ステップ4：
</t>
    </r>
    <r>
      <rPr>
        <sz val="10"/>
        <color rgb="FF000000"/>
        <rFont val="メイリオ"/>
        <charset val="134"/>
      </rPr>
      <t xml:space="preserve">Xác nhận bảng `t_file_download` vẫn tồn tại trên DB
</t>
    </r>
    <r>
      <rPr>
        <sz val="10"/>
        <color rgb="FF000000"/>
        <rFont val="メイリオ"/>
        <charset val="134"/>
      </rPr>
      <t xml:space="preserve">```sql
</t>
    </r>
    <r>
      <rPr>
        <sz val="10"/>
        <color rgb="FF000000"/>
        <rFont val="メイリオ"/>
        <charset val="134"/>
      </rPr>
      <t xml:space="preserve">SELECT COUNT(*) FROM t_file_download;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</si>
  <si>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t>
    </r>
    <r>
      <rPr>
        <sz val="10"/>
        <color rgb="FF000000"/>
        <rFont val="メイリオ"/>
        <charset val="134"/>
      </rPr>
      <t xml:space="preserve">・`errors` chứa `{ "field": "sort_by", "message": "並び替え項目が不正です。" }`
</t>
    </r>
    <r>
      <rPr>
        <b/>
        <sz val="10"/>
        <color rgb="FF000000"/>
        <rFont val="メイリオ"/>
        <charset val="134"/>
      </rPr>
      <t xml:space="preserve">ステップ2：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ステップ3：
</t>
    </r>
    <r>
      <rPr>
        <sz val="10"/>
        <color rgb="FF000000"/>
        <rFont val="メイリオ"/>
        <charset val="134"/>
      </rPr>
      <t xml:space="preserve">・Trả về HTTP 400 (`error_code: VALIDATION_ERROR`, message `入力値が不正です。詳細はerrorsフィールドを確認してください。`)
</t>
    </r>
    <r>
      <rPr>
        <sz val="10"/>
        <color rgb="FF000000"/>
        <rFont val="メイリオ"/>
        <charset val="134"/>
      </rPr>
      <t xml:space="preserve">・`errors` chứa `{ "field": "sort_order", "message": "並び順は asc / desc で指定してください。" }`
</t>
    </r>
    <r>
      <rPr>
        <b/>
        <sz val="10"/>
        <color rgb="FF000000"/>
        <rFont val="メイリオ"/>
        <charset val="134"/>
      </rPr>
      <t xml:space="preserve">ステップ4：
</t>
    </r>
    <r>
      <rPr>
        <sz val="10"/>
        <color rgb="FF000000"/>
        <rFont val="メイリオ"/>
        <charset val="134"/>
      </rPr>
      <t xml:space="preserve">Bảng không bị xóa, lấy được số lượng bản ghi
</t>
    </r>
    <r>
      <rPr>
        <b/>
        <sz val="10"/>
        <color rgb="FF000000"/>
        <rFont val="メイリオ"/>
        <charset val="134"/>
      </rPr>
      <t xml:space="preserve">補足：
</t>
    </r>
    <r>
      <rPr>
        <sz val="10"/>
        <color rgb="FF000000"/>
        <rFont val="メイリオ"/>
        <charset val="134"/>
      </rPr>
      <t>・Đối tượng sắp xếp chỉ chấp nhận các mục trong danh sách cho phép, không nối chuỗi tùy ý vào SQL</t>
    </r>
  </si>
  <si>
    <t>`並び替え項目が不正です。` và `並び順は asc / desc で指定してください。` không được liệt kê riêng trong danh sách error message của tài liệu thiết kế API, nguồn là định nghĩa DTO của implement. Khuyến nghị bổ sung message vào tài liệu thiết kế API.</t>
  </si>
  <si>
    <t>ACSMS-TC-022-032</t>
  </si>
  <si>
    <t>Tên file — an toàn với input SQL injection</t>
  </si>
  <si>
    <r>
      <rPr>
        <b/>
        <sz val="10"/>
        <color rgb="FF000000"/>
        <rFont val="游ゴシック"/>
        <charset val="134"/>
      </rPr>
      <t xml:space="preserve">ステップ1：
</t>
    </r>
    <r>
      <rPr>
        <sz val="10"/>
        <color rgb="FF000000"/>
        <rFont val="游ゴシック"/>
        <charset val="134"/>
      </rPr>
      <t xml:space="preserve">Mở「/file-download」, nhập「' OR '1'='1」vào「ファイル名」và tìm kiếm
</t>
    </r>
    <r>
      <rPr>
        <b/>
        <sz val="10"/>
        <color rgb="FF000000"/>
        <rFont val="游ゴシック"/>
        <charset val="134"/>
      </rPr>
      <t xml:space="preserve">ステップ2：
</t>
    </r>
    <r>
      <rPr>
        <sz val="10"/>
        <color rgb="FF000000"/>
        <rFont val="游ゴシック"/>
        <charset val="134"/>
      </rPr>
      <t xml:space="preserve">Nhập「'; DROP TABLE t_file_download; --」vào「ファイル名」và tìm kiếm
</t>
    </r>
    <r>
      <rPr>
        <b/>
        <sz val="10"/>
        <color rgb="FF000000"/>
        <rFont val="游ゴシック"/>
        <charset val="134"/>
      </rPr>
      <t xml:space="preserve">ステップ3：
</t>
    </r>
    <r>
      <rPr>
        <sz val="10"/>
        <color rgb="FF000000"/>
        <rFont val="游ゴシック"/>
        <charset val="134"/>
      </rPr>
      <t xml:space="preserve">Nhập「%」vào「ファイル名」và tìm kiếm
</t>
    </r>
    <r>
      <rPr>
        <b/>
        <sz val="10"/>
        <color rgb="FF000000"/>
        <rFont val="游ゴシック"/>
        <charset val="134"/>
      </rPr>
      <t xml:space="preserve">ステップ4：
</t>
    </r>
    <r>
      <rPr>
        <sz val="10"/>
        <color rgb="FF000000"/>
        <rFont val="游ゴシック"/>
        <charset val="134"/>
      </rPr>
      <t>Thực thi query sau trên DB, xác nhận bảng và dữ liệu vẫn được giữ
```sql
SELECT COUNT(*) AS total
FROM t_file_download
WHERE deleted_at IS NULL;
```</t>
    </r>
  </si>
  <si>
    <r>
      <rPr>
        <b/>
        <sz val="10"/>
        <color rgb="FF000000"/>
        <rFont val="游ゴシック"/>
        <charset val="134"/>
      </rPr>
      <t xml:space="preserve">ステップ1：
</t>
    </r>
    <r>
      <rPr>
        <sz val="10"/>
        <color rgb="FF000000"/>
        <rFont val="游ゴシック"/>
        <charset val="134"/>
      </rPr>
      <t xml:space="preserve">・Trả về HTTP 403
</t>
    </r>
    <r>
      <rPr>
        <b/>
        <sz val="10"/>
        <color rgb="FF000000"/>
        <rFont val="游ゴシック"/>
        <charset val="134"/>
      </rPr>
      <t xml:space="preserve">ステップ2：
</t>
    </r>
    <r>
      <rPr>
        <sz val="10"/>
        <color rgb="FF000000"/>
        <rFont val="游ゴシック"/>
        <charset val="134"/>
      </rPr>
      <t xml:space="preserve">・Trả về HTTP 403
</t>
    </r>
    <r>
      <rPr>
        <b/>
        <sz val="10"/>
        <color rgb="FF000000"/>
        <rFont val="游ゴシック"/>
        <charset val="134"/>
      </rPr>
      <t xml:space="preserve">ステップ3：
</t>
    </r>
    <r>
      <rPr>
        <sz val="10"/>
        <color rgb="FF000000"/>
        <rFont val="游ゴシック"/>
        <charset val="134"/>
      </rPr>
      <t xml:space="preserve">・Trả về HTTP 403
</t>
    </r>
    <r>
      <rPr>
        <b/>
        <sz val="10"/>
        <color rgb="FF000000"/>
        <rFont val="游ゴシック"/>
        <charset val="134"/>
      </rPr>
      <t xml:space="preserve">ステップ4：
</t>
    </r>
    <r>
      <rPr>
        <sz val="10"/>
        <color rgb="FF000000"/>
        <rFont val="游ゴシック"/>
        <charset val="134"/>
      </rPr>
      <t xml:space="preserve">Bảng không bị xóa, số lượng khớp với trước khi test
</t>
    </r>
    <r>
      <rPr>
        <b/>
        <sz val="10"/>
        <color rgb="FF000000"/>
        <rFont val="游ゴシック"/>
        <charset val="134"/>
      </rPr>
      <t xml:space="preserve">補足：
</t>
    </r>
    <r>
      <rPr>
        <sz val="10"/>
        <color rgb="FF000000"/>
        <rFont val="游ゴシック"/>
        <charset val="134"/>
      </rPr>
      <t>・Điều kiện tìm kiếm được xây bằng parameterized query, giá trị nhập không bị hiểu như cú pháp SQL
・Không phát sinh bất đồng bộ dữ liệu</t>
    </r>
  </si>
  <si>
    <t>ACSMS-TC-022-033</t>
  </si>
  <si>
    <t>Tên file — an toàn khi render HTML (stored XSS)</t>
  </si>
  <si>
    <t>・role: NICHINO_ADMIN
・Đã login (đã xác thực 2 bước)
・Có quyền「file.download」
・Đã có file với tên chứa `&lt;script&gt;alert('XSS')&lt;/script&gt;.pdf` (tạo qua màn hình xuất báo cáo)
・Đã có file với tên chứa `&lt;img src=x onerror=alert(1)&gt;.csv`</t>
  </si>
  <si>
    <r>
      <rPr>
        <b/>
        <sz val="10"/>
        <color rgb="FF000000"/>
        <rFont val="游ゴシック"/>
        <charset val="134"/>
      </rPr>
      <t xml:space="preserve">ステップ1：
</t>
    </r>
    <r>
      <rPr>
        <sz val="10"/>
        <color rgb="FF000000"/>
        <rFont val="游ゴシック"/>
        <charset val="134"/>
      </rPr>
      <t xml:space="preserve">Mở「/file-download」và kiểm tra hiển thị của cột「ファイル名」trong danh sách
</t>
    </r>
    <r>
      <rPr>
        <b/>
        <sz val="10"/>
        <color rgb="FF000000"/>
        <rFont val="游ゴシック"/>
        <charset val="134"/>
      </rPr>
      <t xml:space="preserve">ステップ2：
</t>
    </r>
    <r>
      <rPr>
        <sz val="10"/>
        <color rgb="FF000000"/>
        <rFont val="游ゴシック"/>
        <charset val="134"/>
      </rPr>
      <t xml:space="preserve">Xác nhận trình duyệt không hiển thị dialog
</t>
    </r>
    <r>
      <rPr>
        <b/>
        <sz val="10"/>
        <color rgb="FF000000"/>
        <rFont val="游ゴシック"/>
        <charset val="134"/>
      </rPr>
      <t xml:space="preserve">ステップ3：
</t>
    </r>
    <r>
      <rPr>
        <sz val="10"/>
        <color rgb="FF000000"/>
        <rFont val="游ゴシック"/>
        <charset val="134"/>
      </rPr>
      <t xml:space="preserve">Kiểm tra cấu trúc DOM của cell đó trên tab Elements của DevTools
</t>
    </r>
    <r>
      <rPr>
        <b/>
        <sz val="10"/>
        <color rgb="FF000000"/>
        <rFont val="游ゴシック"/>
        <charset val="134"/>
      </rPr>
      <t xml:space="preserve">ステップ4：
</t>
    </r>
    <r>
      <rPr>
        <sz val="10"/>
        <color rgb="FF000000"/>
        <rFont val="游ゴシック"/>
        <charset val="134"/>
      </rPr>
      <t>Nhập `&lt;script&gt;alert('XSS')&lt;/script&gt;` vào ô tìm kiếm「ファイル名」và tìm kiếm</t>
    </r>
  </si>
  <si>
    <r>
      <rPr>
        <b/>
        <sz val="10"/>
        <color rgb="FF000000"/>
        <rFont val="游ゴシック"/>
        <charset val="134"/>
      </rPr>
      <t xml:space="preserve">ステップ1：
</t>
    </r>
    <r>
      <rPr>
        <sz val="10"/>
        <color rgb="FF000000"/>
        <rFont val="游ゴシック"/>
        <charset val="134"/>
      </rPr>
      <t xml:space="preserve">Tên file hiển thị nguyên dạng chuỗi có chứa tag
</t>
    </r>
    <r>
      <rPr>
        <b/>
        <sz val="10"/>
        <color rgb="FF000000"/>
        <rFont val="游ゴシック"/>
        <charset val="134"/>
      </rPr>
      <t xml:space="preserve">ステップ2：
</t>
    </r>
    <r>
      <rPr>
        <sz val="10"/>
        <color rgb="FF000000"/>
        <rFont val="游ゴシック"/>
        <charset val="134"/>
      </rPr>
      <t xml:space="preserve">Không hiển thị dialog
</t>
    </r>
    <r>
      <rPr>
        <b/>
        <sz val="10"/>
        <color rgb="FF000000"/>
        <rFont val="游ゴシック"/>
        <charset val="134"/>
      </rPr>
      <t xml:space="preserve">ステップ3：
</t>
    </r>
    <r>
      <rPr>
        <sz val="10"/>
        <color rgb="FF000000"/>
        <rFont val="游ゴシック"/>
        <charset val="134"/>
      </rPr>
      <t xml:space="preserve">Không bị hiểu như phần tử `&lt;script&gt;`, được render dưới dạng chuỗi đã chuyển thành character reference
</t>
    </r>
    <r>
      <rPr>
        <b/>
        <sz val="10"/>
        <color rgb="FF000000"/>
        <rFont val="游ゴシック"/>
        <charset val="134"/>
      </rPr>
      <t xml:space="preserve">ステップ4：
</t>
    </r>
    <r>
      <rPr>
        <sz val="10"/>
        <color rgb="FF000000"/>
        <rFont val="游ゴシック"/>
        <charset val="134"/>
      </rPr>
      <t xml:space="preserve">Lỗi 403
</t>
    </r>
    <r>
      <rPr>
        <b/>
        <sz val="10"/>
        <color rgb="FF000000"/>
        <rFont val="游ゴシック"/>
        <charset val="134"/>
      </rPr>
      <t xml:space="preserve">補足：
</t>
    </r>
    <r>
      <rPr>
        <sz val="10"/>
        <color rgb="FF000000"/>
        <rFont val="游ゴシック"/>
        <charset val="134"/>
      </rPr>
      <t>・Script không được thực thi ở cả danh sách lẫn ô tìm kiếm</t>
    </r>
  </si>
  <si>
    <t>Logic nghiệp vụ — Tìm kiếm・Danh sách (Function — Search)</t>
  </si>
  <si>
    <t>ACSMS-TC-022-034</t>
  </si>
  <si>
    <t>Hiển thị ban đầu — sắp xếp theo ダウンロード日時 giảm dần</t>
  </si>
  <si>
    <t>・role: NICHINO_ADMIN
・Đã login (đã xác thực 2 bước)
・Có quyền「file.download」
・`t_file_download` đã có từ 5 file trở lên với `download_datetime` khác nhau</t>
  </si>
  <si>
    <r>
      <rPr>
        <b/>
        <sz val="10"/>
        <color rgb="FF000000"/>
        <rFont val="メイリオ"/>
        <charset val="134"/>
      </rPr>
      <t xml:space="preserve">ステップ1：
</t>
    </r>
    <r>
      <rPr>
        <sz val="10"/>
        <color rgb="FF000000"/>
        <rFont val="メイリオ"/>
        <charset val="134"/>
      </rPr>
      <t xml:space="preserve">Mở「/file-download」và kiểm tra thứ tự sắp xếp của cột「ダウンロード日時」
</t>
    </r>
    <r>
      <rPr>
        <b/>
        <sz val="10"/>
        <color rgb="FF000000"/>
        <rFont val="メイリオ"/>
        <charset val="134"/>
      </rPr>
      <t xml:space="preserve">ステップ2：
</t>
    </r>
    <r>
      <rPr>
        <sz val="10"/>
        <color rgb="FF000000"/>
        <rFont val="メイリオ"/>
        <charset val="134"/>
      </rPr>
      <t xml:space="preserve">Kiểm tra query parameter của GET「/api/v1/file-download」trên tab Network của DevTools
</t>
    </r>
    <r>
      <rPr>
        <b/>
        <sz val="10"/>
        <color rgb="FF000000"/>
        <rFont val="メイリオ"/>
        <charset val="134"/>
      </rPr>
      <t xml:space="preserve">ステップ3：
</t>
    </r>
    <r>
      <rPr>
        <sz val="10"/>
        <color rgb="FF000000"/>
        <rFont val="メイリオ"/>
        <charset val="134"/>
      </rPr>
      <t xml:space="preserve">Thực thi query sau trên DB và đối chiếu dòng đầu tiên
</t>
    </r>
    <r>
      <rPr>
        <sz val="10"/>
        <color rgb="FF000000"/>
        <rFont val="メイリオ"/>
        <charset val="134"/>
      </rPr>
      <t xml:space="preserve">```sql
</t>
    </r>
    <r>
      <rPr>
        <sz val="10"/>
        <color rgb="FF000000"/>
        <rFont val="メイリオ"/>
        <charset val="134"/>
      </rPr>
      <t xml:space="preserve">SELECT file_download_id, download_datetime
</t>
    </r>
    <r>
      <rPr>
        <sz val="10"/>
        <color rgb="FF000000"/>
        <rFont val="メイリオ"/>
        <charset val="134"/>
      </rPr>
      <t xml:space="preserve">FROM t_file_download
</t>
    </r>
    <r>
      <rPr>
        <sz val="10"/>
        <color rgb="FF000000"/>
        <rFont val="メイリオ"/>
        <charset val="134"/>
      </rPr>
      <t xml:space="preserve">WHERE deleted_at IS NULL
</t>
    </r>
    <r>
      <rPr>
        <sz val="10"/>
        <color rgb="FF000000"/>
        <rFont val="メイリオ"/>
        <charset val="134"/>
      </rPr>
      <t xml:space="preserve">ORDER BY download_datetime DESC
</t>
    </r>
    <r>
      <rPr>
        <sz val="10"/>
        <color rgb="FF000000"/>
        <rFont val="メイリオ"/>
        <charset val="134"/>
      </rPr>
      <t xml:space="preserve">LIMIT 1;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</si>
  <si>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File mới nhất được hiển thị ở đầu
</t>
    </r>
    <r>
      <rPr>
        <b/>
        <sz val="10"/>
        <color rgb="FF000000"/>
        <rFont val="メイリオ"/>
        <charset val="134"/>
      </rPr>
      <t xml:space="preserve">ステップ2：
</t>
    </r>
    <r>
      <rPr>
        <sz val="10"/>
        <color rgb="FF000000"/>
        <rFont val="メイリオ"/>
        <charset val="134"/>
      </rPr>
      <t xml:space="preserve">`sort_by=download_datetime` và `sort_order=desc` được gửi làm giá trị mặc định
</t>
    </r>
    <r>
      <rPr>
        <b/>
        <sz val="10"/>
        <color rgb="FF000000"/>
        <rFont val="メイリオ"/>
        <charset val="134"/>
      </rPr>
      <t xml:space="preserve">ステップ3：
</t>
    </r>
    <r>
      <rPr>
        <sz val="10"/>
        <color rgb="FF000000"/>
        <rFont val="メイリオ"/>
        <charset val="134"/>
      </rPr>
      <t xml:space="preserve">`file_download_id` từ kết quả query khớp với dòng đầu tiên của danh sách
</t>
    </r>
    <r>
      <rPr>
        <b/>
        <sz val="10"/>
        <color rgb="FF000000"/>
        <rFont val="メイリオ"/>
        <charset val="134"/>
      </rPr>
      <t xml:space="preserve">補足：
</t>
    </r>
    <r>
      <rPr>
        <sz val="10"/>
        <color rgb="FF000000"/>
        <rFont val="メイリオ"/>
        <charset val="134"/>
      </rPr>
      <t xml:space="preserve">・Sắp xếp theo thời gian giảm dần
</t>
    </r>
    <r>
      <rPr>
        <sz val="10"/>
        <color rgb="FF000000"/>
        <rFont val="メイリオ"/>
        <charset val="134"/>
      </rPr>
      <t>・Hiển thị trang đầu tiên</t>
    </r>
  </si>
  <si>
    <t>ACSMS-TC-022-035</t>
  </si>
  <si>
    <t>Tìm kiếm kết hợp tên file và tỉnh thành</t>
  </si>
  <si>
    <t>・role: NICHINO_ADMIN
・Đã login (đã xác thực 2 bước)
・Có quyền「file.download」
・JA của Tokyo có 2 file chứa「zougen」, JA của Osaka có 1 file chứa「zougen」</t>
  </si>
  <si>
    <r>
      <rPr>
        <b/>
        <sz val="10"/>
        <color rgb="FF000000"/>
        <rFont val="メイリオ"/>
        <charset val="134"/>
      </rPr>
      <t xml:space="preserve">ステップ1：
</t>
    </r>
    <r>
      <rPr>
        <sz val="10"/>
        <color rgb="FF000000"/>
        <rFont val="メイリオ"/>
        <charset val="134"/>
      </rPr>
      <t xml:space="preserve">Mở「/file-download」và nhập「zougen」vào「ファイル名」
</t>
    </r>
    <r>
      <rPr>
        <b/>
        <sz val="10"/>
        <color rgb="FF000000"/>
        <rFont val="メイリオ"/>
        <charset val="134"/>
      </rPr>
      <t xml:space="preserve">ステップ2：
</t>
    </r>
    <r>
      <rPr>
        <sz val="10"/>
        <color rgb="FF000000"/>
        <rFont val="メイリオ"/>
        <charset val="134"/>
      </rPr>
      <t xml:space="preserve">Chọn「13 東京都」cho「都道府県」
</t>
    </r>
    <r>
      <rPr>
        <b/>
        <sz val="10"/>
        <color rgb="FF000000"/>
        <rFont val="メイリオ"/>
        <charset val="134"/>
      </rPr>
      <t xml:space="preserve">ステップ3：
</t>
    </r>
    <r>
      <rPr>
        <sz val="10"/>
        <color rgb="FF000000"/>
        <rFont val="メイリオ"/>
        <charset val="134"/>
      </rPr>
      <t xml:space="preserve">Click button「検索」
</t>
    </r>
    <r>
      <rPr>
        <b/>
        <sz val="10"/>
        <color rgb="FF000000"/>
        <rFont val="メイリオ"/>
        <charset val="134"/>
      </rPr>
      <t xml:space="preserve">ステップ4：
</t>
    </r>
    <r>
      <rPr>
        <sz val="10"/>
        <color rgb="FF000000"/>
        <rFont val="メイリオ"/>
        <charset val="134"/>
      </rPr>
      <t>Kiểm tra query parameter đã gửi trên tab Network của DevTools</t>
    </r>
  </si>
  <si>
    <r>
      <rPr>
        <b/>
        <sz val="10"/>
        <color rgb="FF000000"/>
        <rFont val="メイリオ"/>
        <charset val="134"/>
      </rPr>
      <t xml:space="preserve">ステップ1：
</t>
    </r>
    <r>
      <rPr>
        <sz val="10"/>
        <color rgb="FF000000"/>
        <rFont val="メイリオ"/>
        <charset val="134"/>
      </rPr>
      <t xml:space="preserve">Giá trị nhập được phản ánh
</t>
    </r>
    <r>
      <rPr>
        <b/>
        <sz val="10"/>
        <color rgb="FF000000"/>
        <rFont val="メイリオ"/>
        <charset val="134"/>
      </rPr>
      <t xml:space="preserve">ステップ2：
</t>
    </r>
    <r>
      <rPr>
        <sz val="10"/>
        <color rgb="FF000000"/>
        <rFont val="メイリオ"/>
        <charset val="134"/>
      </rPr>
      <t xml:space="preserve">Giá trị chọn được phản ánh
</t>
    </r>
    <r>
      <rPr>
        <b/>
        <sz val="10"/>
        <color rgb="FF000000"/>
        <rFont val="メイリオ"/>
        <charset val="134"/>
      </rPr>
      <t xml:space="preserve">ステップ3：
</t>
    </r>
    <r>
      <rPr>
        <sz val="10"/>
        <color rgb="FF000000"/>
        <rFont val="メイリオ"/>
        <charset val="134"/>
      </rPr>
      <t xml:space="preserve">Chỉ hiển thị 2 file thuộc JA của Tokyo, không hiển thị 1 file của Osaka
</t>
    </r>
    <r>
      <rPr>
        <b/>
        <sz val="10"/>
        <color rgb="FF000000"/>
        <rFont val="メイリオ"/>
        <charset val="134"/>
      </rPr>
      <t xml:space="preserve">ステップ4：
</t>
    </r>
    <r>
      <rPr>
        <sz val="10"/>
        <color rgb="FF000000"/>
        <rFont val="メイリオ"/>
        <charset val="134"/>
      </rPr>
      <t xml:space="preserve">`file_name=zougen` và `todofuken_code=13` được gửi đồng thời
</t>
    </r>
    <r>
      <rPr>
        <b/>
        <sz val="10"/>
        <color rgb="FF000000"/>
        <rFont val="メイリオ"/>
        <charset val="134"/>
      </rPr>
      <t xml:space="preserve">補足：
</t>
    </r>
    <r>
      <rPr>
        <sz val="10"/>
        <color rgb="FF000000"/>
        <rFont val="メイリオ"/>
        <charset val="134"/>
      </rPr>
      <t xml:space="preserve">・Nhiều điều kiện tìm kiếm được áp dụng theo phép AND
</t>
    </r>
    <r>
      <rPr>
        <sz val="10"/>
        <color rgb="FF000000"/>
        <rFont val="メイリオ"/>
        <charset val="134"/>
      </rPr>
      <t>・Việc lọc tỉnh thành được phán đoán bằng tỉnh của JA sở hữu file, không phải tỉnh của người tạo</t>
    </r>
  </si>
  <si>
    <t>ACSMS-TC-022-036</t>
  </si>
  <si>
    <t>File dành cho toàn JA bị loại khi chỉ định tỉnh thành</t>
  </si>
  <si>
    <t>・role: NICHINO_ADMIN
・Đã login (đã xác thực 2 bước)
・Có quyền「file.download」
・Đã có 2 file dành cho toàn JA (`ja_id IS NULL`)
・Đã có 3 file thuộc JA của Tokyo</t>
  </si>
  <si>
    <r>
      <rPr>
        <b/>
        <sz val="10"/>
        <color rgb="FF000000"/>
        <rFont val="メイリオ"/>
        <charset val="134"/>
      </rPr>
      <t xml:space="preserve">ステップ1：
</t>
    </r>
    <r>
      <rPr>
        <sz val="10"/>
        <color rgb="FF000000"/>
        <rFont val="メイリオ"/>
        <charset val="134"/>
      </rPr>
      <t xml:space="preserve">Mở「/file-download」, click button「検索」không chỉ định điều kiện và kiểm tra số lượng
</t>
    </r>
    <r>
      <rPr>
        <b/>
        <sz val="10"/>
        <color rgb="FF000000"/>
        <rFont val="メイリオ"/>
        <charset val="134"/>
      </rPr>
      <t xml:space="preserve">ステップ2：
</t>
    </r>
    <r>
      <rPr>
        <sz val="10"/>
        <color rgb="FF000000"/>
        <rFont val="メイリオ"/>
        <charset val="134"/>
      </rPr>
      <t xml:space="preserve">Chọn「13 東京都」cho「都道府県」và click button「検索」
</t>
    </r>
    <r>
      <rPr>
        <b/>
        <sz val="10"/>
        <color rgb="FF000000"/>
        <rFont val="メイリオ"/>
        <charset val="134"/>
      </rPr>
      <t xml:space="preserve">ステップ3：
</t>
    </r>
    <r>
      <rPr>
        <sz val="10"/>
        <color rgb="FF000000"/>
        <rFont val="メイリオ"/>
        <charset val="134"/>
      </rPr>
      <t>Xác nhận cột「JA名」trong danh sách không có dòng để trống</t>
    </r>
  </si>
  <si>
    <r>
      <rPr>
        <b/>
        <sz val="10"/>
        <color rgb="FF000000"/>
        <rFont val="メイリオ"/>
        <charset val="134"/>
      </rPr>
      <t xml:space="preserve">ステップ1：
</t>
    </r>
    <r>
      <rPr>
        <sz val="10"/>
        <color rgb="FF000000"/>
        <rFont val="メイリオ"/>
        <charset val="134"/>
      </rPr>
      <t xml:space="preserve">Hiển thị 5 file bao gồm 2 file dành cho toàn JA
</t>
    </r>
    <r>
      <rPr>
        <b/>
        <sz val="10"/>
        <color rgb="FF000000"/>
        <rFont val="メイリオ"/>
        <charset val="134"/>
      </rPr>
      <t xml:space="preserve">ステップ2：
</t>
    </r>
    <r>
      <rPr>
        <sz val="10"/>
        <color rgb="FF000000"/>
        <rFont val="メイリオ"/>
        <charset val="134"/>
      </rPr>
      <t xml:space="preserve">Chỉ hiển thị 3 file thuộc JA của Tokyo
</t>
    </r>
    <r>
      <rPr>
        <b/>
        <sz val="10"/>
        <color rgb="FF000000"/>
        <rFont val="メイリオ"/>
        <charset val="134"/>
      </rPr>
      <t xml:space="preserve">ステップ3：
</t>
    </r>
    <r>
      <rPr>
        <sz val="10"/>
        <color rgb="FF000000"/>
        <rFont val="メイリオ"/>
        <charset val="134"/>
      </rPr>
      <t xml:space="preserve">Không hiển thị dòng có「JA名」trống
</t>
    </r>
    <r>
      <rPr>
        <b/>
        <sz val="10"/>
        <color rgb="FF000000"/>
        <rFont val="メイリオ"/>
        <charset val="134"/>
      </rPr>
      <t xml:space="preserve">補足：
</t>
    </r>
    <r>
      <rPr>
        <sz val="10"/>
        <color rgb="FF000000"/>
        <rFont val="メイリオ"/>
        <charset val="134"/>
      </rPr>
      <t>・File dành cho toàn JA không có tỉnh thành nên bị loại khi lọc theo tỉnh</t>
    </r>
  </si>
  <si>
    <t>ACSMS-TC-022-037</t>
  </si>
  <si>
    <t>File dành cho toàn JA được hiển thị khi không chỉ định tỉnh thành</t>
  </si>
  <si>
    <t>・role: JA_HONTEN
・Đã login (đã xác thực 2 bước)
・Có quyền「file.download」
・Session được phát hành với `ja_id` = 1
・Đã có 2 file dành cho toàn JA (`ja_id IS NULL`) và 3 file có `ja_id` = 1</t>
  </si>
  <si>
    <r>
      <rPr>
        <b/>
        <sz val="10"/>
        <color rgb="FF000000"/>
        <rFont val="メイリオ"/>
        <charset val="134"/>
      </rPr>
      <t xml:space="preserve">ステップ1：
</t>
    </r>
    <r>
      <rPr>
        <sz val="10"/>
        <color rgb="FF000000"/>
        <rFont val="メイリオ"/>
        <charset val="134"/>
      </rPr>
      <t xml:space="preserve">Mở「/file-download」và kiểm tra danh sách khi không chỉ định điều kiện
</t>
    </r>
    <r>
      <rPr>
        <b/>
        <sz val="10"/>
        <color rgb="FF000000"/>
        <rFont val="メイリオ"/>
        <charset val="134"/>
      </rPr>
      <t xml:space="preserve">ステップ2：
</t>
    </r>
    <r>
      <rPr>
        <sz val="10"/>
        <color rgb="FF000000"/>
        <rFont val="メイリオ"/>
        <charset val="134"/>
      </rPr>
      <t xml:space="preserve">Xác nhận cột「JA名」trong danh sách có dòng để trống
</t>
    </r>
    <r>
      <rPr>
        <b/>
        <sz val="10"/>
        <color rgb="FF000000"/>
        <rFont val="メイリオ"/>
        <charset val="134"/>
      </rPr>
      <t xml:space="preserve">ステップ3：
</t>
    </r>
    <r>
      <rPr>
        <sz val="10"/>
        <color rgb="FF000000"/>
        <rFont val="メイリオ"/>
        <charset val="134"/>
      </rPr>
      <t>Chọn checkbox của dòng để trống và click button「ダウンロード実行」</t>
    </r>
  </si>
  <si>
    <r>
      <rPr>
        <b/>
        <sz val="10"/>
        <color rgb="FF000000"/>
        <rFont val="メイリオ"/>
        <charset val="134"/>
      </rPr>
      <t xml:space="preserve">ステップ1：
</t>
    </r>
    <r>
      <rPr>
        <sz val="10"/>
        <color rgb="FF000000"/>
        <rFont val="メイリオ"/>
        <charset val="134"/>
      </rPr>
      <t xml:space="preserve">Hiển thị tổng 5 file gồm 2 file toàn JA và 3 file của JA mình
</t>
    </r>
    <r>
      <rPr>
        <b/>
        <sz val="10"/>
        <color rgb="FF000000"/>
        <rFont val="メイリオ"/>
        <charset val="134"/>
      </rPr>
      <t xml:space="preserve">ステップ2：
</t>
    </r>
    <r>
      <rPr>
        <sz val="10"/>
        <color rgb="FF000000"/>
        <rFont val="メイリオ"/>
        <charset val="134"/>
      </rPr>
      <t xml:space="preserve">Hiển thị 2 dòng có「JA名」trống
</t>
    </r>
    <r>
      <rPr>
        <b/>
        <sz val="10"/>
        <color rgb="FF000000"/>
        <rFont val="メイリオ"/>
        <charset val="134"/>
      </rPr>
      <t xml:space="preserve">ステップ3：
</t>
    </r>
    <r>
      <rPr>
        <sz val="10"/>
        <color rgb="FF000000"/>
        <rFont val="メイリオ"/>
        <charset val="134"/>
      </rPr>
      <t xml:space="preserve">Download được thực hiện, hiển thị toast「ダウンロードが完了しました。」
</t>
    </r>
    <r>
      <rPr>
        <b/>
        <sz val="10"/>
        <color rgb="FF000000"/>
        <rFont val="メイリオ"/>
        <charset val="134"/>
      </rPr>
      <t xml:space="preserve">補足：
</t>
    </r>
    <r>
      <rPr>
        <sz val="10"/>
        <color rgb="FF000000"/>
        <rFont val="メイリオ"/>
        <charset val="134"/>
      </rPr>
      <t>・File dành cho toàn JA có thể được tham chiếu và download bởi tất cả role</t>
    </r>
  </si>
  <si>
    <t>ACSMS-TC-022-038</t>
  </si>
  <si>
    <t>Tìm kiếm lọc theo loại download</t>
  </si>
  <si>
    <t>・role: NICHINO_ADMIN
・Đã login (đã xác thực 2 bước)
・Có quyền「file.download」
・Đã có 2 file `download_type` = 1 (chuyển khoản) và 3 file = 4 (thông báo tăng giảm)</t>
  </si>
  <si>
    <r>
      <rPr>
        <b/>
        <sz val="10"/>
        <color rgb="FF000000"/>
        <rFont val="游ゴシック"/>
        <charset val="134"/>
      </rPr>
      <t xml:space="preserve">ステップ1：
</t>
    </r>
    <r>
      <rPr>
        <sz val="10"/>
        <color rgb="FF000000"/>
        <rFont val="游ゴシック"/>
        <charset val="134"/>
      </rPr>
      <t xml:space="preserve">Gửi GET「/api/v1/file-download?download_type=1」trên tab Network của DevTools
</t>
    </r>
    <r>
      <rPr>
        <b/>
        <sz val="10"/>
        <color rgb="FF000000"/>
        <rFont val="游ゴシック"/>
        <charset val="134"/>
      </rPr>
      <t xml:space="preserve">ステップ2：
</t>
    </r>
    <r>
      <rPr>
        <sz val="10"/>
        <color rgb="FF000000"/>
        <rFont val="游ゴシック"/>
        <charset val="134"/>
      </rPr>
      <t xml:space="preserve">Gửi GET「/api/v1/file-download?download_type=4」
</t>
    </r>
    <r>
      <rPr>
        <b/>
        <sz val="10"/>
        <color rgb="FF000000"/>
        <rFont val="游ゴシック"/>
        <charset val="134"/>
      </rPr>
      <t xml:space="preserve">ステップ3：
</t>
    </r>
    <r>
      <rPr>
        <sz val="10"/>
        <color rgb="FF000000"/>
        <rFont val="游ゴシック"/>
        <charset val="134"/>
      </rPr>
      <t>Gửi GET「/api/v1/file-download」(không điều kiện)</t>
    </r>
  </si>
  <si>
    <r>
      <rPr>
        <b/>
        <sz val="10"/>
        <color rgb="FF000000"/>
        <rFont val="メイリオ"/>
        <charset val="134"/>
      </rPr>
      <t xml:space="preserve">ステップ1：
</t>
    </r>
    <r>
      <rPr>
        <sz val="10"/>
        <color rgb="FF000000"/>
        <rFont val="メイリオ"/>
        <charset val="134"/>
      </rPr>
      <t xml:space="preserve">・Trả về HTTP 200
</t>
    </r>
    <r>
      <rPr>
        <sz val="10"/>
        <color rgb="FF000000"/>
        <rFont val="メイリオ"/>
        <charset val="134"/>
      </rPr>
      <t xml:space="preserve">・Mảng `data` có 2 mục, tất cả đều có `download_type` = 1
</t>
    </r>
    <r>
      <rPr>
        <b/>
        <sz val="10"/>
        <color rgb="FF000000"/>
        <rFont val="メイリオ"/>
        <charset val="134"/>
      </rPr>
      <t xml:space="preserve">ステップ2：
</t>
    </r>
    <r>
      <rPr>
        <sz val="10"/>
        <color rgb="FF000000"/>
        <rFont val="メイリオ"/>
        <charset val="134"/>
      </rPr>
      <t xml:space="preserve">・Trả về HTTP 200
</t>
    </r>
    <r>
      <rPr>
        <sz val="10"/>
        <color rgb="FF000000"/>
        <rFont val="メイリオ"/>
        <charset val="134"/>
      </rPr>
      <t xml:space="preserve">・Mảng `data` có 3 mục, tất cả đều có `download_type` = 4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・Mảng `data` trả về 5 mục
</t>
    </r>
    <r>
      <rPr>
        <b/>
        <sz val="10"/>
        <color rgb="FF000000"/>
        <rFont val="メイリオ"/>
        <charset val="134"/>
      </rPr>
      <t xml:space="preserve">補足：
</t>
    </r>
    <r>
      <rPr>
        <sz val="10"/>
        <color rgb="FF000000"/>
        <rFont val="メイリオ"/>
        <charset val="134"/>
      </rPr>
      <t>・Việc lọc theo loại download hoạt động đúng ở phía backend</t>
    </r>
  </si>
  <si>
    <t>ACSMS-TC-022-039</t>
  </si>
  <si>
    <t>Hiển thị message khi kết quả tìm kiếm 0 mục</t>
  </si>
  <si>
    <r>
      <rPr>
        <b/>
        <sz val="10"/>
        <color rgb="FF000000"/>
        <rFont val="游ゴシック"/>
        <charset val="134"/>
      </rPr>
      <t xml:space="preserve">ステップ1：
</t>
    </r>
    <r>
      <rPr>
        <sz val="10"/>
        <color rgb="FF000000"/>
        <rFont val="游ゴシック"/>
        <charset val="134"/>
      </rPr>
      <t xml:space="preserve">Mở「/file-download」và nhập chuỗi không tồn tại「zzzzzzzz」vào「ファイル名」
</t>
    </r>
    <r>
      <rPr>
        <b/>
        <sz val="10"/>
        <color rgb="FF000000"/>
        <rFont val="游ゴシック"/>
        <charset val="134"/>
      </rPr>
      <t xml:space="preserve">ステップ2：
</t>
    </r>
    <r>
      <rPr>
        <sz val="10"/>
        <color rgb="FF000000"/>
        <rFont val="游ゴシック"/>
        <charset val="134"/>
      </rPr>
      <t xml:space="preserve">Click button「検索」
</t>
    </r>
    <r>
      <rPr>
        <b/>
        <sz val="10"/>
        <color rgb="FF000000"/>
        <rFont val="游ゴシック"/>
        <charset val="134"/>
      </rPr>
      <t xml:space="preserve">ステップ3：
</t>
    </r>
    <r>
      <rPr>
        <sz val="10"/>
        <color rgb="FF000000"/>
        <rFont val="游ゴシック"/>
        <charset val="134"/>
      </rPr>
      <t>Kiểm tra response trên tab Network của DevTools</t>
    </r>
  </si>
  <si>
    <r>
      <rPr>
        <b/>
        <sz val="10"/>
        <color rgb="FF000000"/>
        <rFont val="メイリオ"/>
        <charset val="134"/>
      </rPr>
      <t xml:space="preserve">ステップ1：
</t>
    </r>
    <r>
      <rPr>
        <sz val="10"/>
        <color rgb="FF000000"/>
        <rFont val="メイリオ"/>
        <charset val="134"/>
      </rPr>
      <t xml:space="preserve">Giá trị nhập được phản ánh
</t>
    </r>
    <r>
      <rPr>
        <b/>
        <sz val="10"/>
        <color rgb="FF000000"/>
        <rFont val="メイリオ"/>
        <charset val="134"/>
      </rPr>
      <t xml:space="preserve">ステップ2：
</t>
    </r>
    <r>
      <rPr>
        <sz val="10"/>
        <color rgb="FF000000"/>
        <rFont val="メイリオ"/>
        <charset val="134"/>
      </rPr>
      <t xml:space="preserve">・Hiển thị 0 kết quả search
</t>
    </r>
    <r>
      <rPr>
        <sz val="10"/>
        <color rgb="FF000000"/>
        <rFont val="メイリオ"/>
        <charset val="134"/>
      </rPr>
      <t xml:space="preserve">・Hiển thị message thông báo không có kết quả tìm kiếm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・`data` là mảng rỗng, `meta.total` = 0
</t>
    </r>
    <r>
      <rPr>
        <b/>
        <sz val="10"/>
        <color rgb="FF000000"/>
        <rFont val="メイリオ"/>
        <charset val="134"/>
      </rPr>
      <t xml:space="preserve">補足：
</t>
    </r>
    <r>
      <rPr>
        <sz val="10"/>
        <color rgb="FF000000"/>
        <rFont val="メイリオ"/>
        <charset val="134"/>
      </rPr>
      <t>・Kết quả 0 mục không phải lỗi, trả về HTTP 200</t>
    </r>
  </si>
  <si>
    <t>ACSMS-TC-022-040</t>
  </si>
  <si>
    <t>Reset điều kiện và hiển thị lại bằng clear điều kiện tìm kiếm</t>
  </si>
  <si>
    <t>・role: NICHINO_ADMIN
・Đã login (đã xác thực 2 bước)
・Có quyền「file.download」
・`t_file_download` đã có từ 10 file trở lên</t>
  </si>
  <si>
    <r>
      <rPr>
        <b/>
        <sz val="10"/>
        <color rgb="FF000000"/>
        <rFont val="メイリオ"/>
        <charset val="134"/>
      </rPr>
      <t xml:space="preserve">ステップ1：
</t>
    </r>
    <r>
      <rPr>
        <sz val="10"/>
        <color rgb="FF000000"/>
        <rFont val="メイリオ"/>
        <charset val="134"/>
      </rPr>
      <t xml:space="preserve">Mở「/file-download」, nhập「zougen」vào「ファイル名」, chọn「13 東京都」cho「都道府県」và tìm kiếm
</t>
    </r>
    <r>
      <rPr>
        <b/>
        <sz val="10"/>
        <color rgb="FF000000"/>
        <rFont val="メイリオ"/>
        <charset val="134"/>
      </rPr>
      <t xml:space="preserve">ステップ2：
</t>
    </r>
    <r>
      <rPr>
        <sz val="10"/>
        <color rgb="FF000000"/>
        <rFont val="メイリオ"/>
        <charset val="134"/>
      </rPr>
      <t xml:space="preserve">Click button「クリア」
</t>
    </r>
    <r>
      <rPr>
        <b/>
        <sz val="10"/>
        <color rgb="FF000000"/>
        <rFont val="メイリオ"/>
        <charset val="134"/>
      </rPr>
      <t xml:space="preserve">ステップ3：
</t>
    </r>
    <r>
      <rPr>
        <sz val="10"/>
        <color rgb="FF000000"/>
        <rFont val="メイリオ"/>
        <charset val="134"/>
      </rPr>
      <t>Kiểm tra số lượng trong danh sách</t>
    </r>
  </si>
  <si>
    <r>
      <rPr>
        <b/>
        <sz val="10"/>
        <color rgb="FF000000"/>
        <rFont val="メイリオ"/>
        <charset val="134"/>
      </rPr>
      <t xml:space="preserve">ステップ1：
</t>
    </r>
    <r>
      <rPr>
        <sz val="10"/>
        <color rgb="FF000000"/>
        <rFont val="メイリオ"/>
        <charset val="134"/>
      </rPr>
      <t xml:space="preserve">Kết quả đã lọc được hiển thị
</t>
    </r>
    <r>
      <rPr>
        <b/>
        <sz val="10"/>
        <color rgb="FF000000"/>
        <rFont val="メイリオ"/>
        <charset val="134"/>
      </rPr>
      <t xml:space="preserve">ステップ2：
</t>
    </r>
    <r>
      <rPr>
        <sz val="10"/>
        <color rgb="FF000000"/>
        <rFont val="メイリオ"/>
        <charset val="134"/>
      </rPr>
      <t xml:space="preserve">「ファイル名」trở thành trống,「都道府県」bị bỏ chọn
</t>
    </r>
    <r>
      <rPr>
        <b/>
        <sz val="10"/>
        <color rgb="FF000000"/>
        <rFont val="メイリオ"/>
        <charset val="134"/>
      </rPr>
      <t xml:space="preserve">ステップ3：
</t>
    </r>
    <r>
      <rPr>
        <sz val="10"/>
        <color rgb="FF000000"/>
        <rFont val="メイリオ"/>
        <charset val="134"/>
      </rPr>
      <t xml:space="preserve">Danh sách file mặc định được hiển thị lại, hiển thị trang đầu tiên
</t>
    </r>
    <r>
      <rPr>
        <b/>
        <sz val="10"/>
        <color rgb="FF000000"/>
        <rFont val="メイリオ"/>
        <charset val="134"/>
      </rPr>
      <t xml:space="preserve">補足：
</t>
    </r>
    <r>
      <rPr>
        <sz val="10"/>
        <color rgb="FF000000"/>
        <rFont val="メイリオ"/>
        <charset val="134"/>
      </rPr>
      <t xml:space="preserve">・Điều kiện search được clear
</t>
    </r>
    <r>
      <rPr>
        <sz val="10"/>
        <color rgb="FF000000"/>
        <rFont val="メイリオ"/>
        <charset val="134"/>
      </rPr>
      <t>・Hiển thị trang đầu tiên</t>
    </r>
  </si>
  <si>
    <t>ACSMS-TC-022-041</t>
  </si>
  <si>
    <t>Giữ lại điều kiện tìm kiếm khi chuyển trang</t>
  </si>
  <si>
    <t>・role: NICHINO_ADMIN
・Đã login (đã xác thực 2 bước)
・Có quyền「file.download」
・Đã có từ 25 file trở lên chứa「report」trong tên</t>
  </si>
  <si>
    <r>
      <rPr>
        <b/>
        <sz val="10"/>
        <color rgb="FF000000"/>
        <rFont val="游ゴシック"/>
        <charset val="134"/>
      </rPr>
      <t xml:space="preserve">ステップ1：
</t>
    </r>
    <r>
      <rPr>
        <sz val="10"/>
        <color rgb="FF000000"/>
        <rFont val="游ゴシック"/>
        <charset val="134"/>
      </rPr>
      <t xml:space="preserve">Mở「/file-download」, nhập「report」vào「ファイル名」và tìm kiếm
</t>
    </r>
    <r>
      <rPr>
        <b/>
        <sz val="10"/>
        <color rgb="FF000000"/>
        <rFont val="游ゴシック"/>
        <charset val="134"/>
      </rPr>
      <t xml:space="preserve">ステップ2：
</t>
    </r>
    <r>
      <rPr>
        <sz val="10"/>
        <color rgb="FF000000"/>
        <rFont val="游ゴシック"/>
        <charset val="134"/>
      </rPr>
      <t xml:space="preserve">Click「2」trên phân trang
</t>
    </r>
    <r>
      <rPr>
        <b/>
        <sz val="10"/>
        <color rgb="FF000000"/>
        <rFont val="游ゴシック"/>
        <charset val="134"/>
      </rPr>
      <t xml:space="preserve">ステップ3：
</t>
    </r>
    <r>
      <rPr>
        <sz val="10"/>
        <color rgb="FF000000"/>
        <rFont val="游ゴシック"/>
        <charset val="134"/>
      </rPr>
      <t xml:space="preserve">Kiểm tra query parameter đã gửi trên tab Network của DevTools
</t>
    </r>
    <r>
      <rPr>
        <b/>
        <sz val="10"/>
        <color rgb="FF000000"/>
        <rFont val="游ゴシック"/>
        <charset val="134"/>
      </rPr>
      <t xml:space="preserve">ステップ4：
</t>
    </r>
    <r>
      <rPr>
        <sz val="10"/>
        <color rgb="FF000000"/>
        <rFont val="游ゴシック"/>
        <charset val="134"/>
      </rPr>
      <t>Kiểm tra giá trị của ô nhập「ファイル名」</t>
    </r>
  </si>
  <si>
    <r>
      <rPr>
        <b/>
        <sz val="10"/>
        <color rgb="FF000000"/>
        <rFont val="メイリオ"/>
        <charset val="134"/>
      </rPr>
      <t xml:space="preserve">ステップ1：
</t>
    </r>
    <r>
      <rPr>
        <sz val="10"/>
        <color rgb="FF000000"/>
        <rFont val="メイリオ"/>
        <charset val="134"/>
      </rPr>
      <t xml:space="preserve">Trang đầu của kết quả đã lọc được hiển thị
</t>
    </r>
    <r>
      <rPr>
        <b/>
        <sz val="10"/>
        <color rgb="FF000000"/>
        <rFont val="メイリオ"/>
        <charset val="134"/>
      </rPr>
      <t xml:space="preserve">ステップ2：
</t>
    </r>
    <r>
      <rPr>
        <sz val="10"/>
        <color rgb="FF000000"/>
        <rFont val="メイリオ"/>
        <charset val="134"/>
      </rPr>
      <t xml:space="preserve">Dữ liệu trang 2 được hiển thị
</t>
    </r>
    <r>
      <rPr>
        <b/>
        <sz val="10"/>
        <color rgb="FF000000"/>
        <rFont val="メイリオ"/>
        <charset val="134"/>
      </rPr>
      <t xml:space="preserve">ステップ3：
</t>
    </r>
    <r>
      <rPr>
        <sz val="10"/>
        <color rgb="FF000000"/>
        <rFont val="メイリオ"/>
        <charset val="134"/>
      </rPr>
      <t xml:space="preserve">`file_name=report` và `page=2` được gửi đồng thời
</t>
    </r>
    <r>
      <rPr>
        <b/>
        <sz val="10"/>
        <color rgb="FF000000"/>
        <rFont val="メイリオ"/>
        <charset val="134"/>
      </rPr>
      <t xml:space="preserve">ステップ4：
</t>
    </r>
    <r>
      <rPr>
        <sz val="10"/>
        <color rgb="FF000000"/>
        <rFont val="メイリオ"/>
        <charset val="134"/>
      </rPr>
      <t xml:space="preserve">「report」được giữ lại và hiển thị
</t>
    </r>
    <r>
      <rPr>
        <b/>
        <sz val="10"/>
        <color rgb="FF000000"/>
        <rFont val="メイリオ"/>
        <charset val="134"/>
      </rPr>
      <t xml:space="preserve">補足：
</t>
    </r>
    <r>
      <rPr>
        <sz val="10"/>
        <color rgb="FF000000"/>
        <rFont val="メイリオ"/>
        <charset val="134"/>
      </rPr>
      <t xml:space="preserve">・Điều kiện search được giữ lại
</t>
    </r>
    <r>
      <rPr>
        <sz val="10"/>
        <color rgb="FF000000"/>
        <rFont val="メイリオ"/>
        <charset val="134"/>
      </rPr>
      <t>・Điều kiện tìm kiếm không bị khởi tạo lại do chuyển trang</t>
    </r>
  </si>
  <si>
    <t>ACSMS-TC-022-042</t>
  </si>
  <si>
    <t>Chuyển đổi tăng dần・giảm dần của cột tên file</t>
  </si>
  <si>
    <t>・role: NICHINO_ADMIN
・Đã login (đã xác thực 2 bước)
・Có quyền「file.download」
・Đã có từ 5 file trở lên với tên khác nhau</t>
  </si>
  <si>
    <r>
      <rPr>
        <b/>
        <sz val="10"/>
        <color rgb="FF000000"/>
        <rFont val="メイリオ"/>
        <charset val="134"/>
      </rPr>
      <t xml:space="preserve">ステップ1：
</t>
    </r>
    <r>
      <rPr>
        <sz val="10"/>
        <color rgb="FF000000"/>
        <rFont val="メイリオ"/>
        <charset val="134"/>
      </rPr>
      <t xml:space="preserve">Mở「/file-download」và click header của cột「ファイル名」
</t>
    </r>
    <r>
      <rPr>
        <b/>
        <sz val="10"/>
        <color rgb="FF000000"/>
        <rFont val="メイリオ"/>
        <charset val="134"/>
      </rPr>
      <t xml:space="preserve">ステップ2：
</t>
    </r>
    <r>
      <rPr>
        <sz val="10"/>
        <color rgb="FF000000"/>
        <rFont val="メイリオ"/>
        <charset val="134"/>
      </rPr>
      <t xml:space="preserve">Click lại header của cột「ファイル名」
</t>
    </r>
    <r>
      <rPr>
        <b/>
        <sz val="10"/>
        <color rgb="FF000000"/>
        <rFont val="メイリオ"/>
        <charset val="134"/>
      </rPr>
      <t xml:space="preserve">ステップ3：
</t>
    </r>
    <r>
      <rPr>
        <sz val="10"/>
        <color rgb="FF000000"/>
        <rFont val="メイリオ"/>
        <charset val="134"/>
      </rPr>
      <t xml:space="preserve">Kiểm tra `sort_by` và `sort_order` đã gửi trên tab Network của DevTools
</t>
    </r>
    <r>
      <rPr>
        <b/>
        <sz val="10"/>
        <color rgb="FF000000"/>
        <rFont val="メイリオ"/>
        <charset val="134"/>
      </rPr>
      <t xml:space="preserve">ステップ4：
</t>
    </r>
    <r>
      <rPr>
        <sz val="10"/>
        <color rgb="FF000000"/>
        <rFont val="メイリオ"/>
        <charset val="134"/>
      </rPr>
      <t>Click header của cột「ダウンロード日時」</t>
    </r>
  </si>
  <si>
    <r>
      <rPr>
        <b/>
        <sz val="10"/>
        <color rgb="FF000000"/>
        <rFont val="メイリオ"/>
        <charset val="134"/>
      </rPr>
      <t xml:space="preserve">ステップ1：
</t>
    </r>
    <r>
      <rPr>
        <sz val="10"/>
        <color rgb="FF000000"/>
        <rFont val="メイリオ"/>
        <charset val="134"/>
      </rPr>
      <t xml:space="preserve">Hiển thị theo tên file tăng dần
</t>
    </r>
    <r>
      <rPr>
        <b/>
        <sz val="10"/>
        <color rgb="FF000000"/>
        <rFont val="メイリオ"/>
        <charset val="134"/>
      </rPr>
      <t xml:space="preserve">ステップ2：
</t>
    </r>
    <r>
      <rPr>
        <sz val="10"/>
        <color rgb="FF000000"/>
        <rFont val="メイリオ"/>
        <charset val="134"/>
      </rPr>
      <t xml:space="preserve">Hiển thị theo tên file giảm dần
</t>
    </r>
    <r>
      <rPr>
        <b/>
        <sz val="10"/>
        <color rgb="FF000000"/>
        <rFont val="メイリオ"/>
        <charset val="134"/>
      </rPr>
      <t xml:space="preserve">ステップ3：
</t>
    </r>
    <r>
      <rPr>
        <sz val="10"/>
        <color rgb="FF000000"/>
        <rFont val="メイリオ"/>
        <charset val="134"/>
      </rPr>
      <t xml:space="preserve">`sort_by=file_name` và `sort_order` được gửi chuyển đổi giữa `asc` / `desc`
</t>
    </r>
    <r>
      <rPr>
        <b/>
        <sz val="10"/>
        <color rgb="FF000000"/>
        <rFont val="メイリオ"/>
        <charset val="134"/>
      </rPr>
      <t xml:space="preserve">ステップ4：
</t>
    </r>
    <r>
      <rPr>
        <sz val="10"/>
        <color rgb="FF000000"/>
        <rFont val="メイリオ"/>
        <charset val="134"/>
      </rPr>
      <t xml:space="preserve">Đối tượng sắp xếp chuyển sang「ダウンロード日時」, thứ tự sắp xếp đúng
</t>
    </r>
    <r>
      <rPr>
        <b/>
        <sz val="10"/>
        <color rgb="FF000000"/>
        <rFont val="メイリオ"/>
        <charset val="134"/>
      </rPr>
      <t xml:space="preserve">補足：
</t>
    </r>
    <r>
      <rPr>
        <sz val="10"/>
        <color rgb="FF000000"/>
        <rFont val="メイリオ"/>
        <charset val="134"/>
      </rPr>
      <t xml:space="preserve">・Thứ tự sắp xếp đúng
</t>
    </r>
    <r>
      <rPr>
        <sz val="10"/>
        <color rgb="FF000000"/>
        <rFont val="メイリオ"/>
        <charset val="134"/>
      </rPr>
      <t>・Điều kiện tìm kiếm được giữ lại khi sắp xếp</t>
    </r>
  </si>
  <si>
    <t>ACSMS-TC-022-043</t>
  </si>
  <si>
    <t>Loại file đã xóa logical khỏi danh sách</t>
  </si>
  <si>
    <t>・role: NICHINO_ADMIN
・Đã login (đã xác thực 2 bước)
・Có quyền「file.download」
・`t_file_download` đã có 5 file chưa xóa và 2 file đã xóa logical (`deleted_at IS NOT NULL`)</t>
  </si>
  <si>
    <r>
      <rPr>
        <b/>
        <sz val="10"/>
        <color rgb="FF000000"/>
        <rFont val="メイリオ"/>
        <charset val="134"/>
      </rPr>
      <t xml:space="preserve">ステップ1：
</t>
    </r>
    <r>
      <rPr>
        <sz val="10"/>
        <color rgb="FF000000"/>
        <rFont val="メイリオ"/>
        <charset val="134"/>
      </rPr>
      <t xml:space="preserve">Thực thi query sau trên DB, ghi lại `file_download_id` và `file_name` của file đã xóa logical
</t>
    </r>
    <r>
      <rPr>
        <sz val="10"/>
        <color rgb="FF000000"/>
        <rFont val="メイリオ"/>
        <charset val="134"/>
      </rPr>
      <t xml:space="preserve">```sql
</t>
    </r>
    <r>
      <rPr>
        <sz val="10"/>
        <color rgb="FF000000"/>
        <rFont val="メイリオ"/>
        <charset val="134"/>
      </rPr>
      <t xml:space="preserve">SELECT file_download_id, file_name
</t>
    </r>
    <r>
      <rPr>
        <sz val="10"/>
        <color rgb="FF000000"/>
        <rFont val="メイリオ"/>
        <charset val="134"/>
      </rPr>
      <t xml:space="preserve">FROM t_file_download
</t>
    </r>
    <r>
      <rPr>
        <sz val="10"/>
        <color rgb="FF000000"/>
        <rFont val="メイリオ"/>
        <charset val="134"/>
      </rPr>
      <t xml:space="preserve">WHERE deleted_at IS NOT NULL;
</t>
    </r>
    <r>
      <rPr>
        <sz val="10"/>
        <color rgb="FF000000"/>
        <rFont val="メイリオ"/>
        <charset val="134"/>
      </rPr>
      <t xml:space="preserve">```
</t>
    </r>
    <r>
      <rPr>
        <b/>
        <sz val="10"/>
        <color rgb="FF000000"/>
        <rFont val="メイリオ"/>
        <charset val="134"/>
      </rPr>
      <t xml:space="preserve">ステップ2：
</t>
    </r>
    <r>
      <rPr>
        <sz val="10"/>
        <color rgb="FF000000"/>
        <rFont val="メイリオ"/>
        <charset val="134"/>
      </rPr>
      <t xml:space="preserve">Mở「/file-download」và kiểm tra số lượng trong danh sách
</t>
    </r>
    <r>
      <rPr>
        <b/>
        <sz val="10"/>
        <color rgb="FF000000"/>
        <rFont val="メイリオ"/>
        <charset val="134"/>
      </rPr>
      <t xml:space="preserve">ステップ3：
</t>
    </r>
    <r>
      <rPr>
        <sz val="10"/>
        <color rgb="FF000000"/>
        <rFont val="メイリオ"/>
        <charset val="134"/>
      </rPr>
      <t xml:space="preserve">Thực hiện tìm kiếm bằng tên file đã ghi lại
</t>
    </r>
    <r>
      <rPr>
        <b/>
        <sz val="10"/>
        <color rgb="FF000000"/>
        <rFont val="メイリオ"/>
        <charset val="134"/>
      </rPr>
      <t xml:space="preserve">ステップ4：
</t>
    </r>
    <r>
      <rPr>
        <sz val="10"/>
        <color rgb="FF000000"/>
        <rFont val="メイリオ"/>
        <charset val="134"/>
      </rPr>
      <t>Kiểm tra `meta.total` của response trên tab Network của DevTools</t>
    </r>
  </si>
  <si>
    <r>
      <rPr>
        <b/>
        <sz val="10"/>
        <color rgb="FF000000"/>
        <rFont val="メイリオ"/>
        <charset val="134"/>
      </rPr>
      <t xml:space="preserve">ステップ1：
</t>
    </r>
    <r>
      <rPr>
        <sz val="10"/>
        <color rgb="FF000000"/>
        <rFont val="メイリオ"/>
        <charset val="134"/>
      </rPr>
      <t xml:space="preserve">Lấy được thông tin của 2 file đã xóa logical
</t>
    </r>
    <r>
      <rPr>
        <b/>
        <sz val="10"/>
        <color rgb="FF000000"/>
        <rFont val="メイリオ"/>
        <charset val="134"/>
      </rPr>
      <t xml:space="preserve">ステップ2：
</t>
    </r>
    <r>
      <rPr>
        <sz val="10"/>
        <color rgb="FF000000"/>
        <rFont val="メイリオ"/>
        <charset val="134"/>
      </rPr>
      <t xml:space="preserve">Chỉ hiển thị 5 file chưa xóa
</t>
    </r>
    <r>
      <rPr>
        <b/>
        <sz val="10"/>
        <color rgb="FF000000"/>
        <rFont val="メイリオ"/>
        <charset val="134"/>
      </rPr>
      <t xml:space="preserve">ステップ3：
</t>
    </r>
    <r>
      <rPr>
        <sz val="10"/>
        <color rgb="FF000000"/>
        <rFont val="メイリオ"/>
        <charset val="134"/>
      </rPr>
      <t xml:space="preserve">Hiển thị 0 kết quả search
</t>
    </r>
    <r>
      <rPr>
        <b/>
        <sz val="10"/>
        <color rgb="FF000000"/>
        <rFont val="メイリオ"/>
        <charset val="134"/>
      </rPr>
      <t xml:space="preserve">ステップ4：
</t>
    </r>
    <r>
      <rPr>
        <sz val="10"/>
        <color rgb="FF000000"/>
        <rFont val="メイリオ"/>
        <charset val="134"/>
      </rPr>
      <t xml:space="preserve">`meta.total` trả về 0
</t>
    </r>
    <r>
      <rPr>
        <b/>
        <sz val="10"/>
        <color rgb="FF000000"/>
        <rFont val="メイリオ"/>
        <charset val="134"/>
      </rPr>
      <t xml:space="preserve">補足：
</t>
    </r>
    <r>
      <rPr>
        <sz val="10"/>
        <color rgb="FF000000"/>
        <rFont val="メイリオ"/>
        <charset val="134"/>
      </rPr>
      <t xml:space="preserve">・Dữ liệu đã xóa không hiển thị
</t>
    </r>
    <r>
      <rPr>
        <sz val="10"/>
        <color rgb="FF000000"/>
        <rFont val="メイリオ"/>
        <charset val="134"/>
      </rPr>
      <t>・Dòng đã xóa logical không bị xóa vật lý, vẫn tồn tại trong DB</t>
    </r>
  </si>
  <si>
    <t>ACSMS-TC-022-044</t>
  </si>
  <si>
    <t>Hiển thị label mã master của cột loại download</t>
  </si>
  <si>
    <t>・role: NICHINO_ADMIN
・Đã login (đã xác thực 2 bước)
・Có quyền「file.download」
・Đã có từ 1 file trở lên cho mỗi `download_type` từ 1 đến 5</t>
  </si>
  <si>
    <r>
      <rPr>
        <b/>
        <sz val="10"/>
        <color rgb="FF000000"/>
        <rFont val="メイリオ"/>
        <charset val="134"/>
      </rPr>
      <t xml:space="preserve">ステップ1：
</t>
    </r>
    <r>
      <rPr>
        <sz val="10"/>
        <color rgb="FF000000"/>
        <rFont val="メイリオ"/>
        <charset val="134"/>
      </rPr>
      <t xml:space="preserve">Mở「/file-download」và kiểm tra giá trị hiển thị của cột「ダウンロード種別」
</t>
    </r>
    <r>
      <rPr>
        <b/>
        <sz val="10"/>
        <color rgb="FF000000"/>
        <rFont val="メイリオ"/>
        <charset val="134"/>
      </rPr>
      <t xml:space="preserve">ステップ2：
</t>
    </r>
    <r>
      <rPr>
        <sz val="10"/>
        <color rgb="FF000000"/>
        <rFont val="メイリオ"/>
        <charset val="134"/>
      </rPr>
      <t xml:space="preserve">Thực thi query sau trên DB và đối chiếu với giá trị hiển thị
</t>
    </r>
    <r>
      <rPr>
        <sz val="10"/>
        <color rgb="FF000000"/>
        <rFont val="メイリオ"/>
        <charset val="134"/>
      </rPr>
      <t xml:space="preserve">```sql
</t>
    </r>
    <r>
      <rPr>
        <sz val="10"/>
        <color rgb="FF000000"/>
        <rFont val="メイリオ"/>
        <charset val="134"/>
      </rPr>
      <t xml:space="preserve">SELECT code_value, code_name
</t>
    </r>
    <r>
      <rPr>
        <sz val="10"/>
        <color rgb="FF000000"/>
        <rFont val="メイリオ"/>
        <charset val="134"/>
      </rPr>
      <t xml:space="preserve">FROM m_code
</t>
    </r>
    <r>
      <rPr>
        <sz val="10"/>
        <color rgb="FF000000"/>
        <rFont val="メイリオ"/>
        <charset val="134"/>
      </rPr>
      <t xml:space="preserve">WHERE code_category = 'DOWNLOAD_TYPE'
</t>
    </r>
    <r>
      <rPr>
        <sz val="10"/>
        <color rgb="FF000000"/>
        <rFont val="メイリオ"/>
        <charset val="134"/>
      </rPr>
      <t xml:space="preserve">ORDER BY code_value;
</t>
    </r>
    <r>
      <rPr>
        <sz val="10"/>
        <color rgb="FF000000"/>
        <rFont val="メイリオ"/>
        <charset val="134"/>
      </rPr>
      <t xml:space="preserve">```
</t>
    </r>
    <r>
      <rPr>
        <b/>
        <sz val="10"/>
        <color rgb="FF000000"/>
        <rFont val="メイリオ"/>
        <charset val="134"/>
      </rPr>
      <t xml:space="preserve">ステップ3：
</t>
    </r>
    <r>
      <rPr>
        <sz val="10"/>
        <color rgb="FF000000"/>
        <rFont val="メイリオ"/>
        <charset val="134"/>
      </rPr>
      <t>Kiểm tra `data[].download_type` của response trên tab Network của DevTools</t>
    </r>
  </si>
  <si>
    <r>
      <rPr>
        <b/>
        <sz val="10"/>
        <color rgb="FF000000"/>
        <rFont val="游ゴシック"/>
        <charset val="134"/>
      </rPr>
      <t xml:space="preserve">ステップ1：
</t>
    </r>
    <r>
      <rPr>
        <sz val="10"/>
        <color rgb="FF000000"/>
        <rFont val="游ゴシック"/>
        <charset val="134"/>
      </rPr>
      <t xml:space="preserve">Hiển thị lần lượt「口座振替」「その他」「増減連絡票」「増減通知書」「購読者名簿」
</t>
    </r>
    <r>
      <rPr>
        <b/>
        <sz val="10"/>
        <color rgb="FF000000"/>
        <rFont val="游ゴシック"/>
        <charset val="134"/>
      </rPr>
      <t xml:space="preserve">ステップ2：
</t>
    </r>
    <r>
      <rPr>
        <sz val="10"/>
        <color rgb="FF000000"/>
        <rFont val="游ゴシック"/>
        <charset val="134"/>
      </rPr>
      <t xml:space="preserve">`code_name` khớp với giá trị hiển thị trong danh sách
</t>
    </r>
    <r>
      <rPr>
        <b/>
        <sz val="10"/>
        <color rgb="FF000000"/>
        <rFont val="游ゴシック"/>
        <charset val="134"/>
      </rPr>
      <t xml:space="preserve">ステップ3：
</t>
    </r>
    <r>
      <rPr>
        <sz val="10"/>
        <color rgb="FF000000"/>
        <rFont val="游ゴシック"/>
        <charset val="134"/>
      </rPr>
      <t xml:space="preserve">Response chỉ chứa giá trị mã (số), không chứa chuỗi label
</t>
    </r>
    <r>
      <rPr>
        <b/>
        <sz val="10"/>
        <color rgb="FF000000"/>
        <rFont val="游ゴシック"/>
        <charset val="134"/>
      </rPr>
      <t xml:space="preserve">補足：
</t>
    </r>
    <r>
      <rPr>
        <sz val="10"/>
        <color rgb="FF000000"/>
        <rFont val="游ゴシック"/>
        <charset val="134"/>
      </rPr>
      <t>・Label được giải quyết từ cache mã master ở phía màn hình, thay đổi `m_code.code_name` có thể phản ánh lên màn hình</t>
    </r>
  </si>
  <si>
    <t>ACSMS-TC-022-045</t>
  </si>
  <si>
    <t>Hiển thị kết hợp của cột người tạo và tên JA</t>
  </si>
  <si>
    <t>・role: NICHINO_ADMIN
・Đã login (đã xác thực 2 bước)
・Có quyền「file.download」
・Đã có 3 file có `created_by` là account ID hợp lệ
・Đã có cả file được thiết lập `ja_id` và file có `ja_id IS NULL`</t>
  </si>
  <si>
    <r>
      <rPr>
        <b/>
        <sz val="10"/>
        <color rgb="FF000000"/>
        <rFont val="游ゴシック"/>
        <charset val="134"/>
      </rPr>
      <t xml:space="preserve">ステップ1：
</t>
    </r>
    <r>
      <rPr>
        <sz val="10"/>
        <color rgb="FF000000"/>
        <rFont val="游ゴシック"/>
        <charset val="134"/>
      </rPr>
      <t xml:space="preserve">Mở「/file-download」và kiểm tra giá trị hiển thị của cột「作成者」
</t>
    </r>
    <r>
      <rPr>
        <b/>
        <sz val="10"/>
        <color rgb="FF000000"/>
        <rFont val="游ゴシック"/>
        <charset val="134"/>
      </rPr>
      <t xml:space="preserve">ステップ2：
</t>
    </r>
    <r>
      <rPr>
        <sz val="10"/>
        <color rgb="FF000000"/>
        <rFont val="游ゴシック"/>
        <charset val="134"/>
      </rPr>
      <t xml:space="preserve">Kiểm tra giá trị hiển thị của cột「JA名」
</t>
    </r>
    <r>
      <rPr>
        <b/>
        <sz val="10"/>
        <color rgb="FF000000"/>
        <rFont val="游ゴシック"/>
        <charset val="134"/>
      </rPr>
      <t xml:space="preserve">ステップ3：
</t>
    </r>
    <r>
      <rPr>
        <sz val="10"/>
        <color rgb="FF000000"/>
        <rFont val="游ゴシック"/>
        <charset val="134"/>
      </rPr>
      <t>Thực thi query sau trên DB và đối chiếu với giá trị hiển thị
```sql
SELECT fd.file_download_id, a.account_name, j.ja_code, j.ja_name
FROM t_file_download fd
LEFT JOIN m_account a ON a.account_id::text = fd.created_by
AND a.deleted_at IS NULL
LEFT JOIN m_ja j ON j.ja_id = fd.ja_id
AND j.deleted_at IS NULL
WHERE fd.deleted_at IS NULL;
```</t>
    </r>
  </si>
  <si>
    <r>
      <rPr>
        <b/>
        <sz val="10"/>
        <color rgb="FF000000"/>
        <rFont val="メイリオ"/>
        <charset val="134"/>
      </rPr>
      <t xml:space="preserve">ステップ1：
</t>
    </r>
    <r>
      <rPr>
        <sz val="10"/>
        <color rgb="FF000000"/>
        <rFont val="メイリオ"/>
        <charset val="134"/>
      </rPr>
      <t xml:space="preserve">Tên tài khoản được hiển thị
</t>
    </r>
    <r>
      <rPr>
        <b/>
        <sz val="10"/>
        <color rgb="FF000000"/>
        <rFont val="メイリオ"/>
        <charset val="134"/>
      </rPr>
      <t xml:space="preserve">ステップ2：
</t>
    </r>
    <r>
      <rPr>
        <sz val="10"/>
        <color rgb="FF000000"/>
        <rFont val="メイリオ"/>
        <charset val="134"/>
      </rPr>
      <t xml:space="preserve">Mã JA và tên JA hiển thị nối nhau, dòng chưa thiết lập `ja_id` hiển thị trống
</t>
    </r>
    <r>
      <rPr>
        <b/>
        <sz val="10"/>
        <color rgb="FF000000"/>
        <rFont val="メイリオ"/>
        <charset val="134"/>
      </rPr>
      <t xml:space="preserve">ステップ3：
</t>
    </r>
    <r>
      <rPr>
        <sz val="10"/>
        <color rgb="FF000000"/>
        <rFont val="メイリオ"/>
        <charset val="134"/>
      </rPr>
      <t xml:space="preserve">Kết quả query khớp với giá trị hiển thị trong danh sách
</t>
    </r>
    <r>
      <rPr>
        <b/>
        <sz val="10"/>
        <color rgb="FF000000"/>
        <rFont val="メイリオ"/>
        <charset val="134"/>
      </rPr>
      <t xml:space="preserve">補足：
</t>
    </r>
    <r>
      <rPr>
        <sz val="10"/>
        <color rgb="FF000000"/>
        <rFont val="メイリオ"/>
        <charset val="134"/>
      </rPr>
      <t>・Ngay cả khi đối tượng join không tồn tại cũng không bị terminate bất thường, hiển thị trống</t>
    </r>
  </si>
  <si>
    <t>ACSMS-TC-022-046</t>
  </si>
  <si>
    <t>Hiệu năng hiển thị danh sách khi có lượng lớn dữ liệu</t>
  </si>
  <si>
    <t>・role: NICHINO_ADMIN
・Đã login (đã xác thực 2 bước)
・Có quyền「file.download」
・`t_file_download` đã có từ 10.000 file trở lên</t>
  </si>
  <si>
    <r>
      <rPr>
        <b/>
        <sz val="10"/>
        <color rgb="FF000000"/>
        <rFont val="メイリオ"/>
        <charset val="134"/>
      </rPr>
      <t xml:space="preserve">ステップ1：
</t>
    </r>
    <r>
      <rPr>
        <sz val="10"/>
        <color rgb="FF000000"/>
        <rFont val="メイリオ"/>
        <charset val="134"/>
      </rPr>
      <t xml:space="preserve">Mở「/file-download」và đo thời gian đến khi hiển thị ban đầu hoàn tất
</t>
    </r>
    <r>
      <rPr>
        <b/>
        <sz val="10"/>
        <color rgb="FF000000"/>
        <rFont val="メイリオ"/>
        <charset val="134"/>
      </rPr>
      <t xml:space="preserve">ステップ2：
</t>
    </r>
    <r>
      <rPr>
        <sz val="10"/>
        <color rgb="FF000000"/>
        <rFont val="メイリオ"/>
        <charset val="134"/>
      </rPr>
      <t xml:space="preserve">Đổi số lượng hiển thị thành「100 / 頁」và đo thời gian đến khi hiển thị xong
</t>
    </r>
    <r>
      <rPr>
        <b/>
        <sz val="10"/>
        <color rgb="FF000000"/>
        <rFont val="メイリオ"/>
        <charset val="134"/>
      </rPr>
      <t xml:space="preserve">ステップ3：
</t>
    </r>
    <r>
      <rPr>
        <sz val="10"/>
        <color rgb="FF000000"/>
        <rFont val="メイリオ"/>
        <charset val="134"/>
      </rPr>
      <t xml:space="preserve">Chuyển đến trang cuối và đo thời gian đến khi hiển thị xong
</t>
    </r>
    <r>
      <rPr>
        <b/>
        <sz val="10"/>
        <color rgb="FF000000"/>
        <rFont val="メイリオ"/>
        <charset val="134"/>
      </rPr>
      <t xml:space="preserve">ステップ4：
</t>
    </r>
    <r>
      <rPr>
        <sz val="10"/>
        <color rgb="FF000000"/>
        <rFont val="メイリオ"/>
        <charset val="134"/>
      </rPr>
      <t>Xác nhận lượng bộ nhớ trình duyệt sử dụng không tăng bất thường</t>
    </r>
  </si>
  <si>
    <r>
      <rPr>
        <b/>
        <sz val="10"/>
        <color rgb="FF000000"/>
        <rFont val="メイリオ"/>
        <charset val="134"/>
      </rPr>
      <t xml:space="preserve">ステップ1：
</t>
    </r>
    <r>
      <rPr>
        <sz val="10"/>
        <color rgb="FF000000"/>
        <rFont val="メイリオ"/>
        <charset val="134"/>
      </rPr>
      <t xml:space="preserve">Màn hình được hiển thị, và hoàn tất trong vòng 5 giây
</t>
    </r>
    <r>
      <rPr>
        <b/>
        <sz val="10"/>
        <color rgb="FF000000"/>
        <rFont val="メイリオ"/>
        <charset val="134"/>
      </rPr>
      <t xml:space="preserve">ステップ2：
</t>
    </r>
    <r>
      <rPr>
        <sz val="10"/>
        <color rgb="FF000000"/>
        <rFont val="メイリオ"/>
        <charset val="134"/>
      </rPr>
      <t xml:space="preserve">Hiển thị 100 mục, và hoàn tất trong vòng 5 giây
</t>
    </r>
    <r>
      <rPr>
        <b/>
        <sz val="10"/>
        <color rgb="FF000000"/>
        <rFont val="メイリオ"/>
        <charset val="134"/>
      </rPr>
      <t xml:space="preserve">ステップ3：
</t>
    </r>
    <r>
      <rPr>
        <sz val="10"/>
        <color rgb="FF000000"/>
        <rFont val="メイリオ"/>
        <charset val="134"/>
      </rPr>
      <t xml:space="preserve">Trang cuối được hiển thị, và hoàn tất trong vòng 5 giây
</t>
    </r>
    <r>
      <rPr>
        <b/>
        <sz val="10"/>
        <color rgb="FF000000"/>
        <rFont val="メイリオ"/>
        <charset val="134"/>
      </rPr>
      <t xml:space="preserve">ステップ4：
</t>
    </r>
    <r>
      <rPr>
        <sz val="10"/>
        <color rgb="FF000000"/>
        <rFont val="メイリオ"/>
        <charset val="134"/>
      </rPr>
      <t xml:space="preserve">Không vỡ layout
</t>
    </r>
    <r>
      <rPr>
        <b/>
        <sz val="10"/>
        <color rgb="FF000000"/>
        <rFont val="メイリオ"/>
        <charset val="134"/>
      </rPr>
      <t xml:space="preserve">補足：
</t>
    </r>
    <r>
      <rPr>
        <sz val="10"/>
        <color rgb="FF000000"/>
        <rFont val="メイリオ"/>
        <charset val="134"/>
      </rPr>
      <t xml:space="preserve">・Không bị timeout
</t>
    </r>
    <r>
      <rPr>
        <sz val="10"/>
        <color rgb="FF000000"/>
        <rFont val="メイリオ"/>
        <charset val="134"/>
      </rPr>
      <t>・Không load toàn bộ vào trình duyệt, lấy theo từng trang</t>
    </r>
  </si>
  <si>
    <t>ACSMS-TC-022-047</t>
  </si>
  <si>
    <t>Thời gian phản hồi của xử lý tìm kiếm</t>
  </si>
  <si>
    <r>
      <rPr>
        <b/>
        <sz val="10"/>
        <color rgb="FF000000"/>
        <rFont val="メイリオ"/>
        <charset val="134"/>
      </rPr>
      <t xml:space="preserve">ステップ1：
</t>
    </r>
    <r>
      <rPr>
        <sz val="10"/>
        <color rgb="FF000000"/>
        <rFont val="メイリオ"/>
        <charset val="134"/>
      </rPr>
      <t xml:space="preserve">Mở tab Network của DevTools, click button「検索」không chỉ định điều kiện và đo thời gian phản hồi
</t>
    </r>
    <r>
      <rPr>
        <b/>
        <sz val="10"/>
        <color rgb="FF000000"/>
        <rFont val="メイリオ"/>
        <charset val="134"/>
      </rPr>
      <t xml:space="preserve">ステップ2：
</t>
    </r>
    <r>
      <rPr>
        <sz val="10"/>
        <color rgb="FF000000"/>
        <rFont val="メイリオ"/>
        <charset val="134"/>
      </rPr>
      <t xml:space="preserve">Nhập「report」vào「ファイル名」, tìm kiếm và đo thời gian phản hồi
</t>
    </r>
    <r>
      <rPr>
        <b/>
        <sz val="10"/>
        <color rgb="FF000000"/>
        <rFont val="メイリオ"/>
        <charset val="134"/>
      </rPr>
      <t xml:space="preserve">ステップ3：
</t>
    </r>
    <r>
      <rPr>
        <sz val="10"/>
        <color rgb="FF000000"/>
        <rFont val="メイリオ"/>
        <charset val="134"/>
      </rPr>
      <t>Tìm kiếm kết hợp「都道府県」và「JA名」, đo thời gian phản hồi</t>
    </r>
  </si>
  <si>
    <r>
      <rPr>
        <b/>
        <sz val="10"/>
        <color rgb="FF000000"/>
        <rFont val="メイリオ"/>
        <charset val="134"/>
      </rPr>
      <t xml:space="preserve">ステップ1：
</t>
    </r>
    <r>
      <rPr>
        <sz val="10"/>
        <color rgb="FF000000"/>
        <rFont val="メイリオ"/>
        <charset val="134"/>
      </rPr>
      <t xml:space="preserve">Response dưới 3 giây
</t>
    </r>
    <r>
      <rPr>
        <b/>
        <sz val="10"/>
        <color rgb="FF000000"/>
        <rFont val="メイリオ"/>
        <charset val="134"/>
      </rPr>
      <t xml:space="preserve">ステップ2：
</t>
    </r>
    <r>
      <rPr>
        <sz val="10"/>
        <color rgb="FF000000"/>
        <rFont val="メイリオ"/>
        <charset val="134"/>
      </rPr>
      <t xml:space="preserve">Response dưới 3 giây
</t>
    </r>
    <r>
      <rPr>
        <b/>
        <sz val="10"/>
        <color rgb="FF000000"/>
        <rFont val="メイリオ"/>
        <charset val="134"/>
      </rPr>
      <t xml:space="preserve">ステップ3：
</t>
    </r>
    <r>
      <rPr>
        <sz val="10"/>
        <color rgb="FF000000"/>
        <rFont val="メイリオ"/>
        <charset val="134"/>
      </rPr>
      <t xml:space="preserve">Response dưới 3 giây
</t>
    </r>
    <r>
      <rPr>
        <b/>
        <sz val="10"/>
        <color rgb="FF000000"/>
        <rFont val="メイリオ"/>
        <charset val="134"/>
      </rPr>
      <t xml:space="preserve">補足：
</t>
    </r>
    <r>
      <rPr>
        <sz val="10"/>
        <color rgb="FF000000"/>
        <rFont val="メイリオ"/>
        <charset val="134"/>
      </rPr>
      <t xml:space="preserve">・Không thực thi SQL thừa
</t>
    </r>
    <r>
      <rPr>
        <sz val="10"/>
        <color rgb="FF000000"/>
        <rFont val="メイリオ"/>
        <charset val="134"/>
      </rPr>
      <t>・Việc lấy số lượng và lấy dữ liệu mỗi loại chỉ thực thi 1 lần</t>
    </r>
  </si>
  <si>
    <t>Logic nghiệp vụ — Preview (Function — Preview)</t>
  </si>
  <si>
    <t>ACSMS-TC-022-048</t>
  </si>
  <si>
    <t>Hiển thị modal preview khi chọn 1 file</t>
  </si>
  <si>
    <t>・role: NICHINO_ADMIN
・Đã login (đã xác thực 2 bước)
・Có quyền「file.download」
・Đã có từ 1 file phần mở rộng `.pdf` (`nichino_download_allowed_flg = true`)
・Thực thể của file đó tồn tại trên S3</t>
  </si>
  <si>
    <r>
      <rPr>
        <b/>
        <sz val="10"/>
        <color rgb="FF000000"/>
        <rFont val="游ゴシック"/>
        <charset val="134"/>
      </rPr>
      <t xml:space="preserve">ステップ1：
</t>
    </r>
    <r>
      <rPr>
        <sz val="10"/>
        <color rgb="FF000000"/>
        <rFont val="游ゴシック"/>
        <charset val="134"/>
      </rPr>
      <t xml:space="preserve">Mở「/file-download」và chọn checkbox của 1 dòng file PDF
</t>
    </r>
    <r>
      <rPr>
        <b/>
        <sz val="10"/>
        <color rgb="FF000000"/>
        <rFont val="游ゴシック"/>
        <charset val="134"/>
      </rPr>
      <t xml:space="preserve">ステップ2：
</t>
    </r>
    <r>
      <rPr>
        <sz val="10"/>
        <color rgb="FF000000"/>
        <rFont val="游ゴシック"/>
        <charset val="134"/>
      </rPr>
      <t xml:space="preserve">Click button「プレビュー」
</t>
    </r>
    <r>
      <rPr>
        <b/>
        <sz val="10"/>
        <color rgb="FF000000"/>
        <rFont val="游ゴシック"/>
        <charset val="134"/>
      </rPr>
      <t xml:space="preserve">ステップ3：
</t>
    </r>
    <r>
      <rPr>
        <sz val="10"/>
        <color rgb="FF000000"/>
        <rFont val="游ゴシック"/>
        <charset val="134"/>
      </rPr>
      <t xml:space="preserve">Kiểm tra response GET「/api/v1/file-download/{file_download_id}/preview」trên tab Network của DevTools
</t>
    </r>
    <r>
      <rPr>
        <b/>
        <sz val="10"/>
        <color rgb="FF000000"/>
        <rFont val="游ゴシック"/>
        <charset val="134"/>
      </rPr>
      <t xml:space="preserve">ステップ4：
</t>
    </r>
    <r>
      <rPr>
        <sz val="10"/>
        <color rgb="FF000000"/>
        <rFont val="游ゴシック"/>
        <charset val="134"/>
      </rPr>
      <t>Kiểm tra nội dung hiển thị và tên file trong modal</t>
    </r>
  </si>
  <si>
    <r>
      <rPr>
        <b/>
        <sz val="10"/>
        <color rgb="FF000000"/>
        <rFont val="メイリオ"/>
        <charset val="134"/>
      </rPr>
      <t xml:space="preserve">ステップ1：
</t>
    </r>
    <r>
      <rPr>
        <sz val="10"/>
        <color rgb="FF000000"/>
        <rFont val="メイリオ"/>
        <charset val="134"/>
      </rPr>
      <t xml:space="preserve">Dòng được highlight, button「プレビュー」chuyển sang trạng thái active
</t>
    </r>
    <r>
      <rPr>
        <b/>
        <sz val="10"/>
        <color rgb="FF000000"/>
        <rFont val="メイリオ"/>
        <charset val="134"/>
      </rPr>
      <t xml:space="preserve">ステップ2：
</t>
    </r>
    <r>
      <rPr>
        <sz val="10"/>
        <color rgb="FF000000"/>
        <rFont val="メイリオ"/>
        <charset val="134"/>
      </rPr>
      <t xml:space="preserve">Modal preview được hiển thị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・`data` chứa `preview_url` `content_type` `expires_at`
</t>
    </r>
    <r>
      <rPr>
        <sz val="10"/>
        <color rgb="FF000000"/>
        <rFont val="メイリオ"/>
        <charset val="134"/>
      </rPr>
      <t xml:space="preserve">・`content_type` là `application/pdf`
</t>
    </r>
    <r>
      <rPr>
        <b/>
        <sz val="10"/>
        <color rgb="FF000000"/>
        <rFont val="メイリオ"/>
        <charset val="134"/>
      </rPr>
      <t xml:space="preserve">ステップ4：
</t>
    </r>
    <r>
      <rPr>
        <sz val="10"/>
        <color rgb="FF000000"/>
        <rFont val="メイリオ"/>
        <charset val="134"/>
      </rPr>
      <t xml:space="preserve">Nội dung file được hiển thị, tiêu đề modal hiển thị tên file đối tượng
</t>
    </r>
    <r>
      <rPr>
        <b/>
        <sz val="10"/>
        <color rgb="FF000000"/>
        <rFont val="メイリオ"/>
        <charset val="134"/>
      </rPr>
      <t xml:space="preserve">補足：
</t>
    </r>
    <r>
      <rPr>
        <sz val="10"/>
        <color rgb="FF000000"/>
        <rFont val="メイリオ"/>
        <charset val="134"/>
      </rPr>
      <t xml:space="preserve">・Dialog được hiển thị
</t>
    </r>
    <r>
      <rPr>
        <sz val="10"/>
        <color rgb="FF000000"/>
        <rFont val="メイリオ"/>
        <charset val="134"/>
      </rPr>
      <t>・URL dùng cho preview là presigned URL, thông tin xác thực không lộ ra URL</t>
    </r>
  </si>
  <si>
    <t>ACSMS-TC-022-049</t>
  </si>
  <si>
    <t>Thời hạn hiệu lực của presigned URL dùng cho preview</t>
  </si>
  <si>
    <t>・role: NICHINO_ADMIN
・Đã login (đã xác thực 2 bước)
・Có quyền「file.download」
・Đã có từ 1 file phần mở rộng `.pdf`</t>
  </si>
  <si>
    <r>
      <rPr>
        <b/>
        <sz val="10"/>
        <color rgb="FF000000"/>
        <rFont val="メイリオ"/>
        <charset val="134"/>
      </rPr>
      <t xml:space="preserve">ステップ1：
</t>
    </r>
    <r>
      <rPr>
        <sz val="10"/>
        <color rgb="FF000000"/>
        <rFont val="メイリオ"/>
        <charset val="134"/>
      </rPr>
      <t xml:space="preserve">Chọn 1 file PDF và click button「プレビュー」
</t>
    </r>
    <r>
      <rPr>
        <b/>
        <sz val="10"/>
        <color rgb="FF000000"/>
        <rFont val="メイリオ"/>
        <charset val="134"/>
      </rPr>
      <t xml:space="preserve">ステップ2：
</t>
    </r>
    <r>
      <rPr>
        <sz val="10"/>
        <color rgb="FF000000"/>
        <rFont val="メイリオ"/>
        <charset val="134"/>
      </rPr>
      <t xml:space="preserve">Kiểm tra `expires_at` của response trên tab Network của DevTools và tính chênh lệch với thời điểm request
</t>
    </r>
    <r>
      <rPr>
        <b/>
        <sz val="10"/>
        <color rgb="FF000000"/>
        <rFont val="メイリオ"/>
        <charset val="134"/>
      </rPr>
      <t xml:space="preserve">ステップ3：
</t>
    </r>
    <r>
      <rPr>
        <sz val="10"/>
        <color rgb="FF000000"/>
        <rFont val="メイリオ"/>
        <charset val="134"/>
      </rPr>
      <t xml:space="preserve">Copy `preview_url`, paste và mở ở tab mới
</t>
    </r>
    <r>
      <rPr>
        <b/>
        <sz val="10"/>
        <color rgb="FF000000"/>
        <rFont val="メイリオ"/>
        <charset val="134"/>
      </rPr>
      <t xml:space="preserve">ステップ4：
</t>
    </r>
    <r>
      <rPr>
        <sz val="10"/>
        <color rgb="FF000000"/>
        <rFont val="メイリオ"/>
        <charset val="134"/>
      </rPr>
      <t>Sửa 1 ký tự phần chữ ký của `preview_url` và mở tương tự</t>
    </r>
  </si>
  <si>
    <r>
      <rPr>
        <b/>
        <sz val="10"/>
        <color rgb="FF000000"/>
        <rFont val="メイリオ"/>
        <charset val="134"/>
      </rPr>
      <t xml:space="preserve">ステップ1：
</t>
    </r>
    <r>
      <rPr>
        <sz val="10"/>
        <color rgb="FF000000"/>
        <rFont val="メイリオ"/>
        <charset val="134"/>
      </rPr>
      <t xml:space="preserve">Modal preview được hiển thị
</t>
    </r>
    <r>
      <rPr>
        <b/>
        <sz val="10"/>
        <color rgb="FF000000"/>
        <rFont val="メイリオ"/>
        <charset val="134"/>
      </rPr>
      <t xml:space="preserve">ステップ2：
</t>
    </r>
    <r>
      <rPr>
        <sz val="10"/>
        <color rgb="FF000000"/>
        <rFont val="メイリオ"/>
        <charset val="134"/>
      </rPr>
      <t xml:space="preserve">`expires_at` là 1 giờ sau thời điểm request
</t>
    </r>
    <r>
      <rPr>
        <b/>
        <sz val="10"/>
        <color rgb="FF000000"/>
        <rFont val="メイリオ"/>
        <charset val="134"/>
      </rPr>
      <t xml:space="preserve">ステップ3：
</t>
    </r>
    <r>
      <rPr>
        <sz val="10"/>
        <color rgb="FF000000"/>
        <rFont val="メイリオ"/>
        <charset val="134"/>
      </rPr>
      <t xml:space="preserve">Nội dung file được hiển thị
</t>
    </r>
    <r>
      <rPr>
        <b/>
        <sz val="10"/>
        <color rgb="FF000000"/>
        <rFont val="メイリオ"/>
        <charset val="134"/>
      </rPr>
      <t xml:space="preserve">ステップ4：
</t>
    </r>
    <r>
      <rPr>
        <sz val="10"/>
        <color rgb="FF000000"/>
        <rFont val="メイリオ"/>
        <charset val="134"/>
      </rPr>
      <t xml:space="preserve">Không lấy được file, truy cập bị từ chối
</t>
    </r>
    <r>
      <rPr>
        <b/>
        <sz val="10"/>
        <color rgb="FF000000"/>
        <rFont val="メイリオ"/>
        <charset val="134"/>
      </rPr>
      <t xml:space="preserve">補足：
</t>
    </r>
    <r>
      <rPr>
        <sz val="10"/>
        <color rgb="FF000000"/>
        <rFont val="メイリオ"/>
        <charset val="134"/>
      </rPr>
      <t>・Không lấy được file bằng URL đã sửa chữ ký</t>
    </r>
  </si>
  <si>
    <t>ACSMS-TC-022-050</t>
  </si>
  <si>
    <t>Button không active khi chọn định dạng không preview được</t>
  </si>
  <si>
    <t>・role: NICHINO_ADMIN
・Đã login (đã xác thực 2 bước)
・Có quyền「file.download」
・Đã có từ 1 file phần mở rộng `.csv` và `.xlsx`
・Đã có từ 1 file phần mở rộng `.pdf`</t>
  </si>
  <si>
    <r>
      <rPr>
        <b/>
        <sz val="10"/>
        <color rgb="FF000000"/>
        <rFont val="メイリオ"/>
        <charset val="134"/>
      </rPr>
      <t xml:space="preserve">ステップ1：
</t>
    </r>
    <r>
      <rPr>
        <sz val="10"/>
        <color rgb="FF000000"/>
        <rFont val="メイリオ"/>
        <charset val="134"/>
      </rPr>
      <t xml:space="preserve">Mở「/file-download」và chọn checkbox của 1 dòng file CSV
</t>
    </r>
    <r>
      <rPr>
        <b/>
        <sz val="10"/>
        <color rgb="FF000000"/>
        <rFont val="メイリオ"/>
        <charset val="134"/>
      </rPr>
      <t xml:space="preserve">ステップ2：
</t>
    </r>
    <r>
      <rPr>
        <sz val="10"/>
        <color rgb="FF000000"/>
        <rFont val="メイリオ"/>
        <charset val="134"/>
      </rPr>
      <t xml:space="preserve">Kiểm tra trạng thái active của button「プレビュー」
</t>
    </r>
    <r>
      <rPr>
        <b/>
        <sz val="10"/>
        <color rgb="FF000000"/>
        <rFont val="メイリオ"/>
        <charset val="134"/>
      </rPr>
      <t xml:space="preserve">ステップ3：
</t>
    </r>
    <r>
      <rPr>
        <sz val="10"/>
        <color rgb="FF000000"/>
        <rFont val="メイリオ"/>
        <charset val="134"/>
      </rPr>
      <t xml:space="preserve">Bỏ chọn, chọn 1 dòng file Excel và kiểm tra tương tự
</t>
    </r>
    <r>
      <rPr>
        <b/>
        <sz val="10"/>
        <color rgb="FF000000"/>
        <rFont val="メイリオ"/>
        <charset val="134"/>
      </rPr>
      <t xml:space="preserve">ステップ4：
</t>
    </r>
    <r>
      <rPr>
        <sz val="10"/>
        <color rgb="FF000000"/>
        <rFont val="メイリオ"/>
        <charset val="134"/>
      </rPr>
      <t>Bỏ chọn, chọn 1 dòng file PDF và kiểm tra tương tự</t>
    </r>
  </si>
  <si>
    <r>
      <rPr>
        <b/>
        <sz val="10"/>
        <color rgb="FF000000"/>
        <rFont val="メイリオ"/>
        <charset val="134"/>
      </rPr>
      <t xml:space="preserve">ステップ1：
</t>
    </r>
    <r>
      <rPr>
        <sz val="10"/>
        <color rgb="FF000000"/>
        <rFont val="メイリオ"/>
        <charset val="134"/>
      </rPr>
      <t xml:space="preserve">Dòng được highlight
</t>
    </r>
    <r>
      <rPr>
        <b/>
        <sz val="10"/>
        <color rgb="FF000000"/>
        <rFont val="メイリオ"/>
        <charset val="134"/>
      </rPr>
      <t xml:space="preserve">ステップ2：
</t>
    </r>
    <r>
      <rPr>
        <sz val="10"/>
        <color rgb="FF000000"/>
        <rFont val="メイリオ"/>
        <charset val="134"/>
      </rPr>
      <t xml:space="preserve">Button「プレビュー」hiển thị ở trạng thái disable
</t>
    </r>
    <r>
      <rPr>
        <b/>
        <sz val="10"/>
        <color rgb="FF000000"/>
        <rFont val="メイリオ"/>
        <charset val="134"/>
      </rPr>
      <t xml:space="preserve">ステップ3：
</t>
    </r>
    <r>
      <rPr>
        <sz val="10"/>
        <color rgb="FF000000"/>
        <rFont val="メイリオ"/>
        <charset val="134"/>
      </rPr>
      <t xml:space="preserve">Button「プレビュー」hiển thị ở trạng thái disable
</t>
    </r>
    <r>
      <rPr>
        <b/>
        <sz val="10"/>
        <color rgb="FF000000"/>
        <rFont val="メイリオ"/>
        <charset val="134"/>
      </rPr>
      <t xml:space="preserve">ステップ4：
</t>
    </r>
    <r>
      <rPr>
        <sz val="10"/>
        <color rgb="FF000000"/>
        <rFont val="メイリオ"/>
        <charset val="134"/>
      </rPr>
      <t xml:space="preserve">Button「プレビュー」hiển thị ở trạng thái active
</t>
    </r>
    <r>
      <rPr>
        <b/>
        <sz val="10"/>
        <color rgb="FF000000"/>
        <rFont val="メイリオ"/>
        <charset val="134"/>
      </rPr>
      <t xml:space="preserve">補足：
</t>
    </r>
    <r>
      <rPr>
        <sz val="10"/>
        <color rgb="FF000000"/>
        <rFont val="メイリオ"/>
        <charset val="134"/>
      </rPr>
      <t xml:space="preserve">・Đối tượng preview chỉ gồm định dạng ảnh và PDF
</t>
    </r>
    <r>
      <rPr>
        <sz val="10"/>
        <color rgb="FF000000"/>
        <rFont val="メイリオ"/>
        <charset val="134"/>
      </rPr>
      <t>・Định dạng không preview được vẫn thực hiện download được</t>
    </r>
  </si>
  <si>
    <t>ACSMS-TC-022-051</t>
  </si>
  <si>
    <t>Button preview không active khi chọn nhiều file</t>
  </si>
  <si>
    <t>・role: NICHINO_ADMIN
・Đã login (đã xác thực 2 bước)
・Có quyền「file.download」
・Đã có từ 2 file phần mở rộng `.pdf`</t>
  </si>
  <si>
    <r>
      <rPr>
        <b/>
        <sz val="10"/>
        <color rgb="FF000000"/>
        <rFont val="メイリオ"/>
        <charset val="134"/>
      </rPr>
      <t xml:space="preserve">ステップ1：
</t>
    </r>
    <r>
      <rPr>
        <sz val="10"/>
        <color rgb="FF000000"/>
        <rFont val="メイリオ"/>
        <charset val="134"/>
      </rPr>
      <t xml:space="preserve">Mở「/file-download」, chọn 1 dòng file PDF và kiểm tra trạng thái button「プレビュー」
</t>
    </r>
    <r>
      <rPr>
        <b/>
        <sz val="10"/>
        <color rgb="FF000000"/>
        <rFont val="メイリオ"/>
        <charset val="134"/>
      </rPr>
      <t xml:space="preserve">ステップ2：
</t>
    </r>
    <r>
      <rPr>
        <sz val="10"/>
        <color rgb="FF000000"/>
        <rFont val="メイリオ"/>
        <charset val="134"/>
      </rPr>
      <t xml:space="preserve">Chọn thêm 1 file PDF nữa
</t>
    </r>
    <r>
      <rPr>
        <b/>
        <sz val="10"/>
        <color rgb="FF000000"/>
        <rFont val="メイリオ"/>
        <charset val="134"/>
      </rPr>
      <t xml:space="preserve">ステップ3：
</t>
    </r>
    <r>
      <rPr>
        <sz val="10"/>
        <color rgb="FF000000"/>
        <rFont val="メイリオ"/>
        <charset val="134"/>
      </rPr>
      <t xml:space="preserve">Kiểm tra trạng thái active của button「プレビュー」
</t>
    </r>
    <r>
      <rPr>
        <b/>
        <sz val="10"/>
        <color rgb="FF000000"/>
        <rFont val="メイリオ"/>
        <charset val="134"/>
      </rPr>
      <t xml:space="preserve">ステップ4：
</t>
    </r>
    <r>
      <rPr>
        <sz val="10"/>
        <color rgb="FF000000"/>
        <rFont val="メイリオ"/>
        <charset val="134"/>
      </rPr>
      <t>Bỏ chọn file thứ 2</t>
    </r>
  </si>
  <si>
    <r>
      <rPr>
        <b/>
        <sz val="10"/>
        <color rgb="FF000000"/>
        <rFont val="メイリオ"/>
        <charset val="134"/>
      </rPr>
      <t xml:space="preserve">ステップ1：
</t>
    </r>
    <r>
      <rPr>
        <sz val="10"/>
        <color rgb="FF000000"/>
        <rFont val="メイリオ"/>
        <charset val="134"/>
      </rPr>
      <t xml:space="preserve">Button「プレビュー」hiển thị ở trạng thái active
</t>
    </r>
    <r>
      <rPr>
        <b/>
        <sz val="10"/>
        <color rgb="FF000000"/>
        <rFont val="メイリオ"/>
        <charset val="134"/>
      </rPr>
      <t xml:space="preserve">ステップ2：
</t>
    </r>
    <r>
      <rPr>
        <sz val="10"/>
        <color rgb="FF000000"/>
        <rFont val="メイリオ"/>
        <charset val="134"/>
      </rPr>
      <t xml:space="preserve">2 dòng được highlight
</t>
    </r>
    <r>
      <rPr>
        <b/>
        <sz val="10"/>
        <color rgb="FF000000"/>
        <rFont val="メイリオ"/>
        <charset val="134"/>
      </rPr>
      <t xml:space="preserve">ステップ3：
</t>
    </r>
    <r>
      <rPr>
        <sz val="10"/>
        <color rgb="FF000000"/>
        <rFont val="メイリオ"/>
        <charset val="134"/>
      </rPr>
      <t xml:space="preserve">Button「プレビュー」hiển thị ở trạng thái disable
</t>
    </r>
    <r>
      <rPr>
        <b/>
        <sz val="10"/>
        <color rgb="FF000000"/>
        <rFont val="メイリオ"/>
        <charset val="134"/>
      </rPr>
      <t xml:space="preserve">ステップ4：
</t>
    </r>
    <r>
      <rPr>
        <sz val="10"/>
        <color rgb="FF000000"/>
        <rFont val="メイリオ"/>
        <charset val="134"/>
      </rPr>
      <t xml:space="preserve">Button「プレビュー」trở về trạng thái active
</t>
    </r>
    <r>
      <rPr>
        <b/>
        <sz val="10"/>
        <color rgb="FF000000"/>
        <rFont val="メイリオ"/>
        <charset val="134"/>
      </rPr>
      <t xml:space="preserve">補足：
</t>
    </r>
    <r>
      <rPr>
        <sz val="10"/>
        <color rgb="FF000000"/>
        <rFont val="メイリオ"/>
        <charset val="134"/>
      </rPr>
      <t>・Preview chỉ thực hiện được khi chọn đúng 1 file</t>
    </r>
  </si>
  <si>
    <t>ACSMS-TC-022-052</t>
  </si>
  <si>
    <t>Thực hiện preview khi chưa chọn file</t>
  </si>
  <si>
    <r>
      <rPr>
        <b/>
        <sz val="10"/>
        <color rgb="FF000000"/>
        <rFont val="メイリオ"/>
        <charset val="134"/>
      </rPr>
      <t xml:space="preserve">ステップ1：
</t>
    </r>
    <r>
      <rPr>
        <sz val="10"/>
        <color rgb="FF000000"/>
        <rFont val="メイリオ"/>
        <charset val="134"/>
      </rPr>
      <t xml:space="preserve">Mở「/file-download」, kiểm tra trạng thái button「プレビュー」khi chưa chọn checkbox
</t>
    </r>
    <r>
      <rPr>
        <b/>
        <sz val="10"/>
        <color rgb="FF000000"/>
        <rFont val="メイリオ"/>
        <charset val="134"/>
      </rPr>
      <t xml:space="preserve">ステップ2：
</t>
    </r>
    <r>
      <rPr>
        <sz val="10"/>
        <color rgb="FF000000"/>
        <rFont val="メイリオ"/>
        <charset val="134"/>
      </rPr>
      <t xml:space="preserve">Bỏ trạng thái disable của button「プレビュー」từ Console của DevTools và nhấn
</t>
    </r>
    <r>
      <rPr>
        <b/>
        <sz val="10"/>
        <color rgb="FF000000"/>
        <rFont val="メイリオ"/>
        <charset val="134"/>
      </rPr>
      <t xml:space="preserve">ステップ3：
</t>
    </r>
    <r>
      <rPr>
        <sz val="10"/>
        <color rgb="FF000000"/>
        <rFont val="メイリオ"/>
        <charset val="134"/>
      </rPr>
      <t>Kiểm tra message hiển thị trên màn hình</t>
    </r>
  </si>
  <si>
    <r>
      <rPr>
        <b/>
        <sz val="10"/>
        <color rgb="FF000000"/>
        <rFont val="游ゴシック"/>
        <charset val="134"/>
      </rPr>
      <t xml:space="preserve">ステップ1：
</t>
    </r>
    <r>
      <rPr>
        <sz val="10"/>
        <color rgb="FF000000"/>
        <rFont val="游ゴシック"/>
        <charset val="134"/>
      </rPr>
      <t xml:space="preserve">Button「プレビュー」hiển thị ở trạng thái disable
</t>
    </r>
    <r>
      <rPr>
        <b/>
        <sz val="10"/>
        <color rgb="FF000000"/>
        <rFont val="游ゴシック"/>
        <charset val="134"/>
      </rPr>
      <t xml:space="preserve">ステップ2：
</t>
    </r>
    <r>
      <rPr>
        <sz val="10"/>
        <color rgb="FF000000"/>
        <rFont val="游ゴシック"/>
        <charset val="134"/>
      </rPr>
      <t xml:space="preserve">Modal preview không được hiển thị
</t>
    </r>
    <r>
      <rPr>
        <b/>
        <sz val="10"/>
        <color rgb="FF000000"/>
        <rFont val="游ゴシック"/>
        <charset val="134"/>
      </rPr>
      <t xml:space="preserve">ステップ3：
</t>
    </r>
    <r>
      <rPr>
        <sz val="10"/>
        <color rgb="FF000000"/>
        <rFont val="游ゴシック"/>
        <charset val="134"/>
      </rPr>
      <t xml:space="preserve">Không có phản ứng gì
</t>
    </r>
    <r>
      <rPr>
        <b/>
        <sz val="10"/>
        <color rgb="FF000000"/>
        <rFont val="游ゴシック"/>
        <charset val="134"/>
      </rPr>
      <t xml:space="preserve">補足：
</t>
    </r>
    <r>
      <rPr>
        <sz val="10"/>
        <color rgb="FF000000"/>
        <rFont val="游ゴシック"/>
        <charset val="134"/>
      </rPr>
      <t>・Khi chưa chọn thì request preview không được gửi</t>
    </r>
  </si>
  <si>
    <t>ACSMS-TC-022-053</t>
  </si>
  <si>
    <t>Hiển thị lỗi khi file đối tượng preview không tồn tại</t>
  </si>
  <si>
    <t>・role: NICHINO_ADMIN
・Đã login (đã xác thực 2 bước)
・Có quyền「file.download」
・Đã hiển thị 1 file `.pdf` (ghi lại `file_download_id`)</t>
  </si>
  <si>
    <r>
      <rPr>
        <b/>
        <sz val="10"/>
        <color rgb="FF000000"/>
        <rFont val="メイリオ"/>
        <charset val="134"/>
      </rPr>
      <t xml:space="preserve">ステップ1：
</t>
    </r>
    <r>
      <rPr>
        <sz val="10"/>
        <color rgb="FF000000"/>
        <rFont val="メイリオ"/>
        <charset val="134"/>
      </rPr>
      <t xml:space="preserve">Mở「/file-download」và chọn 1 dòng file PDF (giữ nguyên màn hình)
</t>
    </r>
    <r>
      <rPr>
        <b/>
        <sz val="10"/>
        <color rgb="FF000000"/>
        <rFont val="メイリオ"/>
        <charset val="134"/>
      </rPr>
      <t xml:space="preserve">ステップ2：
</t>
    </r>
    <r>
      <rPr>
        <sz val="10"/>
        <color rgb="FF000000"/>
        <rFont val="メイリオ"/>
        <charset val="134"/>
      </rPr>
      <t xml:space="preserve">Từ session khác, xóa logical file đó
</t>
    </r>
    <r>
      <rPr>
        <sz val="10"/>
        <color rgb="FF000000"/>
        <rFont val="メイリオ"/>
        <charset val="134"/>
      </rPr>
      <t xml:space="preserve">```sql
</t>
    </r>
    <r>
      <rPr>
        <sz val="10"/>
        <color rgb="FF000000"/>
        <rFont val="メイリオ"/>
        <charset val="134"/>
      </rPr>
      <t xml:space="preserve">UPDATE t_file_download
</t>
    </r>
    <r>
      <rPr>
        <sz val="10"/>
        <color rgb="FF000000"/>
        <rFont val="メイリオ"/>
        <charset val="134"/>
      </rPr>
      <t xml:space="preserve">SET deleted_at = NOW()
</t>
    </r>
    <r>
      <rPr>
        <sz val="10"/>
        <color rgb="FF000000"/>
        <rFont val="メイリオ"/>
        <charset val="134"/>
      </rPr>
      <t xml:space="preserve">WHERE file_download_id = :file_download_id;
</t>
    </r>
    <r>
      <rPr>
        <sz val="10"/>
        <color rgb="FF000000"/>
        <rFont val="メイリオ"/>
        <charset val="134"/>
      </rPr>
      <t xml:space="preserve">```
</t>
    </r>
    <r>
      <rPr>
        <b/>
        <sz val="10"/>
        <color rgb="FF000000"/>
        <rFont val="メイリオ"/>
        <charset val="134"/>
      </rPr>
      <t xml:space="preserve">ステップ3：
</t>
    </r>
    <r>
      <rPr>
        <sz val="10"/>
        <color rgb="FF000000"/>
        <rFont val="メイリオ"/>
        <charset val="134"/>
      </rPr>
      <t xml:space="preserve">Quay lại màn hình ban đầu và click button「プレビュー」
</t>
    </r>
    <r>
      <rPr>
        <b/>
        <sz val="10"/>
        <color rgb="FF000000"/>
        <rFont val="メイリオ"/>
        <charset val="134"/>
      </rPr>
      <t xml:space="preserve">ステップ4：
</t>
    </r>
    <r>
      <rPr>
        <sz val="10"/>
        <color rgb="FF000000"/>
        <rFont val="メイリオ"/>
        <charset val="134"/>
      </rPr>
      <t>Kiểm tra response trên tab Network của DevTools</t>
    </r>
  </si>
  <si>
    <r>
      <rPr>
        <b/>
        <sz val="10"/>
        <color rgb="FF000000"/>
        <rFont val="メイリオ"/>
        <charset val="134"/>
      </rPr>
      <t xml:space="preserve">ステップ1：
</t>
    </r>
    <r>
      <rPr>
        <sz val="10"/>
        <color rgb="FF000000"/>
        <rFont val="メイリオ"/>
        <charset val="134"/>
      </rPr>
      <t xml:space="preserve">Dòng được highlight
</t>
    </r>
    <r>
      <rPr>
        <b/>
        <sz val="10"/>
        <color rgb="FF000000"/>
        <rFont val="メイリオ"/>
        <charset val="134"/>
      </rPr>
      <t xml:space="preserve">ステップ2：
</t>
    </r>
    <r>
      <rPr>
        <sz val="10"/>
        <color rgb="FF000000"/>
        <rFont val="メイリオ"/>
        <charset val="134"/>
      </rPr>
      <t xml:space="preserve">Cập nhật hoàn tất
</t>
    </r>
    <r>
      <rPr>
        <b/>
        <sz val="10"/>
        <color rgb="FF000000"/>
        <rFont val="メイリオ"/>
        <charset val="134"/>
      </rPr>
      <t xml:space="preserve">ステップ3：
</t>
    </r>
    <r>
      <rPr>
        <sz val="10"/>
        <color rgb="FF000000"/>
        <rFont val="メイリオ"/>
        <charset val="134"/>
      </rPr>
      <t xml:space="preserve">Hiển thị message「ファイルが存在していません。」và modal preview không được hiển thị
</t>
    </r>
    <r>
      <rPr>
        <b/>
        <sz val="10"/>
        <color rgb="FF000000"/>
        <rFont val="メイリオ"/>
        <charset val="134"/>
      </rPr>
      <t xml:space="preserve">ステップ4：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補足：
</t>
    </r>
    <r>
      <rPr>
        <sz val="10"/>
        <color rgb="FF000000"/>
        <rFont val="メイリオ"/>
        <charset val="134"/>
      </rPr>
      <t xml:space="preserve">・Không tồn tại dữ liệu đối tượng
</t>
    </r>
    <r>
      <rPr>
        <sz val="10"/>
        <color rgb="FF000000"/>
        <rFont val="メイリオ"/>
        <charset val="134"/>
      </rPr>
      <t>・404 phía backend được phía màn hình chuyển thành message riêng và hiển thị</t>
    </r>
  </si>
  <si>
    <t>Logic nghiệp vụ — Download (Function — Download)</t>
  </si>
  <si>
    <t>ACSMS-TC-022-054</t>
  </si>
  <si>
    <t>Download 1 file và ghi log thao tác</t>
  </si>
  <si>
    <t>・role: NICHINO_ADMIN
・Đã login (đã xác thực 2 bước)
・Có quyền「file.download」
・Đã có từ 1 file `nichino_download_allowed_flg = true`
・Thực thể của file đó tồn tại trên S3</t>
  </si>
  <si>
    <r>
      <rPr>
        <b/>
        <sz val="10"/>
        <color rgb="FF000000"/>
        <rFont val="メイリオ"/>
        <charset val="134"/>
      </rPr>
      <t xml:space="preserve">ステップ1：
</t>
    </r>
    <r>
      <rPr>
        <sz val="10"/>
        <color rgb="FF000000"/>
        <rFont val="メイリオ"/>
        <charset val="134"/>
      </rPr>
      <t xml:space="preserve">Ghi lại số lượng trước khi test trên DB
</t>
    </r>
    <r>
      <rPr>
        <sz val="10"/>
        <color rgb="FF000000"/>
        <rFont val="メイリオ"/>
        <charset val="134"/>
      </rPr>
      <t xml:space="preserve">```sql
</t>
    </r>
    <r>
      <rPr>
        <sz val="10"/>
        <color rgb="FF000000"/>
        <rFont val="メイリオ"/>
        <charset val="134"/>
      </rPr>
      <t xml:space="preserve">SELECT COUNT(*) AS fd_count FROM t_file_download;
</t>
    </r>
    <r>
      <rPr>
        <sz val="10"/>
        <color rgb="FF000000"/>
        <rFont val="メイリオ"/>
        <charset val="134"/>
      </rPr>
      <t xml:space="preserve">SELECT COUNT(*) AS log_count FROM t_log WHERE log_type = 4;
</t>
    </r>
    <r>
      <rPr>
        <sz val="10"/>
        <color rgb="FF000000"/>
        <rFont val="メイリオ"/>
        <charset val="134"/>
      </rPr>
      <t xml:space="preserve">```
</t>
    </r>
    <r>
      <rPr>
        <b/>
        <sz val="10"/>
        <color rgb="FF000000"/>
        <rFont val="メイリオ"/>
        <charset val="134"/>
      </rPr>
      <t xml:space="preserve">ステップ2：
</t>
    </r>
    <r>
      <rPr>
        <sz val="10"/>
        <color rgb="FF000000"/>
        <rFont val="メイリオ"/>
        <charset val="134"/>
      </rPr>
      <t xml:space="preserve">Mở「/file-download」và chọn checkbox của 1 dòng file đối tượng
</t>
    </r>
    <r>
      <rPr>
        <b/>
        <sz val="10"/>
        <color rgb="FF000000"/>
        <rFont val="メイリオ"/>
        <charset val="134"/>
      </rPr>
      <t xml:space="preserve">ステップ3：
</t>
    </r>
    <r>
      <rPr>
        <sz val="10"/>
        <color rgb="FF000000"/>
        <rFont val="メイリオ"/>
        <charset val="134"/>
      </rPr>
      <t xml:space="preserve">Click button「ダウンロード実行」và kiểm tra hoạt động của dialog lưu file
</t>
    </r>
    <r>
      <rPr>
        <b/>
        <sz val="10"/>
        <color rgb="FF000000"/>
        <rFont val="メイリオ"/>
        <charset val="134"/>
      </rPr>
      <t xml:space="preserve">ステップ4：
</t>
    </r>
    <r>
      <rPr>
        <sz val="10"/>
        <color rgb="FF000000"/>
        <rFont val="メイリオ"/>
        <charset val="134"/>
      </rPr>
      <t xml:space="preserve">Thực thi query sau trên DB để kiểm tra nội dung log thao tác
</t>
    </r>
    <r>
      <rPr>
        <sz val="10"/>
        <color rgb="FF000000"/>
        <rFont val="メイリオ"/>
        <charset val="134"/>
      </rPr>
      <t xml:space="preserve">```sql
</t>
    </r>
    <r>
      <rPr>
        <sz val="10"/>
        <color rgb="FF000000"/>
        <rFont val="メイリオ"/>
        <charset val="134"/>
      </rPr>
      <t xml:space="preserve">SELECT log_type, operation, result_status, gamen_name,
</t>
    </r>
    <r>
      <rPr>
        <sz val="10"/>
        <color rgb="FF000000"/>
        <rFont val="メイリオ"/>
        <charset val="134"/>
      </rPr>
      <t xml:space="preserve">target_id, target_table, before_value, after_value,
</t>
    </r>
    <r>
      <rPr>
        <sz val="10"/>
        <color rgb="FF000000"/>
        <rFont val="メイリオ"/>
        <charset val="134"/>
      </rPr>
      <t xml:space="preserve">account_id, ip_address
</t>
    </r>
    <r>
      <rPr>
        <sz val="10"/>
        <color rgb="FF000000"/>
        <rFont val="メイリオ"/>
        <charset val="134"/>
      </rPr>
      <t xml:space="preserve">FROM t_log
</t>
    </r>
    <r>
      <rPr>
        <sz val="10"/>
        <color rgb="FF000000"/>
        <rFont val="メイリオ"/>
        <charset val="134"/>
      </rPr>
      <t xml:space="preserve">WHERE log_type = 4
</t>
    </r>
    <r>
      <rPr>
        <sz val="10"/>
        <color rgb="FF000000"/>
        <rFont val="メイリオ"/>
        <charset val="134"/>
      </rPr>
      <t xml:space="preserve">ORDER BY log_datetime DESC
</t>
    </r>
    <r>
      <rPr>
        <sz val="10"/>
        <color rgb="FF000000"/>
        <rFont val="メイリオ"/>
        <charset val="134"/>
      </rPr>
      <t xml:space="preserve">LIMIT 1;
</t>
    </r>
    <r>
      <rPr>
        <sz val="10"/>
        <color rgb="FF000000"/>
        <rFont val="メイリオ"/>
        <charset val="134"/>
      </rPr>
      <t xml:space="preserve">```
</t>
    </r>
    <r>
      <rPr>
        <b/>
        <sz val="10"/>
        <color rgb="FF000000"/>
        <rFont val="メイリオ"/>
        <charset val="134"/>
      </rPr>
      <t xml:space="preserve">ステップ5：
</t>
    </r>
    <r>
      <rPr>
        <sz val="10"/>
        <color rgb="FF000000"/>
        <rFont val="メイリオ"/>
        <charset val="134"/>
      </rPr>
      <t>Lấy lại số lượng của `t_file_download` và đối chiếu với trước khi test</t>
    </r>
  </si>
  <si>
    <r>
      <rPr>
        <b/>
        <sz val="10"/>
        <color rgb="FF000000"/>
        <rFont val="游ゴシック"/>
        <charset val="134"/>
      </rPr>
      <t xml:space="preserve">ステップ1：
</t>
    </r>
    <r>
      <rPr>
        <sz val="10"/>
        <color rgb="FF000000"/>
        <rFont val="游ゴシック"/>
        <charset val="134"/>
      </rPr>
      <t xml:space="preserve">Lấy được số lượng trước khi test
</t>
    </r>
    <r>
      <rPr>
        <b/>
        <sz val="10"/>
        <color rgb="FF000000"/>
        <rFont val="游ゴシック"/>
        <charset val="134"/>
      </rPr>
      <t xml:space="preserve">ステップ2：
</t>
    </r>
    <r>
      <rPr>
        <sz val="10"/>
        <color rgb="FF000000"/>
        <rFont val="游ゴシック"/>
        <charset val="134"/>
      </rPr>
      <t xml:space="preserve">Dòng được highlight
</t>
    </r>
    <r>
      <rPr>
        <b/>
        <sz val="10"/>
        <color rgb="FF000000"/>
        <rFont val="游ゴシック"/>
        <charset val="134"/>
      </rPr>
      <t xml:space="preserve">ステップ3：
</t>
    </r>
    <r>
      <rPr>
        <sz val="10"/>
        <color rgb="FF000000"/>
        <rFont val="游ゴシック"/>
        <charset val="134"/>
      </rPr>
      <t xml:space="preserve">・Dialog lưu file của trình duyệt được hiển thị và file được lưu
・Hiển thị toast「ダウンロードが完了しました。」
</t>
    </r>
    <r>
      <rPr>
        <b/>
        <sz val="10"/>
        <color rgb="FF000000"/>
        <rFont val="游ゴシック"/>
        <charset val="134"/>
      </rPr>
      <t xml:space="preserve">ステップ4：
</t>
    </r>
    <r>
      <rPr>
        <sz val="10"/>
        <color rgb="FF000000"/>
        <rFont val="游ゴシック"/>
        <charset val="134"/>
      </rPr>
      <t xml:space="preserve">・`log_type` = 4, `operation` = `DOWNLOAD`, `result_status` = 1
・`gamen_name` là `ファイルダウンロード画面`
・`target_table` là `t_file_download`, `target_id` là ID của file đối tượng
・`before_value` là chuỗi rỗng, `after_value` ghi metadata của file
</t>
    </r>
    <r>
      <rPr>
        <b/>
        <sz val="10"/>
        <color rgb="FF000000"/>
        <rFont val="游ゴシック"/>
        <charset val="134"/>
      </rPr>
      <t xml:space="preserve">ステップ5：
</t>
    </r>
    <r>
      <rPr>
        <sz val="10"/>
        <color rgb="FF000000"/>
        <rFont val="游ゴシック"/>
        <charset val="134"/>
      </rPr>
      <t xml:space="preserve">Số lượng `t_file_download` khớp với trước khi test, không tăng
</t>
    </r>
    <r>
      <rPr>
        <b/>
        <sz val="10"/>
        <color rgb="FF000000"/>
        <rFont val="游ゴシック"/>
        <charset val="134"/>
      </rPr>
      <t xml:space="preserve">補足：
</t>
    </r>
    <r>
      <rPr>
        <sz val="10"/>
        <color rgb="FF000000"/>
        <rFont val="游ゴシック"/>
        <charset val="134"/>
      </rPr>
      <t>・Audit log được record
・Khi thực hiện download không đăng ký mới vào `t_file_download`, chỉ ghi log thao tác
・Log thao tác không ghi thông tin nhạy cảm như mật khẩu hay presigned URL</t>
    </r>
  </si>
  <si>
    <t>ACSMS-TC-022-055</t>
  </si>
  <si>
    <t>Response header khi download</t>
  </si>
  <si>
    <t>・role: NICHINO_ADMIN
・Đã login (đã xác thực 2 bước)
・Có quyền「file.download」
・Đã có file tên gồm ký tự half-width và file tên có chứa tiếng Nhật</t>
  </si>
  <si>
    <r>
      <rPr>
        <b/>
        <sz val="10"/>
        <color rgb="FF000000"/>
        <rFont val="游ゴシック"/>
        <charset val="134"/>
      </rPr>
      <t xml:space="preserve">ステップ1：
</t>
    </r>
    <r>
      <rPr>
        <sz val="10"/>
        <color rgb="FF000000"/>
        <rFont val="游ゴシック"/>
        <charset val="134"/>
      </rPr>
      <t xml:space="preserve">Gửi GET「/api/v1/file-download/{file_download_id}/download」trên tab Network của DevTools (tên file half-width)
</t>
    </r>
    <r>
      <rPr>
        <b/>
        <sz val="10"/>
        <color rgb="FF000000"/>
        <rFont val="游ゴシック"/>
        <charset val="134"/>
      </rPr>
      <t xml:space="preserve">ステップ2：
</t>
    </r>
    <r>
      <rPr>
        <sz val="10"/>
        <color rgb="FF000000"/>
        <rFont val="游ゴシック"/>
        <charset val="134"/>
      </rPr>
      <t xml:space="preserve">Kiểm tra `Content-Type` `Content-Disposition` `Content-Length` `Cache-Control` của response header
</t>
    </r>
    <r>
      <rPr>
        <b/>
        <sz val="10"/>
        <color rgb="FF000000"/>
        <rFont val="游ゴシック"/>
        <charset val="134"/>
      </rPr>
      <t xml:space="preserve">ステップ3：
</t>
    </r>
    <r>
      <rPr>
        <sz val="10"/>
        <color rgb="FF000000"/>
        <rFont val="游ゴシック"/>
        <charset val="134"/>
      </rPr>
      <t xml:space="preserve">Gửi tương tự với file có tên chứa tiếng Nhật và kiểm tra `Content-Disposition`
</t>
    </r>
    <r>
      <rPr>
        <b/>
        <sz val="10"/>
        <color rgb="FF000000"/>
        <rFont val="游ゴシック"/>
        <charset val="134"/>
      </rPr>
      <t xml:space="preserve">ステップ4：
</t>
    </r>
    <r>
      <rPr>
        <sz val="10"/>
        <color rgb="FF000000"/>
        <rFont val="游ゴシック"/>
        <charset val="134"/>
      </rPr>
      <t>Kiểm tra tên file đã lưu</t>
    </r>
  </si>
  <si>
    <r>
      <rPr>
        <b/>
        <sz val="10"/>
        <color rgb="FF000000"/>
        <rFont val="メイリオ"/>
        <charset val="134"/>
      </rPr>
      <t xml:space="preserve">ステップ1：
</t>
    </r>
    <r>
      <rPr>
        <sz val="10"/>
        <color rgb="FF000000"/>
        <rFont val="メイリオ"/>
        <charset val="134"/>
      </rPr>
      <t xml:space="preserve">Trả về HTTP 200
</t>
    </r>
    <r>
      <rPr>
        <b/>
        <sz val="10"/>
        <color rgb="FF000000"/>
        <rFont val="メイリオ"/>
        <charset val="134"/>
      </rPr>
      <t xml:space="preserve">ステップ2：
</t>
    </r>
    <r>
      <rPr>
        <sz val="10"/>
        <color rgb="FF000000"/>
        <rFont val="メイリオ"/>
        <charset val="134"/>
      </rPr>
      <t xml:space="preserve">・`Content-Type` là giá trị tương ứng phần mở rộng của file
</t>
    </r>
    <r>
      <rPr>
        <sz val="10"/>
        <color rgb="FF000000"/>
        <rFont val="メイリオ"/>
        <charset val="134"/>
      </rPr>
      <t xml:space="preserve">・`Content-Disposition` bắt đầu bằng `attachment` và chứa `filename`
</t>
    </r>
    <r>
      <rPr>
        <sz val="10"/>
        <color rgb="FF000000"/>
        <rFont val="メイリオ"/>
        <charset val="134"/>
      </rPr>
      <t xml:space="preserve">・`Content-Length` khớp với `t_file_download.file_size`
</t>
    </r>
    <r>
      <rPr>
        <sz val="10"/>
        <color rgb="FF000000"/>
        <rFont val="メイリオ"/>
        <charset val="134"/>
      </rPr>
      <t xml:space="preserve">・`Cache-Control` là `no-store`
</t>
    </r>
    <r>
      <rPr>
        <b/>
        <sz val="10"/>
        <color rgb="FF000000"/>
        <rFont val="メイリオ"/>
        <charset val="134"/>
      </rPr>
      <t xml:space="preserve">ステップ3：
</t>
    </r>
    <r>
      <rPr>
        <sz val="10"/>
        <color rgb="FF000000"/>
        <rFont val="メイリオ"/>
        <charset val="134"/>
      </rPr>
      <t xml:space="preserve">Có ghi kèm parameter dạng `filename*=UTF-8''`
</t>
    </r>
    <r>
      <rPr>
        <b/>
        <sz val="10"/>
        <color rgb="FF000000"/>
        <rFont val="メイリオ"/>
        <charset val="134"/>
      </rPr>
      <t xml:space="preserve">ステップ4：
</t>
    </r>
    <r>
      <rPr>
        <sz val="10"/>
        <color rgb="FF000000"/>
        <rFont val="メイリオ"/>
        <charset val="134"/>
      </rPr>
      <t xml:space="preserve">Tên file tiếng Nhật được lưu không bị lỗi font
</t>
    </r>
    <r>
      <rPr>
        <b/>
        <sz val="10"/>
        <color rgb="FF000000"/>
        <rFont val="メイリオ"/>
        <charset val="134"/>
      </rPr>
      <t xml:space="preserve">補足：
</t>
    </r>
    <r>
      <rPr>
        <sz val="10"/>
        <color rgb="FF000000"/>
        <rFont val="メイリオ"/>
        <charset val="134"/>
      </rPr>
      <t>・Nhờ `Cache-Control: no-store`, nội dung file không được trình duyệt giữ lại</t>
    </r>
  </si>
  <si>
    <t>ACSMS-TC-022-056</t>
  </si>
  <si>
    <t>Thực hiện download khi chưa chọn file</t>
  </si>
  <si>
    <r>
      <rPr>
        <b/>
        <sz val="10"/>
        <color rgb="FF000000"/>
        <rFont val="游ゴシック"/>
        <charset val="134"/>
      </rPr>
      <t xml:space="preserve">ステップ1：
</t>
    </r>
    <r>
      <rPr>
        <sz val="10"/>
        <color rgb="FF000000"/>
        <rFont val="游ゴシック"/>
        <charset val="134"/>
      </rPr>
      <t xml:space="preserve">Mở「/file-download」, kiểm tra trạng thái button「ダウンロード実行」khi chưa chọn checkbox
</t>
    </r>
    <r>
      <rPr>
        <b/>
        <sz val="10"/>
        <color rgb="FF000000"/>
        <rFont val="游ゴシック"/>
        <charset val="134"/>
      </rPr>
      <t xml:space="preserve">ステップ2：
</t>
    </r>
    <r>
      <rPr>
        <sz val="10"/>
        <color rgb="FF000000"/>
        <rFont val="游ゴシック"/>
        <charset val="134"/>
      </rPr>
      <t xml:space="preserve">Bỏ trạng thái disable của button「ダウンロード実行」từ Console của DevTools và nhấn
</t>
    </r>
    <r>
      <rPr>
        <b/>
        <sz val="10"/>
        <color rgb="FF000000"/>
        <rFont val="游ゴシック"/>
        <charset val="134"/>
      </rPr>
      <t xml:space="preserve">ステップ3：
</t>
    </r>
    <r>
      <rPr>
        <sz val="10"/>
        <color rgb="FF000000"/>
        <rFont val="游ゴシック"/>
        <charset val="134"/>
      </rPr>
      <t>Kiểm tra có gửi request hay không trên tab Network của DevTools</t>
    </r>
  </si>
  <si>
    <r>
      <rPr>
        <b/>
        <sz val="10"/>
        <color rgb="FF000000"/>
        <rFont val="游ゴシック"/>
        <charset val="134"/>
      </rPr>
      <t xml:space="preserve">ステップ1：
</t>
    </r>
    <r>
      <rPr>
        <sz val="10"/>
        <color rgb="FF000000"/>
        <rFont val="游ゴシック"/>
        <charset val="134"/>
      </rPr>
      <t xml:space="preserve">Button「ダウンロード実行」hiển thị ở trạng thái disable
</t>
    </r>
    <r>
      <rPr>
        <b/>
        <sz val="10"/>
        <color rgb="FF000000"/>
        <rFont val="游ゴシック"/>
        <charset val="134"/>
      </rPr>
      <t xml:space="preserve">ステップ2：
</t>
    </r>
    <r>
      <rPr>
        <sz val="10"/>
        <color rgb="FF000000"/>
        <rFont val="游ゴシック"/>
        <charset val="134"/>
      </rPr>
      <t xml:space="preserve">Dialog lưu file không được hiển thị
</t>
    </r>
    <r>
      <rPr>
        <b/>
        <sz val="10"/>
        <color rgb="FF000000"/>
        <rFont val="游ゴシック"/>
        <charset val="134"/>
      </rPr>
      <t xml:space="preserve">ステップ3：
</t>
    </r>
    <r>
      <rPr>
        <sz val="10"/>
        <color rgb="FF000000"/>
        <rFont val="游ゴシック"/>
        <charset val="134"/>
      </rPr>
      <t xml:space="preserve">Request download không được gửi
</t>
    </r>
    <r>
      <rPr>
        <b/>
        <sz val="10"/>
        <color rgb="FF000000"/>
        <rFont val="游ゴシック"/>
        <charset val="134"/>
      </rPr>
      <t xml:space="preserve">補足：
</t>
    </r>
    <r>
      <rPr>
        <sz val="10"/>
        <color rgb="FF000000"/>
        <rFont val="游ゴシック"/>
        <charset val="134"/>
      </rPr>
      <t>・Khi chưa chọn thì log thao tác không được ghi</t>
    </r>
  </si>
  <si>
    <t>ACSMS-TC-022-057</t>
  </si>
  <si>
    <t>Download hàng loạt bằng cách chọn nhiều file</t>
  </si>
  <si>
    <t>・role: NICHINO_ADMIN
・Đã login (đã xác thực 2 bước)
・Có quyền「file.download」
・Đã có từ 3 file `nichino_download_allowed_flg = true`
・Thực thể của từng file tồn tại trên S3</t>
  </si>
  <si>
    <r>
      <rPr>
        <b/>
        <sz val="10"/>
        <color rgb="FF000000"/>
        <rFont val="メイリオ"/>
        <charset val="134"/>
      </rPr>
      <t xml:space="preserve">ステップ1：
</t>
    </r>
    <r>
      <rPr>
        <sz val="10"/>
        <color rgb="FF000000"/>
        <rFont val="メイリオ"/>
        <charset val="134"/>
      </rPr>
      <t xml:space="preserve">Ghi lại số lượng log thao tác trước khi test trên DB
</t>
    </r>
    <r>
      <rPr>
        <sz val="10"/>
        <color rgb="FF000000"/>
        <rFont val="メイリオ"/>
        <charset val="134"/>
      </rPr>
      <t xml:space="preserve">```sql
</t>
    </r>
    <r>
      <rPr>
        <sz val="10"/>
        <color rgb="FF000000"/>
        <rFont val="メイリオ"/>
        <charset val="134"/>
      </rPr>
      <t xml:space="preserve">SELECT COUNT(*) AS log_count
</t>
    </r>
    <r>
      <rPr>
        <sz val="10"/>
        <color rgb="FF000000"/>
        <rFont val="メイリオ"/>
        <charset val="134"/>
      </rPr>
      <t xml:space="preserve">FROM t_log WHERE log_type = 4;
</t>
    </r>
    <r>
      <rPr>
        <sz val="10"/>
        <color rgb="FF000000"/>
        <rFont val="メイリオ"/>
        <charset val="134"/>
      </rPr>
      <t xml:space="preserve">```
</t>
    </r>
    <r>
      <rPr>
        <b/>
        <sz val="10"/>
        <color rgb="FF000000"/>
        <rFont val="メイリオ"/>
        <charset val="134"/>
      </rPr>
      <t xml:space="preserve">ステップ2：
</t>
    </r>
    <r>
      <rPr>
        <sz val="10"/>
        <color rgb="FF000000"/>
        <rFont val="メイリオ"/>
        <charset val="134"/>
      </rPr>
      <t xml:space="preserve">Mở「/file-download」và chọn 3 checkbox
</t>
    </r>
    <r>
      <rPr>
        <b/>
        <sz val="10"/>
        <color rgb="FF000000"/>
        <rFont val="メイリオ"/>
        <charset val="134"/>
      </rPr>
      <t xml:space="preserve">ステップ3：
</t>
    </r>
    <r>
      <rPr>
        <sz val="10"/>
        <color rgb="FF000000"/>
        <rFont val="メイリオ"/>
        <charset val="134"/>
      </rPr>
      <t xml:space="preserve">Click button「ダウンロード実行」
</t>
    </r>
    <r>
      <rPr>
        <b/>
        <sz val="10"/>
        <color rgb="FF000000"/>
        <rFont val="メイリオ"/>
        <charset val="134"/>
      </rPr>
      <t xml:space="preserve">ステップ4：
</t>
    </r>
    <r>
      <rPr>
        <sz val="10"/>
        <color rgb="FF000000"/>
        <rFont val="メイリオ"/>
        <charset val="134"/>
      </rPr>
      <t xml:space="preserve">Kiểm tra request và response header của POST「/api/v1/file-download/download-zip」trên tab Network của DevTools
</t>
    </r>
    <r>
      <rPr>
        <b/>
        <sz val="10"/>
        <color rgb="FF000000"/>
        <rFont val="メイリオ"/>
        <charset val="134"/>
      </rPr>
      <t xml:space="preserve">ステップ5：
</t>
    </r>
    <r>
      <rPr>
        <sz val="10"/>
        <color rgb="FF000000"/>
        <rFont val="メイリオ"/>
        <charset val="134"/>
      </rPr>
      <t xml:space="preserve">Giải nén ZIP đã lưu và kiểm tra số file bên trong
</t>
    </r>
    <r>
      <rPr>
        <b/>
        <sz val="10"/>
        <color rgb="FF000000"/>
        <rFont val="メイリオ"/>
        <charset val="134"/>
      </rPr>
      <t xml:space="preserve">ステップ6：
</t>
    </r>
    <r>
      <rPr>
        <sz val="10"/>
        <color rgb="FF000000"/>
        <rFont val="メイリオ"/>
        <charset val="134"/>
      </rPr>
      <t>Kiểm tra số lượng tăng và nội dung log thao tác trên DB</t>
    </r>
  </si>
  <si>
    <r>
      <rPr>
        <b/>
        <sz val="10"/>
        <color rgb="FF000000"/>
        <rFont val="メイリオ"/>
        <charset val="134"/>
      </rPr>
      <t xml:space="preserve">ステップ1：
</t>
    </r>
    <r>
      <rPr>
        <sz val="10"/>
        <color rgb="FF000000"/>
        <rFont val="メイリオ"/>
        <charset val="134"/>
      </rPr>
      <t xml:space="preserve">Lấy được số lượng trước khi test
</t>
    </r>
    <r>
      <rPr>
        <b/>
        <sz val="10"/>
        <color rgb="FF000000"/>
        <rFont val="メイリオ"/>
        <charset val="134"/>
      </rPr>
      <t xml:space="preserve">ステップ2：
</t>
    </r>
    <r>
      <rPr>
        <sz val="10"/>
        <color rgb="FF000000"/>
        <rFont val="メイリオ"/>
        <charset val="134"/>
      </rPr>
      <t xml:space="preserve">3 dòng được highlight
</t>
    </r>
    <r>
      <rPr>
        <b/>
        <sz val="10"/>
        <color rgb="FF000000"/>
        <rFont val="メイリオ"/>
        <charset val="134"/>
      </rPr>
      <t xml:space="preserve">ステップ3：
</t>
    </r>
    <r>
      <rPr>
        <sz val="10"/>
        <color rgb="FF000000"/>
        <rFont val="メイリオ"/>
        <charset val="134"/>
      </rPr>
      <t xml:space="preserve">Dialog lưu file được hiển thị, hiển thị toast「ダウンロードが完了しました。」
</t>
    </r>
    <r>
      <rPr>
        <b/>
        <sz val="10"/>
        <color rgb="FF000000"/>
        <rFont val="メイリオ"/>
        <charset val="134"/>
      </rPr>
      <t xml:space="preserve">ステップ4：
</t>
    </r>
    <r>
      <rPr>
        <sz val="10"/>
        <color rgb="FF000000"/>
        <rFont val="メイリオ"/>
        <charset val="134"/>
      </rPr>
      <t xml:space="preserve">・Trả về HTTP 200
</t>
    </r>
    <r>
      <rPr>
        <sz val="10"/>
        <color rgb="FF000000"/>
        <rFont val="メイリオ"/>
        <charset val="134"/>
      </rPr>
      <t xml:space="preserve">・`file_download_ids` trong request body chứa 3 ID
</t>
    </r>
    <r>
      <rPr>
        <sz val="10"/>
        <color rgb="FF000000"/>
        <rFont val="メイリオ"/>
        <charset val="134"/>
      </rPr>
      <t xml:space="preserve">・`Content-Type` là `application/zip`
</t>
    </r>
    <r>
      <rPr>
        <sz val="10"/>
        <color rgb="FF000000"/>
        <rFont val="メイリオ"/>
        <charset val="134"/>
      </rPr>
      <t xml:space="preserve">・Tên file trong `Content-Disposition` bắt đầu bằng `files_`
</t>
    </r>
    <r>
      <rPr>
        <b/>
        <sz val="10"/>
        <color rgb="FF000000"/>
        <rFont val="メイリオ"/>
        <charset val="134"/>
      </rPr>
      <t xml:space="preserve">ステップ5：
</t>
    </r>
    <r>
      <rPr>
        <sz val="10"/>
        <color rgb="FF000000"/>
        <rFont val="メイリオ"/>
        <charset val="134"/>
      </rPr>
      <t xml:space="preserve">Trong ZIP chứa 3 file, nội dung đều không bị hỏng
</t>
    </r>
    <r>
      <rPr>
        <b/>
        <sz val="10"/>
        <color rgb="FF000000"/>
        <rFont val="メイリオ"/>
        <charset val="134"/>
      </rPr>
      <t xml:space="preserve">ステップ6：
</t>
    </r>
    <r>
      <rPr>
        <sz val="10"/>
        <color rgb="FF000000"/>
        <rFont val="メイリオ"/>
        <charset val="134"/>
      </rPr>
      <t xml:space="preserve">Log thao tác chỉ tăng 1 bản ghi, `after_value` ghi danh sách ID đối tượng và số lượng
</t>
    </r>
    <r>
      <rPr>
        <b/>
        <sz val="10"/>
        <color rgb="FF000000"/>
        <rFont val="メイリオ"/>
        <charset val="134"/>
      </rPr>
      <t xml:space="preserve">補足：
</t>
    </r>
    <r>
      <rPr>
        <sz val="10"/>
        <color rgb="FF000000"/>
        <rFont val="メイリオ"/>
        <charset val="134"/>
      </rPr>
      <t xml:space="preserve">・Download hàng loạt chỉ ghi 1 log thao tác bất kể số file đối tượng
</t>
    </r>
    <r>
      <rPr>
        <sz val="10"/>
        <color rgb="FF000000"/>
        <rFont val="メイリオ"/>
        <charset val="134"/>
      </rPr>
      <t>・Không đăng ký mới vào `t_file_download`</t>
    </r>
  </si>
  <si>
    <t>ACSMS-TC-022-058</t>
  </si>
  <si>
    <t>Download hàng loạt — 50 file (giá trị biên trên)</t>
  </si>
  <si>
    <t>・role: NICHINO_ADMIN
・Đã login (đã xác thực 2 bước)
・Có quyền「file.download」
・Đã có từ 50 file trở lên có thể download</t>
  </si>
  <si>
    <r>
      <rPr>
        <b/>
        <sz val="10"/>
        <color rgb="FF000000"/>
        <rFont val="メイリオ"/>
        <charset val="134"/>
      </rPr>
      <t xml:space="preserve">ステップ1：
</t>
    </r>
    <r>
      <rPr>
        <sz val="10"/>
        <color rgb="FF000000"/>
        <rFont val="メイリオ"/>
        <charset val="134"/>
      </rPr>
      <t xml:space="preserve">Mở「/file-download」và đổi số lượng hiển thị thành「50 / 頁」
</t>
    </r>
    <r>
      <rPr>
        <b/>
        <sz val="10"/>
        <color rgb="FF000000"/>
        <rFont val="メイリオ"/>
        <charset val="134"/>
      </rPr>
      <t xml:space="preserve">ステップ2：
</t>
    </r>
    <r>
      <rPr>
        <sz val="10"/>
        <color rgb="FF000000"/>
        <rFont val="メイリオ"/>
        <charset val="134"/>
      </rPr>
      <t xml:space="preserve">Chọn 50 file bằng checkbox chọn tất cả trên header
</t>
    </r>
    <r>
      <rPr>
        <b/>
        <sz val="10"/>
        <color rgb="FF000000"/>
        <rFont val="メイリオ"/>
        <charset val="134"/>
      </rPr>
      <t xml:space="preserve">ステップ3：
</t>
    </r>
    <r>
      <rPr>
        <sz val="10"/>
        <color rgb="FF000000"/>
        <rFont val="メイリオ"/>
        <charset val="134"/>
      </rPr>
      <t xml:space="preserve">Click button「ダウンロード実行」
</t>
    </r>
    <r>
      <rPr>
        <b/>
        <sz val="10"/>
        <color rgb="FF000000"/>
        <rFont val="メイリオ"/>
        <charset val="134"/>
      </rPr>
      <t xml:space="preserve">ステップ4：
</t>
    </r>
    <r>
      <rPr>
        <sz val="10"/>
        <color rgb="FF000000"/>
        <rFont val="メイリオ"/>
        <charset val="134"/>
      </rPr>
      <t>Giải nén ZIP đã lưu và kiểm tra số file bên trong</t>
    </r>
  </si>
  <si>
    <r>
      <rPr>
        <b/>
        <sz val="10"/>
        <color rgb="FF000000"/>
        <rFont val="メイリオ"/>
        <charset val="134"/>
      </rPr>
      <t xml:space="preserve">ステップ1：
</t>
    </r>
    <r>
      <rPr>
        <sz val="10"/>
        <color rgb="FF000000"/>
        <rFont val="メイリオ"/>
        <charset val="134"/>
      </rPr>
      <t xml:space="preserve">Hiển thị 50 file
</t>
    </r>
    <r>
      <rPr>
        <b/>
        <sz val="10"/>
        <color rgb="FF000000"/>
        <rFont val="メイリオ"/>
        <charset val="134"/>
      </rPr>
      <t xml:space="preserve">ステップ2：
</t>
    </r>
    <r>
      <rPr>
        <sz val="10"/>
        <color rgb="FF000000"/>
        <rFont val="メイリオ"/>
        <charset val="134"/>
      </rPr>
      <t xml:space="preserve">50 dòng ở trạng thái được chọn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・Hiển thị toast「ダウンロードが完了しました。」
</t>
    </r>
    <r>
      <rPr>
        <b/>
        <sz val="10"/>
        <color rgb="FF000000"/>
        <rFont val="メイリオ"/>
        <charset val="134"/>
      </rPr>
      <t xml:space="preserve">ステップ4：
</t>
    </r>
    <r>
      <rPr>
        <sz val="10"/>
        <color rgb="FF000000"/>
        <rFont val="メイリオ"/>
        <charset val="134"/>
      </rPr>
      <t xml:space="preserve">Trong ZIP chứa 50 file
</t>
    </r>
    <r>
      <rPr>
        <b/>
        <sz val="10"/>
        <color rgb="FF000000"/>
        <rFont val="メイリオ"/>
        <charset val="134"/>
      </rPr>
      <t xml:space="preserve">補足：
</t>
    </r>
    <r>
      <rPr>
        <sz val="10"/>
        <color rgb="FF000000"/>
        <rFont val="メイリオ"/>
        <charset val="134"/>
      </rPr>
      <t>・Chấp nhận giá trị biên trên là 50 file</t>
    </r>
  </si>
  <si>
    <t>ACSMS-TC-022-059</t>
  </si>
  <si>
    <t>Download hàng loạt — 51 file (vượt giá trị biên trên)</t>
  </si>
  <si>
    <t>・role: NICHINO_ADMIN
・Đã login (đã xác thực 2 bước)
・Có quyền「file.download」
・Đã có từ 51 file trở lên có thể download</t>
  </si>
  <si>
    <r>
      <rPr>
        <b/>
        <sz val="10"/>
        <color rgb="FF000000"/>
        <rFont val="游ゴシック"/>
        <charset val="134"/>
      </rPr>
      <t xml:space="preserve">ステップ1：
</t>
    </r>
    <r>
      <rPr>
        <sz val="10"/>
        <color rgb="FF000000"/>
        <rFont val="游ゴシック"/>
        <charset val="134"/>
      </rPr>
      <t xml:space="preserve">Gửi POST「/api/v1/file-download/download-zip」với request body chứa 51 ID trên tab Network của DevTools
</t>
    </r>
    <r>
      <rPr>
        <b/>
        <sz val="10"/>
        <color rgb="FF000000"/>
        <rFont val="游ゴシック"/>
        <charset val="134"/>
      </rPr>
      <t xml:space="preserve">ステップ2：
</t>
    </r>
    <r>
      <rPr>
        <sz val="10"/>
        <color rgb="FF000000"/>
        <rFont val="游ゴシック"/>
        <charset val="134"/>
      </rPr>
      <t xml:space="preserve">Kiểm tra mảng `errors` của response
</t>
    </r>
    <r>
      <rPr>
        <b/>
        <sz val="10"/>
        <color rgb="FF000000"/>
        <rFont val="游ゴシック"/>
        <charset val="134"/>
      </rPr>
      <t xml:space="preserve">ステップ3：
</t>
    </r>
    <r>
      <rPr>
        <sz val="10"/>
        <color rgb="FF000000"/>
        <rFont val="游ゴシック"/>
        <charset val="134"/>
      </rPr>
      <t>Xác nhận log thao tác không được ghi trên DB
```sql
SELECT COUNT(*) FROM t_log
WHERE log_type = 4
AND log_datetime &gt; NOW() - INTERVAL '1 minute';
```</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</si>
  <si>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ステップ2：
</t>
    </r>
    <r>
      <rPr>
        <sz val="10"/>
        <color rgb="FF000000"/>
        <rFont val="メイリオ"/>
        <charset val="134"/>
      </rPr>
      <t xml:space="preserve">`errors` chứa `{ "field": "file_download_ids", "message": "一括ダウンロードは最大50件までです。" }`
</t>
    </r>
    <r>
      <rPr>
        <b/>
        <sz val="10"/>
        <color rgb="FF000000"/>
        <rFont val="メイリオ"/>
        <charset val="134"/>
      </rPr>
      <t xml:space="preserve">ステップ3：
</t>
    </r>
    <r>
      <rPr>
        <sz val="10"/>
        <color rgb="FF000000"/>
        <rFont val="メイリオ"/>
        <charset val="134"/>
      </rPr>
      <t xml:space="preserve">Log thao tác không được ghi
</t>
    </r>
    <r>
      <rPr>
        <b/>
        <sz val="10"/>
        <color rgb="FF000000"/>
        <rFont val="メイリオ"/>
        <charset val="134"/>
      </rPr>
      <t xml:space="preserve">補足：
</t>
    </r>
    <r>
      <rPr>
        <sz val="10"/>
        <color rgb="FF000000"/>
        <rFont val="メイリオ"/>
        <charset val="134"/>
      </rPr>
      <t>・Yêu cầu vượt giá trị biên trên không bắt đầu tạo ZIP, bị từ chối ở giai đoạn kiểm tra</t>
    </r>
  </si>
  <si>
    <t>ACSMS-TC-022-060</t>
  </si>
  <si>
    <t>Download hàng loạt — gửi trực tiếp mảng rỗng</t>
  </si>
  <si>
    <r>
      <rPr>
        <b/>
        <sz val="10"/>
        <color rgb="FF000000"/>
        <rFont val="メイリオ"/>
        <charset val="134"/>
      </rPr>
      <t xml:space="preserve">ステップ1：
</t>
    </r>
    <r>
      <rPr>
        <sz val="10"/>
        <color rgb="FF000000"/>
        <rFont val="メイリオ"/>
        <charset val="134"/>
      </rPr>
      <t xml:space="preserve">Gửi POST「/api/v1/file-download/download-zip」với request body `{ "file_download_ids": [] }` trên tab Network của DevTools
</t>
    </r>
    <r>
      <rPr>
        <b/>
        <sz val="10"/>
        <color rgb="FF000000"/>
        <rFont val="メイリオ"/>
        <charset val="134"/>
      </rPr>
      <t xml:space="preserve">ステップ2：
</t>
    </r>
    <r>
      <rPr>
        <sz val="10"/>
        <color rgb="FF000000"/>
        <rFont val="メイリオ"/>
        <charset val="134"/>
      </rPr>
      <t xml:space="preserve">Kiểm tra mảng `errors` của response
</t>
    </r>
    <r>
      <rPr>
        <b/>
        <sz val="10"/>
        <color rgb="FF000000"/>
        <rFont val="メイリオ"/>
        <charset val="134"/>
      </rPr>
      <t xml:space="preserve">ステップ3：
</t>
    </r>
    <r>
      <rPr>
        <sz val="10"/>
        <color rgb="FF000000"/>
        <rFont val="メイリオ"/>
        <charset val="134"/>
      </rPr>
      <t>Gửi request body `{}` (bỏ qua chính mục đó)</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</si>
  <si>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ステップ2：
</t>
    </r>
    <r>
      <rPr>
        <sz val="10"/>
        <color rgb="FF000000"/>
        <rFont val="メイリオ"/>
        <charset val="134"/>
      </rPr>
      <t xml:space="preserve">`errors` chứa `{ "field": "file_download_ids", "message": "ファイルを選択してください。" }`
</t>
    </r>
    <r>
      <rPr>
        <b/>
        <sz val="10"/>
        <color rgb="FF000000"/>
        <rFont val="メイリオ"/>
        <charset val="134"/>
      </rPr>
      <t xml:space="preserve">ステップ3：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補足：
</t>
    </r>
    <r>
      <rPr>
        <sz val="10"/>
        <color rgb="FF000000"/>
        <rFont val="メイリオ"/>
        <charset val="134"/>
      </rPr>
      <t>・Hiển thị lỗi required</t>
    </r>
  </si>
  <si>
    <t>ACSMS-TC-022-061</t>
  </si>
  <si>
    <t>Download hàng loạt — chỉ định ID trùng lặp</t>
  </si>
  <si>
    <t>・role: NICHINO_ADMIN
・Đã login (đã xác thực 2 bước)
・Có quyền「file.download」
・Đã có từ 2 file trở lên có thể download</t>
  </si>
  <si>
    <r>
      <rPr>
        <b/>
        <sz val="10"/>
        <color rgb="FF000000"/>
        <rFont val="メイリオ"/>
        <charset val="134"/>
      </rPr>
      <t xml:space="preserve">ステップ1：
</t>
    </r>
    <r>
      <rPr>
        <sz val="10"/>
        <color rgb="FF000000"/>
        <rFont val="メイリオ"/>
        <charset val="134"/>
      </rPr>
      <t xml:space="preserve">Gửi POST「/api/v1/file-download/download-zip」với request body `{ "file_download_ids": [101, 101, 102] }` trên tab Network của DevTools
</t>
    </r>
    <r>
      <rPr>
        <b/>
        <sz val="10"/>
        <color rgb="FF000000"/>
        <rFont val="メイリオ"/>
        <charset val="134"/>
      </rPr>
      <t xml:space="preserve">ステップ2：
</t>
    </r>
    <r>
      <rPr>
        <sz val="10"/>
        <color rgb="FF000000"/>
        <rFont val="メイリオ"/>
        <charset val="134"/>
      </rPr>
      <t xml:space="preserve">Kiểm tra mảng `errors` của response
</t>
    </r>
    <r>
      <rPr>
        <b/>
        <sz val="10"/>
        <color rgb="FF000000"/>
        <rFont val="メイリオ"/>
        <charset val="134"/>
      </rPr>
      <t xml:space="preserve">ステップ3：
</t>
    </r>
    <r>
      <rPr>
        <sz val="10"/>
        <color rgb="FF000000"/>
        <rFont val="メイリオ"/>
        <charset val="134"/>
      </rPr>
      <t>Gửi request body đã loại trùng `{ "file_download_ids": [101, 102] }`</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</si>
  <si>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ステップ2：
</t>
    </r>
    <r>
      <rPr>
        <sz val="10"/>
        <color rgb="FF000000"/>
        <rFont val="メイリオ"/>
        <charset val="134"/>
      </rPr>
      <t xml:space="preserve">`errors` chứa `{ "field": "file_download_ids", "message": "ファイルIDが重複しています。" }`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・Trong ZIP chứa 2 file
</t>
    </r>
    <r>
      <rPr>
        <b/>
        <sz val="10"/>
        <color rgb="FF000000"/>
        <rFont val="メイリオ"/>
        <charset val="134"/>
      </rPr>
      <t xml:space="preserve">補足：
</t>
    </r>
    <r>
      <rPr>
        <sz val="10"/>
        <color rgb="FF000000"/>
        <rFont val="メイリオ"/>
        <charset val="134"/>
      </rPr>
      <t>・Từ chối yêu cầu chứa ID trùng lặp, ngăn việc chứa trùng cùng một file</t>
    </r>
  </si>
  <si>
    <t>ACSMS-TC-022-062</t>
  </si>
  <si>
    <t>Download hàng loạt — chỉ định ID không phải số nguyên</t>
  </si>
  <si>
    <r>
      <rPr>
        <b/>
        <sz val="10"/>
        <color rgb="FF000000"/>
        <rFont val="メイリオ"/>
        <charset val="134"/>
      </rPr>
      <t xml:space="preserve">ステップ1：
</t>
    </r>
    <r>
      <rPr>
        <sz val="10"/>
        <color rgb="FF000000"/>
        <rFont val="メイリオ"/>
        <charset val="134"/>
      </rPr>
      <t xml:space="preserve">Gửi POST「/api/v1/file-download/download-zip」với request body `{ "file_download_ids": ["abc"] }` trên tab Network của DevTools
</t>
    </r>
    <r>
      <rPr>
        <b/>
        <sz val="10"/>
        <color rgb="FF000000"/>
        <rFont val="メイリオ"/>
        <charset val="134"/>
      </rPr>
      <t xml:space="preserve">ステップ2：
</t>
    </r>
    <r>
      <rPr>
        <sz val="10"/>
        <color rgb="FF000000"/>
        <rFont val="メイリオ"/>
        <charset val="134"/>
      </rPr>
      <t xml:space="preserve">Gửi request body `{ "file_download_ids": [1.5] }`
</t>
    </r>
    <r>
      <rPr>
        <b/>
        <sz val="10"/>
        <color rgb="FF000000"/>
        <rFont val="メイリオ"/>
        <charset val="134"/>
      </rPr>
      <t xml:space="preserve">ステップ3：
</t>
    </r>
    <r>
      <rPr>
        <sz val="10"/>
        <color rgb="FF000000"/>
        <rFont val="メイリオ"/>
        <charset val="134"/>
      </rPr>
      <t xml:space="preserve">Gửi request body `{ "file_download_ids": "101" }` (không phải mảng)
</t>
    </r>
    <r>
      <rPr>
        <b/>
        <sz val="10"/>
        <color rgb="FF000000"/>
        <rFont val="メイリオ"/>
        <charset val="134"/>
      </rPr>
      <t xml:space="preserve">ステップ4：
</t>
    </r>
    <r>
      <rPr>
        <sz val="10"/>
        <color rgb="FF000000"/>
        <rFont val="メイリオ"/>
        <charset val="134"/>
      </rPr>
      <t>Kiểm tra mảng `errors` của tất cả response</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</si>
  <si>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ステップ2：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ステップ3：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ステップ4：
</t>
    </r>
    <r>
      <rPr>
        <sz val="10"/>
        <color rgb="FF000000"/>
        <rFont val="メイリオ"/>
        <charset val="134"/>
      </rPr>
      <t xml:space="preserve">`errors` chứa `{ "field": "file_download_ids", "message": "ファイルIDは整数で指定してください。" }` hoặc `{ "field": "file_download_ids", "message": "ファイルIDの形式が不正です。" }`
</t>
    </r>
    <r>
      <rPr>
        <b/>
        <sz val="10"/>
        <color rgb="FF000000"/>
        <rFont val="メイリオ"/>
        <charset val="134"/>
      </rPr>
      <t xml:space="preserve">補足：
</t>
    </r>
    <r>
      <rPr>
        <sz val="10"/>
        <color rgb="FF000000"/>
        <rFont val="メイリオ"/>
        <charset val="134"/>
      </rPr>
      <t xml:space="preserve">・Hiển thị lỗi format
</t>
    </r>
    <r>
      <rPr>
        <sz val="10"/>
        <color rgb="FF000000"/>
        <rFont val="メイリオ"/>
        <charset val="134"/>
      </rPr>
      <t>・Yêu cầu sai kiểu dữ liệu không bắt đầu tạo ZIP</t>
    </r>
  </si>
  <si>
    <t>`ファイルIDの形式が不正です。` không có trong danh sách error message của tài liệu thiết kế API, nguồn là định nghĩa DTO của implement (trả về khi gửi giá trị không phải mảng). Khuyến nghị bổ sung message vào tài liệu thiết kế API.</t>
  </si>
  <si>
    <t>ACSMS-TC-022-063</t>
  </si>
  <si>
    <t>Thử download trực tiếp file ngoài phạm vi tham chiếu</t>
  </si>
  <si>
    <t>・role: CHUOKAI
・Đã login (đã xác thực 2 bước)
・Có quyền「file.download」
・Session được phát hành với `todofuken_code` =「13」(Tokyo)
・Đã có file thuộc JA của Osaka (ghi lại `file_download_id`)</t>
  </si>
  <si>
    <r>
      <rPr>
        <b/>
        <sz val="10"/>
        <color rgb="FF000000"/>
        <rFont val="メイリオ"/>
        <charset val="134"/>
      </rPr>
      <t xml:space="preserve">ステップ1：
</t>
    </r>
    <r>
      <rPr>
        <sz val="10"/>
        <color rgb="FF000000"/>
        <rFont val="メイリオ"/>
        <charset val="134"/>
      </rPr>
      <t xml:space="preserve">Mở「/file-download」, xác nhận file của Osaka không hiển thị trong danh sách
</t>
    </r>
    <r>
      <rPr>
        <b/>
        <sz val="10"/>
        <color rgb="FF000000"/>
        <rFont val="メイリオ"/>
        <charset val="134"/>
      </rPr>
      <t xml:space="preserve">ステップ2：
</t>
    </r>
    <r>
      <rPr>
        <sz val="10"/>
        <color rgb="FF000000"/>
        <rFont val="メイリオ"/>
        <charset val="134"/>
      </rPr>
      <t xml:space="preserve">Gửi GET「/api/v1/file-download/{ID file của Osaka}/download」trên tab Network của DevTools
</t>
    </r>
    <r>
      <rPr>
        <b/>
        <sz val="10"/>
        <color rgb="FF000000"/>
        <rFont val="メイリオ"/>
        <charset val="134"/>
      </rPr>
      <t xml:space="preserve">ステップ3：
</t>
    </r>
    <r>
      <rPr>
        <sz val="10"/>
        <color rgb="FF000000"/>
        <rFont val="メイリオ"/>
        <charset val="134"/>
      </rPr>
      <t xml:space="preserve">Gửi POST「/api/v1/file-download/download-zip」với request body chứa ID đó
</t>
    </r>
    <r>
      <rPr>
        <b/>
        <sz val="10"/>
        <color rgb="FF000000"/>
        <rFont val="メイリオ"/>
        <charset val="134"/>
      </rPr>
      <t xml:space="preserve">ステップ4：
</t>
    </r>
    <r>
      <rPr>
        <sz val="10"/>
        <color rgb="FF000000"/>
        <rFont val="メイリオ"/>
        <charset val="134"/>
      </rPr>
      <t>Xác nhận log thao tác không được ghi trên DB</t>
    </r>
  </si>
  <si>
    <r>
      <rPr>
        <b/>
        <sz val="10"/>
        <color rgb="FF000000"/>
        <rFont val="メイリオ"/>
        <charset val="134"/>
      </rPr>
      <t xml:space="preserve">ステップ1：
</t>
    </r>
    <r>
      <rPr>
        <sz val="10"/>
        <color rgb="FF000000"/>
        <rFont val="メイリオ"/>
        <charset val="134"/>
      </rPr>
      <t xml:space="preserve">File của Osaka không hiển thị
</t>
    </r>
    <r>
      <rPr>
        <b/>
        <sz val="10"/>
        <color rgb="FF000000"/>
        <rFont val="メイリオ"/>
        <charset val="134"/>
      </rPr>
      <t xml:space="preserve">ステップ2：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ステップ3：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ステップ4：
</t>
    </r>
    <r>
      <rPr>
        <sz val="10"/>
        <color rgb="FF000000"/>
        <rFont val="メイリオ"/>
        <charset val="134"/>
      </rPr>
      <t xml:space="preserve">Log thao tác download thành công không được ghi
</t>
    </r>
    <r>
      <rPr>
        <b/>
        <sz val="10"/>
        <color rgb="FF000000"/>
        <rFont val="メイリオ"/>
        <charset val="134"/>
      </rPr>
      <t xml:space="preserve">補足：
</t>
    </r>
    <r>
      <rPr>
        <sz val="10"/>
        <color rgb="FF000000"/>
        <rFont val="メイリオ"/>
        <charset val="134"/>
      </rPr>
      <t>・Dòng hiển thị trong danh sách thì download đơn lẻ cũng qua được, dòng không hiển thị thì không download được</t>
    </r>
  </si>
  <si>
    <t>ACSMS-TC-022-064</t>
  </si>
  <si>
    <t>Role Nichino — từ chối download file có cờ cho phép là false</t>
  </si>
  <si>
    <t>・role: NICHINO_ADMIN
・Đã login (đã xác thực 2 bước)
・Có quyền「file.download」
・Đã có file `nichino_download_allowed_flg = false` do tài khoản khác tạo (ghi lại `file_download_id`)</t>
  </si>
  <si>
    <r>
      <rPr>
        <b/>
        <sz val="10"/>
        <color rgb="FF000000"/>
        <rFont val="メイリオ"/>
        <charset val="134"/>
      </rPr>
      <t xml:space="preserve">ステップ1：
</t>
    </r>
    <r>
      <rPr>
        <sz val="10"/>
        <color rgb="FF000000"/>
        <rFont val="メイリオ"/>
        <charset val="134"/>
      </rPr>
      <t xml:space="preserve">Mở「/file-download」và kiểm tra trạng thái checkbox của dòng file đó
</t>
    </r>
    <r>
      <rPr>
        <b/>
        <sz val="10"/>
        <color rgb="FF000000"/>
        <rFont val="メイリオ"/>
        <charset val="134"/>
      </rPr>
      <t xml:space="preserve">ステップ2：
</t>
    </r>
    <r>
      <rPr>
        <sz val="10"/>
        <color rgb="FF000000"/>
        <rFont val="メイリオ"/>
        <charset val="134"/>
      </rPr>
      <t xml:space="preserve">Gửi GET「/api/v1/file-download/{file_download_id}/download」trên tab Network của DevTools
</t>
    </r>
    <r>
      <rPr>
        <b/>
        <sz val="10"/>
        <color rgb="FF000000"/>
        <rFont val="メイリオ"/>
        <charset val="134"/>
      </rPr>
      <t xml:space="preserve">ステップ3：
</t>
    </r>
    <r>
      <rPr>
        <sz val="10"/>
        <color rgb="FF000000"/>
        <rFont val="メイリオ"/>
        <charset val="134"/>
      </rPr>
      <t xml:space="preserve">Gửi GET「/api/v1/file-download/{file_download_id}/preview」
</t>
    </r>
    <r>
      <rPr>
        <b/>
        <sz val="10"/>
        <color rgb="FF000000"/>
        <rFont val="メイリオ"/>
        <charset val="134"/>
      </rPr>
      <t xml:space="preserve">ステップ4：
</t>
    </r>
    <r>
      <rPr>
        <sz val="10"/>
        <color rgb="FF000000"/>
        <rFont val="メイリオ"/>
        <charset val="134"/>
      </rPr>
      <t xml:space="preserve">Kiểm tra giá trị cờ của file đó trên DB
</t>
    </r>
    <r>
      <rPr>
        <sz val="10"/>
        <color rgb="FF000000"/>
        <rFont val="メイリオ"/>
        <charset val="134"/>
      </rPr>
      <t xml:space="preserve">```sql
</t>
    </r>
    <r>
      <rPr>
        <sz val="10"/>
        <color rgb="FF000000"/>
        <rFont val="メイリオ"/>
        <charset val="134"/>
      </rPr>
      <t xml:space="preserve">SELECT nichino_download_allowed_flg, created_by
</t>
    </r>
    <r>
      <rPr>
        <sz val="10"/>
        <color rgb="FF000000"/>
        <rFont val="メイリオ"/>
        <charset val="134"/>
      </rPr>
      <t xml:space="preserve">FROM t_file_download
</t>
    </r>
    <r>
      <rPr>
        <sz val="10"/>
        <color rgb="FF000000"/>
        <rFont val="メイリオ"/>
        <charset val="134"/>
      </rPr>
      <t xml:space="preserve">WHERE file_download_id = :file_download_id;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</si>
  <si>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Checkbox ở trạng thái disable, không thể chọn được
</t>
    </r>
    <r>
      <rPr>
        <b/>
        <sz val="10"/>
        <color rgb="FF000000"/>
        <rFont val="メイリオ"/>
        <charset val="134"/>
      </rPr>
      <t xml:space="preserve">ステップ2：
</t>
    </r>
    <r>
      <rPr>
        <sz val="10"/>
        <color rgb="FF000000"/>
        <rFont val="メイリオ"/>
        <charset val="134"/>
      </rPr>
      <t xml:space="preserve">Trả về HTTP 403 (`error_code: FORBIDDEN`, message `このファイルは日農のダウンロードが許可されていません。`)
</t>
    </r>
    <r>
      <rPr>
        <b/>
        <sz val="10"/>
        <color rgb="FF000000"/>
        <rFont val="メイリオ"/>
        <charset val="134"/>
      </rPr>
      <t xml:space="preserve">ステップ3：
</t>
    </r>
    <r>
      <rPr>
        <sz val="10"/>
        <color rgb="FF000000"/>
        <rFont val="メイリオ"/>
        <charset val="134"/>
      </rPr>
      <t xml:space="preserve">Trả về HTTP 403 (`error_code: FORBIDDEN`, message `このファイルは日農のダウンロードが許可されていません。`)
</t>
    </r>
    <r>
      <rPr>
        <b/>
        <sz val="10"/>
        <color rgb="FF000000"/>
        <rFont val="メイリオ"/>
        <charset val="134"/>
      </rPr>
      <t xml:space="preserve">ステップ4：
</t>
    </r>
    <r>
      <rPr>
        <sz val="10"/>
        <color rgb="FF000000"/>
        <rFont val="メイリオ"/>
        <charset val="134"/>
      </rPr>
      <t xml:space="preserve">`nichino_download_allowed_flg` là `false`, `created_by` khác tài khoản đăng nhập
</t>
    </r>
    <r>
      <rPr>
        <b/>
        <sz val="10"/>
        <color rgb="FF000000"/>
        <rFont val="メイリオ"/>
        <charset val="134"/>
      </rPr>
      <t xml:space="preserve">補足：
</t>
    </r>
    <r>
      <rPr>
        <sz val="10"/>
        <color rgb="FF000000"/>
        <rFont val="メイリオ"/>
        <charset val="134"/>
      </rPr>
      <t xml:space="preserve">・Do dòng vẫn hiển thị trong danh sách nên trả về 403 chứ không phải 404 ẩn sự tồn tại
</t>
    </r>
    <r>
      <rPr>
        <sz val="10"/>
        <color rgb="FF000000"/>
        <rFont val="メイリオ"/>
        <charset val="134"/>
      </rPr>
      <t>・Cờ cho phép download Nichino là thứ phía JA quyết định có cho tổ chức khác xem file hay không, đối tượng gồm 3 role: quản trị viên Nichino・nhân viên Nichino・Chuokai</t>
    </r>
  </si>
  <si>
    <t>ACSMS-TC-022-065</t>
  </si>
  <si>
    <t>Chuokai — từ chối download file có cờ cho phép là false</t>
  </si>
  <si>
    <t>・role: CHUOKAI
・Đã login (đã xác thực 2 bước)
・Có quyền「file.download」
・Session đã thiết lập `todofuken_code`
・Đã có file `nichino_download_allowed_flg = false` do JA khác cùng tỉnh tạo</t>
  </si>
  <si>
    <r>
      <rPr>
        <b/>
        <sz val="10"/>
        <color rgb="FF000000"/>
        <rFont val="メイリオ"/>
        <charset val="134"/>
      </rPr>
      <t xml:space="preserve">ステップ1：
</t>
    </r>
    <r>
      <rPr>
        <sz val="10"/>
        <color rgb="FF000000"/>
        <rFont val="メイリオ"/>
        <charset val="134"/>
      </rPr>
      <t xml:space="preserve">Mở「/file-download」, xác nhận file đó hiển thị trong danh sách
</t>
    </r>
    <r>
      <rPr>
        <b/>
        <sz val="10"/>
        <color rgb="FF000000"/>
        <rFont val="メイリオ"/>
        <charset val="134"/>
      </rPr>
      <t xml:space="preserve">ステップ2：
</t>
    </r>
    <r>
      <rPr>
        <sz val="10"/>
        <color rgb="FF000000"/>
        <rFont val="メイリオ"/>
        <charset val="134"/>
      </rPr>
      <t xml:space="preserve">Kiểm tra trạng thái checkbox của dòng file đó
</t>
    </r>
    <r>
      <rPr>
        <b/>
        <sz val="10"/>
        <color rgb="FF000000"/>
        <rFont val="メイリオ"/>
        <charset val="134"/>
      </rPr>
      <t xml:space="preserve">ステップ3：
</t>
    </r>
    <r>
      <rPr>
        <sz val="10"/>
        <color rgb="FF000000"/>
        <rFont val="メイリオ"/>
        <charset val="134"/>
      </rPr>
      <t xml:space="preserve">Gửi GET「/api/v1/file-download/{file_download_id}/download」trên tab Network của DevTools
</t>
    </r>
    <r>
      <rPr>
        <b/>
        <sz val="10"/>
        <color rgb="FF000000"/>
        <rFont val="メイリオ"/>
        <charset val="134"/>
      </rPr>
      <t xml:space="preserve">ステップ4：
</t>
    </r>
    <r>
      <rPr>
        <sz val="10"/>
        <color rgb="FF000000"/>
        <rFont val="メイリオ"/>
        <charset val="134"/>
      </rPr>
      <t>Download cùng file đó bằng tài khoản JA_HONTEN (JA sở hữu file đó)</t>
    </r>
  </si>
  <si>
    <r>
      <rPr>
        <b/>
        <sz val="10"/>
        <color rgb="FF000000"/>
        <rFont val="メイリオ"/>
        <charset val="134"/>
      </rPr>
      <t xml:space="preserve">ステップ1：
</t>
    </r>
    <r>
      <rPr>
        <sz val="10"/>
        <color rgb="FF000000"/>
        <rFont val="メイリオ"/>
        <charset val="134"/>
      </rPr>
      <t xml:space="preserve">Hiển thị trong danh sách do nằm trong phạm vi tham chiếu
</t>
    </r>
    <r>
      <rPr>
        <b/>
        <sz val="10"/>
        <color rgb="FF000000"/>
        <rFont val="メイリオ"/>
        <charset val="134"/>
      </rPr>
      <t xml:space="preserve">ステップ2：
</t>
    </r>
    <r>
      <rPr>
        <sz val="10"/>
        <color rgb="FF000000"/>
        <rFont val="メイリオ"/>
        <charset val="134"/>
      </rPr>
      <t xml:space="preserve">Checkbox ở trạng thái disable, không thể chọn được
</t>
    </r>
    <r>
      <rPr>
        <b/>
        <sz val="10"/>
        <color rgb="FF000000"/>
        <rFont val="メイリオ"/>
        <charset val="134"/>
      </rPr>
      <t xml:space="preserve">ステップ3：
</t>
    </r>
    <r>
      <rPr>
        <sz val="10"/>
        <color rgb="FF000000"/>
        <rFont val="メイリオ"/>
        <charset val="134"/>
      </rPr>
      <t xml:space="preserve">Trả về HTTP 403 (`error_code: FORBIDDEN`, message `このファイルは日農のダウンロードが許可されていません。`)
</t>
    </r>
    <r>
      <rPr>
        <b/>
        <sz val="10"/>
        <color rgb="FF000000"/>
        <rFont val="メイリオ"/>
        <charset val="134"/>
      </rPr>
      <t xml:space="preserve">ステップ4：
</t>
    </r>
    <r>
      <rPr>
        <sz val="10"/>
        <color rgb="FF000000"/>
        <rFont val="メイリオ"/>
        <charset val="134"/>
      </rPr>
      <t xml:space="preserve">Download được thực hiện (do role JA không bị ảnh hưởng bởi cờ này)
</t>
    </r>
    <r>
      <rPr>
        <b/>
        <sz val="10"/>
        <color rgb="FF000000"/>
        <rFont val="メイリオ"/>
        <charset val="134"/>
      </rPr>
      <t xml:space="preserve">補足：
</t>
    </r>
    <r>
      <rPr>
        <sz val="10"/>
        <color rgb="FF000000"/>
        <rFont val="メイリオ"/>
        <charset val="134"/>
      </rPr>
      <t xml:space="preserve">・Phạm vi tham chiếu và khả năng download được đánh giá riêng, có trường hợp hiển thị trong danh sách nhưng không download được
</t>
    </r>
    <r>
      <rPr>
        <sz val="10"/>
        <color rgb="FF000000"/>
        <rFont val="メイリオ"/>
        <charset val="134"/>
      </rPr>
      <t>・Cờ cho phép download Nichino là thứ phía JA quyết định có cho tổ chức khác xem file hay không, đối tượng gồm 3 role: quản trị viên Nichino・nhân viên Nichino・Chuokai</t>
    </r>
  </si>
  <si>
    <t>Việc Chuokai được thêm vào role đối tượng là do yêu cầu khách hàng 2026-07 (#52132). Ô「概要」của ACSMS-API-022-002 / 022-003 trong tài liệu thiết kế API chỉ ghi role đối tượng là「Nichino (NICHINO_ADMIN / NICHINO_STAFF)」nhưng mục 4.4 quy trình xử lý của cùng tài liệu có bao gồm Chuokai. Mô tả ở ô「概要」vẫn như trước thay đổi 2026-07, khuyến nghị bổ sung.</t>
  </si>
  <si>
    <t>ACSMS-TC-022-066</t>
  </si>
  <si>
    <t>File do chính mình tạo không bị ảnh hưởng bởi cờ cho phép</t>
  </si>
  <si>
    <t>・role: CHUOKAI
・Đã login (đã xác thực 2 bước)
・Có quyền「file.download」
・Đã có file có `t_file_download.created_by` khớp với `account_id` của tài khoản đăng nhập
・`nichino_download_allowed_flg` của file đó là `false`</t>
  </si>
  <si>
    <r>
      <rPr>
        <b/>
        <sz val="10"/>
        <color rgb="FF000000"/>
        <rFont val="メイリオ"/>
        <charset val="134"/>
      </rPr>
      <t xml:space="preserve">ステップ1：
</t>
    </r>
    <r>
      <rPr>
        <sz val="10"/>
        <color rgb="FF000000"/>
        <rFont val="メイリオ"/>
        <charset val="134"/>
      </rPr>
      <t xml:space="preserve">Xác nhận `created_by` của file đó khớp với `account_id` của tài khoản đăng nhập trên DB
</t>
    </r>
    <r>
      <rPr>
        <sz val="10"/>
        <color rgb="FF000000"/>
        <rFont val="メイリオ"/>
        <charset val="134"/>
      </rPr>
      <t xml:space="preserve">```sql
</t>
    </r>
    <r>
      <rPr>
        <sz val="10"/>
        <color rgb="FF000000"/>
        <rFont val="メイリオ"/>
        <charset val="134"/>
      </rPr>
      <t xml:space="preserve">SELECT file_download_id, created_by, nichino_download_allowed_flg
</t>
    </r>
    <r>
      <rPr>
        <sz val="10"/>
        <color rgb="FF000000"/>
        <rFont val="メイリオ"/>
        <charset val="134"/>
      </rPr>
      <t xml:space="preserve">FROM t_file_download
</t>
    </r>
    <r>
      <rPr>
        <sz val="10"/>
        <color rgb="FF000000"/>
        <rFont val="メイリオ"/>
        <charset val="134"/>
      </rPr>
      <t xml:space="preserve">WHERE file_download_id = :file_download_id;
</t>
    </r>
    <r>
      <rPr>
        <sz val="10"/>
        <color rgb="FF000000"/>
        <rFont val="メイリオ"/>
        <charset val="134"/>
      </rPr>
      <t xml:space="preserve">```
</t>
    </r>
    <r>
      <rPr>
        <b/>
        <sz val="10"/>
        <color rgb="FF000000"/>
        <rFont val="メイリオ"/>
        <charset val="134"/>
      </rPr>
      <t xml:space="preserve">ステップ2：
</t>
    </r>
    <r>
      <rPr>
        <sz val="10"/>
        <color rgb="FF000000"/>
        <rFont val="メイリオ"/>
        <charset val="134"/>
      </rPr>
      <t xml:space="preserve">Mở「/file-download」và kiểm tra trạng thái checkbox của dòng file đó
</t>
    </r>
    <r>
      <rPr>
        <b/>
        <sz val="10"/>
        <color rgb="FF000000"/>
        <rFont val="メイリオ"/>
        <charset val="134"/>
      </rPr>
      <t xml:space="preserve">ステップ3：
</t>
    </r>
    <r>
      <rPr>
        <sz val="10"/>
        <color rgb="FF000000"/>
        <rFont val="メイリオ"/>
        <charset val="134"/>
      </rPr>
      <t xml:space="preserve">Chọn checkbox và click button「ダウンロード実行」
</t>
    </r>
    <r>
      <rPr>
        <b/>
        <sz val="10"/>
        <color rgb="FF000000"/>
        <rFont val="メイリオ"/>
        <charset val="134"/>
      </rPr>
      <t xml:space="preserve">ステップ4：
</t>
    </r>
    <r>
      <rPr>
        <sz val="10"/>
        <color rgb="FF000000"/>
        <rFont val="メイリオ"/>
        <charset val="134"/>
      </rPr>
      <t xml:space="preserve">Chọn file đó và click button「プレビュー」(trường hợp đối tượng là định dạng preview được)
</t>
    </r>
    <r>
      <rPr>
        <b/>
        <sz val="10"/>
        <color rgb="FF000000"/>
        <rFont val="メイリオ"/>
        <charset val="134"/>
      </rPr>
      <t xml:space="preserve">ステップ5：
</t>
    </r>
    <r>
      <rPr>
        <sz val="10"/>
        <color rgb="FF000000"/>
        <rFont val="メイリオ"/>
        <charset val="134"/>
      </rPr>
      <t>Download cùng file đó bằng tài khoản Chuokai khác</t>
    </r>
  </si>
  <si>
    <r>
      <rPr>
        <b/>
        <sz val="10"/>
        <color rgb="FF000000"/>
        <rFont val="メイリオ"/>
        <charset val="134"/>
      </rPr>
      <t xml:space="preserve">ステップ1：
</t>
    </r>
    <r>
      <rPr>
        <sz val="10"/>
        <color rgb="FF000000"/>
        <rFont val="メイリオ"/>
        <charset val="134"/>
      </rPr>
      <t xml:space="preserve">`created_by` khớp với tài khoản đăng nhập, cờ là `false`
</t>
    </r>
    <r>
      <rPr>
        <b/>
        <sz val="10"/>
        <color rgb="FF000000"/>
        <rFont val="メイリオ"/>
        <charset val="134"/>
      </rPr>
      <t xml:space="preserve">ステップ2：
</t>
    </r>
    <r>
      <rPr>
        <sz val="10"/>
        <color rgb="FF000000"/>
        <rFont val="メイリオ"/>
        <charset val="134"/>
      </rPr>
      <t xml:space="preserve">Checkbox ở trạng thái active, có thể chọn được
</t>
    </r>
    <r>
      <rPr>
        <b/>
        <sz val="10"/>
        <color rgb="FF000000"/>
        <rFont val="メイリオ"/>
        <charset val="134"/>
      </rPr>
      <t xml:space="preserve">ステップ3：
</t>
    </r>
    <r>
      <rPr>
        <sz val="10"/>
        <color rgb="FF000000"/>
        <rFont val="メイリオ"/>
        <charset val="134"/>
      </rPr>
      <t xml:space="preserve">・Download được thực hiện
</t>
    </r>
    <r>
      <rPr>
        <sz val="10"/>
        <color rgb="FF000000"/>
        <rFont val="メイリオ"/>
        <charset val="134"/>
      </rPr>
      <t xml:space="preserve">・Hiển thị toast「ダウンロードが完了しました。」
</t>
    </r>
    <r>
      <rPr>
        <b/>
        <sz val="10"/>
        <color rgb="FF000000"/>
        <rFont val="メイリオ"/>
        <charset val="134"/>
      </rPr>
      <t xml:space="preserve">ステップ4：
</t>
    </r>
    <r>
      <rPr>
        <sz val="10"/>
        <color rgb="FF000000"/>
        <rFont val="メイリオ"/>
        <charset val="134"/>
      </rPr>
      <t xml:space="preserve">Modal preview được hiển thị
</t>
    </r>
    <r>
      <rPr>
        <b/>
        <sz val="10"/>
        <color rgb="FF000000"/>
        <rFont val="メイリオ"/>
        <charset val="134"/>
      </rPr>
      <t xml:space="preserve">ステップ5：
</t>
    </r>
    <r>
      <rPr>
        <sz val="10"/>
        <color rgb="FF000000"/>
        <rFont val="メイリオ"/>
        <charset val="134"/>
      </rPr>
      <t xml:space="preserve">Trả về HTTP 403 (`error_code: FORBIDDEN`, message `このファイルは日農のダウンロードが許可されていません。`)
</t>
    </r>
    <r>
      <rPr>
        <b/>
        <sz val="10"/>
        <color rgb="FF000000"/>
        <rFont val="メイリオ"/>
        <charset val="134"/>
      </rPr>
      <t xml:space="preserve">補足：
</t>
    </r>
    <r>
      <rPr>
        <sz val="10"/>
        <color rgb="FF000000"/>
        <rFont val="メイリオ"/>
        <charset val="134"/>
      </rPr>
      <t xml:space="preserve">・Do giá trị mặc định của cờ cho phép là `false`, nếu không có ngoại lệ này thì không download được báo cáo do chính mình xuất
</t>
    </r>
    <r>
      <rPr>
        <sz val="10"/>
        <color rgb="FF000000"/>
        <rFont val="メイリオ"/>
        <charset val="134"/>
      </rPr>
      <t>・Ngoại lệ này áp dụng chung cho cả 3 role: quản trị viên Nichino・nhân viên Nichino・Chuokai</t>
    </r>
  </si>
  <si>
    <t>ACSMS-TC-022-067</t>
  </si>
  <si>
    <t>File có người tạo trống không được coi là của chính mình</t>
  </si>
  <si>
    <t>・role: NICHINO_ADMIN
・Đã login (đã xác thực 2 bước)
・Có quyền「file.download」
・Đã có file `created_by` là chuỗi rỗng và `nichino_download_allowed_flg = false`</t>
  </si>
  <si>
    <r>
      <rPr>
        <b/>
        <sz val="10"/>
        <color rgb="FF000000"/>
        <rFont val="メイリオ"/>
        <charset val="134"/>
      </rPr>
      <t xml:space="preserve">ステップ1：
</t>
    </r>
    <r>
      <rPr>
        <sz val="10"/>
        <color rgb="FF000000"/>
        <rFont val="メイリオ"/>
        <charset val="134"/>
      </rPr>
      <t xml:space="preserve">Xác nhận `created_by` của file đó là chuỗi rỗng trên DB
</t>
    </r>
    <r>
      <rPr>
        <sz val="10"/>
        <color rgb="FF000000"/>
        <rFont val="メイリオ"/>
        <charset val="134"/>
      </rPr>
      <t xml:space="preserve">```sql
</t>
    </r>
    <r>
      <rPr>
        <sz val="10"/>
        <color rgb="FF000000"/>
        <rFont val="メイリオ"/>
        <charset val="134"/>
      </rPr>
      <t xml:space="preserve">SELECT file_download_id, created_by, nichino_download_allowed_flg
</t>
    </r>
    <r>
      <rPr>
        <sz val="10"/>
        <color rgb="FF000000"/>
        <rFont val="メイリオ"/>
        <charset val="134"/>
      </rPr>
      <t xml:space="preserve">FROM t_file_download
</t>
    </r>
    <r>
      <rPr>
        <sz val="10"/>
        <color rgb="FF000000"/>
        <rFont val="メイリオ"/>
        <charset val="134"/>
      </rPr>
      <t xml:space="preserve">WHERE file_download_id = :file_download_id;
</t>
    </r>
    <r>
      <rPr>
        <sz val="10"/>
        <color rgb="FF000000"/>
        <rFont val="メイリオ"/>
        <charset val="134"/>
      </rPr>
      <t xml:space="preserve">```
</t>
    </r>
    <r>
      <rPr>
        <b/>
        <sz val="10"/>
        <color rgb="FF000000"/>
        <rFont val="メイリオ"/>
        <charset val="134"/>
      </rPr>
      <t xml:space="preserve">ステップ2：
</t>
    </r>
    <r>
      <rPr>
        <sz val="10"/>
        <color rgb="FF000000"/>
        <rFont val="メイリオ"/>
        <charset val="134"/>
      </rPr>
      <t xml:space="preserve">Mở「/file-download」và kiểm tra trạng thái checkbox của dòng file đó
</t>
    </r>
    <r>
      <rPr>
        <b/>
        <sz val="10"/>
        <color rgb="FF000000"/>
        <rFont val="メイリオ"/>
        <charset val="134"/>
      </rPr>
      <t xml:space="preserve">ステップ3：
</t>
    </r>
    <r>
      <rPr>
        <sz val="10"/>
        <color rgb="FF000000"/>
        <rFont val="メイリオ"/>
        <charset val="134"/>
      </rPr>
      <t xml:space="preserve">Gửi GET「/api/v1/file-download/{file_download_id}/download」trên tab Network của DevTools
</t>
    </r>
    <r>
      <rPr>
        <b/>
        <sz val="10"/>
        <color rgb="FF000000"/>
        <rFont val="メイリオ"/>
        <charset val="134"/>
      </rPr>
      <t xml:space="preserve">ステップ4：
</t>
    </r>
    <r>
      <rPr>
        <sz val="10"/>
        <color rgb="FF000000"/>
        <rFont val="メイリオ"/>
        <charset val="134"/>
      </rPr>
      <t>Gửi tương tự bằng tài khoản CHUOKAI</t>
    </r>
  </si>
  <si>
    <r>
      <rPr>
        <b/>
        <sz val="10"/>
        <color rgb="FF000000"/>
        <rFont val="メイリオ"/>
        <charset val="134"/>
      </rPr>
      <t xml:space="preserve">ステップ1：
</t>
    </r>
    <r>
      <rPr>
        <sz val="10"/>
        <color rgb="FF000000"/>
        <rFont val="メイリオ"/>
        <charset val="134"/>
      </rPr>
      <t xml:space="preserve">`created_by` là chuỗi rỗng
</t>
    </r>
    <r>
      <rPr>
        <b/>
        <sz val="10"/>
        <color rgb="FF000000"/>
        <rFont val="メイリオ"/>
        <charset val="134"/>
      </rPr>
      <t xml:space="preserve">ステップ2：
</t>
    </r>
    <r>
      <rPr>
        <sz val="10"/>
        <color rgb="FF000000"/>
        <rFont val="メイリオ"/>
        <charset val="134"/>
      </rPr>
      <t xml:space="preserve">Checkbox ở trạng thái disable
</t>
    </r>
    <r>
      <rPr>
        <b/>
        <sz val="10"/>
        <color rgb="FF000000"/>
        <rFont val="メイリオ"/>
        <charset val="134"/>
      </rPr>
      <t xml:space="preserve">ステップ3：
</t>
    </r>
    <r>
      <rPr>
        <sz val="10"/>
        <color rgb="FF000000"/>
        <rFont val="メイリオ"/>
        <charset val="134"/>
      </rPr>
      <t xml:space="preserve">Trả về HTTP 403 (`error_code: FORBIDDEN`, message `このファイルは日農のダウンロードが許可されていません。`)
</t>
    </r>
    <r>
      <rPr>
        <b/>
        <sz val="10"/>
        <color rgb="FF000000"/>
        <rFont val="メイリオ"/>
        <charset val="134"/>
      </rPr>
      <t xml:space="preserve">ステップ4：
</t>
    </r>
    <r>
      <rPr>
        <sz val="10"/>
        <color rgb="FF000000"/>
        <rFont val="メイリオ"/>
        <charset val="134"/>
      </rPr>
      <t xml:space="preserve">Trả về HTTP 403 (`error_code: FORBIDDEN`, message `このファイルは日農のダウンロードが許可されていません。`)
</t>
    </r>
    <r>
      <rPr>
        <b/>
        <sz val="10"/>
        <color rgb="FF000000"/>
        <rFont val="メイリオ"/>
        <charset val="134"/>
      </rPr>
      <t xml:space="preserve">補足：
</t>
    </r>
    <r>
      <rPr>
        <sz val="10"/>
        <color rgb="FF000000"/>
        <rFont val="メイリオ"/>
        <charset val="134"/>
      </rPr>
      <t>・File không xác định được người tạo thì nghiêng về phía an toàn, không coi là của chính mình</t>
    </r>
  </si>
  <si>
    <t>ACSMS-TC-022-068</t>
  </si>
  <si>
    <t>Các role JA không bị ảnh hưởng bởi cờ cho phép</t>
  </si>
  <si>
    <t>・role: JA_HONTEN
・Đã login (đã xác thực 2 bước)
・Có quyền「file.download」
・JA của mình đã có cả file `nichino_download_allowed_flg = false` và `true`
・Cả hai đều là file do tài khoản khác tạo</t>
  </si>
  <si>
    <r>
      <rPr>
        <b/>
        <sz val="10"/>
        <color rgb="FF000000"/>
        <rFont val="メイリオ"/>
        <charset val="134"/>
      </rPr>
      <t xml:space="preserve">ステップ1：
</t>
    </r>
    <r>
      <rPr>
        <sz val="10"/>
        <color rgb="FF000000"/>
        <rFont val="メイリオ"/>
        <charset val="134"/>
      </rPr>
      <t xml:space="preserve">Mở「/file-download」và kiểm tra trạng thái checkbox của dòng file có cờ là `false`
</t>
    </r>
    <r>
      <rPr>
        <b/>
        <sz val="10"/>
        <color rgb="FF000000"/>
        <rFont val="メイリオ"/>
        <charset val="134"/>
      </rPr>
      <t xml:space="preserve">ステップ2：
</t>
    </r>
    <r>
      <rPr>
        <sz val="10"/>
        <color rgb="FF000000"/>
        <rFont val="メイリオ"/>
        <charset val="134"/>
      </rPr>
      <t xml:space="preserve">Chọn file đó và click button「ダウンロード実行」
</t>
    </r>
    <r>
      <rPr>
        <b/>
        <sz val="10"/>
        <color rgb="FF000000"/>
        <rFont val="メイリオ"/>
        <charset val="134"/>
      </rPr>
      <t xml:space="preserve">ステップ3：
</t>
    </r>
    <r>
      <rPr>
        <sz val="10"/>
        <color rgb="FF000000"/>
        <rFont val="メイリオ"/>
        <charset val="134"/>
      </rPr>
      <t xml:space="preserve">Thực hiện tương tự với file có cờ là `true`
</t>
    </r>
    <r>
      <rPr>
        <b/>
        <sz val="10"/>
        <color rgb="FF000000"/>
        <rFont val="メイリオ"/>
        <charset val="134"/>
      </rPr>
      <t xml:space="preserve">ステップ4：
</t>
    </r>
    <r>
      <rPr>
        <sz val="10"/>
        <color rgb="FF000000"/>
        <rFont val="メイリオ"/>
        <charset val="134"/>
      </rPr>
      <t>Thực hiện kiểm tra tương tự bằng tài khoản JA_KANRI_SHITEN</t>
    </r>
  </si>
  <si>
    <r>
      <rPr>
        <b/>
        <sz val="10"/>
        <color rgb="FF000000"/>
        <rFont val="メイリオ"/>
        <charset val="134"/>
      </rPr>
      <t xml:space="preserve">ステップ1：
</t>
    </r>
    <r>
      <rPr>
        <sz val="10"/>
        <color rgb="FF000000"/>
        <rFont val="メイリオ"/>
        <charset val="134"/>
      </rPr>
      <t xml:space="preserve">Checkbox ở trạng thái active, có thể chọn được
</t>
    </r>
    <r>
      <rPr>
        <b/>
        <sz val="10"/>
        <color rgb="FF000000"/>
        <rFont val="メイリオ"/>
        <charset val="134"/>
      </rPr>
      <t xml:space="preserve">ステップ2：
</t>
    </r>
    <r>
      <rPr>
        <sz val="10"/>
        <color rgb="FF000000"/>
        <rFont val="メイリオ"/>
        <charset val="134"/>
      </rPr>
      <t xml:space="preserve">Download được thực hiện, hiển thị toast「ダウンロードが完了しました。」
</t>
    </r>
    <r>
      <rPr>
        <b/>
        <sz val="10"/>
        <color rgb="FF000000"/>
        <rFont val="メイリオ"/>
        <charset val="134"/>
      </rPr>
      <t xml:space="preserve">ステップ3：
</t>
    </r>
    <r>
      <rPr>
        <sz val="10"/>
        <color rgb="FF000000"/>
        <rFont val="メイリオ"/>
        <charset val="134"/>
      </rPr>
      <t xml:space="preserve">Download được thực hiện
</t>
    </r>
    <r>
      <rPr>
        <b/>
        <sz val="10"/>
        <color rgb="FF000000"/>
        <rFont val="メイリオ"/>
        <charset val="134"/>
      </rPr>
      <t xml:space="preserve">ステップ4：
</t>
    </r>
    <r>
      <rPr>
        <sz val="10"/>
        <color rgb="FF000000"/>
        <rFont val="メイリオ"/>
        <charset val="134"/>
      </rPr>
      <t xml:space="preserve">Cả hai file đều download được
</t>
    </r>
    <r>
      <rPr>
        <b/>
        <sz val="10"/>
        <color rgb="FF000000"/>
        <rFont val="メイリオ"/>
        <charset val="134"/>
      </rPr>
      <t xml:space="preserve">補足：
</t>
    </r>
    <r>
      <rPr>
        <sz val="10"/>
        <color rgb="FF000000"/>
        <rFont val="メイリオ"/>
        <charset val="134"/>
      </rPr>
      <t>・JA Honten・JA Kanri Shiten download được file của JA mình bất kể giá trị cờ cho phép</t>
    </r>
  </si>
  <si>
    <t>ACSMS-TC-022-069</t>
  </si>
  <si>
    <t>Role Nichino — download file có cờ cho phép là true</t>
  </si>
  <si>
    <t>・role: NICHINO_ADMIN
・Đã login (đã xác thực 2 bước)
・Có quyền「file.download」
・Đã có file `nichino_download_allowed_flg = true` do tài khoản khác tạo</t>
  </si>
  <si>
    <r>
      <rPr>
        <b/>
        <sz val="10"/>
        <color rgb="FF000000"/>
        <rFont val="メイリオ"/>
        <charset val="134"/>
      </rPr>
      <t xml:space="preserve">ステップ1：
</t>
    </r>
    <r>
      <rPr>
        <sz val="10"/>
        <color rgb="FF000000"/>
        <rFont val="メイリオ"/>
        <charset val="134"/>
      </rPr>
      <t xml:space="preserve">Mở「/file-download」và kiểm tra trạng thái checkbox của dòng file đó
</t>
    </r>
    <r>
      <rPr>
        <b/>
        <sz val="10"/>
        <color rgb="FF000000"/>
        <rFont val="メイリオ"/>
        <charset val="134"/>
      </rPr>
      <t xml:space="preserve">ステップ2：
</t>
    </r>
    <r>
      <rPr>
        <sz val="10"/>
        <color rgb="FF000000"/>
        <rFont val="メイリオ"/>
        <charset val="134"/>
      </rPr>
      <t xml:space="preserve">Chọn checkbox và click button「ダウンロード実行」
</t>
    </r>
    <r>
      <rPr>
        <b/>
        <sz val="10"/>
        <color rgb="FF000000"/>
        <rFont val="メイリオ"/>
        <charset val="134"/>
      </rPr>
      <t xml:space="preserve">ステップ3：
</t>
    </r>
    <r>
      <rPr>
        <sz val="10"/>
        <color rgb="FF000000"/>
        <rFont val="メイリオ"/>
        <charset val="134"/>
      </rPr>
      <t xml:space="preserve">Thực hiện thao tác tương tự bằng tài khoản NICHINO_STAFF
</t>
    </r>
    <r>
      <rPr>
        <b/>
        <sz val="10"/>
        <color rgb="FF000000"/>
        <rFont val="メイリオ"/>
        <charset val="134"/>
      </rPr>
      <t xml:space="preserve">ステップ4：
</t>
    </r>
    <r>
      <rPr>
        <sz val="10"/>
        <color rgb="FF000000"/>
        <rFont val="メイリオ"/>
        <charset val="134"/>
      </rPr>
      <t>Thực hiện thao tác tương tự bằng tài khoản CHUOKAI</t>
    </r>
  </si>
  <si>
    <r>
      <rPr>
        <b/>
        <sz val="10"/>
        <color rgb="FF000000"/>
        <rFont val="メイリオ"/>
        <charset val="134"/>
      </rPr>
      <t xml:space="preserve">ステップ1：
</t>
    </r>
    <r>
      <rPr>
        <sz val="10"/>
        <color rgb="FF000000"/>
        <rFont val="メイリオ"/>
        <charset val="134"/>
      </rPr>
      <t xml:space="preserve">Checkbox ở trạng thái active, có thể chọn được
</t>
    </r>
    <r>
      <rPr>
        <b/>
        <sz val="10"/>
        <color rgb="FF000000"/>
        <rFont val="メイリオ"/>
        <charset val="134"/>
      </rPr>
      <t xml:space="preserve">ステップ2：
</t>
    </r>
    <r>
      <rPr>
        <sz val="10"/>
        <color rgb="FF000000"/>
        <rFont val="メイリオ"/>
        <charset val="134"/>
      </rPr>
      <t xml:space="preserve">・Download được thực hiện
</t>
    </r>
    <r>
      <rPr>
        <sz val="10"/>
        <color rgb="FF000000"/>
        <rFont val="メイリオ"/>
        <charset val="134"/>
      </rPr>
      <t xml:space="preserve">・Hiển thị toast「ダウンロードが完了しました。」
</t>
    </r>
    <r>
      <rPr>
        <b/>
        <sz val="10"/>
        <color rgb="FF000000"/>
        <rFont val="メイリオ"/>
        <charset val="134"/>
      </rPr>
      <t xml:space="preserve">ステップ3：
</t>
    </r>
    <r>
      <rPr>
        <sz val="10"/>
        <color rgb="FF000000"/>
        <rFont val="メイリオ"/>
        <charset val="134"/>
      </rPr>
      <t xml:space="preserve">Download được thực hiện
</t>
    </r>
    <r>
      <rPr>
        <b/>
        <sz val="10"/>
        <color rgb="FF000000"/>
        <rFont val="メイリオ"/>
        <charset val="134"/>
      </rPr>
      <t xml:space="preserve">ステップ4：
</t>
    </r>
    <r>
      <rPr>
        <sz val="10"/>
        <color rgb="FF000000"/>
        <rFont val="メイリオ"/>
        <charset val="134"/>
      </rPr>
      <t xml:space="preserve">Download được thực hiện (trường hợp nằm trong phạm vi tham chiếu)
</t>
    </r>
    <r>
      <rPr>
        <b/>
        <sz val="10"/>
        <color rgb="FF000000"/>
        <rFont val="メイリオ"/>
        <charset val="134"/>
      </rPr>
      <t xml:space="preserve">補足：
</t>
    </r>
    <r>
      <rPr>
        <sz val="10"/>
        <color rgb="FF000000"/>
        <rFont val="メイリオ"/>
        <charset val="134"/>
      </rPr>
      <t>・File có cờ cho phép là `true` thì cả 3 role bị hạn chế download đều download được</t>
    </r>
  </si>
  <si>
    <t>ACSMS-TC-022-070</t>
  </si>
  <si>
    <t>Download hàng loạt — yêu cầu chứa file có cờ cho phép là false</t>
  </si>
  <si>
    <t>・role: NICHINO_ADMIN
・Đã login (đã xác thực 2 bước)
・Có quyền「file.download」
・Đã có 2 file `nichino_download_allowed_flg = true`
・Đã có 1 file `nichino_download_allowed_flg = false` do tài khoản khác tạo</t>
  </si>
  <si>
    <r>
      <rPr>
        <b/>
        <sz val="10"/>
        <color rgb="FF000000"/>
        <rFont val="メイリオ"/>
        <charset val="134"/>
      </rPr>
      <t xml:space="preserve">ステップ1：
</t>
    </r>
    <r>
      <rPr>
        <sz val="10"/>
        <color rgb="FF000000"/>
        <rFont val="メイリオ"/>
        <charset val="134"/>
      </rPr>
      <t xml:space="preserve">Gửi POST「/api/v1/file-download/download-zip」với request body chứa ID của 2 file được phép và 1 file không được phép trên tab Network của DevTools
</t>
    </r>
    <r>
      <rPr>
        <b/>
        <sz val="10"/>
        <color rgb="FF000000"/>
        <rFont val="メイリオ"/>
        <charset val="134"/>
      </rPr>
      <t xml:space="preserve">ステップ2：
</t>
    </r>
    <r>
      <rPr>
        <sz val="10"/>
        <color rgb="FF000000"/>
        <rFont val="メイリオ"/>
        <charset val="134"/>
      </rPr>
      <t xml:space="preserve">Kiểm tra response, xác nhận ZIP không được trả về
</t>
    </r>
    <r>
      <rPr>
        <b/>
        <sz val="10"/>
        <color rgb="FF000000"/>
        <rFont val="メイリオ"/>
        <charset val="134"/>
      </rPr>
      <t xml:space="preserve">ステップ3：
</t>
    </r>
    <r>
      <rPr>
        <sz val="10"/>
        <color rgb="FF000000"/>
        <rFont val="メイリオ"/>
        <charset val="134"/>
      </rPr>
      <t xml:space="preserve">Gửi lại với request body chỉ gồm 2 file được phép
</t>
    </r>
    <r>
      <rPr>
        <b/>
        <sz val="10"/>
        <color rgb="FF000000"/>
        <rFont val="メイリオ"/>
        <charset val="134"/>
      </rPr>
      <t xml:space="preserve">ステップ4：
</t>
    </r>
    <r>
      <rPr>
        <sz val="10"/>
        <color rgb="FF000000"/>
        <rFont val="メイリオ"/>
        <charset val="134"/>
      </rPr>
      <t>Kiểm tra tình trạng ghi log thao tác trên DB</t>
    </r>
  </si>
  <si>
    <r>
      <rPr>
        <b/>
        <sz val="10"/>
        <color rgb="FF000000"/>
        <rFont val="メイリオ"/>
        <charset val="134"/>
      </rPr>
      <t xml:space="preserve">ステップ1：
</t>
    </r>
    <r>
      <rPr>
        <sz val="10"/>
        <color rgb="FF000000"/>
        <rFont val="メイリオ"/>
        <charset val="134"/>
      </rPr>
      <t xml:space="preserve">Trả về HTTP 403 (`error_code: FORBIDDEN`, message `このファイルは日農のダウンロードが許可されていません。`)
</t>
    </r>
    <r>
      <rPr>
        <b/>
        <sz val="10"/>
        <color rgb="FF000000"/>
        <rFont val="メイリオ"/>
        <charset val="134"/>
      </rPr>
      <t xml:space="preserve">ステップ2：
</t>
    </r>
    <r>
      <rPr>
        <sz val="10"/>
        <color rgb="FF000000"/>
        <rFont val="メイリオ"/>
        <charset val="134"/>
      </rPr>
      <t xml:space="preserve">ZIP không được tạo, download một phần cũng không được thực hiện
</t>
    </r>
    <r>
      <rPr>
        <b/>
        <sz val="10"/>
        <color rgb="FF000000"/>
        <rFont val="メイリオ"/>
        <charset val="134"/>
      </rPr>
      <t xml:space="preserve">ステップ3：
</t>
    </r>
    <r>
      <rPr>
        <sz val="10"/>
        <color rgb="FF000000"/>
        <rFont val="メイリオ"/>
        <charset val="134"/>
      </rPr>
      <t xml:space="preserve">・Trả về HTTP 200
</t>
    </r>
    <r>
      <rPr>
        <sz val="10"/>
        <color rgb="FF000000"/>
        <rFont val="メイリオ"/>
        <charset val="134"/>
      </rPr>
      <t xml:space="preserve">・Trong ZIP chứa 2 file
</t>
    </r>
    <r>
      <rPr>
        <b/>
        <sz val="10"/>
        <color rgb="FF000000"/>
        <rFont val="メイリオ"/>
        <charset val="134"/>
      </rPr>
      <t xml:space="preserve">ステップ4：
</t>
    </r>
    <r>
      <rPr>
        <sz val="10"/>
        <color rgb="FF000000"/>
        <rFont val="メイリオ"/>
        <charset val="134"/>
      </rPr>
      <t xml:space="preserve">Yêu cầu lần 1 không ghi log thao tác, chỉ yêu cầu lần 2 ghi 1 bản ghi
</t>
    </r>
    <r>
      <rPr>
        <b/>
        <sz val="10"/>
        <color rgb="FF000000"/>
        <rFont val="メイリオ"/>
        <charset val="134"/>
      </rPr>
      <t xml:space="preserve">補足：
</t>
    </r>
    <r>
      <rPr>
        <sz val="10"/>
        <color rgb="FF000000"/>
        <rFont val="メイリオ"/>
        <charset val="134"/>
      </rPr>
      <t xml:space="preserve">・Nếu chỉ 1 file trong yêu cầu không thỏa điều kiện thì từ chối toàn bộ yêu cầu
</t>
    </r>
    <r>
      <rPr>
        <sz val="10"/>
        <color rgb="FF000000"/>
        <rFont val="メイリオ"/>
        <charset val="134"/>
      </rPr>
      <t>・Không cho phép thành công một phần, đảm bảo tính toàn vẹn dữ liệu</t>
    </r>
  </si>
  <si>
    <t>ACSMS-TC-022-071</t>
  </si>
  <si>
    <t>Ghi error log khi download thất bại</t>
  </si>
  <si>
    <t>・role: NICHINO_ADMIN
・Đã login (đã xác thực 2 bước)
・Có quyền「file.download」
・Đã chuẩn bị file đã đăng ký trong `t_file_download` nhưng thực thể trên S3 không tồn tại</t>
  </si>
  <si>
    <r>
      <rPr>
        <b/>
        <sz val="10"/>
        <color rgb="FF000000"/>
        <rFont val="メイリオ"/>
        <charset val="134"/>
      </rPr>
      <t xml:space="preserve">ステップ1：
</t>
    </r>
    <r>
      <rPr>
        <sz val="10"/>
        <color rgb="FF000000"/>
        <rFont val="メイリオ"/>
        <charset val="134"/>
      </rPr>
      <t xml:space="preserve">Ghi lại số lượng error log trước khi test trên DB
</t>
    </r>
    <r>
      <rPr>
        <sz val="10"/>
        <color rgb="FF000000"/>
        <rFont val="メイリオ"/>
        <charset val="134"/>
      </rPr>
      <t xml:space="preserve">```sql
</t>
    </r>
    <r>
      <rPr>
        <sz val="10"/>
        <color rgb="FF000000"/>
        <rFont val="メイリオ"/>
        <charset val="134"/>
      </rPr>
      <t xml:space="preserve">SELECT COUNT(*) AS err_count
</t>
    </r>
    <r>
      <rPr>
        <sz val="10"/>
        <color rgb="FF000000"/>
        <rFont val="メイリオ"/>
        <charset val="134"/>
      </rPr>
      <t xml:space="preserve">FROM t_log WHERE log_type = 3;
</t>
    </r>
    <r>
      <rPr>
        <sz val="10"/>
        <color rgb="FF000000"/>
        <rFont val="メイリオ"/>
        <charset val="134"/>
      </rPr>
      <t xml:space="preserve">```
</t>
    </r>
    <r>
      <rPr>
        <b/>
        <sz val="10"/>
        <color rgb="FF000000"/>
        <rFont val="メイリオ"/>
        <charset val="134"/>
      </rPr>
      <t xml:space="preserve">ステップ2：
</t>
    </r>
    <r>
      <rPr>
        <sz val="10"/>
        <color rgb="FF000000"/>
        <rFont val="メイリオ"/>
        <charset val="134"/>
      </rPr>
      <t xml:space="preserve">Mở「/file-download」, chọn file đó và click button「ダウンロード実行」
</t>
    </r>
    <r>
      <rPr>
        <b/>
        <sz val="10"/>
        <color rgb="FF000000"/>
        <rFont val="メイリオ"/>
        <charset val="134"/>
      </rPr>
      <t xml:space="preserve">ステップ3：
</t>
    </r>
    <r>
      <rPr>
        <sz val="10"/>
        <color rgb="FF000000"/>
        <rFont val="メイリオ"/>
        <charset val="134"/>
      </rPr>
      <t xml:space="preserve">Kiểm tra response trên tab Network của DevTools
</t>
    </r>
    <r>
      <rPr>
        <b/>
        <sz val="10"/>
        <color rgb="FF000000"/>
        <rFont val="メイリオ"/>
        <charset val="134"/>
      </rPr>
      <t xml:space="preserve">ステップ4：
</t>
    </r>
    <r>
      <rPr>
        <sz val="10"/>
        <color rgb="FF000000"/>
        <rFont val="メイリオ"/>
        <charset val="134"/>
      </rPr>
      <t xml:space="preserve">Kiểm tra nội dung error log trên DB
</t>
    </r>
    <r>
      <rPr>
        <sz val="10"/>
        <color rgb="FF000000"/>
        <rFont val="メイリオ"/>
        <charset val="134"/>
      </rPr>
      <t xml:space="preserve">```sql
</t>
    </r>
    <r>
      <rPr>
        <sz val="10"/>
        <color rgb="FF000000"/>
        <rFont val="メイリオ"/>
        <charset val="134"/>
      </rPr>
      <t xml:space="preserve">SELECT log_type, operation, result_status, gamen_name,
</t>
    </r>
    <r>
      <rPr>
        <sz val="10"/>
        <color rgb="FF000000"/>
        <rFont val="メイリオ"/>
        <charset val="134"/>
      </rPr>
      <t xml:space="preserve">target_id, target_table, error_message
</t>
    </r>
    <r>
      <rPr>
        <sz val="10"/>
        <color rgb="FF000000"/>
        <rFont val="メイリオ"/>
        <charset val="134"/>
      </rPr>
      <t xml:space="preserve">FROM t_log
</t>
    </r>
    <r>
      <rPr>
        <sz val="10"/>
        <color rgb="FF000000"/>
        <rFont val="メイリオ"/>
        <charset val="134"/>
      </rPr>
      <t xml:space="preserve">WHERE log_type = 3
</t>
    </r>
    <r>
      <rPr>
        <sz val="10"/>
        <color rgb="FF000000"/>
        <rFont val="メイリオ"/>
        <charset val="134"/>
      </rPr>
      <t xml:space="preserve">ORDER BY log_datetime DESC
</t>
    </r>
    <r>
      <rPr>
        <sz val="10"/>
        <color rgb="FF000000"/>
        <rFont val="メイリオ"/>
        <charset val="134"/>
      </rPr>
      <t xml:space="preserve">LIMIT 1;
</t>
    </r>
    <r>
      <rPr>
        <sz val="10"/>
        <color rgb="FF000000"/>
        <rFont val="メイリオ"/>
        <charset val="134"/>
      </rPr>
      <t xml:space="preserve">```
</t>
    </r>
    <r>
      <rPr>
        <b/>
        <sz val="10"/>
        <color rgb="FF000000"/>
        <rFont val="メイリオ"/>
        <charset val="134"/>
      </rPr>
      <t xml:space="preserve">ステップ5：
</t>
    </r>
    <r>
      <rPr>
        <sz val="10"/>
        <color rgb="FF000000"/>
        <rFont val="メイリオ"/>
        <charset val="134"/>
      </rPr>
      <t>Xác nhận log thành công có `log_type` = 4 không được ghi</t>
    </r>
  </si>
  <si>
    <r>
      <rPr>
        <b/>
        <sz val="10"/>
        <color rgb="FF000000"/>
        <rFont val="メイリオ"/>
        <charset val="134"/>
      </rPr>
      <t xml:space="preserve">ステップ1：
</t>
    </r>
    <r>
      <rPr>
        <sz val="10"/>
        <color rgb="FF000000"/>
        <rFont val="メイリオ"/>
        <charset val="134"/>
      </rPr>
      <t xml:space="preserve">Lấy được số lượng trước khi test
</t>
    </r>
    <r>
      <rPr>
        <b/>
        <sz val="10"/>
        <color rgb="FF000000"/>
        <rFont val="メイリオ"/>
        <charset val="134"/>
      </rPr>
      <t xml:space="preserve">ステップ2：
</t>
    </r>
    <r>
      <rPr>
        <sz val="10"/>
        <color rgb="FF000000"/>
        <rFont val="メイリオ"/>
        <charset val="134"/>
      </rPr>
      <t xml:space="preserve">Nội dung lỗi được thông báo lên màn hình
</t>
    </r>
    <r>
      <rPr>
        <b/>
        <sz val="10"/>
        <color rgb="FF000000"/>
        <rFont val="メイリオ"/>
        <charset val="134"/>
      </rPr>
      <t xml:space="preserve">ステップ3：
</t>
    </r>
    <r>
      <rPr>
        <sz val="10"/>
        <color rgb="FF000000"/>
        <rFont val="メイリオ"/>
        <charset val="134"/>
      </rPr>
      <t xml:space="preserve">Trả về HTTP 500 (`error_code: INTERNAL_SERVER_ERROR`, message `システムエラーが発生しました。しばらくしてから再度お試しください。`)
</t>
    </r>
    <r>
      <rPr>
        <b/>
        <sz val="10"/>
        <color rgb="FF000000"/>
        <rFont val="メイリオ"/>
        <charset val="134"/>
      </rPr>
      <t xml:space="preserve">ステップ4：
</t>
    </r>
    <r>
      <rPr>
        <sz val="10"/>
        <color rgb="FF000000"/>
        <rFont val="メイリオ"/>
        <charset val="134"/>
      </rPr>
      <t xml:space="preserve">・Error log được ghi 1 bản ghi
</t>
    </r>
    <r>
      <rPr>
        <sz val="10"/>
        <color rgb="FF000000"/>
        <rFont val="メイリオ"/>
        <charset val="134"/>
      </rPr>
      <t xml:space="preserve">・`log_type` = 3, `operation` = `DOWNLOAD`, `result_status` = 2
</t>
    </r>
    <r>
      <rPr>
        <sz val="10"/>
        <color rgb="FF000000"/>
        <rFont val="メイリオ"/>
        <charset val="134"/>
      </rPr>
      <t xml:space="preserve">・`error_message` ghi lý do thất bại
</t>
    </r>
    <r>
      <rPr>
        <b/>
        <sz val="10"/>
        <color rgb="FF000000"/>
        <rFont val="メイリオ"/>
        <charset val="134"/>
      </rPr>
      <t xml:space="preserve">ステップ5：
</t>
    </r>
    <r>
      <rPr>
        <sz val="10"/>
        <color rgb="FF000000"/>
        <rFont val="メイリオ"/>
        <charset val="134"/>
      </rPr>
      <t xml:space="preserve">Log thành công không được ghi
</t>
    </r>
    <r>
      <rPr>
        <b/>
        <sz val="10"/>
        <color rgb="FF000000"/>
        <rFont val="メイリオ"/>
        <charset val="134"/>
      </rPr>
      <t xml:space="preserve">補足：
</t>
    </r>
    <r>
      <rPr>
        <sz val="10"/>
        <color rgb="FF000000"/>
        <rFont val="メイリオ"/>
        <charset val="134"/>
      </rPr>
      <t xml:space="preserve">・Output error log
</t>
    </r>
    <r>
      <rPr>
        <sz val="10"/>
        <color rgb="FF000000"/>
        <rFont val="メイリオ"/>
        <charset val="134"/>
      </rPr>
      <t xml:space="preserve">・Việc lấy từ storage được thực hiện trước khi ghi log thao tác, nếu lấy thất bại thì không để lại log thành công
</t>
    </r>
    <r>
      <rPr>
        <sz val="10"/>
        <color rgb="FF000000"/>
        <rFont val="メイリオ"/>
        <charset val="134"/>
      </rPr>
      <t>・Nội dung chi tiết của lỗi không lộ ra cho người dùng</t>
    </r>
  </si>
  <si>
    <t>Xử lý lỗi chung (Common Error Handling)</t>
  </si>
  <si>
    <t>ACSMS-TC-022-072</t>
  </si>
  <si>
    <t>Chuyển về màn hình login khi session hết hạn</t>
  </si>
  <si>
    <t>・role: NICHINO_ADMIN
・Đã login (đã xác thực 2 bước)
・Có quyền「file.download」
・Đã hiển thị「/file-download」</t>
  </si>
  <si>
    <r>
      <rPr>
        <b/>
        <sz val="10"/>
        <color rgb="FF000000"/>
        <rFont val="メイリオ"/>
        <charset val="134"/>
      </rPr>
      <t xml:space="preserve">ステップ1：
</t>
    </r>
    <r>
      <rPr>
        <sz val="10"/>
        <color rgb="FF000000"/>
        <rFont val="メイリオ"/>
        <charset val="134"/>
      </rPr>
      <t xml:space="preserve">Mở「/file-download」và xác nhận danh sách được hiển thị
</t>
    </r>
    <r>
      <rPr>
        <b/>
        <sz val="10"/>
        <color rgb="FF000000"/>
        <rFont val="メイリオ"/>
        <charset val="134"/>
      </rPr>
      <t xml:space="preserve">ステップ2：
</t>
    </r>
    <r>
      <rPr>
        <sz val="10"/>
        <color rgb="FF000000"/>
        <rFont val="メイリオ"/>
        <charset val="134"/>
      </rPr>
      <t xml:space="preserve">Xóa session đó khỏi Redis
</t>
    </r>
    <r>
      <rPr>
        <sz val="10"/>
        <color rgb="FF000000"/>
        <rFont val="メイリオ"/>
        <charset val="134"/>
      </rPr>
      <t xml:space="preserve">```
</t>
    </r>
    <r>
      <rPr>
        <sz val="10"/>
        <color rgb="FF000000"/>
        <rFont val="メイリオ"/>
        <charset val="134"/>
      </rPr>
      <t xml:space="preserve">DEL session:{session_id}
</t>
    </r>
    <r>
      <rPr>
        <sz val="10"/>
        <color rgb="FF000000"/>
        <rFont val="メイリオ"/>
        <charset val="134"/>
      </rPr>
      <t xml:space="preserve">```
</t>
    </r>
    <r>
      <rPr>
        <b/>
        <sz val="10"/>
        <color rgb="FF000000"/>
        <rFont val="メイリオ"/>
        <charset val="134"/>
      </rPr>
      <t xml:space="preserve">ステップ3：
</t>
    </r>
    <r>
      <rPr>
        <sz val="10"/>
        <color rgb="FF000000"/>
        <rFont val="メイリオ"/>
        <charset val="134"/>
      </rPr>
      <t xml:space="preserve">Click button「検索」trên màn hình
</t>
    </r>
    <r>
      <rPr>
        <b/>
        <sz val="10"/>
        <color rgb="FF000000"/>
        <rFont val="メイリオ"/>
        <charset val="134"/>
      </rPr>
      <t xml:space="preserve">ステップ4：
</t>
    </r>
    <r>
      <rPr>
        <sz val="10"/>
        <color rgb="FF000000"/>
        <rFont val="メイリオ"/>
        <charset val="134"/>
      </rPr>
      <t xml:space="preserve">Kiểm tra response trên tab Network của DevTools
</t>
    </r>
    <r>
      <rPr>
        <b/>
        <sz val="10"/>
        <color rgb="FF000000"/>
        <rFont val="メイリオ"/>
        <charset val="134"/>
      </rPr>
      <t xml:space="preserve">ステップ5：
</t>
    </r>
    <r>
      <rPr>
        <sz val="10"/>
        <color rgb="FF000000"/>
        <rFont val="メイリオ"/>
        <charset val="134"/>
      </rPr>
      <t>Kiểm tra query parameter của URL đích</t>
    </r>
  </si>
  <si>
    <r>
      <rPr>
        <b/>
        <sz val="10"/>
        <color rgb="FF000000"/>
        <rFont val="メイリオ"/>
        <charset val="134"/>
      </rPr>
      <t xml:space="preserve">ステップ1：
</t>
    </r>
    <r>
      <rPr>
        <sz val="10"/>
        <color rgb="FF000000"/>
        <rFont val="メイリオ"/>
        <charset val="134"/>
      </rPr>
      <t xml:space="preserve">Danh sách được hiển thị
</t>
    </r>
    <r>
      <rPr>
        <b/>
        <sz val="10"/>
        <color rgb="FF000000"/>
        <rFont val="メイリオ"/>
        <charset val="134"/>
      </rPr>
      <t xml:space="preserve">ステップ2：
</t>
    </r>
    <r>
      <rPr>
        <sz val="10"/>
        <color rgb="FF000000"/>
        <rFont val="メイリオ"/>
        <charset val="134"/>
      </rPr>
      <t xml:space="preserve">Session bị xóa
</t>
    </r>
    <r>
      <rPr>
        <b/>
        <sz val="10"/>
        <color rgb="FF000000"/>
        <rFont val="メイリオ"/>
        <charset val="134"/>
      </rPr>
      <t xml:space="preserve">ステップ3：
</t>
    </r>
    <r>
      <rPr>
        <sz val="10"/>
        <color rgb="FF000000"/>
        <rFont val="メイリオ"/>
        <charset val="134"/>
      </rPr>
      <t xml:space="preserve">Chuyển sang「/login」
</t>
    </r>
    <r>
      <rPr>
        <b/>
        <sz val="10"/>
        <color rgb="FF000000"/>
        <rFont val="メイリオ"/>
        <charset val="134"/>
      </rPr>
      <t xml:space="preserve">ステップ4：
</t>
    </r>
    <r>
      <rPr>
        <sz val="10"/>
        <color rgb="FF000000"/>
        <rFont val="メイリオ"/>
        <charset val="134"/>
      </rPr>
      <t xml:space="preserve">Trả về HTTP 401 (`error_code: UNAUTHORIZED`, message `セッションが切れました。再度ログインしてください。`)
</t>
    </r>
    <r>
      <rPr>
        <b/>
        <sz val="10"/>
        <color rgb="FF000000"/>
        <rFont val="メイリオ"/>
        <charset val="134"/>
      </rPr>
      <t xml:space="preserve">ステップ5：
</t>
    </r>
    <r>
      <rPr>
        <sz val="10"/>
        <color rgb="FF000000"/>
        <rFont val="メイリオ"/>
        <charset val="134"/>
      </rPr>
      <t xml:space="preserve">Query parameter `redirect` giữ lại「/file-download」
</t>
    </r>
    <r>
      <rPr>
        <b/>
        <sz val="10"/>
        <color rgb="FF000000"/>
        <rFont val="メイリオ"/>
        <charset val="134"/>
      </rPr>
      <t xml:space="preserve">補足：
</t>
    </r>
    <r>
      <rPr>
        <sz val="10"/>
        <color rgb="FF000000"/>
        <rFont val="メイリオ"/>
        <charset val="134"/>
      </rPr>
      <t xml:space="preserve">・Session hết hạn thì chuyển login
</t>
    </r>
    <r>
      <rPr>
        <sz val="10"/>
        <color rgb="FF000000"/>
        <rFont val="メイリオ"/>
        <charset val="134"/>
      </rPr>
      <t>・Sau khi login lại có thể quay về màn hình ban đầu</t>
    </r>
  </si>
  <si>
    <t>ACSMS-TC-022-073</t>
  </si>
  <si>
    <t>Gửi trực tiếp path parameter không hợp lệ</t>
  </si>
  <si>
    <r>
      <rPr>
        <b/>
        <sz val="10"/>
        <color rgb="FF000000"/>
        <rFont val="游ゴシック"/>
        <charset val="134"/>
      </rPr>
      <t xml:space="preserve">ステップ1：
</t>
    </r>
    <r>
      <rPr>
        <sz val="10"/>
        <color rgb="FF000000"/>
        <rFont val="游ゴシック"/>
        <charset val="134"/>
      </rPr>
      <t xml:space="preserve">Gửi GET「/api/v1/file-download/abc/download」trên tab Network của DevTools
</t>
    </r>
    <r>
      <rPr>
        <b/>
        <sz val="10"/>
        <color rgb="FF000000"/>
        <rFont val="游ゴシック"/>
        <charset val="134"/>
      </rPr>
      <t xml:space="preserve">ステップ2：
</t>
    </r>
    <r>
      <rPr>
        <sz val="10"/>
        <color rgb="FF000000"/>
        <rFont val="游ゴシック"/>
        <charset val="134"/>
      </rPr>
      <t xml:space="preserve">Gửi GET「/api/v1/file-download/0/preview」
</t>
    </r>
    <r>
      <rPr>
        <b/>
        <sz val="10"/>
        <color rgb="FF000000"/>
        <rFont val="游ゴシック"/>
        <charset val="134"/>
      </rPr>
      <t xml:space="preserve">ステップ3：
</t>
    </r>
    <r>
      <rPr>
        <sz val="10"/>
        <color rgb="FF000000"/>
        <rFont val="游ゴシック"/>
        <charset val="134"/>
      </rPr>
      <t xml:space="preserve">Gửi GET「/api/v1/file-download/-1/download」
</t>
    </r>
    <r>
      <rPr>
        <b/>
        <sz val="10"/>
        <color rgb="FF000000"/>
        <rFont val="游ゴシック"/>
        <charset val="134"/>
      </rPr>
      <t xml:space="preserve">ステップ4：
</t>
    </r>
    <r>
      <rPr>
        <sz val="10"/>
        <color rgb="FF000000"/>
        <rFont val="游ゴシック"/>
        <charset val="134"/>
      </rPr>
      <t>Kiểm tra `error_code` của tất cả response</t>
    </r>
  </si>
  <si>
    <r>
      <rPr>
        <b/>
        <sz val="10"/>
        <color rgb="FF000000"/>
        <rFont val="メイリオ"/>
        <charset val="134"/>
      </rPr>
      <t xml:space="preserve">ステップ1：
</t>
    </r>
    <r>
      <rPr>
        <sz val="10"/>
        <color rgb="FF000000"/>
        <rFont val="メイリオ"/>
        <charset val="134"/>
      </rPr>
      <t xml:space="preserve">Trả về HTTP 400 (`error_code: BAD_REQUEST`, message `リクエストパラメータが不正です。`)
</t>
    </r>
    <r>
      <rPr>
        <b/>
        <sz val="10"/>
        <color rgb="FF000000"/>
        <rFont val="メイリオ"/>
        <charset val="134"/>
      </rPr>
      <t xml:space="preserve">ステップ2：
</t>
    </r>
    <r>
      <rPr>
        <sz val="10"/>
        <color rgb="FF000000"/>
        <rFont val="メイリオ"/>
        <charset val="134"/>
      </rPr>
      <t xml:space="preserve">Trả về HTTP 400 (`error_code: BAD_REQUEST`, message `リクエストパラメータが不正です。`)
</t>
    </r>
    <r>
      <rPr>
        <b/>
        <sz val="10"/>
        <color rgb="FF000000"/>
        <rFont val="メイリオ"/>
        <charset val="134"/>
      </rPr>
      <t xml:space="preserve">ステップ3：
</t>
    </r>
    <r>
      <rPr>
        <sz val="10"/>
        <color rgb="FF000000"/>
        <rFont val="メイリオ"/>
        <charset val="134"/>
      </rPr>
      <t xml:space="preserve">Trả về HTTP 400 (`error_code: BAD_REQUEST`, message `リクエストパラメータが不正です。`)
</t>
    </r>
    <r>
      <rPr>
        <b/>
        <sz val="10"/>
        <color rgb="FF000000"/>
        <rFont val="メイリオ"/>
        <charset val="134"/>
      </rPr>
      <t xml:space="preserve">ステップ4：
</t>
    </r>
    <r>
      <rPr>
        <sz val="10"/>
        <color rgb="FF000000"/>
        <rFont val="メイリオ"/>
        <charset val="134"/>
      </rPr>
      <t xml:space="preserve">Tất cả đều có `error_code` là `BAD_REQUEST` hoặc `VALIDATION_ERROR`, không lộ thông tin nội bộ
</t>
    </r>
    <r>
      <rPr>
        <b/>
        <sz val="10"/>
        <color rgb="FF000000"/>
        <rFont val="メイリオ"/>
        <charset val="134"/>
      </rPr>
      <t xml:space="preserve">補足：
</t>
    </r>
    <r>
      <rPr>
        <sz val="10"/>
        <color rgb="FF000000"/>
        <rFont val="メイリオ"/>
        <charset val="134"/>
      </rPr>
      <t xml:space="preserve">・Param không hợp lệ thì lỗi
</t>
    </r>
    <r>
      <rPr>
        <sz val="10"/>
        <color rgb="FF000000"/>
        <rFont val="メイリオ"/>
        <charset val="134"/>
      </rPr>
      <t>・Response lỗi không chứa stack trace</t>
    </r>
  </si>
  <si>
    <t>ACSMS-TC-022-074</t>
  </si>
  <si>
    <t>Cấu trúc mảng errors khi nhiều mục bị lỗi</t>
  </si>
  <si>
    <r>
      <rPr>
        <b/>
        <sz val="10"/>
        <color rgb="FF000000"/>
        <rFont val="游ゴシック"/>
        <charset val="134"/>
      </rPr>
      <t xml:space="preserve">ステップ1：
</t>
    </r>
    <r>
      <rPr>
        <sz val="10"/>
        <color rgb="FF000000"/>
        <rFont val="游ゴシック"/>
        <charset val="134"/>
      </rPr>
      <t xml:space="preserve">Gửi GET「/api/v1/file-download?todofuken_code=1&amp;download_type=9&amp;per_page=200」trên tab Network của DevTools
</t>
    </r>
    <r>
      <rPr>
        <b/>
        <sz val="10"/>
        <color rgb="FF000000"/>
        <rFont val="游ゴシック"/>
        <charset val="134"/>
      </rPr>
      <t xml:space="preserve">ステップ2：
</t>
    </r>
    <r>
      <rPr>
        <sz val="10"/>
        <color rgb="FF000000"/>
        <rFont val="游ゴシック"/>
        <charset val="134"/>
      </rPr>
      <t xml:space="preserve">Kiểm tra `error_code` và `message` của response
</t>
    </r>
    <r>
      <rPr>
        <b/>
        <sz val="10"/>
        <color rgb="FF000000"/>
        <rFont val="游ゴシック"/>
        <charset val="134"/>
      </rPr>
      <t xml:space="preserve">ステップ3：
</t>
    </r>
    <r>
      <rPr>
        <sz val="10"/>
        <color rgb="FF000000"/>
        <rFont val="游ゴシック"/>
        <charset val="134"/>
      </rPr>
      <t xml:space="preserve">Kiểm tra cấu trúc và số phần tử của mảng `errors`
</t>
    </r>
    <r>
      <rPr>
        <b/>
        <sz val="10"/>
        <color rgb="FF000000"/>
        <rFont val="游ゴシック"/>
        <charset val="134"/>
      </rPr>
      <t xml:space="preserve">ステップ4：
</t>
    </r>
    <r>
      <rPr>
        <sz val="10"/>
        <color rgb="FF000000"/>
        <rFont val="游ゴシック"/>
        <charset val="134"/>
      </rPr>
      <t>Kiểm tra `field` và `message` của từng phần tử</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</si>
  <si>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ステップ2：
</t>
    </r>
    <r>
      <rPr>
        <sz val="10"/>
        <color rgb="FF000000"/>
        <rFont val="メイリオ"/>
        <charset val="134"/>
      </rPr>
      <t xml:space="preserve">`error_code` là `VALIDATION_ERROR`, `message` là `入力値が不正です。詳細はerrorsフィールドを確認してください。`
</t>
    </r>
    <r>
      <rPr>
        <b/>
        <sz val="10"/>
        <color rgb="FF000000"/>
        <rFont val="メイリオ"/>
        <charset val="134"/>
      </rPr>
      <t xml:space="preserve">ステップ3：
</t>
    </r>
    <r>
      <rPr>
        <sz val="10"/>
        <color rgb="FF000000"/>
        <rFont val="メイリオ"/>
        <charset val="134"/>
      </rPr>
      <t xml:space="preserve">`errors` là mảng và chứa 3 phần tử
</t>
    </r>
    <r>
      <rPr>
        <b/>
        <sz val="10"/>
        <color rgb="FF000000"/>
        <rFont val="メイリオ"/>
        <charset val="134"/>
      </rPr>
      <t xml:space="preserve">ステップ4：
</t>
    </r>
    <r>
      <rPr>
        <sz val="10"/>
        <color rgb="FF000000"/>
        <rFont val="メイリオ"/>
        <charset val="134"/>
      </rPr>
      <t xml:space="preserve">・`todofuken_code` tương ứng `都道府県コードは半角数字2桁で入力してください。`
</t>
    </r>
    <r>
      <rPr>
        <sz val="10"/>
        <color rgb="FF000000"/>
        <rFont val="メイリオ"/>
        <charset val="134"/>
      </rPr>
      <t xml:space="preserve">・`download_type` tương ứng `ダウンロード種別は1〜5で指定してください。`
</t>
    </r>
    <r>
      <rPr>
        <sz val="10"/>
        <color rgb="FF000000"/>
        <rFont val="メイリオ"/>
        <charset val="134"/>
      </rPr>
      <t xml:space="preserve">・`per_page` tương ứng `1ページあたりの件数は1〜100の範囲で指定してください。`
</t>
    </r>
    <r>
      <rPr>
        <b/>
        <sz val="10"/>
        <color rgb="FF000000"/>
        <rFont val="メイリオ"/>
        <charset val="134"/>
      </rPr>
      <t xml:space="preserve">補足：
</t>
    </r>
    <r>
      <rPr>
        <sz val="10"/>
        <color rgb="FF000000"/>
        <rFont val="メイリオ"/>
        <charset val="134"/>
      </rPr>
      <t xml:space="preserve">・Mỗi phần tử có 2 mục `field` và `message`, phía màn hình có thể ánh xạ sang hiển thị lỗi theo từng mục
</t>
    </r>
    <r>
      <rPr>
        <sz val="10"/>
        <color rgb="FF000000"/>
        <rFont val="メイリオ"/>
        <charset val="134"/>
      </rPr>
      <t>・Mỗi mục chỉ trả về 1 message</t>
    </r>
  </si>
  <si>
    <t>ACSMS-TC-022-075</t>
  </si>
  <si>
    <t>Phản hồi khi vượt giới hạn tần suất</t>
  </si>
  <si>
    <t>・role: NICHINO_ADMIN
・Đã login (đã xác thực 2 bước)
・Có quyền「file.download」
・Đã có từ 1 file trở lên có thể download</t>
  </si>
  <si>
    <r>
      <rPr>
        <b/>
        <sz val="10"/>
        <color rgb="FF000000"/>
        <rFont val="メイリオ"/>
        <charset val="134"/>
      </rPr>
      <t xml:space="preserve">ステップ1：
</t>
    </r>
    <r>
      <rPr>
        <sz val="10"/>
        <color rgb="FF000000"/>
        <rFont val="メイリオ"/>
        <charset val="134"/>
      </rPr>
      <t xml:space="preserve">Gửi POST「/api/v1/file-download/download-zip」21 lần liên tiếp trong 1 phút
</t>
    </r>
    <r>
      <rPr>
        <b/>
        <sz val="10"/>
        <color rgb="FF000000"/>
        <rFont val="メイリオ"/>
        <charset val="134"/>
      </rPr>
      <t xml:space="preserve">ステップ2：
</t>
    </r>
    <r>
      <rPr>
        <sz val="10"/>
        <color rgb="FF000000"/>
        <rFont val="メイリオ"/>
        <charset val="134"/>
      </rPr>
      <t xml:space="preserve">Kiểm tra response lần thứ 21
</t>
    </r>
    <r>
      <rPr>
        <b/>
        <sz val="10"/>
        <color rgb="FF000000"/>
        <rFont val="メイリオ"/>
        <charset val="134"/>
      </rPr>
      <t xml:space="preserve">ステップ3：
</t>
    </r>
    <r>
      <rPr>
        <sz val="10"/>
        <color rgb="FF000000"/>
        <rFont val="メイリオ"/>
        <charset val="134"/>
      </rPr>
      <t xml:space="preserve">Gửi lại sau khi qua 1 phút
</t>
    </r>
    <r>
      <rPr>
        <b/>
        <sz val="10"/>
        <color rgb="FF000000"/>
        <rFont val="メイリオ"/>
        <charset val="134"/>
      </rPr>
      <t xml:space="preserve">ステップ4：
</t>
    </r>
    <r>
      <rPr>
        <sz val="10"/>
        <color rgb="FF000000"/>
        <rFont val="メイリオ"/>
        <charset val="134"/>
      </rPr>
      <t>Gửi GET「/api/v1/file-download」101 lần liên tiếp trong 1 phút và kiểm tra response lần thứ 101</t>
    </r>
  </si>
  <si>
    <r>
      <rPr>
        <b/>
        <sz val="10"/>
        <color rgb="FF000000"/>
        <rFont val="メイリオ"/>
        <charset val="134"/>
      </rPr>
      <t xml:space="preserve">ステップ1：
</t>
    </r>
    <r>
      <rPr>
        <sz val="10"/>
        <color rgb="FF000000"/>
        <rFont val="メイリオ"/>
        <charset val="134"/>
      </rPr>
      <t xml:space="preserve">Đến lần thứ 20 được xử lý bình thường
</t>
    </r>
    <r>
      <rPr>
        <b/>
        <sz val="10"/>
        <color rgb="FF000000"/>
        <rFont val="メイリオ"/>
        <charset val="134"/>
      </rPr>
      <t xml:space="preserve">ステップ2：
</t>
    </r>
    <r>
      <rPr>
        <sz val="10"/>
        <color rgb="FF000000"/>
        <rFont val="メイリオ"/>
        <charset val="134"/>
      </rPr>
      <t xml:space="preserve">Trả về HTTP 429 (`error_code: TOO_MANY_REQUESTS`, message `リクエスト回数が上限を超えました。しばらくしてから再度お試しください。`)
</t>
    </r>
    <r>
      <rPr>
        <b/>
        <sz val="10"/>
        <color rgb="FF000000"/>
        <rFont val="メイリオ"/>
        <charset val="134"/>
      </rPr>
      <t xml:space="preserve">ステップ3：
</t>
    </r>
    <r>
      <rPr>
        <sz val="10"/>
        <color rgb="FF000000"/>
        <rFont val="メイリオ"/>
        <charset val="134"/>
      </rPr>
      <t xml:space="preserve">Được xử lý bình thường
</t>
    </r>
    <r>
      <rPr>
        <b/>
        <sz val="10"/>
        <color rgb="FF000000"/>
        <rFont val="メイリオ"/>
        <charset val="134"/>
      </rPr>
      <t xml:space="preserve">ステップ4：
</t>
    </r>
    <r>
      <rPr>
        <sz val="10"/>
        <color rgb="FF000000"/>
        <rFont val="メイリオ"/>
        <charset val="134"/>
      </rPr>
      <t xml:space="preserve">Trả về HTTP 429 (`error_code: TOO_MANY_REQUESTS`, message `リクエスト回数が上限を超えました。しばらくしてから再度お試しください。`)
</t>
    </r>
    <r>
      <rPr>
        <b/>
        <sz val="10"/>
        <color rgb="FF000000"/>
        <rFont val="メイリオ"/>
        <charset val="134"/>
      </rPr>
      <t xml:space="preserve">補足：
</t>
    </r>
    <r>
      <rPr>
        <sz val="10"/>
        <color rgb="FF000000"/>
        <rFont val="メイリオ"/>
        <charset val="134"/>
      </rPr>
      <t xml:space="preserve">・Download hàng loạt giới hạn 20 lần／phút, lấy danh sách giới hạn 100 lần／phút
</t>
    </r>
    <r>
      <rPr>
        <sz val="10"/>
        <color rgb="FF000000"/>
        <rFont val="メイリオ"/>
        <charset val="134"/>
      </rPr>
      <t>・Sau khi đạt giới hạn cũng không terminate bất thường, phục hồi theo thời gian</t>
    </r>
  </si>
  <si>
    <t>ACSMS-TC-022-076</t>
  </si>
  <si>
    <t>Phản hồi khi phát sinh sự cố phía server</t>
  </si>
  <si>
    <t>・role: NICHINO_ADMIN
・Đã login (đã xác thực 2 bước)
・Có quyền「file.download」
・Trạng thái có thể tạm ngắt kết nối DB trên môi trường kiểm thử</t>
  </si>
  <si>
    <r>
      <rPr>
        <b/>
        <sz val="10"/>
        <color rgb="FF000000"/>
        <rFont val="メイリオ"/>
        <charset val="134"/>
      </rPr>
      <t xml:space="preserve">ステップ1：
</t>
    </r>
    <r>
      <rPr>
        <sz val="10"/>
        <color rgb="FF000000"/>
        <rFont val="メイリオ"/>
        <charset val="134"/>
      </rPr>
      <t xml:space="preserve">Mở「/file-download」và xác nhận danh sách được hiển thị
</t>
    </r>
    <r>
      <rPr>
        <b/>
        <sz val="10"/>
        <color rgb="FF000000"/>
        <rFont val="メイリオ"/>
        <charset val="134"/>
      </rPr>
      <t xml:space="preserve">ステップ2：
</t>
    </r>
    <r>
      <rPr>
        <sz val="10"/>
        <color rgb="FF000000"/>
        <rFont val="メイリオ"/>
        <charset val="134"/>
      </rPr>
      <t xml:space="preserve">Tạm ngắt kết nối đến DB
</t>
    </r>
    <r>
      <rPr>
        <b/>
        <sz val="10"/>
        <color rgb="FF000000"/>
        <rFont val="メイリオ"/>
        <charset val="134"/>
      </rPr>
      <t xml:space="preserve">ステップ3：
</t>
    </r>
    <r>
      <rPr>
        <sz val="10"/>
        <color rgb="FF000000"/>
        <rFont val="メイリオ"/>
        <charset val="134"/>
      </rPr>
      <t xml:space="preserve">Click button「検索」trên màn hình và kiểm tra response trên tab Network của DevTools
</t>
    </r>
    <r>
      <rPr>
        <b/>
        <sz val="10"/>
        <color rgb="FF000000"/>
        <rFont val="メイリオ"/>
        <charset val="134"/>
      </rPr>
      <t xml:space="preserve">ステップ4：
</t>
    </r>
    <r>
      <rPr>
        <sz val="10"/>
        <color rgb="FF000000"/>
        <rFont val="メイリオ"/>
        <charset val="134"/>
      </rPr>
      <t xml:space="preserve">Kiểm tra message hiển thị trên màn hình
</t>
    </r>
    <r>
      <rPr>
        <b/>
        <sz val="10"/>
        <color rgb="FF000000"/>
        <rFont val="メイリオ"/>
        <charset val="134"/>
      </rPr>
      <t xml:space="preserve">ステップ5：
</t>
    </r>
    <r>
      <rPr>
        <sz val="10"/>
        <color rgb="FF000000"/>
        <rFont val="メイリオ"/>
        <charset val="134"/>
      </rPr>
      <t>Khôi phục kết nối DB và click lại button「検索」</t>
    </r>
  </si>
  <si>
    <r>
      <rPr>
        <b/>
        <sz val="10"/>
        <color rgb="FF000000"/>
        <rFont val="メイリオ"/>
        <charset val="134"/>
      </rPr>
      <t xml:space="preserve">ステップ1：
</t>
    </r>
    <r>
      <rPr>
        <sz val="10"/>
        <color rgb="FF000000"/>
        <rFont val="メイリオ"/>
        <charset val="134"/>
      </rPr>
      <t xml:space="preserve">Danh sách được hiển thị
</t>
    </r>
    <r>
      <rPr>
        <b/>
        <sz val="10"/>
        <color rgb="FF000000"/>
        <rFont val="メイリオ"/>
        <charset val="134"/>
      </rPr>
      <t xml:space="preserve">ステップ2：
</t>
    </r>
    <r>
      <rPr>
        <sz val="10"/>
        <color rgb="FF000000"/>
        <rFont val="メイリオ"/>
        <charset val="134"/>
      </rPr>
      <t xml:space="preserve">Kết nối bị ngắt
</t>
    </r>
    <r>
      <rPr>
        <b/>
        <sz val="10"/>
        <color rgb="FF000000"/>
        <rFont val="メイリオ"/>
        <charset val="134"/>
      </rPr>
      <t xml:space="preserve">ステップ3：
</t>
    </r>
    <r>
      <rPr>
        <sz val="10"/>
        <color rgb="FF000000"/>
        <rFont val="メイリオ"/>
        <charset val="134"/>
      </rPr>
      <t xml:space="preserve">Trả về HTTP 500 (`error_code: INTERNAL_SERVER_ERROR`, message `システムエラーが発生しました。しばらくしてから再度お試しください。`)
</t>
    </r>
    <r>
      <rPr>
        <b/>
        <sz val="10"/>
        <color rgb="FF000000"/>
        <rFont val="メイリオ"/>
        <charset val="134"/>
      </rPr>
      <t xml:space="preserve">ステップ4：
</t>
    </r>
    <r>
      <rPr>
        <sz val="10"/>
        <color rgb="FF000000"/>
        <rFont val="メイリオ"/>
        <charset val="134"/>
      </rPr>
      <t xml:space="preserve">Hiển thị message「システムエラーが発生しました。しばらくしてから再度お試しください。」
</t>
    </r>
    <r>
      <rPr>
        <b/>
        <sz val="10"/>
        <color rgb="FF000000"/>
        <rFont val="メイリオ"/>
        <charset val="134"/>
      </rPr>
      <t xml:space="preserve">ステップ5：
</t>
    </r>
    <r>
      <rPr>
        <sz val="10"/>
        <color rgb="FF000000"/>
        <rFont val="メイリオ"/>
        <charset val="134"/>
      </rPr>
      <t xml:space="preserve">Danh sách được hiển thị lại, không terminate bất thường
</t>
    </r>
    <r>
      <rPr>
        <b/>
        <sz val="10"/>
        <color rgb="FF000000"/>
        <rFont val="メイリオ"/>
        <charset val="134"/>
      </rPr>
      <t xml:space="preserve">補足：
</t>
    </r>
    <r>
      <rPr>
        <sz val="10"/>
        <color rgb="FF000000"/>
        <rFont val="メイリオ"/>
        <charset val="134"/>
      </rPr>
      <t xml:space="preserve">・Response lỗi không chứa thông tin nội bộ (stack trace, câu SQL, thông tin kết nối)
</t>
    </r>
    <r>
      <rPr>
        <sz val="10"/>
        <color rgb="FF000000"/>
        <rFont val="メイリオ"/>
        <charset val="134"/>
      </rPr>
      <t>・Output error log</t>
    </r>
  </si>
  <si>
    <t>ACSMS-TC-022-077</t>
  </si>
  <si>
    <t>Chỉ định file ID không tồn tại</t>
  </si>
  <si>
    <t>・role: NICHINO_ADMIN
・Đã login (đã xác thực 2 bước)
・Có quyền「file.download」
・Không tồn tại bản ghi có `file_download_id` = 999999</t>
  </si>
  <si>
    <r>
      <rPr>
        <b/>
        <sz val="10"/>
        <color rgb="FF000000"/>
        <rFont val="游ゴシック"/>
        <charset val="134"/>
      </rPr>
      <t xml:space="preserve">ステップ1：
</t>
    </r>
    <r>
      <rPr>
        <sz val="10"/>
        <color rgb="FF000000"/>
        <rFont val="游ゴシック"/>
        <charset val="134"/>
      </rPr>
      <t xml:space="preserve">Xác nhận không tồn tại bản ghi có ID đối tượng trên DB
```sql
SELECT COUNT(*) FROM t_file_download
WHERE file_download_id = 999999;
```
</t>
    </r>
    <r>
      <rPr>
        <b/>
        <sz val="10"/>
        <color rgb="FF000000"/>
        <rFont val="游ゴシック"/>
        <charset val="134"/>
      </rPr>
      <t xml:space="preserve">ステップ2：
</t>
    </r>
    <r>
      <rPr>
        <sz val="10"/>
        <color rgb="FF000000"/>
        <rFont val="游ゴシック"/>
        <charset val="134"/>
      </rPr>
      <t xml:space="preserve">Gửi GET「/api/v1/file-download/999999/download」trên tab Network của DevTools
</t>
    </r>
    <r>
      <rPr>
        <b/>
        <sz val="10"/>
        <color rgb="FF000000"/>
        <rFont val="游ゴシック"/>
        <charset val="134"/>
      </rPr>
      <t xml:space="preserve">ステップ3：
</t>
    </r>
    <r>
      <rPr>
        <sz val="10"/>
        <color rgb="FF000000"/>
        <rFont val="游ゴシック"/>
        <charset val="134"/>
      </rPr>
      <t xml:space="preserve">Gửi GET「/api/v1/file-download/999999/preview」
</t>
    </r>
    <r>
      <rPr>
        <b/>
        <sz val="10"/>
        <color rgb="FF000000"/>
        <rFont val="游ゴシック"/>
        <charset val="134"/>
      </rPr>
      <t xml:space="preserve">ステップ4：
</t>
    </r>
    <r>
      <rPr>
        <sz val="10"/>
        <color rgb="FF000000"/>
        <rFont val="游ゴシック"/>
        <charset val="134"/>
      </rPr>
      <t>Gửi POST「/api/v1/file-download/download-zip」với request body `{ "file_download_ids": [999999] }`</t>
    </r>
  </si>
  <si>
    <r>
      <rPr>
        <b/>
        <sz val="10"/>
        <color rgb="FF000000"/>
        <rFont val="メイリオ"/>
        <charset val="134"/>
      </rPr>
      <t xml:space="preserve">ステップ1：
</t>
    </r>
    <r>
      <rPr>
        <sz val="10"/>
        <color rgb="FF000000"/>
        <rFont val="メイリオ"/>
        <charset val="134"/>
      </rPr>
      <t xml:space="preserve">Số lượng là 0
</t>
    </r>
    <r>
      <rPr>
        <b/>
        <sz val="10"/>
        <color rgb="FF000000"/>
        <rFont val="メイリオ"/>
        <charset val="134"/>
      </rPr>
      <t xml:space="preserve">ステップ2：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ステップ3：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ステップ4：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補足：
</t>
    </r>
    <r>
      <rPr>
        <sz val="10"/>
        <color rgb="FF000000"/>
        <rFont val="メイリオ"/>
        <charset val="134"/>
      </rPr>
      <t xml:space="preserve">・Không tồn tại dữ liệu đối tượng
</t>
    </r>
    <r>
      <rPr>
        <sz val="10"/>
        <color rgb="FF000000"/>
        <rFont val="メイリオ"/>
        <charset val="134"/>
      </rPr>
      <t>・ID không tồn tại cũng không bị terminate bất thường</t>
    </r>
  </si>
  <si>
    <t>ACSMS-TC-022-078</t>
  </si>
  <si>
    <t>Truy cập trực tiếp file đã xóa logical</t>
  </si>
  <si>
    <t>・role: NICHINO_ADMIN
・Đã login (đã xác thực 2 bước)
・Có quyền「file.download」
・Đã có từ 1 file đã xóa logical (`deleted_at IS NOT NULL`)</t>
  </si>
  <si>
    <r>
      <rPr>
        <b/>
        <sz val="10"/>
        <color rgb="FF000000"/>
        <rFont val="メイリオ"/>
        <charset val="134"/>
      </rPr>
      <t xml:space="preserve">ステップ1：
</t>
    </r>
    <r>
      <rPr>
        <sz val="10"/>
        <color rgb="FF000000"/>
        <rFont val="メイリオ"/>
        <charset val="134"/>
      </rPr>
      <t xml:space="preserve">Ghi lại `file_download_id` của file đã xóa logical trên DB
</t>
    </r>
    <r>
      <rPr>
        <sz val="10"/>
        <color rgb="FF000000"/>
        <rFont val="メイリオ"/>
        <charset val="134"/>
      </rPr>
      <t xml:space="preserve">```sql
</t>
    </r>
    <r>
      <rPr>
        <sz val="10"/>
        <color rgb="FF000000"/>
        <rFont val="メイリオ"/>
        <charset val="134"/>
      </rPr>
      <t xml:space="preserve">SELECT file_download_id, file_name, deleted_at
</t>
    </r>
    <r>
      <rPr>
        <sz val="10"/>
        <color rgb="FF000000"/>
        <rFont val="メイリオ"/>
        <charset val="134"/>
      </rPr>
      <t xml:space="preserve">FROM t_file_download
</t>
    </r>
    <r>
      <rPr>
        <sz val="10"/>
        <color rgb="FF000000"/>
        <rFont val="メイリオ"/>
        <charset val="134"/>
      </rPr>
      <t xml:space="preserve">WHERE deleted_at IS NOT NULL
</t>
    </r>
    <r>
      <rPr>
        <sz val="10"/>
        <color rgb="FF000000"/>
        <rFont val="メイリオ"/>
        <charset val="134"/>
      </rPr>
      <t xml:space="preserve">LIMIT 1;
</t>
    </r>
    <r>
      <rPr>
        <sz val="10"/>
        <color rgb="FF000000"/>
        <rFont val="メイリオ"/>
        <charset val="134"/>
      </rPr>
      <t xml:space="preserve">```
</t>
    </r>
    <r>
      <rPr>
        <b/>
        <sz val="10"/>
        <color rgb="FF000000"/>
        <rFont val="メイリオ"/>
        <charset val="134"/>
      </rPr>
      <t xml:space="preserve">ステップ2：
</t>
    </r>
    <r>
      <rPr>
        <sz val="10"/>
        <color rgb="FF000000"/>
        <rFont val="メイリオ"/>
        <charset val="134"/>
      </rPr>
      <t xml:space="preserve">Gửi GET「/api/v1/file-download/{file_download_id}/download」trên tab Network của DevTools
</t>
    </r>
    <r>
      <rPr>
        <b/>
        <sz val="10"/>
        <color rgb="FF000000"/>
        <rFont val="メイリオ"/>
        <charset val="134"/>
      </rPr>
      <t xml:space="preserve">ステップ3：
</t>
    </r>
    <r>
      <rPr>
        <sz val="10"/>
        <color rgb="FF000000"/>
        <rFont val="メイリオ"/>
        <charset val="134"/>
      </rPr>
      <t xml:space="preserve">Gửi GET「/api/v1/file-download/{file_download_id}/preview」
</t>
    </r>
    <r>
      <rPr>
        <b/>
        <sz val="10"/>
        <color rgb="FF000000"/>
        <rFont val="メイリオ"/>
        <charset val="134"/>
      </rPr>
      <t xml:space="preserve">ステップ4：
</t>
    </r>
    <r>
      <rPr>
        <sz val="10"/>
        <color rgb="FF000000"/>
        <rFont val="メイリオ"/>
        <charset val="134"/>
      </rPr>
      <t>Xác nhận bản ghi đó không bị xóa vật lý trên DB</t>
    </r>
  </si>
  <si>
    <r>
      <rPr>
        <b/>
        <sz val="10"/>
        <color rgb="FF000000"/>
        <rFont val="メイリオ"/>
        <charset val="134"/>
      </rPr>
      <t xml:space="preserve">ステップ1：
</t>
    </r>
    <r>
      <rPr>
        <sz val="10"/>
        <color rgb="FF000000"/>
        <rFont val="メイリオ"/>
        <charset val="134"/>
      </rPr>
      <t xml:space="preserve">Lấy được thông tin của file đã xóa logical
</t>
    </r>
    <r>
      <rPr>
        <b/>
        <sz val="10"/>
        <color rgb="FF000000"/>
        <rFont val="メイリオ"/>
        <charset val="134"/>
      </rPr>
      <t xml:space="preserve">ステップ2：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ステップ3：
</t>
    </r>
    <r>
      <rPr>
        <sz val="10"/>
        <color rgb="FF000000"/>
        <rFont val="メイリオ"/>
        <charset val="134"/>
      </rPr>
      <t xml:space="preserve">Trả về HTTP 404 (`error_code: NOT_FOUND`, message `指定されたファイルが見つかりません。`)
</t>
    </r>
    <r>
      <rPr>
        <b/>
        <sz val="10"/>
        <color rgb="FF000000"/>
        <rFont val="メイリオ"/>
        <charset val="134"/>
      </rPr>
      <t xml:space="preserve">ステップ4：
</t>
    </r>
    <r>
      <rPr>
        <sz val="10"/>
        <color rgb="FF000000"/>
        <rFont val="メイリオ"/>
        <charset val="134"/>
      </rPr>
      <t xml:space="preserve">Bản ghi vẫn tồn tại trong DB
</t>
    </r>
    <r>
      <rPr>
        <b/>
        <sz val="10"/>
        <color rgb="FF000000"/>
        <rFont val="メイリオ"/>
        <charset val="134"/>
      </rPr>
      <t xml:space="preserve">補足：
</t>
    </r>
    <r>
      <rPr>
        <sz val="10"/>
        <color rgb="FF000000"/>
        <rFont val="メイリオ"/>
        <charset val="134"/>
      </rPr>
      <t xml:space="preserve">・Dữ liệu đã xóa không hiển thị
</t>
    </r>
    <r>
      <rPr>
        <sz val="10"/>
        <color rgb="FF000000"/>
        <rFont val="メイリオ"/>
        <charset val="134"/>
      </rPr>
      <t>・File đã xóa logical trả về 404 giống như ngoài phạm vi tham chiếu</t>
    </r>
  </si>
  <si>
    <t>ACSMS-TC-022-079</t>
  </si>
  <si>
    <t>Hành vi phía màn hình khi mất kết nối mạng</t>
  </si>
  <si>
    <r>
      <rPr>
        <b/>
        <sz val="10"/>
        <color rgb="FF000000"/>
        <rFont val="メイリオ"/>
        <charset val="134"/>
      </rPr>
      <t xml:space="preserve">ステップ1：
</t>
    </r>
    <r>
      <rPr>
        <sz val="10"/>
        <color rgb="FF000000"/>
        <rFont val="メイリオ"/>
        <charset val="134"/>
      </rPr>
      <t xml:space="preserve">Mở「/file-download」và thiết lập trạng thái mất kết nối mạng trên tab Network của DevTools
</t>
    </r>
    <r>
      <rPr>
        <b/>
        <sz val="10"/>
        <color rgb="FF000000"/>
        <rFont val="メイリオ"/>
        <charset val="134"/>
      </rPr>
      <t xml:space="preserve">ステップ2：
</t>
    </r>
    <r>
      <rPr>
        <sz val="10"/>
        <color rgb="FF000000"/>
        <rFont val="メイリオ"/>
        <charset val="134"/>
      </rPr>
      <t xml:space="preserve">Click button「検索」và kiểm tra message hiển thị trên màn hình
</t>
    </r>
    <r>
      <rPr>
        <b/>
        <sz val="10"/>
        <color rgb="FF000000"/>
        <rFont val="メイリオ"/>
        <charset val="134"/>
      </rPr>
      <t xml:space="preserve">ステップ3：
</t>
    </r>
    <r>
      <rPr>
        <sz val="10"/>
        <color rgb="FF000000"/>
        <rFont val="メイリオ"/>
        <charset val="134"/>
      </rPr>
      <t xml:space="preserve">Chọn file và click button「ダウンロード実行」
</t>
    </r>
    <r>
      <rPr>
        <b/>
        <sz val="10"/>
        <color rgb="FF000000"/>
        <rFont val="メイリオ"/>
        <charset val="134"/>
      </rPr>
      <t xml:space="preserve">ステップ4：
</t>
    </r>
    <r>
      <rPr>
        <sz val="10"/>
        <color rgb="FF000000"/>
        <rFont val="メイリオ"/>
        <charset val="134"/>
      </rPr>
      <t>Bỏ trạng thái mất kết nối mạng và click lại button「検索」</t>
    </r>
  </si>
  <si>
    <r>
      <rPr>
        <b/>
        <sz val="10"/>
        <color rgb="FF000000"/>
        <rFont val="メイリオ"/>
        <charset val="134"/>
      </rPr>
      <t xml:space="preserve">ステップ1：
</t>
    </r>
    <r>
      <rPr>
        <sz val="10"/>
        <color rgb="FF000000"/>
        <rFont val="メイリオ"/>
        <charset val="134"/>
      </rPr>
      <t xml:space="preserve">Trạng thái mất kết nối mạng được thiết lập
</t>
    </r>
    <r>
      <rPr>
        <b/>
        <sz val="10"/>
        <color rgb="FF000000"/>
        <rFont val="メイリオ"/>
        <charset val="134"/>
      </rPr>
      <t xml:space="preserve">ステップ2：
</t>
    </r>
    <r>
      <rPr>
        <sz val="10"/>
        <color rgb="FF000000"/>
        <rFont val="メイリオ"/>
        <charset val="134"/>
      </rPr>
      <t xml:space="preserve">・Hiển thị message「ネットワークエラーが発生しました。接続をご確認ください。」
</t>
    </r>
    <r>
      <rPr>
        <sz val="10"/>
        <color rgb="FF000000"/>
        <rFont val="メイリオ"/>
        <charset val="134"/>
      </rPr>
      <t xml:space="preserve">・Màn hình không bị terminate bất thường
</t>
    </r>
    <r>
      <rPr>
        <b/>
        <sz val="10"/>
        <color rgb="FF000000"/>
        <rFont val="メイリオ"/>
        <charset val="134"/>
      </rPr>
      <t xml:space="preserve">ステップ3：
</t>
    </r>
    <r>
      <rPr>
        <sz val="10"/>
        <color rgb="FF000000"/>
        <rFont val="メイリオ"/>
        <charset val="134"/>
      </rPr>
      <t xml:space="preserve">Cũng được thông báo về lỗi mạng tương tự, dialog lưu file không được hiển thị
</t>
    </r>
    <r>
      <rPr>
        <b/>
        <sz val="10"/>
        <color rgb="FF000000"/>
        <rFont val="メイリオ"/>
        <charset val="134"/>
      </rPr>
      <t xml:space="preserve">ステップ4：
</t>
    </r>
    <r>
      <rPr>
        <sz val="10"/>
        <color rgb="FF000000"/>
        <rFont val="メイリオ"/>
        <charset val="134"/>
      </rPr>
      <t xml:space="preserve">Danh sách được hiển thị lại
</t>
    </r>
    <r>
      <rPr>
        <b/>
        <sz val="10"/>
        <color rgb="FF000000"/>
        <rFont val="メイリオ"/>
        <charset val="134"/>
      </rPr>
      <t xml:space="preserve">補足：
</t>
    </r>
    <r>
      <rPr>
        <sz val="10"/>
        <color rgb="FF000000"/>
        <rFont val="メイリオ"/>
        <charset val="134"/>
      </rPr>
      <t xml:space="preserve">・Không bị terminate bất thường
</t>
    </r>
    <r>
      <rPr>
        <sz val="10"/>
        <color rgb="FF000000"/>
        <rFont val="メイリオ"/>
        <charset val="134"/>
      </rPr>
      <t>・Sau khi mạng phục hồi có thể thao tác lại</t>
    </r>
  </si>
  <si>
    <t>ACSMS-TC-022-080</t>
  </si>
  <si>
    <t>Thuộc tính bảo mật của session cookie</t>
  </si>
  <si>
    <r>
      <rPr>
        <b/>
        <sz val="10"/>
        <color rgb="FF000000"/>
        <rFont val="メイリオ"/>
        <charset val="134"/>
      </rPr>
      <t xml:space="preserve">ステップ1：
</t>
    </r>
    <r>
      <rPr>
        <sz val="10"/>
        <color rgb="FF000000"/>
        <rFont val="メイリオ"/>
        <charset val="134"/>
      </rPr>
      <t xml:space="preserve">Mở「/file-download」và kiểm tra danh sách cookie trên tab Application của DevTools
</t>
    </r>
    <r>
      <rPr>
        <b/>
        <sz val="10"/>
        <color rgb="FF000000"/>
        <rFont val="メイリオ"/>
        <charset val="134"/>
      </rPr>
      <t xml:space="preserve">ステップ2：
</t>
    </r>
    <r>
      <rPr>
        <sz val="10"/>
        <color rgb="FF000000"/>
        <rFont val="メイリオ"/>
        <charset val="134"/>
      </rPr>
      <t xml:space="preserve">Kiểm tra các thuộc tính `HttpOnly` `Secure` `SameSite` của session cookie
</t>
    </r>
    <r>
      <rPr>
        <b/>
        <sz val="10"/>
        <color rgb="FF000000"/>
        <rFont val="メイリオ"/>
        <charset val="134"/>
      </rPr>
      <t xml:space="preserve">ステップ3：
</t>
    </r>
    <r>
      <rPr>
        <sz val="10"/>
        <color rgb="FF000000"/>
        <rFont val="メイリオ"/>
        <charset val="134"/>
      </rPr>
      <t xml:space="preserve">Thực thi `document.cookie` trên Console của DevTools
</t>
    </r>
    <r>
      <rPr>
        <b/>
        <sz val="10"/>
        <color rgb="FF000000"/>
        <rFont val="メイリオ"/>
        <charset val="134"/>
      </rPr>
      <t xml:space="preserve">ステップ4：
</t>
    </r>
    <r>
      <rPr>
        <sz val="10"/>
        <color rgb="FF000000"/>
        <rFont val="メイリオ"/>
        <charset val="134"/>
      </rPr>
      <t>Kiểm tra nội dung local storage và session storage của trình duyệt</t>
    </r>
  </si>
  <si>
    <r>
      <rPr>
        <b/>
        <sz val="10"/>
        <color rgb="FF000000"/>
        <rFont val="メイリオ"/>
        <charset val="134"/>
      </rPr>
      <t xml:space="preserve">ステップ1：
</t>
    </r>
    <r>
      <rPr>
        <sz val="10"/>
        <color rgb="FF000000"/>
        <rFont val="メイリオ"/>
        <charset val="134"/>
      </rPr>
      <t xml:space="preserve">Session cookie tồn tại
</t>
    </r>
    <r>
      <rPr>
        <b/>
        <sz val="10"/>
        <color rgb="FF000000"/>
        <rFont val="メイリオ"/>
        <charset val="134"/>
      </rPr>
      <t xml:space="preserve">ステップ2：
</t>
    </r>
    <r>
      <rPr>
        <sz val="10"/>
        <color rgb="FF000000"/>
        <rFont val="メイリオ"/>
        <charset val="134"/>
      </rPr>
      <t xml:space="preserve">`HttpOnly` và `Secure` được bật, `SameSite` là `Strict`
</t>
    </r>
    <r>
      <rPr>
        <b/>
        <sz val="10"/>
        <color rgb="FF000000"/>
        <rFont val="メイリオ"/>
        <charset val="134"/>
      </rPr>
      <t xml:space="preserve">ステップ3：
</t>
    </r>
    <r>
      <rPr>
        <sz val="10"/>
        <color rgb="FF000000"/>
        <rFont val="メイリオ"/>
        <charset val="134"/>
      </rPr>
      <t xml:space="preserve">Không lấy được giá trị của session cookie
</t>
    </r>
    <r>
      <rPr>
        <b/>
        <sz val="10"/>
        <color rgb="FF000000"/>
        <rFont val="メイリオ"/>
        <charset val="134"/>
      </rPr>
      <t xml:space="preserve">ステップ4：
</t>
    </r>
    <r>
      <rPr>
        <sz val="10"/>
        <color rgb="FF000000"/>
        <rFont val="メイリオ"/>
        <charset val="134"/>
      </rPr>
      <t xml:space="preserve">Session ID và thông tin xác thực không được lưu
</t>
    </r>
    <r>
      <rPr>
        <b/>
        <sz val="10"/>
        <color rgb="FF000000"/>
        <rFont val="メイリオ"/>
        <charset val="134"/>
      </rPr>
      <t xml:space="preserve">補足：
</t>
    </r>
    <r>
      <rPr>
        <sz val="10"/>
        <color rgb="FF000000"/>
        <rFont val="メイリオ"/>
        <charset val="134"/>
      </rPr>
      <t>・Thông tin xác thực chỉ được giữ bằng HTTP-only cookie, không đọc được từ script</t>
    </r>
  </si>
  <si>
    <t>ACSMS-TC-022-081</t>
  </si>
  <si>
    <t>Đồng bộ hết hạn session giữa nhiều tab</t>
  </si>
  <si>
    <t>・role: NICHINO_ADMIN
・Đã login (đã xác thực 2 bước)
・Có quyền「file.download」
・Đã hiển thị「/file-download」trên 2 tab của cùng trình duyệt</t>
  </si>
  <si>
    <r>
      <rPr>
        <b/>
        <sz val="10"/>
        <color rgb="FF000000"/>
        <rFont val="メイリオ"/>
        <charset val="134"/>
      </rPr>
      <t xml:space="preserve">ステップ1：
</t>
    </r>
    <r>
      <rPr>
        <sz val="10"/>
        <color rgb="FF000000"/>
        <rFont val="メイリオ"/>
        <charset val="134"/>
      </rPr>
      <t xml:space="preserve">Mở「/file-download」trên tab A và tab B, xác nhận cả hai đều hiển thị danh sách
</t>
    </r>
    <r>
      <rPr>
        <b/>
        <sz val="10"/>
        <color rgb="FF000000"/>
        <rFont val="メイリオ"/>
        <charset val="134"/>
      </rPr>
      <t xml:space="preserve">ステップ2：
</t>
    </r>
    <r>
      <rPr>
        <sz val="10"/>
        <color rgb="FF000000"/>
        <rFont val="メイリオ"/>
        <charset val="134"/>
      </rPr>
      <t xml:space="preserve">Thực hiện logout trên tab A
</t>
    </r>
    <r>
      <rPr>
        <b/>
        <sz val="10"/>
        <color rgb="FF000000"/>
        <rFont val="メイリオ"/>
        <charset val="134"/>
      </rPr>
      <t xml:space="preserve">ステップ3：
</t>
    </r>
    <r>
      <rPr>
        <sz val="10"/>
        <color rgb="FF000000"/>
        <rFont val="メイリオ"/>
        <charset val="134"/>
      </rPr>
      <t xml:space="preserve">Chuyển sang tab B và click button「検索」
</t>
    </r>
    <r>
      <rPr>
        <b/>
        <sz val="10"/>
        <color rgb="FF000000"/>
        <rFont val="メイリオ"/>
        <charset val="134"/>
      </rPr>
      <t xml:space="preserve">ステップ4：
</t>
    </r>
    <r>
      <rPr>
        <sz val="10"/>
        <color rgb="FF000000"/>
        <rFont val="メイリオ"/>
        <charset val="134"/>
      </rPr>
      <t>Chọn file trên tab B và click button「ダウンロード実行」</t>
    </r>
  </si>
  <si>
    <r>
      <rPr>
        <b/>
        <sz val="10"/>
        <color rgb="FF000000"/>
        <rFont val="メイリオ"/>
        <charset val="134"/>
      </rPr>
      <t xml:space="preserve">ステップ1：
</t>
    </r>
    <r>
      <rPr>
        <sz val="10"/>
        <color rgb="FF000000"/>
        <rFont val="メイリオ"/>
        <charset val="134"/>
      </rPr>
      <t xml:space="preserve">Cả hai tab đều hiển thị danh sách
</t>
    </r>
    <r>
      <rPr>
        <b/>
        <sz val="10"/>
        <color rgb="FF000000"/>
        <rFont val="メイリオ"/>
        <charset val="134"/>
      </rPr>
      <t xml:space="preserve">ステップ2：
</t>
    </r>
    <r>
      <rPr>
        <sz val="10"/>
        <color rgb="FF000000"/>
        <rFont val="メイリオ"/>
        <charset val="134"/>
      </rPr>
      <t xml:space="preserve">Tab A chuyển sang「/login」
</t>
    </r>
    <r>
      <rPr>
        <b/>
        <sz val="10"/>
        <color rgb="FF000000"/>
        <rFont val="メイリオ"/>
        <charset val="134"/>
      </rPr>
      <t xml:space="preserve">ステップ3：
</t>
    </r>
    <r>
      <rPr>
        <sz val="10"/>
        <color rgb="FF000000"/>
        <rFont val="メイリオ"/>
        <charset val="134"/>
      </rPr>
      <t xml:space="preserve">Tab B cũng chuyển sang「/login」
</t>
    </r>
    <r>
      <rPr>
        <b/>
        <sz val="10"/>
        <color rgb="FF000000"/>
        <rFont val="メイリオ"/>
        <charset val="134"/>
      </rPr>
      <t xml:space="preserve">ステップ4：
</t>
    </r>
    <r>
      <rPr>
        <sz val="10"/>
        <color rgb="FF000000"/>
        <rFont val="メイリオ"/>
        <charset val="134"/>
      </rPr>
      <t xml:space="preserve">Download không được thực hiện
</t>
    </r>
    <r>
      <rPr>
        <b/>
        <sz val="10"/>
        <color rgb="FF000000"/>
        <rFont val="メイリオ"/>
        <charset val="134"/>
      </rPr>
      <t xml:space="preserve">補足：
</t>
    </r>
    <r>
      <rPr>
        <sz val="10"/>
        <color rgb="FF000000"/>
        <rFont val="メイリオ"/>
        <charset val="134"/>
      </rPr>
      <t xml:space="preserve">・Logout ở một tab được phản ánh sang tab còn lại, không còn trạng thái đã xác thực
</t>
    </r>
    <r>
      <rPr>
        <sz val="10"/>
        <color rgb="FF000000"/>
        <rFont val="メイリオ"/>
        <charset val="134"/>
      </rPr>
      <t>・Không download được file bằng session đã hết hạn</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</si>
</sst>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 numFmtId="179" formatCode="0.0%"/>
  </numFmts>
  <fonts count="34">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sz val="11"/>
      <color theme="1"/>
      <name val="Arial"/>
      <charset val="134"/>
    </font>
    <font>
      <i/>
      <sz val="11"/>
      <color rgb="FF000000"/>
      <name val="游ゴシック"/>
      <charset val="134"/>
    </font>
    <font>
      <b/>
      <sz val="14"/>
      <color rgb="FF000000"/>
      <name val="游ゴシック"/>
      <charset val="134"/>
    </font>
    <font>
      <sz val="11"/>
      <color theme="1"/>
      <name val="Calibri"/>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メイリオ"/>
      <charset val="134"/>
    </font>
    <font>
      <sz val="10"/>
      <color rgb="FF000000"/>
      <name val="メイリオ"/>
      <charset val="134"/>
    </font>
    <font>
      <b/>
      <sz val="10"/>
      <color rgb="FF000000"/>
      <name val="游ゴシック"/>
      <charset val="134"/>
    </font>
  </fonts>
  <fills count="41">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0" borderId="1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6" applyNumberFormat="0" applyFill="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19" fillId="0" borderId="0" applyNumberFormat="0" applyFill="0" applyBorder="0" applyAlignment="0" applyProtection="0">
      <alignment vertical="center"/>
    </xf>
    <xf numFmtId="0" fontId="20" fillId="11" borderId="18" applyNumberFormat="0" applyAlignment="0" applyProtection="0">
      <alignment vertical="center"/>
    </xf>
    <xf numFmtId="0" fontId="21" fillId="12" borderId="19" applyNumberFormat="0" applyAlignment="0" applyProtection="0">
      <alignment vertical="center"/>
    </xf>
    <xf numFmtId="0" fontId="22" fillId="12" borderId="18" applyNumberFormat="0" applyAlignment="0" applyProtection="0">
      <alignment vertical="center"/>
    </xf>
    <xf numFmtId="0" fontId="23" fillId="13" borderId="20" applyNumberFormat="0" applyAlignment="0" applyProtection="0">
      <alignment vertical="center"/>
    </xf>
    <xf numFmtId="0" fontId="24" fillId="0" borderId="21" applyNumberFormat="0" applyFill="0" applyAlignment="0" applyProtection="0">
      <alignment vertical="center"/>
    </xf>
    <xf numFmtId="0" fontId="25" fillId="0" borderId="22"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cellStyleXfs>
  <cellXfs count="59">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178" fontId="4" fillId="0" borderId="1" xfId="0" applyNumberFormat="1" applyFont="1" applyBorder="1" applyAlignment="1">
      <alignment horizontal="center" vertical="top" wrapText="1"/>
    </xf>
    <xf numFmtId="0" fontId="1" fillId="4"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5" fillId="0" borderId="1" xfId="0" applyFont="1" applyBorder="1" applyAlignment="1">
      <alignment horizontal="left" vertical="top" wrapText="1"/>
    </xf>
    <xf numFmtId="0" fontId="6" fillId="4"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79" fontId="3" fillId="0" borderId="1" xfId="0" applyNumberFormat="1" applyFont="1" applyBorder="1" applyAlignment="1">
      <alignment horizontal="center" vertical="center" wrapText="1"/>
    </xf>
    <xf numFmtId="179"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8" borderId="0" xfId="0" applyFont="1" applyFill="1" applyBorder="1" applyAlignment="1">
      <alignment horizontal="left" vertical="center" wrapText="1"/>
    </xf>
    <xf numFmtId="0" fontId="2" fillId="0" borderId="0" xfId="0" applyFont="1" applyBorder="1"/>
    <xf numFmtId="0" fontId="1" fillId="4" borderId="12" xfId="0" applyFont="1" applyFill="1" applyBorder="1" applyAlignment="1">
      <alignment horizontal="center" vertical="center" wrapText="1"/>
    </xf>
    <xf numFmtId="0" fontId="7" fillId="0" borderId="5" xfId="0" applyFont="1" applyBorder="1"/>
    <xf numFmtId="0" fontId="7" fillId="0" borderId="6" xfId="0" applyFont="1" applyBorder="1"/>
    <xf numFmtId="0" fontId="7" fillId="0" borderId="7" xfId="0" applyFont="1" applyBorder="1"/>
    <xf numFmtId="0" fontId="7" fillId="0" borderId="13" xfId="0" applyFont="1" applyBorder="1"/>
    <xf numFmtId="0" fontId="7" fillId="0" borderId="14" xfId="0" applyFont="1" applyBorder="1"/>
    <xf numFmtId="0" fontId="8" fillId="0" borderId="13" xfId="0" applyFont="1" applyBorder="1" applyAlignment="1">
      <alignment horizontal="center" vertical="center" wrapText="1"/>
    </xf>
    <xf numFmtId="0" fontId="2" fillId="0" borderId="14" xfId="0" applyFont="1" applyBorder="1"/>
    <xf numFmtId="0" fontId="9" fillId="0" borderId="13" xfId="0" applyFont="1" applyBorder="1" applyAlignment="1">
      <alignment horizontal="center" vertical="center" wrapText="1"/>
    </xf>
    <xf numFmtId="0" fontId="10" fillId="0" borderId="13" xfId="0" applyFont="1" applyBorder="1" applyAlignment="1">
      <alignment horizontal="center" vertical="center" wrapText="1"/>
    </xf>
    <xf numFmtId="0" fontId="11" fillId="9" borderId="1" xfId="0" applyFont="1" applyFill="1" applyBorder="1" applyAlignment="1">
      <alignment horizontal="center" vertical="center" wrapText="1"/>
    </xf>
    <xf numFmtId="49" fontId="11" fillId="9" borderId="1" xfId="0" applyNumberFormat="1" applyFont="1" applyFill="1" applyBorder="1" applyAlignment="1">
      <alignment horizontal="center" vertical="center" wrapText="1"/>
    </xf>
    <xf numFmtId="0" fontId="7" fillId="0" borderId="9" xfId="0" applyFont="1" applyBorder="1"/>
    <xf numFmtId="0" fontId="7" fillId="0" borderId="10" xfId="0" applyFont="1" applyBorder="1"/>
    <xf numFmtId="0" fontId="7"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workbookViewId="0">
      <selection activeCell="A1" sqref="A1"/>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45"/>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7"/>
    </row>
    <row r="3" ht="12.75" customHeight="1" spans="2:37">
      <c r="B3" s="48"/>
      <c r="AK3" s="49"/>
    </row>
    <row r="4" ht="12.75" customHeight="1" spans="2:37">
      <c r="B4" s="48"/>
      <c r="AK4" s="49"/>
    </row>
    <row r="5" ht="12.75" customHeight="1" spans="2:37">
      <c r="B5" s="48"/>
      <c r="AK5" s="49"/>
    </row>
    <row r="6" ht="12.75" customHeight="1" spans="2:37">
      <c r="B6" s="48"/>
      <c r="AK6" s="49"/>
    </row>
    <row r="7" ht="12.75" customHeight="1" spans="2:37">
      <c r="B7" s="48"/>
      <c r="AK7" s="49"/>
    </row>
    <row r="8" ht="12.75" customHeight="1" spans="2:37">
      <c r="B8" s="48"/>
      <c r="AK8" s="49"/>
    </row>
    <row r="9" ht="12.75" customHeight="1" spans="2:37">
      <c r="B9" s="48"/>
      <c r="AK9" s="49"/>
    </row>
    <row r="10" ht="29.25" customHeight="1" spans="2:37">
      <c r="B10" s="50" t="s">
        <v>0</v>
      </c>
      <c r="AK10" s="51"/>
    </row>
    <row r="11" ht="12.75" customHeight="1" spans="2:37">
      <c r="B11" s="48"/>
      <c r="AK11" s="49"/>
    </row>
    <row r="12" ht="39" customHeight="1" spans="2:37">
      <c r="B12" s="52" t="s">
        <v>1</v>
      </c>
      <c r="AK12" s="51"/>
    </row>
    <row r="13" ht="12.75" customHeight="1" spans="2:37">
      <c r="B13" s="48"/>
      <c r="AK13" s="49"/>
    </row>
    <row r="14" ht="12.75" customHeight="1" spans="2:37">
      <c r="B14" s="48"/>
      <c r="AK14" s="49"/>
    </row>
    <row r="15" ht="12.75" customHeight="1" spans="2:37">
      <c r="B15" s="53" t="s">
        <v>2</v>
      </c>
      <c r="AK15" s="51"/>
    </row>
    <row r="16" ht="12.75" customHeight="1" spans="2:37">
      <c r="B16" s="48"/>
      <c r="AK16" s="49"/>
    </row>
    <row r="17" ht="12.75" customHeight="1" spans="2:37">
      <c r="B17" s="48"/>
      <c r="AK17" s="49"/>
    </row>
    <row r="18" ht="12.75" customHeight="1" spans="2:37">
      <c r="B18" s="48"/>
      <c r="N18" s="54" t="s">
        <v>3</v>
      </c>
      <c r="O18" s="2"/>
      <c r="P18" s="2"/>
      <c r="Q18" s="2"/>
      <c r="R18" s="3"/>
      <c r="S18" s="54" t="s">
        <v>4</v>
      </c>
      <c r="T18" s="2"/>
      <c r="U18" s="2"/>
      <c r="V18" s="2"/>
      <c r="W18" s="3"/>
      <c r="AK18" s="49"/>
    </row>
    <row r="19" ht="12.75" customHeight="1" spans="2:37">
      <c r="B19" s="48"/>
      <c r="N19" s="54" t="s">
        <v>5</v>
      </c>
      <c r="O19" s="2"/>
      <c r="P19" s="2"/>
      <c r="Q19" s="2"/>
      <c r="R19" s="3"/>
      <c r="S19" s="54" t="s">
        <v>6</v>
      </c>
      <c r="T19" s="2"/>
      <c r="U19" s="2"/>
      <c r="V19" s="2"/>
      <c r="W19" s="3"/>
      <c r="AK19" s="49"/>
    </row>
    <row r="20" ht="12.75" customHeight="1" spans="2:37">
      <c r="B20" s="48"/>
      <c r="N20" s="54" t="s">
        <v>7</v>
      </c>
      <c r="O20" s="2"/>
      <c r="P20" s="2"/>
      <c r="Q20" s="2"/>
      <c r="R20" s="3"/>
      <c r="S20" s="55" t="s">
        <v>8</v>
      </c>
      <c r="T20" s="2"/>
      <c r="U20" s="2"/>
      <c r="V20" s="2"/>
      <c r="W20" s="3"/>
      <c r="AK20" s="49"/>
    </row>
    <row r="21" ht="12.75" customHeight="1" spans="2:37">
      <c r="B21" s="48"/>
      <c r="AK21" s="49"/>
    </row>
    <row r="22" ht="12.75" customHeight="1" spans="2:37">
      <c r="B22" s="48"/>
      <c r="AK22" s="49"/>
    </row>
    <row r="23" ht="12.75" customHeight="1" spans="2:37">
      <c r="B23" s="48"/>
      <c r="AK23" s="49"/>
    </row>
    <row r="24" ht="12.75" customHeight="1" spans="2:37">
      <c r="B24" s="48"/>
      <c r="AK24" s="49"/>
    </row>
    <row r="25" ht="12.75" customHeight="1" spans="2:37">
      <c r="B25" s="48"/>
      <c r="AK25" s="49"/>
    </row>
    <row r="26" ht="12.75" customHeight="1" spans="2:37">
      <c r="B26" s="48"/>
      <c r="AK26" s="49"/>
    </row>
    <row r="27" ht="12.75" customHeight="1" spans="2:37">
      <c r="B27" s="48"/>
      <c r="AK27" s="49"/>
    </row>
    <row r="28" ht="12.75" customHeight="1" spans="2:37">
      <c r="B28" s="48"/>
      <c r="AK28" s="49"/>
    </row>
    <row r="29" ht="12.75" customHeight="1" spans="2:37">
      <c r="B29" s="48"/>
      <c r="AK29" s="49"/>
    </row>
    <row r="30" ht="12.75" customHeight="1" spans="2:37">
      <c r="B30" s="48"/>
      <c r="AK30" s="49"/>
    </row>
    <row r="31" ht="12.75" customHeight="1" spans="2:37">
      <c r="B31" s="48"/>
      <c r="AK31" s="49"/>
    </row>
    <row r="32" ht="12.75" customHeight="1" spans="2:37">
      <c r="B32" s="48"/>
      <c r="AK32" s="49"/>
    </row>
    <row r="33" ht="12.75" customHeight="1" spans="2:37">
      <c r="B33" s="48"/>
      <c r="AK33" s="49"/>
    </row>
    <row r="34" ht="12.75" customHeight="1" spans="2:37">
      <c r="B34" s="56"/>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8"/>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44" t="s">
        <v>9</v>
      </c>
      <c r="B1" s="22" t="s">
        <v>7</v>
      </c>
      <c r="C1" s="2"/>
      <c r="D1" s="2"/>
      <c r="E1" s="3"/>
      <c r="F1" s="22" t="s">
        <v>10</v>
      </c>
      <c r="G1" s="2"/>
      <c r="H1" s="3"/>
      <c r="I1" s="22" t="s">
        <v>11</v>
      </c>
      <c r="J1" s="2"/>
      <c r="K1" s="2"/>
      <c r="L1" s="2"/>
      <c r="M1" s="2"/>
      <c r="N1" s="3"/>
      <c r="O1" s="22" t="s">
        <v>12</v>
      </c>
      <c r="P1" s="2"/>
      <c r="Q1" s="2"/>
      <c r="R1" s="2"/>
      <c r="S1" s="2"/>
      <c r="T1" s="2"/>
      <c r="U1" s="2"/>
      <c r="V1" s="3"/>
      <c r="W1" s="22" t="s">
        <v>13</v>
      </c>
      <c r="X1" s="2"/>
      <c r="Y1" s="2"/>
      <c r="Z1" s="2"/>
      <c r="AA1" s="2"/>
      <c r="AB1" s="3"/>
      <c r="AC1" s="22" t="s">
        <v>14</v>
      </c>
      <c r="AD1" s="2"/>
      <c r="AE1" s="2"/>
      <c r="AF1" s="2"/>
      <c r="AG1" s="2"/>
      <c r="AH1" s="3"/>
    </row>
    <row r="2" ht="22.5" customHeight="1" spans="1:34">
      <c r="A2" s="38">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c r="AD2" s="2"/>
      <c r="AE2" s="2"/>
      <c r="AF2" s="2"/>
      <c r="AG2" s="2"/>
      <c r="AH2" s="3"/>
    </row>
    <row r="3" ht="22.5" customHeight="1" spans="1:34">
      <c r="A3" s="38">
        <v>2</v>
      </c>
      <c r="B3" s="6" t="s">
        <v>19</v>
      </c>
      <c r="C3" s="2"/>
      <c r="D3" s="2"/>
      <c r="E3" s="3"/>
      <c r="F3" s="6" t="s">
        <v>20</v>
      </c>
      <c r="G3" s="2"/>
      <c r="H3" s="3"/>
      <c r="I3" s="6" t="s">
        <v>21</v>
      </c>
      <c r="J3" s="2"/>
      <c r="K3" s="2"/>
      <c r="L3" s="2"/>
      <c r="M3" s="2"/>
      <c r="N3" s="3"/>
      <c r="O3" s="4" t="s">
        <v>22</v>
      </c>
      <c r="P3" s="2"/>
      <c r="Q3" s="2"/>
      <c r="R3" s="2"/>
      <c r="S3" s="2"/>
      <c r="T3" s="2"/>
      <c r="U3" s="2"/>
      <c r="V3" s="3"/>
      <c r="W3" s="6"/>
      <c r="X3" s="2"/>
      <c r="Y3" s="2"/>
      <c r="Z3" s="2"/>
      <c r="AA3" s="2"/>
      <c r="AB3" s="3"/>
      <c r="AC3" s="6"/>
      <c r="AD3" s="2"/>
      <c r="AE3" s="2"/>
      <c r="AF3" s="2"/>
      <c r="AG3" s="2"/>
      <c r="AH3" s="3"/>
    </row>
    <row r="4" ht="22.5" customHeight="1" spans="1:34">
      <c r="A4" s="38">
        <v>3</v>
      </c>
      <c r="B4" s="6" t="s">
        <v>23</v>
      </c>
      <c r="C4" s="2"/>
      <c r="D4" s="2"/>
      <c r="E4" s="3"/>
      <c r="F4" s="6" t="s">
        <v>24</v>
      </c>
      <c r="G4" s="2"/>
      <c r="H4" s="3"/>
      <c r="I4" s="6" t="s">
        <v>21</v>
      </c>
      <c r="J4" s="2"/>
      <c r="K4" s="2"/>
      <c r="L4" s="2"/>
      <c r="M4" s="2"/>
      <c r="N4" s="3"/>
      <c r="O4" s="4" t="s">
        <v>25</v>
      </c>
      <c r="P4" s="2"/>
      <c r="Q4" s="2"/>
      <c r="R4" s="2"/>
      <c r="S4" s="2"/>
      <c r="T4" s="2"/>
      <c r="U4" s="2"/>
      <c r="V4" s="3"/>
      <c r="W4" s="6"/>
      <c r="X4" s="2"/>
      <c r="Y4" s="2"/>
      <c r="Z4" s="2"/>
      <c r="AA4" s="2"/>
      <c r="AB4" s="3"/>
      <c r="AC4" s="6"/>
      <c r="AD4" s="2"/>
      <c r="AE4" s="2"/>
      <c r="AF4" s="2"/>
      <c r="AG4" s="2"/>
      <c r="AH4" s="3"/>
    </row>
    <row r="5" ht="22.5" customHeight="1" spans="1:34">
      <c r="A5" s="38">
        <v>4</v>
      </c>
      <c r="B5" s="6" t="s">
        <v>26</v>
      </c>
      <c r="C5" s="2"/>
      <c r="D5" s="2"/>
      <c r="E5" s="3"/>
      <c r="F5" s="6" t="s">
        <v>27</v>
      </c>
      <c r="G5" s="2"/>
      <c r="H5" s="3"/>
      <c r="I5" s="6" t="s">
        <v>16</v>
      </c>
      <c r="J5" s="2"/>
      <c r="K5" s="2"/>
      <c r="L5" s="2"/>
      <c r="M5" s="2"/>
      <c r="N5" s="3"/>
      <c r="O5" s="4" t="s">
        <v>28</v>
      </c>
      <c r="P5" s="2"/>
      <c r="Q5" s="2"/>
      <c r="R5" s="2"/>
      <c r="S5" s="2"/>
      <c r="T5" s="2"/>
      <c r="U5" s="2"/>
      <c r="V5" s="3"/>
      <c r="W5" s="6" t="s">
        <v>18</v>
      </c>
      <c r="X5" s="2"/>
      <c r="Y5" s="2"/>
      <c r="Z5" s="2"/>
      <c r="AA5" s="2"/>
      <c r="AB5" s="3"/>
      <c r="AC5" s="6"/>
      <c r="AD5" s="2"/>
      <c r="AE5" s="2"/>
      <c r="AF5" s="2"/>
      <c r="AG5" s="2"/>
      <c r="AH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1:E1"/>
    <mergeCell ref="F1:H1"/>
    <mergeCell ref="I1:N1"/>
    <mergeCell ref="O1:V1"/>
    <mergeCell ref="W1:AB1"/>
    <mergeCell ref="AC1:AH1"/>
    <mergeCell ref="B2:E2"/>
    <mergeCell ref="F2:H2"/>
    <mergeCell ref="I2:N2"/>
    <mergeCell ref="O2:V2"/>
    <mergeCell ref="W2:AB2"/>
    <mergeCell ref="AC2:AH2"/>
    <mergeCell ref="B3:E3"/>
    <mergeCell ref="F3:H3"/>
    <mergeCell ref="I3:N3"/>
    <mergeCell ref="O3:V3"/>
    <mergeCell ref="W3:AB3"/>
    <mergeCell ref="AC3:AH3"/>
    <mergeCell ref="B4:E4"/>
    <mergeCell ref="F4:H4"/>
    <mergeCell ref="I4:N4"/>
    <mergeCell ref="O4:V4"/>
    <mergeCell ref="W4:AB4"/>
    <mergeCell ref="AC4:AH4"/>
    <mergeCell ref="B5:E5"/>
    <mergeCell ref="F5:H5"/>
    <mergeCell ref="I5:N5"/>
    <mergeCell ref="O5:V5"/>
    <mergeCell ref="W5:AB5"/>
    <mergeCell ref="AC5:AH5"/>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2" t="s">
        <v>29</v>
      </c>
      <c r="B1" s="2"/>
      <c r="C1" s="2"/>
      <c r="D1" s="2"/>
      <c r="E1" s="2"/>
      <c r="F1" s="2"/>
      <c r="G1" s="2"/>
      <c r="H1" s="2"/>
      <c r="I1" s="3"/>
      <c r="J1" s="22" t="s">
        <v>30</v>
      </c>
      <c r="K1" s="2"/>
      <c r="L1" s="2"/>
      <c r="M1" s="2"/>
      <c r="N1" s="2"/>
      <c r="O1" s="2"/>
      <c r="P1" s="3"/>
      <c r="Q1" s="22" t="s">
        <v>31</v>
      </c>
      <c r="R1" s="2"/>
      <c r="S1" s="2"/>
      <c r="T1" s="2"/>
      <c r="U1" s="3"/>
      <c r="V1" s="22" t="s">
        <v>32</v>
      </c>
      <c r="W1" s="2"/>
      <c r="X1" s="2"/>
      <c r="Y1" s="3"/>
      <c r="Z1" s="22" t="s">
        <v>33</v>
      </c>
      <c r="AA1" s="2"/>
      <c r="AB1" s="2"/>
      <c r="AC1" s="3"/>
      <c r="AD1" s="22" t="s">
        <v>34</v>
      </c>
      <c r="AE1" s="2"/>
      <c r="AF1" s="2"/>
      <c r="AG1" s="3"/>
      <c r="AH1" s="22" t="s">
        <v>35</v>
      </c>
      <c r="AI1" s="2"/>
      <c r="AJ1" s="2"/>
      <c r="AK1" s="3"/>
    </row>
    <row r="2" ht="19.5" customHeight="1" spans="1:37">
      <c r="A2" s="23" t="s">
        <v>0</v>
      </c>
      <c r="B2" s="10"/>
      <c r="C2" s="10"/>
      <c r="D2" s="10"/>
      <c r="E2" s="10"/>
      <c r="F2" s="10"/>
      <c r="G2" s="10"/>
      <c r="H2" s="10"/>
      <c r="I2" s="11"/>
      <c r="J2" s="23" t="s">
        <v>36</v>
      </c>
      <c r="K2" s="10"/>
      <c r="L2" s="10"/>
      <c r="M2" s="10"/>
      <c r="N2" s="10"/>
      <c r="O2" s="10"/>
      <c r="P2" s="11"/>
      <c r="Q2" s="23" t="s">
        <v>37</v>
      </c>
      <c r="R2" s="10"/>
      <c r="S2" s="10"/>
      <c r="T2" s="10"/>
      <c r="U2" s="11"/>
      <c r="V2" s="24" t="s">
        <v>8</v>
      </c>
      <c r="W2" s="10"/>
      <c r="X2" s="10"/>
      <c r="Y2" s="11"/>
      <c r="Z2" s="23" t="s">
        <v>16</v>
      </c>
      <c r="AA2" s="10"/>
      <c r="AB2" s="10"/>
      <c r="AC2" s="11"/>
      <c r="AD2" s="24" t="s">
        <v>8</v>
      </c>
      <c r="AE2" s="10"/>
      <c r="AF2" s="10"/>
      <c r="AG2" s="11"/>
      <c r="AH2" s="23"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5" t="s">
        <v>38</v>
      </c>
    </row>
    <row r="6" ht="19.5" customHeight="1" spans="1:37">
      <c r="C6" s="41" t="s">
        <v>39</v>
      </c>
    </row>
    <row r="7" ht="19.5" customHeight="1" spans="1:37">
      <c r="C7" s="41" t="s">
        <v>40</v>
      </c>
    </row>
    <row r="8" ht="19.5" customHeight="1" spans="1:37">
      <c r="C8" s="41" t="s">
        <v>41</v>
      </c>
    </row>
    <row r="9" ht="19.5" customHeight="1" spans="1:37">
      <c r="C9" s="41" t="s">
        <v>42</v>
      </c>
    </row>
    <row r="10" ht="19.5" customHeight="1" spans="1:37">
      <c r="C10" s="41" t="s">
        <v>43</v>
      </c>
    </row>
    <row r="11" ht="19.5" customHeight="1" spans="1:37">
      <c r="C11" s="41" t="s">
        <v>44</v>
      </c>
    </row>
    <row r="12" ht="19.5" customHeight="1" spans="1:37">
      <c r="C12" s="41" t="s">
        <v>45</v>
      </c>
    </row>
    <row r="13" ht="19.5" customHeight="1" spans="1:37">
      <c r="C13" s="41" t="s">
        <v>46</v>
      </c>
    </row>
    <row r="15" ht="19.5" customHeight="1" spans="1:37">
      <c r="B15" s="25" t="s">
        <v>47</v>
      </c>
    </row>
    <row r="16" ht="19.5" customHeight="1" spans="1:37">
      <c r="C16" s="42" t="s">
        <v>48</v>
      </c>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row>
    <row r="17" ht="19.5" customHeight="1" spans="2:37">
      <c r="C17" s="42" t="s">
        <v>49</v>
      </c>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row>
    <row r="18" ht="19.5" customHeight="1" spans="2:37">
      <c r="C18" s="42" t="s">
        <v>50</v>
      </c>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row>
    <row r="19" ht="19.5" customHeight="1" spans="2:37">
      <c r="C19" s="42" t="s">
        <v>51</v>
      </c>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row>
    <row r="20" ht="19.5" customHeight="1" spans="2:37">
      <c r="C20" s="42" t="s">
        <v>52</v>
      </c>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row>
    <row r="21" ht="19.5" customHeight="1" spans="2:37">
      <c r="C21" s="42" t="s">
        <v>53</v>
      </c>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row>
    <row r="23" ht="19.5" customHeight="1" spans="2:37">
      <c r="B23" s="25" t="s">
        <v>54</v>
      </c>
    </row>
    <row r="25" ht="22.5" customHeight="1" spans="2:37">
      <c r="C25" s="44" t="s">
        <v>55</v>
      </c>
      <c r="D25" s="22" t="s">
        <v>56</v>
      </c>
      <c r="E25" s="2"/>
      <c r="F25" s="2"/>
      <c r="G25" s="2"/>
      <c r="H25" s="2"/>
      <c r="I25" s="2"/>
      <c r="J25" s="2"/>
      <c r="K25" s="2"/>
      <c r="L25" s="2"/>
      <c r="M25" s="2"/>
      <c r="N25" s="3"/>
      <c r="O25" s="22" t="s">
        <v>57</v>
      </c>
      <c r="P25" s="2"/>
      <c r="Q25" s="2"/>
      <c r="R25" s="2"/>
      <c r="S25" s="2"/>
      <c r="T25" s="2"/>
      <c r="U25" s="2"/>
      <c r="V25" s="2"/>
      <c r="W25" s="2"/>
      <c r="X25" s="2"/>
      <c r="Y25" s="2"/>
      <c r="Z25" s="2"/>
      <c r="AA25" s="2"/>
      <c r="AB25" s="2"/>
      <c r="AC25" s="2"/>
      <c r="AD25" s="2"/>
      <c r="AE25" s="2"/>
      <c r="AF25" s="2"/>
      <c r="AG25" s="3"/>
    </row>
    <row r="26" ht="22.5" customHeight="1" spans="2:37">
      <c r="C26" s="38">
        <v>1</v>
      </c>
      <c r="D26" s="4" t="s">
        <v>58</v>
      </c>
      <c r="E26" s="2"/>
      <c r="F26" s="2"/>
      <c r="G26" s="2"/>
      <c r="H26" s="2"/>
      <c r="I26" s="2"/>
      <c r="J26" s="2"/>
      <c r="K26" s="2"/>
      <c r="L26" s="2"/>
      <c r="M26" s="2"/>
      <c r="N26" s="3"/>
      <c r="O26" s="4" t="s">
        <v>59</v>
      </c>
      <c r="P26" s="2"/>
      <c r="Q26" s="2"/>
      <c r="R26" s="2"/>
      <c r="S26" s="2"/>
      <c r="T26" s="2"/>
      <c r="U26" s="2"/>
      <c r="V26" s="2"/>
      <c r="W26" s="2"/>
      <c r="X26" s="2"/>
      <c r="Y26" s="2"/>
      <c r="Z26" s="2"/>
      <c r="AA26" s="2"/>
      <c r="AB26" s="2"/>
      <c r="AC26" s="2"/>
      <c r="AD26" s="2"/>
      <c r="AE26" s="2"/>
      <c r="AF26" s="2"/>
      <c r="AG26" s="3"/>
    </row>
    <row r="27" ht="22.5" customHeight="1" spans="2:37">
      <c r="C27" s="38">
        <v>2</v>
      </c>
      <c r="D27" s="4" t="s">
        <v>60</v>
      </c>
      <c r="E27" s="2"/>
      <c r="F27" s="2"/>
      <c r="G27" s="2"/>
      <c r="H27" s="2"/>
      <c r="I27" s="2"/>
      <c r="J27" s="2"/>
      <c r="K27" s="2"/>
      <c r="L27" s="2"/>
      <c r="M27" s="2"/>
      <c r="N27" s="3"/>
      <c r="O27" s="4" t="s">
        <v>61</v>
      </c>
      <c r="P27" s="2"/>
      <c r="Q27" s="2"/>
      <c r="R27" s="2"/>
      <c r="S27" s="2"/>
      <c r="T27" s="2"/>
      <c r="U27" s="2"/>
      <c r="V27" s="2"/>
      <c r="W27" s="2"/>
      <c r="X27" s="2"/>
      <c r="Y27" s="2"/>
      <c r="Z27" s="2"/>
      <c r="AA27" s="2"/>
      <c r="AB27" s="2"/>
      <c r="AC27" s="2"/>
      <c r="AD27" s="2"/>
      <c r="AE27" s="2"/>
      <c r="AF27" s="2"/>
      <c r="AG27" s="3"/>
    </row>
    <row r="28" ht="22.5" customHeight="1" spans="2:37">
      <c r="C28" s="38">
        <v>3</v>
      </c>
      <c r="D28" s="4" t="s">
        <v>62</v>
      </c>
      <c r="E28" s="2"/>
      <c r="F28" s="2"/>
      <c r="G28" s="2"/>
      <c r="H28" s="2"/>
      <c r="I28" s="2"/>
      <c r="J28" s="2"/>
      <c r="K28" s="2"/>
      <c r="L28" s="2"/>
      <c r="M28" s="2"/>
      <c r="N28" s="3"/>
      <c r="O28" s="4" t="s">
        <v>63</v>
      </c>
      <c r="P28" s="2"/>
      <c r="Q28" s="2"/>
      <c r="R28" s="2"/>
      <c r="S28" s="2"/>
      <c r="T28" s="2"/>
      <c r="U28" s="2"/>
      <c r="V28" s="2"/>
      <c r="W28" s="2"/>
      <c r="X28" s="2"/>
      <c r="Y28" s="2"/>
      <c r="Z28" s="2"/>
      <c r="AA28" s="2"/>
      <c r="AB28" s="2"/>
      <c r="AC28" s="2"/>
      <c r="AD28" s="2"/>
      <c r="AE28" s="2"/>
      <c r="AF28" s="2"/>
      <c r="AG28" s="3"/>
    </row>
    <row r="29" ht="22.5" customHeight="1" spans="2:37">
      <c r="C29" s="38">
        <v>4</v>
      </c>
      <c r="D29" s="4" t="s">
        <v>64</v>
      </c>
      <c r="E29" s="2"/>
      <c r="F29" s="2"/>
      <c r="G29" s="2"/>
      <c r="H29" s="2"/>
      <c r="I29" s="2"/>
      <c r="J29" s="2"/>
      <c r="K29" s="2"/>
      <c r="L29" s="2"/>
      <c r="M29" s="2"/>
      <c r="N29" s="3"/>
      <c r="O29" s="4" t="s">
        <v>65</v>
      </c>
      <c r="P29" s="2"/>
      <c r="Q29" s="2"/>
      <c r="R29" s="2"/>
      <c r="S29" s="2"/>
      <c r="T29" s="2"/>
      <c r="U29" s="2"/>
      <c r="V29" s="2"/>
      <c r="W29" s="2"/>
      <c r="X29" s="2"/>
      <c r="Y29" s="2"/>
      <c r="Z29" s="2"/>
      <c r="AA29" s="2"/>
      <c r="AB29" s="2"/>
      <c r="AC29" s="2"/>
      <c r="AD29" s="2"/>
      <c r="AE29" s="2"/>
      <c r="AF29" s="2"/>
      <c r="AG29" s="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1:I1"/>
    <mergeCell ref="J1:P1"/>
    <mergeCell ref="Q1:U1"/>
    <mergeCell ref="V1:Y1"/>
    <mergeCell ref="Z1:AC1"/>
    <mergeCell ref="AD1:AG1"/>
    <mergeCell ref="AH1:AK1"/>
    <mergeCell ref="B5:AK5"/>
    <mergeCell ref="C6:AK6"/>
    <mergeCell ref="C7:AK7"/>
    <mergeCell ref="C8:AK8"/>
    <mergeCell ref="C9:AK9"/>
    <mergeCell ref="C10:AK10"/>
    <mergeCell ref="C11:AK11"/>
    <mergeCell ref="C12:AK12"/>
    <mergeCell ref="C13:AK13"/>
    <mergeCell ref="B15:AK15"/>
    <mergeCell ref="C16:AK16"/>
    <mergeCell ref="C17:AK17"/>
    <mergeCell ref="C18:AK18"/>
    <mergeCell ref="C19:AK19"/>
    <mergeCell ref="C20:AK20"/>
    <mergeCell ref="C21:AK21"/>
    <mergeCell ref="B23:AK23"/>
    <mergeCell ref="D25:N25"/>
    <mergeCell ref="O25:AG25"/>
    <mergeCell ref="D26:N26"/>
    <mergeCell ref="O26:AG26"/>
    <mergeCell ref="D27:N27"/>
    <mergeCell ref="O27:AG27"/>
    <mergeCell ref="D28:N28"/>
    <mergeCell ref="O28:AG28"/>
    <mergeCell ref="D29:N29"/>
    <mergeCell ref="O29:AG29"/>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34" t="s">
        <v>66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67</v>
      </c>
      <c r="B3" s="2"/>
      <c r="C3" s="2"/>
      <c r="D3" s="2"/>
      <c r="E3" s="2"/>
      <c r="F3" s="3"/>
      <c r="G3" s="4" t="s">
        <v>0</v>
      </c>
      <c r="H3" s="2"/>
      <c r="I3" s="2"/>
      <c r="J3" s="2"/>
      <c r="K3" s="2"/>
      <c r="L3" s="2"/>
      <c r="M3" s="2"/>
      <c r="N3" s="2"/>
      <c r="O3" s="3"/>
      <c r="P3" s="16" t="s">
        <v>68</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32</v>
      </c>
      <c r="Q4" s="2"/>
      <c r="R4" s="2"/>
      <c r="S4" s="2"/>
      <c r="T4" s="2"/>
      <c r="U4" s="2"/>
      <c r="V4" s="2"/>
      <c r="W4" s="3"/>
      <c r="X4" s="5" t="s">
        <v>8</v>
      </c>
      <c r="Y4" s="2"/>
      <c r="Z4" s="2"/>
      <c r="AA4" s="2"/>
      <c r="AB4" s="2"/>
      <c r="AC4" s="2"/>
      <c r="AD4" s="2"/>
      <c r="AE4" s="2"/>
      <c r="AF4" s="2"/>
      <c r="AG4" s="2"/>
      <c r="AH4" s="3"/>
    </row>
    <row r="6" ht="22.5" customHeight="1" spans="1:34">
      <c r="A6" s="35" t="s">
        <v>69</v>
      </c>
      <c r="B6" s="36" t="s">
        <v>70</v>
      </c>
      <c r="C6" s="10"/>
      <c r="D6" s="10"/>
      <c r="E6" s="10"/>
      <c r="F6" s="10"/>
      <c r="G6" s="11"/>
      <c r="H6" s="31" t="s">
        <v>71</v>
      </c>
      <c r="I6" s="2"/>
      <c r="J6" s="2"/>
      <c r="K6" s="2"/>
      <c r="L6" s="2"/>
      <c r="M6" s="2"/>
      <c r="N6" s="2"/>
      <c r="O6" s="2"/>
      <c r="P6" s="3"/>
      <c r="Q6" s="36" t="s">
        <v>72</v>
      </c>
      <c r="R6" s="10"/>
      <c r="S6" s="11"/>
      <c r="T6" s="31" t="s">
        <v>73</v>
      </c>
      <c r="U6" s="2"/>
      <c r="V6" s="2"/>
      <c r="W6" s="2"/>
      <c r="X6" s="2"/>
      <c r="Y6" s="2"/>
      <c r="Z6" s="2"/>
      <c r="AA6" s="2"/>
      <c r="AB6" s="2"/>
      <c r="AC6" s="2"/>
      <c r="AD6" s="2"/>
      <c r="AE6" s="2"/>
      <c r="AF6" s="2"/>
      <c r="AG6" s="2"/>
      <c r="AH6" s="3"/>
    </row>
    <row r="7" ht="22.5" customHeight="1" spans="1:34">
      <c r="A7" s="12"/>
      <c r="B7" s="13"/>
      <c r="C7" s="14"/>
      <c r="D7" s="14"/>
      <c r="E7" s="14"/>
      <c r="F7" s="14"/>
      <c r="G7" s="15"/>
      <c r="H7" s="31" t="s">
        <v>74</v>
      </c>
      <c r="I7" s="2"/>
      <c r="J7" s="3"/>
      <c r="K7" s="31" t="s">
        <v>75</v>
      </c>
      <c r="L7" s="2"/>
      <c r="M7" s="3"/>
      <c r="N7" s="31" t="s">
        <v>76</v>
      </c>
      <c r="O7" s="2"/>
      <c r="P7" s="3"/>
      <c r="Q7" s="13"/>
      <c r="R7" s="14"/>
      <c r="S7" s="15"/>
      <c r="T7" s="31" t="s">
        <v>77</v>
      </c>
      <c r="U7" s="2"/>
      <c r="V7" s="3"/>
      <c r="W7" s="31" t="s">
        <v>78</v>
      </c>
      <c r="X7" s="2"/>
      <c r="Y7" s="3"/>
      <c r="Z7" s="31" t="s">
        <v>79</v>
      </c>
      <c r="AA7" s="2"/>
      <c r="AB7" s="3"/>
      <c r="AC7" s="31" t="s">
        <v>80</v>
      </c>
      <c r="AD7" s="2"/>
      <c r="AE7" s="3"/>
      <c r="AF7" s="31" t="s">
        <v>81</v>
      </c>
      <c r="AG7" s="2"/>
      <c r="AH7" s="3"/>
    </row>
    <row r="8" ht="22.5" customHeight="1" spans="1:34">
      <c r="A8" s="37" t="s">
        <v>82</v>
      </c>
    </row>
    <row r="9" ht="22.5" customHeight="1" spans="1:34">
      <c r="A9" s="38">
        <v>1</v>
      </c>
      <c r="B9" s="4" t="s">
        <v>83</v>
      </c>
      <c r="C9" s="2"/>
      <c r="D9" s="2"/>
      <c r="E9" s="2"/>
      <c r="F9" s="2"/>
      <c r="G9" s="3"/>
      <c r="H9" s="6">
        <f ca="1" t="array" ref="H9">INDIRECT("'"&amp;$B9&amp;"'!H7",TRUE)</f>
        <v>44</v>
      </c>
      <c r="I9" s="2"/>
      <c r="J9" s="3"/>
      <c r="K9" s="6">
        <f ca="1" t="array" ref="K9">INDIRECT("'"&amp;$B9&amp;"'!K7",TRUE)</f>
        <v>31</v>
      </c>
      <c r="L9" s="2"/>
      <c r="M9" s="3"/>
      <c r="N9" s="6">
        <f ca="1" t="array" ref="N9">INDIRECT("'"&amp;$B9&amp;"'!N7",TRUE)</f>
        <v>6</v>
      </c>
      <c r="O9" s="2"/>
      <c r="P9" s="3"/>
      <c r="Q9" s="6">
        <f ca="1" t="array" ref="Q9">INDIRECT("'"&amp;$B9&amp;"'!Q7",TRUE)</f>
        <v>81</v>
      </c>
      <c r="R9" s="2"/>
      <c r="S9" s="3"/>
      <c r="T9" s="6">
        <f ca="1" t="array" ref="T9">INDIRECT("'"&amp;$B9&amp;"'!T7",TRUE)</f>
        <v>77</v>
      </c>
      <c r="U9" s="2"/>
      <c r="V9" s="3"/>
      <c r="W9" s="6">
        <f ca="1" t="array" ref="W9">INDIRECT("'"&amp;$B9&amp;"'!W7",TRUE)</f>
        <v>0</v>
      </c>
      <c r="X9" s="2"/>
      <c r="Y9" s="3"/>
      <c r="Z9" s="6">
        <f ca="1" t="array" ref="Z9">INDIRECT("'"&amp;$B9&amp;"'!Z7",TRUE)</f>
        <v>0</v>
      </c>
      <c r="AA9" s="2"/>
      <c r="AB9" s="3"/>
      <c r="AC9" s="6">
        <f ca="1" t="array" ref="AC9">INDIRECT("'"&amp;$B9&amp;"'!AC7",TRUE)</f>
        <v>4</v>
      </c>
      <c r="AD9" s="2"/>
      <c r="AE9" s="3"/>
      <c r="AF9" s="39">
        <f ca="1">IFERROR((T9+W9+AC9)/Q9,0)</f>
        <v>1</v>
      </c>
      <c r="AG9" s="2"/>
      <c r="AH9" s="3"/>
    </row>
    <row r="10" ht="22.5" customHeight="1" spans="1:34">
      <c r="A10" s="38">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39"/>
      <c r="AG10" s="2"/>
      <c r="AH10" s="3"/>
    </row>
    <row r="11" ht="22.5" customHeight="1" spans="1:34">
      <c r="A11" s="38"/>
      <c r="B11" s="31" t="s">
        <v>72</v>
      </c>
      <c r="C11" s="2"/>
      <c r="D11" s="2"/>
      <c r="E11" s="2"/>
      <c r="F11" s="2"/>
      <c r="G11" s="3"/>
      <c r="H11" s="7">
        <f ca="1">SUM(H9:J10)</f>
        <v>44</v>
      </c>
      <c r="I11" s="2"/>
      <c r="J11" s="3"/>
      <c r="K11" s="7">
        <f ca="1">SUM(K9:M10)</f>
        <v>31</v>
      </c>
      <c r="L11" s="2"/>
      <c r="M11" s="3"/>
      <c r="N11" s="7">
        <f ca="1">SUM(N9:P10)</f>
        <v>6</v>
      </c>
      <c r="O11" s="2"/>
      <c r="P11" s="3"/>
      <c r="Q11" s="7">
        <f ca="1">SUM(Q9:S10)</f>
        <v>81</v>
      </c>
      <c r="R11" s="2"/>
      <c r="S11" s="3"/>
      <c r="T11" s="7">
        <f ca="1">SUM(T9:V10)</f>
        <v>77</v>
      </c>
      <c r="U11" s="2"/>
      <c r="V11" s="3"/>
      <c r="W11" s="7">
        <f ca="1">SUM(W9:Y10)</f>
        <v>0</v>
      </c>
      <c r="X11" s="2"/>
      <c r="Y11" s="3"/>
      <c r="Z11" s="7">
        <f ca="1">SUM(Z9:AB10)</f>
        <v>0</v>
      </c>
      <c r="AA11" s="2"/>
      <c r="AB11" s="3"/>
      <c r="AC11" s="7">
        <f ca="1">SUM(AC9:AE10)</f>
        <v>4</v>
      </c>
      <c r="AD11" s="2"/>
      <c r="AE11" s="3"/>
      <c r="AF11" s="40">
        <f ca="1">IFERROR((T11+W11+AC11)/Q11,0)</f>
        <v>1</v>
      </c>
      <c r="AG11" s="2"/>
      <c r="AH11" s="3"/>
    </row>
    <row r="12" ht="22.5" customHeight="1" spans="1:34">
      <c r="A12" s="37" t="s">
        <v>84</v>
      </c>
    </row>
    <row r="13" ht="22.5" customHeight="1" spans="1:34">
      <c r="A13" s="38">
        <v>1</v>
      </c>
      <c r="B13" s="4" t="s">
        <v>83</v>
      </c>
      <c r="C13" s="2"/>
      <c r="D13" s="2"/>
      <c r="E13" s="2"/>
      <c r="F13" s="2"/>
      <c r="G13" s="3"/>
      <c r="H13" s="6">
        <f ca="1" t="array" ref="H13">INDIRECT("'"&amp;$B13&amp;"'!H8",TRUE)</f>
        <v>44</v>
      </c>
      <c r="I13" s="2"/>
      <c r="J13" s="3"/>
      <c r="K13" s="6">
        <f ca="1" t="array" ref="K13">INDIRECT("'"&amp;$B13&amp;"'!K8",TRUE)</f>
        <v>31</v>
      </c>
      <c r="L13" s="2"/>
      <c r="M13" s="3"/>
      <c r="N13" s="6">
        <f ca="1" t="array" ref="N13">INDIRECT("'"&amp;$B13&amp;"'!N8",TRUE)</f>
        <v>6</v>
      </c>
      <c r="O13" s="2"/>
      <c r="P13" s="3"/>
      <c r="Q13" s="6">
        <f ca="1" t="array" ref="Q13">INDIRECT("'"&amp;$B13&amp;"'!Q8",TRUE)</f>
        <v>81</v>
      </c>
      <c r="R13" s="2"/>
      <c r="S13" s="3"/>
      <c r="T13" s="6">
        <f ca="1" t="array" ref="T13">INDIRECT("'"&amp;$B13&amp;"'!T8",TRUE)</f>
        <v>78</v>
      </c>
      <c r="U13" s="2"/>
      <c r="V13" s="3"/>
      <c r="W13" s="6">
        <f ca="1" t="array" ref="W13">INDIRECT("'"&amp;$B13&amp;"'!W8",TRUE)</f>
        <v>0</v>
      </c>
      <c r="X13" s="2"/>
      <c r="Y13" s="3"/>
      <c r="Z13" s="6">
        <f ca="1" t="array" ref="Z13">INDIRECT("'"&amp;$B13&amp;"'!Z8",TRUE)</f>
        <v>0</v>
      </c>
      <c r="AA13" s="2"/>
      <c r="AB13" s="3"/>
      <c r="AC13" s="6">
        <f ca="1" t="array" ref="AC13">INDIRECT("'"&amp;$B13&amp;"'!AC8",TRUE)</f>
        <v>3</v>
      </c>
      <c r="AD13" s="2"/>
      <c r="AE13" s="3"/>
      <c r="AF13" s="39">
        <f ca="1">IFERROR((T13+W13+AC13)/Q13,0)</f>
        <v>1</v>
      </c>
      <c r="AG13" s="2"/>
      <c r="AH13" s="3"/>
    </row>
    <row r="14" ht="22.5" customHeight="1" spans="1:34">
      <c r="A14" s="38">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39"/>
      <c r="AG14" s="2"/>
      <c r="AH14" s="3"/>
    </row>
    <row r="15" ht="22.5" customHeight="1" spans="1:34">
      <c r="A15" s="38"/>
      <c r="B15" s="31" t="s">
        <v>72</v>
      </c>
      <c r="C15" s="2"/>
      <c r="D15" s="2"/>
      <c r="E15" s="2"/>
      <c r="F15" s="2"/>
      <c r="G15" s="3"/>
      <c r="H15" s="7">
        <f ca="1">SUM(H13:J14)</f>
        <v>44</v>
      </c>
      <c r="I15" s="2"/>
      <c r="J15" s="3"/>
      <c r="K15" s="7">
        <f ca="1">SUM(K13:M14)</f>
        <v>31</v>
      </c>
      <c r="L15" s="2"/>
      <c r="M15" s="3"/>
      <c r="N15" s="7">
        <f ca="1">SUM(N13:P14)</f>
        <v>6</v>
      </c>
      <c r="O15" s="2"/>
      <c r="P15" s="3"/>
      <c r="Q15" s="7">
        <f ca="1">SUM(Q13:S14)</f>
        <v>81</v>
      </c>
      <c r="R15" s="2"/>
      <c r="S15" s="3"/>
      <c r="T15" s="7">
        <f ca="1">SUM(T13:V14)</f>
        <v>78</v>
      </c>
      <c r="U15" s="2"/>
      <c r="V15" s="3"/>
      <c r="W15" s="7">
        <f ca="1">SUM(W13:Y14)</f>
        <v>0</v>
      </c>
      <c r="X15" s="2"/>
      <c r="Y15" s="3"/>
      <c r="Z15" s="7">
        <f ca="1">SUM(Z13:AB14)</f>
        <v>0</v>
      </c>
      <c r="AA15" s="2"/>
      <c r="AB15" s="3"/>
      <c r="AC15" s="7">
        <f ca="1">SUM(AC13:AE14)</f>
        <v>3</v>
      </c>
      <c r="AD15" s="2"/>
      <c r="AE15" s="3"/>
      <c r="AF15" s="40">
        <f ca="1">IFERROR((T15+W15+AC15)/Q15,0)</f>
        <v>1</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2" t="s">
        <v>29</v>
      </c>
      <c r="B1" s="2"/>
      <c r="C1" s="2"/>
      <c r="D1" s="2"/>
      <c r="E1" s="2"/>
      <c r="F1" s="2"/>
      <c r="G1" s="2"/>
      <c r="H1" s="2"/>
      <c r="I1" s="3"/>
      <c r="J1" s="22" t="s">
        <v>30</v>
      </c>
      <c r="K1" s="2"/>
      <c r="L1" s="2"/>
      <c r="M1" s="2"/>
      <c r="N1" s="2"/>
      <c r="O1" s="2"/>
      <c r="P1" s="3"/>
      <c r="Q1" s="22" t="s">
        <v>31</v>
      </c>
      <c r="R1" s="2"/>
      <c r="S1" s="2"/>
      <c r="T1" s="2"/>
      <c r="U1" s="3"/>
      <c r="V1" s="22" t="s">
        <v>32</v>
      </c>
      <c r="W1" s="2"/>
      <c r="X1" s="2"/>
      <c r="Y1" s="3"/>
      <c r="Z1" s="22" t="s">
        <v>33</v>
      </c>
      <c r="AA1" s="2"/>
      <c r="AB1" s="2"/>
      <c r="AC1" s="3"/>
      <c r="AD1" s="22" t="s">
        <v>34</v>
      </c>
      <c r="AE1" s="2"/>
      <c r="AF1" s="2"/>
      <c r="AG1" s="3"/>
      <c r="AH1" s="22" t="s">
        <v>35</v>
      </c>
      <c r="AI1" s="2"/>
      <c r="AJ1" s="2"/>
      <c r="AK1" s="3"/>
    </row>
    <row r="2" ht="19.5" customHeight="1" spans="1:37">
      <c r="A2" s="23" t="s">
        <v>0</v>
      </c>
      <c r="B2" s="10"/>
      <c r="C2" s="10"/>
      <c r="D2" s="10"/>
      <c r="E2" s="10"/>
      <c r="F2" s="10"/>
      <c r="G2" s="10"/>
      <c r="H2" s="10"/>
      <c r="I2" s="11"/>
      <c r="J2" s="23" t="s">
        <v>36</v>
      </c>
      <c r="K2" s="10"/>
      <c r="L2" s="10"/>
      <c r="M2" s="10"/>
      <c r="N2" s="10"/>
      <c r="O2" s="10"/>
      <c r="P2" s="11"/>
      <c r="Q2" s="23" t="s">
        <v>85</v>
      </c>
      <c r="R2" s="10"/>
      <c r="S2" s="10"/>
      <c r="T2" s="10"/>
      <c r="U2" s="11"/>
      <c r="V2" s="24" t="s">
        <v>8</v>
      </c>
      <c r="W2" s="10"/>
      <c r="X2" s="10"/>
      <c r="Y2" s="11"/>
      <c r="Z2" s="23" t="s">
        <v>16</v>
      </c>
      <c r="AA2" s="10"/>
      <c r="AB2" s="10"/>
      <c r="AC2" s="11"/>
      <c r="AD2" s="24" t="s">
        <v>8</v>
      </c>
      <c r="AE2" s="10"/>
      <c r="AF2" s="10"/>
      <c r="AG2" s="11"/>
      <c r="AH2" s="23"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5" t="s">
        <v>86</v>
      </c>
    </row>
    <row r="7" ht="28.5" customHeight="1" spans="1:37">
      <c r="B7" s="26" t="s">
        <v>69</v>
      </c>
      <c r="C7" s="1" t="s">
        <v>87</v>
      </c>
      <c r="D7" s="2"/>
      <c r="E7" s="3"/>
      <c r="F7" s="1" t="s">
        <v>88</v>
      </c>
      <c r="G7" s="2"/>
      <c r="H7" s="2"/>
      <c r="I7" s="2"/>
      <c r="J7" s="2"/>
      <c r="K7" s="2"/>
      <c r="L7" s="3"/>
      <c r="M7" s="1" t="s">
        <v>89</v>
      </c>
      <c r="N7" s="2"/>
      <c r="O7" s="2"/>
      <c r="P7" s="2"/>
      <c r="Q7" s="2"/>
      <c r="R7" s="2"/>
      <c r="S7" s="2"/>
      <c r="T7" s="3"/>
      <c r="U7" s="1" t="s">
        <v>90</v>
      </c>
      <c r="V7" s="3"/>
      <c r="W7" s="1" t="s">
        <v>91</v>
      </c>
      <c r="X7" s="2"/>
      <c r="Y7" s="2"/>
      <c r="Z7" s="2"/>
      <c r="AA7" s="2"/>
      <c r="AB7" s="2"/>
      <c r="AC7" s="3"/>
      <c r="AD7" s="1" t="s">
        <v>92</v>
      </c>
      <c r="AE7" s="2"/>
      <c r="AF7" s="3"/>
    </row>
    <row r="8" ht="30" customHeight="1" spans="1:37">
      <c r="B8" s="17">
        <v>1</v>
      </c>
      <c r="C8" s="19" t="s">
        <v>93</v>
      </c>
      <c r="D8" s="2"/>
      <c r="E8" s="3"/>
      <c r="F8" s="18" t="s">
        <v>94</v>
      </c>
      <c r="G8" s="2"/>
      <c r="H8" s="2"/>
      <c r="I8" s="2"/>
      <c r="J8" s="2"/>
      <c r="K8" s="2"/>
      <c r="L8" s="3"/>
      <c r="M8" s="18" t="s">
        <v>95</v>
      </c>
      <c r="N8" s="2"/>
      <c r="O8" s="2"/>
      <c r="P8" s="2"/>
      <c r="Q8" s="2"/>
      <c r="R8" s="2"/>
      <c r="S8" s="2"/>
      <c r="T8" s="3"/>
      <c r="U8" s="27" t="s">
        <v>96</v>
      </c>
      <c r="V8" s="3"/>
      <c r="W8" s="18" t="s">
        <v>97</v>
      </c>
      <c r="X8" s="2"/>
      <c r="Y8" s="2"/>
      <c r="Z8" s="2"/>
      <c r="AA8" s="2"/>
      <c r="AB8" s="2"/>
      <c r="AC8" s="3"/>
      <c r="AD8" s="19">
        <v>265</v>
      </c>
      <c r="AE8" s="2"/>
      <c r="AF8" s="3"/>
    </row>
    <row r="9" ht="30" customHeight="1" spans="1:37">
      <c r="B9" s="17">
        <v>2</v>
      </c>
      <c r="C9" s="19" t="s">
        <v>98</v>
      </c>
      <c r="D9" s="2"/>
      <c r="E9" s="3"/>
      <c r="F9" s="18" t="s">
        <v>94</v>
      </c>
      <c r="G9" s="2"/>
      <c r="H9" s="2"/>
      <c r="I9" s="2"/>
      <c r="J9" s="2"/>
      <c r="K9" s="2"/>
      <c r="L9" s="3"/>
      <c r="M9" s="18" t="s">
        <v>99</v>
      </c>
      <c r="N9" s="2"/>
      <c r="O9" s="2"/>
      <c r="P9" s="2"/>
      <c r="Q9" s="2"/>
      <c r="R9" s="2"/>
      <c r="S9" s="2"/>
      <c r="T9" s="3"/>
      <c r="U9" s="27" t="s">
        <v>96</v>
      </c>
      <c r="V9" s="3"/>
      <c r="W9" s="18" t="s">
        <v>100</v>
      </c>
      <c r="X9" s="2"/>
      <c r="Y9" s="2"/>
      <c r="Z9" s="2"/>
      <c r="AA9" s="2"/>
      <c r="AB9" s="2"/>
      <c r="AC9" s="3"/>
      <c r="AD9" s="19">
        <v>200</v>
      </c>
      <c r="AE9" s="2"/>
      <c r="AF9" s="3"/>
    </row>
    <row r="10" ht="36" customHeight="1" spans="1:37">
      <c r="B10" s="17">
        <v>3</v>
      </c>
      <c r="C10" s="19" t="s">
        <v>101</v>
      </c>
      <c r="D10" s="2"/>
      <c r="E10" s="3"/>
      <c r="F10" s="18" t="s">
        <v>94</v>
      </c>
      <c r="G10" s="2"/>
      <c r="H10" s="2"/>
      <c r="I10" s="2"/>
      <c r="J10" s="2"/>
      <c r="K10" s="2"/>
      <c r="L10" s="3"/>
      <c r="M10" s="18" t="s">
        <v>102</v>
      </c>
      <c r="N10" s="2"/>
      <c r="O10" s="2"/>
      <c r="P10" s="2"/>
      <c r="Q10" s="2"/>
      <c r="R10" s="2"/>
      <c r="S10" s="2"/>
      <c r="T10" s="3"/>
      <c r="U10" s="27" t="s">
        <v>96</v>
      </c>
      <c r="V10" s="3"/>
      <c r="W10" s="18" t="s">
        <v>103</v>
      </c>
      <c r="X10" s="2"/>
      <c r="Y10" s="2"/>
      <c r="Z10" s="2"/>
      <c r="AA10" s="2"/>
      <c r="AB10" s="2"/>
      <c r="AC10" s="3"/>
      <c r="AD10" s="19">
        <v>50</v>
      </c>
      <c r="AE10" s="2"/>
      <c r="AF10" s="3"/>
    </row>
    <row r="11" ht="30" customHeight="1" spans="1:37">
      <c r="B11" s="17">
        <v>4</v>
      </c>
      <c r="C11" s="19" t="s">
        <v>104</v>
      </c>
      <c r="D11" s="2"/>
      <c r="E11" s="3"/>
      <c r="F11" s="18" t="s">
        <v>94</v>
      </c>
      <c r="G11" s="2"/>
      <c r="H11" s="2"/>
      <c r="I11" s="2"/>
      <c r="J11" s="2"/>
      <c r="K11" s="2"/>
      <c r="L11" s="3"/>
      <c r="M11" s="18" t="s">
        <v>105</v>
      </c>
      <c r="N11" s="2"/>
      <c r="O11" s="2"/>
      <c r="P11" s="2"/>
      <c r="Q11" s="2"/>
      <c r="R11" s="2"/>
      <c r="S11" s="2"/>
      <c r="T11" s="3"/>
      <c r="U11" s="27" t="s">
        <v>96</v>
      </c>
      <c r="V11" s="3"/>
      <c r="W11" s="18" t="s">
        <v>97</v>
      </c>
      <c r="X11" s="2"/>
      <c r="Y11" s="2"/>
      <c r="Z11" s="2"/>
      <c r="AA11" s="2"/>
      <c r="AB11" s="2"/>
      <c r="AC11" s="3"/>
      <c r="AD11" s="19">
        <v>75</v>
      </c>
      <c r="AE11" s="2"/>
      <c r="AF11" s="3"/>
    </row>
    <row r="12" ht="30" customHeight="1" spans="1:37">
      <c r="B12" s="17">
        <v>5</v>
      </c>
      <c r="C12" s="19" t="s">
        <v>106</v>
      </c>
      <c r="D12" s="2"/>
      <c r="E12" s="3"/>
      <c r="F12" s="18" t="s">
        <v>94</v>
      </c>
      <c r="G12" s="2"/>
      <c r="H12" s="2"/>
      <c r="I12" s="2"/>
      <c r="J12" s="2"/>
      <c r="K12" s="2"/>
      <c r="L12" s="3"/>
      <c r="M12" s="18" t="s">
        <v>107</v>
      </c>
      <c r="N12" s="2"/>
      <c r="O12" s="2"/>
      <c r="P12" s="2"/>
      <c r="Q12" s="2"/>
      <c r="R12" s="2"/>
      <c r="S12" s="2"/>
      <c r="T12" s="3"/>
      <c r="U12" s="27" t="s">
        <v>96</v>
      </c>
      <c r="V12" s="3"/>
      <c r="W12" s="18" t="s">
        <v>108</v>
      </c>
      <c r="X12" s="2"/>
      <c r="Y12" s="2"/>
      <c r="Z12" s="2"/>
      <c r="AA12" s="2"/>
      <c r="AB12" s="2"/>
      <c r="AC12" s="3"/>
      <c r="AD12" s="19">
        <v>30</v>
      </c>
      <c r="AE12" s="2"/>
      <c r="AF12" s="3"/>
    </row>
    <row r="13" ht="30" customHeight="1" spans="1:37">
      <c r="B13" s="17">
        <v>6</v>
      </c>
      <c r="C13" s="19" t="s">
        <v>109</v>
      </c>
      <c r="D13" s="2"/>
      <c r="E13" s="3"/>
      <c r="F13" s="18" t="s">
        <v>94</v>
      </c>
      <c r="G13" s="2"/>
      <c r="H13" s="2"/>
      <c r="I13" s="2"/>
      <c r="J13" s="2"/>
      <c r="K13" s="2"/>
      <c r="L13" s="3"/>
      <c r="M13" s="18" t="s">
        <v>110</v>
      </c>
      <c r="N13" s="2"/>
      <c r="O13" s="2"/>
      <c r="P13" s="2"/>
      <c r="Q13" s="2"/>
      <c r="R13" s="2"/>
      <c r="S13" s="2"/>
      <c r="T13" s="3"/>
      <c r="U13" s="27" t="s">
        <v>96</v>
      </c>
      <c r="V13" s="3"/>
      <c r="W13" s="18" t="s">
        <v>111</v>
      </c>
      <c r="X13" s="2"/>
      <c r="Y13" s="2"/>
      <c r="Z13" s="2"/>
      <c r="AA13" s="2"/>
      <c r="AB13" s="2"/>
      <c r="AC13" s="3"/>
      <c r="AD13" s="19">
        <v>50</v>
      </c>
      <c r="AE13" s="2"/>
      <c r="AF13" s="3"/>
    </row>
    <row r="14" ht="30" customHeight="1" spans="1:37">
      <c r="B14" s="17">
        <v>7</v>
      </c>
      <c r="C14" s="19" t="s">
        <v>112</v>
      </c>
      <c r="D14" s="2"/>
      <c r="E14" s="3"/>
      <c r="F14" s="18" t="s">
        <v>94</v>
      </c>
      <c r="G14" s="2"/>
      <c r="H14" s="2"/>
      <c r="I14" s="2"/>
      <c r="J14" s="2"/>
      <c r="K14" s="2"/>
      <c r="L14" s="3"/>
      <c r="M14" s="18" t="s">
        <v>113</v>
      </c>
      <c r="N14" s="2"/>
      <c r="O14" s="2"/>
      <c r="P14" s="2"/>
      <c r="Q14" s="2"/>
      <c r="R14" s="2"/>
      <c r="S14" s="2"/>
      <c r="T14" s="3"/>
      <c r="U14" s="27" t="s">
        <v>96</v>
      </c>
      <c r="V14" s="3"/>
      <c r="W14" s="18" t="s">
        <v>108</v>
      </c>
      <c r="X14" s="2"/>
      <c r="Y14" s="2"/>
      <c r="Z14" s="2"/>
      <c r="AA14" s="2"/>
      <c r="AB14" s="2"/>
      <c r="AC14" s="3"/>
      <c r="AD14" s="19">
        <v>10</v>
      </c>
      <c r="AE14" s="2"/>
      <c r="AF14" s="3"/>
    </row>
    <row r="15" ht="30" customHeight="1" spans="1:37">
      <c r="B15" s="17">
        <v>8</v>
      </c>
      <c r="C15" s="19" t="s">
        <v>114</v>
      </c>
      <c r="D15" s="2"/>
      <c r="E15" s="3"/>
      <c r="F15" s="18" t="s">
        <v>94</v>
      </c>
      <c r="G15" s="2"/>
      <c r="H15" s="2"/>
      <c r="I15" s="2"/>
      <c r="J15" s="2"/>
      <c r="K15" s="2"/>
      <c r="L15" s="3"/>
      <c r="M15" s="18" t="s">
        <v>115</v>
      </c>
      <c r="N15" s="2"/>
      <c r="O15" s="2"/>
      <c r="P15" s="2"/>
      <c r="Q15" s="2"/>
      <c r="R15" s="2"/>
      <c r="S15" s="2"/>
      <c r="T15" s="3"/>
      <c r="U15" s="28" t="s">
        <v>116</v>
      </c>
      <c r="V15" s="3"/>
      <c r="W15" s="18" t="s">
        <v>117</v>
      </c>
      <c r="X15" s="2"/>
      <c r="Y15" s="2"/>
      <c r="Z15" s="2"/>
      <c r="AA15" s="2"/>
      <c r="AB15" s="2"/>
      <c r="AC15" s="3"/>
      <c r="AD15" s="19">
        <v>20</v>
      </c>
      <c r="AE15" s="2"/>
      <c r="AF15" s="3"/>
    </row>
    <row r="16" ht="30" customHeight="1" spans="1:37">
      <c r="B16" s="17">
        <v>9</v>
      </c>
      <c r="C16" s="19" t="s">
        <v>118</v>
      </c>
      <c r="D16" s="2"/>
      <c r="E16" s="3"/>
      <c r="F16" s="18" t="s">
        <v>94</v>
      </c>
      <c r="G16" s="2"/>
      <c r="H16" s="2"/>
      <c r="I16" s="2"/>
      <c r="J16" s="2"/>
      <c r="K16" s="2"/>
      <c r="L16" s="3"/>
      <c r="M16" s="18" t="s">
        <v>119</v>
      </c>
      <c r="N16" s="2"/>
      <c r="O16" s="2"/>
      <c r="P16" s="2"/>
      <c r="Q16" s="2"/>
      <c r="R16" s="2"/>
      <c r="S16" s="2"/>
      <c r="T16" s="3"/>
      <c r="U16" s="27" t="s">
        <v>96</v>
      </c>
      <c r="V16" s="3"/>
      <c r="W16" s="18" t="s">
        <v>120</v>
      </c>
      <c r="X16" s="2"/>
      <c r="Y16" s="2"/>
      <c r="Z16" s="2"/>
      <c r="AA16" s="2"/>
      <c r="AB16" s="2"/>
      <c r="AC16" s="3"/>
      <c r="AD16" s="19">
        <v>8</v>
      </c>
      <c r="AE16" s="2"/>
      <c r="AF16" s="3"/>
    </row>
    <row r="17" ht="30" customHeight="1" spans="2:32">
      <c r="B17" s="17">
        <v>10</v>
      </c>
      <c r="C17" s="19" t="s">
        <v>121</v>
      </c>
      <c r="D17" s="2"/>
      <c r="E17" s="3"/>
      <c r="F17" s="18" t="s">
        <v>94</v>
      </c>
      <c r="G17" s="2"/>
      <c r="H17" s="2"/>
      <c r="I17" s="2"/>
      <c r="J17" s="2"/>
      <c r="K17" s="2"/>
      <c r="L17" s="3"/>
      <c r="M17" s="18" t="s">
        <v>122</v>
      </c>
      <c r="N17" s="2"/>
      <c r="O17" s="2"/>
      <c r="P17" s="2"/>
      <c r="Q17" s="2"/>
      <c r="R17" s="2"/>
      <c r="S17" s="2"/>
      <c r="T17" s="3"/>
      <c r="U17" s="27" t="s">
        <v>96</v>
      </c>
      <c r="V17" s="3"/>
      <c r="W17" s="18" t="s">
        <v>123</v>
      </c>
      <c r="X17" s="2"/>
      <c r="Y17" s="2"/>
      <c r="Z17" s="2"/>
      <c r="AA17" s="2"/>
      <c r="AB17" s="2"/>
      <c r="AC17" s="3"/>
      <c r="AD17" s="19">
        <v>30</v>
      </c>
      <c r="AE17" s="2"/>
      <c r="AF17" s="3"/>
    </row>
    <row r="18" ht="30" customHeight="1" spans="2:32">
      <c r="B18" s="17">
        <v>11</v>
      </c>
      <c r="C18" s="19" t="s">
        <v>124</v>
      </c>
      <c r="D18" s="2"/>
      <c r="E18" s="3"/>
      <c r="F18" s="18" t="s">
        <v>125</v>
      </c>
      <c r="G18" s="2"/>
      <c r="H18" s="2"/>
      <c r="I18" s="2"/>
      <c r="J18" s="2"/>
      <c r="K18" s="2"/>
      <c r="L18" s="3"/>
      <c r="M18" s="18" t="s">
        <v>126</v>
      </c>
      <c r="N18" s="2"/>
      <c r="O18" s="2"/>
      <c r="P18" s="2"/>
      <c r="Q18" s="2"/>
      <c r="R18" s="2"/>
      <c r="S18" s="2"/>
      <c r="T18" s="3"/>
      <c r="U18" s="28" t="s">
        <v>116</v>
      </c>
      <c r="V18" s="3"/>
      <c r="W18" s="18" t="s">
        <v>127</v>
      </c>
      <c r="X18" s="2"/>
      <c r="Y18" s="2"/>
      <c r="Z18" s="2"/>
      <c r="AA18" s="2"/>
      <c r="AB18" s="2"/>
      <c r="AC18" s="3"/>
      <c r="AD18" s="19">
        <v>100</v>
      </c>
      <c r="AE18" s="2"/>
      <c r="AF18" s="3"/>
    </row>
    <row r="19" ht="30" customHeight="1" spans="2:32">
      <c r="B19" s="17">
        <v>12</v>
      </c>
      <c r="C19" s="19" t="s">
        <v>128</v>
      </c>
      <c r="D19" s="2"/>
      <c r="E19" s="3"/>
      <c r="F19" s="18" t="s">
        <v>125</v>
      </c>
      <c r="G19" s="2"/>
      <c r="H19" s="2"/>
      <c r="I19" s="2"/>
      <c r="J19" s="2"/>
      <c r="K19" s="2"/>
      <c r="L19" s="3"/>
      <c r="M19" s="18" t="s">
        <v>129</v>
      </c>
      <c r="N19" s="2"/>
      <c r="O19" s="2"/>
      <c r="P19" s="2"/>
      <c r="Q19" s="2"/>
      <c r="R19" s="2"/>
      <c r="S19" s="2"/>
      <c r="T19" s="3"/>
      <c r="U19" s="28" t="s">
        <v>116</v>
      </c>
      <c r="V19" s="3"/>
      <c r="W19" s="18" t="s">
        <v>127</v>
      </c>
      <c r="X19" s="2"/>
      <c r="Y19" s="2"/>
      <c r="Z19" s="2"/>
      <c r="AA19" s="2"/>
      <c r="AB19" s="2"/>
      <c r="AC19" s="3"/>
      <c r="AD19" s="19">
        <v>80</v>
      </c>
      <c r="AE19" s="2"/>
      <c r="AF19" s="3"/>
    </row>
    <row r="20" ht="30" customHeight="1" spans="2:32">
      <c r="B20" s="17">
        <v>13</v>
      </c>
      <c r="C20" s="19" t="s">
        <v>130</v>
      </c>
      <c r="D20" s="2"/>
      <c r="E20" s="3"/>
      <c r="F20" s="18" t="s">
        <v>125</v>
      </c>
      <c r="G20" s="2"/>
      <c r="H20" s="2"/>
      <c r="I20" s="2"/>
      <c r="J20" s="2"/>
      <c r="K20" s="2"/>
      <c r="L20" s="3"/>
      <c r="M20" s="18" t="s">
        <v>131</v>
      </c>
      <c r="N20" s="2"/>
      <c r="O20" s="2"/>
      <c r="P20" s="2"/>
      <c r="Q20" s="2"/>
      <c r="R20" s="2"/>
      <c r="S20" s="2"/>
      <c r="T20" s="3"/>
      <c r="U20" s="28" t="s">
        <v>116</v>
      </c>
      <c r="V20" s="3"/>
      <c r="W20" s="18" t="s">
        <v>111</v>
      </c>
      <c r="X20" s="2"/>
      <c r="Y20" s="2"/>
      <c r="Z20" s="2"/>
      <c r="AA20" s="2"/>
      <c r="AB20" s="2"/>
      <c r="AC20" s="3"/>
      <c r="AD20" s="19">
        <v>60</v>
      </c>
      <c r="AE20" s="2"/>
      <c r="AF20" s="3"/>
    </row>
    <row r="21" ht="30" customHeight="1" spans="2:32">
      <c r="B21" s="17">
        <v>14</v>
      </c>
      <c r="C21" s="19" t="s">
        <v>132</v>
      </c>
      <c r="D21" s="2"/>
      <c r="E21" s="3"/>
      <c r="F21" s="18" t="s">
        <v>125</v>
      </c>
      <c r="G21" s="2"/>
      <c r="H21" s="2"/>
      <c r="I21" s="2"/>
      <c r="J21" s="2"/>
      <c r="K21" s="2"/>
      <c r="L21" s="3"/>
      <c r="M21" s="18" t="s">
        <v>133</v>
      </c>
      <c r="N21" s="2"/>
      <c r="O21" s="2"/>
      <c r="P21" s="2"/>
      <c r="Q21" s="2"/>
      <c r="R21" s="2"/>
      <c r="S21" s="2"/>
      <c r="T21" s="3"/>
      <c r="U21" s="28" t="s">
        <v>116</v>
      </c>
      <c r="V21" s="3"/>
      <c r="W21" s="18" t="s">
        <v>127</v>
      </c>
      <c r="X21" s="2"/>
      <c r="Y21" s="2"/>
      <c r="Z21" s="2"/>
      <c r="AA21" s="2"/>
      <c r="AB21" s="2"/>
      <c r="AC21" s="3"/>
      <c r="AD21" s="19">
        <v>50</v>
      </c>
      <c r="AE21" s="2"/>
      <c r="AF21" s="3"/>
    </row>
    <row r="22" ht="30" customHeight="1" spans="2:32">
      <c r="B22" s="17">
        <v>15</v>
      </c>
      <c r="C22" s="19" t="s">
        <v>134</v>
      </c>
      <c r="D22" s="2"/>
      <c r="E22" s="3"/>
      <c r="F22" s="18" t="s">
        <v>125</v>
      </c>
      <c r="G22" s="2"/>
      <c r="H22" s="2"/>
      <c r="I22" s="2"/>
      <c r="J22" s="2"/>
      <c r="K22" s="2"/>
      <c r="L22" s="3"/>
      <c r="M22" s="18" t="s">
        <v>135</v>
      </c>
      <c r="N22" s="2"/>
      <c r="O22" s="2"/>
      <c r="P22" s="2"/>
      <c r="Q22" s="2"/>
      <c r="R22" s="2"/>
      <c r="S22" s="2"/>
      <c r="T22" s="3"/>
      <c r="U22" s="28" t="s">
        <v>116</v>
      </c>
      <c r="V22" s="3"/>
      <c r="W22" s="18" t="s">
        <v>136</v>
      </c>
      <c r="X22" s="2"/>
      <c r="Y22" s="2"/>
      <c r="Z22" s="2"/>
      <c r="AA22" s="2"/>
      <c r="AB22" s="2"/>
      <c r="AC22" s="3"/>
      <c r="AD22" s="19">
        <v>30</v>
      </c>
      <c r="AE22" s="2"/>
      <c r="AF22" s="3"/>
    </row>
    <row r="23" ht="30" customHeight="1" spans="2:32">
      <c r="B23" s="17">
        <v>16</v>
      </c>
      <c r="C23" s="19" t="s">
        <v>137</v>
      </c>
      <c r="D23" s="2"/>
      <c r="E23" s="3"/>
      <c r="F23" s="18" t="s">
        <v>125</v>
      </c>
      <c r="G23" s="2"/>
      <c r="H23" s="2"/>
      <c r="I23" s="2"/>
      <c r="J23" s="2"/>
      <c r="K23" s="2"/>
      <c r="L23" s="3"/>
      <c r="M23" s="18" t="s">
        <v>138</v>
      </c>
      <c r="N23" s="2"/>
      <c r="O23" s="2"/>
      <c r="P23" s="2"/>
      <c r="Q23" s="2"/>
      <c r="R23" s="2"/>
      <c r="S23" s="2"/>
      <c r="T23" s="3"/>
      <c r="U23" s="27" t="s">
        <v>96</v>
      </c>
      <c r="V23" s="3"/>
      <c r="W23" s="18" t="s">
        <v>139</v>
      </c>
      <c r="X23" s="2"/>
      <c r="Y23" s="2"/>
      <c r="Z23" s="2"/>
      <c r="AA23" s="2"/>
      <c r="AB23" s="2"/>
      <c r="AC23" s="3"/>
      <c r="AD23" s="19">
        <v>15</v>
      </c>
      <c r="AE23" s="2"/>
      <c r="AF23" s="3"/>
    </row>
    <row r="24" ht="36" customHeight="1" spans="2:32">
      <c r="B24" s="17">
        <v>17</v>
      </c>
      <c r="C24" s="19" t="s">
        <v>140</v>
      </c>
      <c r="D24" s="2"/>
      <c r="E24" s="3"/>
      <c r="F24" s="18" t="s">
        <v>125</v>
      </c>
      <c r="G24" s="2"/>
      <c r="H24" s="2"/>
      <c r="I24" s="2"/>
      <c r="J24" s="2"/>
      <c r="K24" s="2"/>
      <c r="L24" s="3"/>
      <c r="M24" s="18" t="s">
        <v>141</v>
      </c>
      <c r="N24" s="2"/>
      <c r="O24" s="2"/>
      <c r="P24" s="2"/>
      <c r="Q24" s="2"/>
      <c r="R24" s="2"/>
      <c r="S24" s="2"/>
      <c r="T24" s="3"/>
      <c r="U24" s="28" t="s">
        <v>116</v>
      </c>
      <c r="V24" s="3"/>
      <c r="W24" s="18" t="s">
        <v>142</v>
      </c>
      <c r="X24" s="2"/>
      <c r="Y24" s="2"/>
      <c r="Z24" s="2"/>
      <c r="AA24" s="2"/>
      <c r="AB24" s="2"/>
      <c r="AC24" s="3"/>
      <c r="AD24" s="19">
        <v>45</v>
      </c>
      <c r="AE24" s="2"/>
      <c r="AF24" s="3"/>
    </row>
    <row r="25" ht="30" customHeight="1" spans="2:32">
      <c r="B25" s="17">
        <v>18</v>
      </c>
      <c r="C25" s="19" t="s">
        <v>143</v>
      </c>
      <c r="D25" s="2"/>
      <c r="E25" s="3"/>
      <c r="F25" s="18" t="s">
        <v>125</v>
      </c>
      <c r="G25" s="2"/>
      <c r="H25" s="2"/>
      <c r="I25" s="2"/>
      <c r="J25" s="2"/>
      <c r="K25" s="2"/>
      <c r="L25" s="3"/>
      <c r="M25" s="18" t="s">
        <v>144</v>
      </c>
      <c r="N25" s="2"/>
      <c r="O25" s="2"/>
      <c r="P25" s="2"/>
      <c r="Q25" s="2"/>
      <c r="R25" s="2"/>
      <c r="S25" s="2"/>
      <c r="T25" s="3"/>
      <c r="U25" s="28" t="s">
        <v>116</v>
      </c>
      <c r="V25" s="3"/>
      <c r="W25" s="18" t="s">
        <v>145</v>
      </c>
      <c r="X25" s="2"/>
      <c r="Y25" s="2"/>
      <c r="Z25" s="2"/>
      <c r="AA25" s="2"/>
      <c r="AB25" s="2"/>
      <c r="AC25" s="3"/>
      <c r="AD25" s="19">
        <v>30</v>
      </c>
      <c r="AE25" s="2"/>
      <c r="AF25" s="3"/>
    </row>
    <row r="26" ht="36" customHeight="1" spans="2:32">
      <c r="B26" s="17">
        <v>19</v>
      </c>
      <c r="C26" s="19" t="s">
        <v>146</v>
      </c>
      <c r="D26" s="2"/>
      <c r="E26" s="3"/>
      <c r="F26" s="18" t="s">
        <v>125</v>
      </c>
      <c r="G26" s="2"/>
      <c r="H26" s="2"/>
      <c r="I26" s="2"/>
      <c r="J26" s="2"/>
      <c r="K26" s="2"/>
      <c r="L26" s="3"/>
      <c r="M26" s="18" t="s">
        <v>147</v>
      </c>
      <c r="N26" s="2"/>
      <c r="O26" s="2"/>
      <c r="P26" s="2"/>
      <c r="Q26" s="2"/>
      <c r="R26" s="2"/>
      <c r="S26" s="2"/>
      <c r="T26" s="3"/>
      <c r="U26" s="28" t="s">
        <v>116</v>
      </c>
      <c r="V26" s="3"/>
      <c r="W26" s="18" t="s">
        <v>148</v>
      </c>
      <c r="X26" s="2"/>
      <c r="Y26" s="2"/>
      <c r="Z26" s="2"/>
      <c r="AA26" s="2"/>
      <c r="AB26" s="2"/>
      <c r="AC26" s="3"/>
      <c r="AD26" s="19">
        <v>25</v>
      </c>
      <c r="AE26" s="2"/>
      <c r="AF26" s="3"/>
    </row>
    <row r="27" ht="30" customHeight="1" spans="2:32">
      <c r="B27" s="17">
        <v>20</v>
      </c>
      <c r="C27" s="19" t="s">
        <v>149</v>
      </c>
      <c r="D27" s="2"/>
      <c r="E27" s="3"/>
      <c r="F27" s="18" t="s">
        <v>150</v>
      </c>
      <c r="G27" s="2"/>
      <c r="H27" s="2"/>
      <c r="I27" s="2"/>
      <c r="J27" s="2"/>
      <c r="K27" s="2"/>
      <c r="L27" s="3"/>
      <c r="M27" s="18" t="s">
        <v>151</v>
      </c>
      <c r="N27" s="2"/>
      <c r="O27" s="2"/>
      <c r="P27" s="2"/>
      <c r="Q27" s="2"/>
      <c r="R27" s="2"/>
      <c r="S27" s="2"/>
      <c r="T27" s="3"/>
      <c r="U27" s="27" t="s">
        <v>96</v>
      </c>
      <c r="V27" s="3"/>
      <c r="W27" s="18" t="s">
        <v>145</v>
      </c>
      <c r="X27" s="2"/>
      <c r="Y27" s="2"/>
      <c r="Z27" s="2"/>
      <c r="AA27" s="2"/>
      <c r="AB27" s="2"/>
      <c r="AC27" s="3"/>
      <c r="AD27" s="19">
        <v>60</v>
      </c>
      <c r="AE27" s="2"/>
      <c r="AF27" s="3"/>
    </row>
    <row r="28" ht="30" customHeight="1" spans="2:32">
      <c r="B28" s="17">
        <v>21</v>
      </c>
      <c r="C28" s="19" t="s">
        <v>152</v>
      </c>
      <c r="D28" s="2"/>
      <c r="E28" s="3"/>
      <c r="F28" s="18" t="s">
        <v>150</v>
      </c>
      <c r="G28" s="2"/>
      <c r="H28" s="2"/>
      <c r="I28" s="2"/>
      <c r="J28" s="2"/>
      <c r="K28" s="2"/>
      <c r="L28" s="3"/>
      <c r="M28" s="18" t="s">
        <v>153</v>
      </c>
      <c r="N28" s="2"/>
      <c r="O28" s="2"/>
      <c r="P28" s="2"/>
      <c r="Q28" s="2"/>
      <c r="R28" s="2"/>
      <c r="S28" s="2"/>
      <c r="T28" s="3"/>
      <c r="U28" s="28" t="s">
        <v>116</v>
      </c>
      <c r="V28" s="3"/>
      <c r="W28" s="18" t="s">
        <v>154</v>
      </c>
      <c r="X28" s="2"/>
      <c r="Y28" s="2"/>
      <c r="Z28" s="2"/>
      <c r="AA28" s="2"/>
      <c r="AB28" s="2"/>
      <c r="AC28" s="3"/>
      <c r="AD28" s="19">
        <v>16</v>
      </c>
      <c r="AE28" s="2"/>
      <c r="AF28" s="3"/>
    </row>
    <row r="29" ht="30" customHeight="1" spans="2:32">
      <c r="B29" s="17">
        <v>22</v>
      </c>
      <c r="C29" s="19" t="s">
        <v>155</v>
      </c>
      <c r="D29" s="2"/>
      <c r="E29" s="3"/>
      <c r="F29" s="18" t="s">
        <v>150</v>
      </c>
      <c r="G29" s="2"/>
      <c r="H29" s="2"/>
      <c r="I29" s="2"/>
      <c r="J29" s="2"/>
      <c r="K29" s="2"/>
      <c r="L29" s="3"/>
      <c r="M29" s="18" t="s">
        <v>156</v>
      </c>
      <c r="N29" s="2"/>
      <c r="O29" s="2"/>
      <c r="P29" s="2"/>
      <c r="Q29" s="2"/>
      <c r="R29" s="2"/>
      <c r="S29" s="2"/>
      <c r="T29" s="3"/>
      <c r="U29" s="27" t="s">
        <v>96</v>
      </c>
      <c r="V29" s="3"/>
      <c r="W29" s="18" t="s">
        <v>157</v>
      </c>
      <c r="X29" s="2"/>
      <c r="Y29" s="2"/>
      <c r="Z29" s="2"/>
      <c r="AA29" s="2"/>
      <c r="AB29" s="2"/>
      <c r="AC29" s="3"/>
      <c r="AD29" s="19">
        <v>18</v>
      </c>
      <c r="AE29" s="2"/>
      <c r="AF29" s="3"/>
    </row>
    <row r="30" ht="30" customHeight="1" spans="2:32">
      <c r="B30" s="17">
        <v>23</v>
      </c>
      <c r="C30" s="19" t="s">
        <v>158</v>
      </c>
      <c r="D30" s="2"/>
      <c r="E30" s="3"/>
      <c r="F30" s="18" t="s">
        <v>150</v>
      </c>
      <c r="G30" s="2"/>
      <c r="H30" s="2"/>
      <c r="I30" s="2"/>
      <c r="J30" s="2"/>
      <c r="K30" s="2"/>
      <c r="L30" s="3"/>
      <c r="M30" s="18" t="s">
        <v>159</v>
      </c>
      <c r="N30" s="2"/>
      <c r="O30" s="2"/>
      <c r="P30" s="2"/>
      <c r="Q30" s="2"/>
      <c r="R30" s="2"/>
      <c r="S30" s="2"/>
      <c r="T30" s="3"/>
      <c r="U30" s="28" t="s">
        <v>116</v>
      </c>
      <c r="V30" s="3"/>
      <c r="W30" s="18" t="s">
        <v>160</v>
      </c>
      <c r="X30" s="2"/>
      <c r="Y30" s="2"/>
      <c r="Z30" s="2"/>
      <c r="AA30" s="2"/>
      <c r="AB30" s="2"/>
      <c r="AC30" s="3"/>
      <c r="AD30" s="19">
        <v>8</v>
      </c>
      <c r="AE30" s="2"/>
      <c r="AF30" s="3"/>
    </row>
    <row r="31" ht="30" customHeight="1" spans="2:32">
      <c r="B31" s="17">
        <v>24</v>
      </c>
      <c r="C31" s="19" t="s">
        <v>161</v>
      </c>
      <c r="D31" s="2"/>
      <c r="E31" s="3"/>
      <c r="F31" s="18" t="s">
        <v>150</v>
      </c>
      <c r="G31" s="2"/>
      <c r="H31" s="2"/>
      <c r="I31" s="2"/>
      <c r="J31" s="2"/>
      <c r="K31" s="2"/>
      <c r="L31" s="3"/>
      <c r="M31" s="18" t="s">
        <v>162</v>
      </c>
      <c r="N31" s="2"/>
      <c r="O31" s="2"/>
      <c r="P31" s="2"/>
      <c r="Q31" s="2"/>
      <c r="R31" s="2"/>
      <c r="S31" s="2"/>
      <c r="T31" s="3"/>
      <c r="U31" s="27" t="s">
        <v>96</v>
      </c>
      <c r="V31" s="3"/>
      <c r="W31" s="18" t="s">
        <v>163</v>
      </c>
      <c r="X31" s="2"/>
      <c r="Y31" s="2"/>
      <c r="Z31" s="2"/>
      <c r="AA31" s="2"/>
      <c r="AB31" s="2"/>
      <c r="AC31" s="3"/>
      <c r="AD31" s="19">
        <v>10</v>
      </c>
      <c r="AE31" s="2"/>
      <c r="AF31" s="3"/>
    </row>
    <row r="32" ht="30" customHeight="1" spans="2:32">
      <c r="B32" s="17">
        <v>25</v>
      </c>
      <c r="C32" s="19" t="s">
        <v>164</v>
      </c>
      <c r="D32" s="2"/>
      <c r="E32" s="3"/>
      <c r="F32" s="18" t="s">
        <v>150</v>
      </c>
      <c r="G32" s="2"/>
      <c r="H32" s="2"/>
      <c r="I32" s="2"/>
      <c r="J32" s="2"/>
      <c r="K32" s="2"/>
      <c r="L32" s="3"/>
      <c r="M32" s="18" t="s">
        <v>165</v>
      </c>
      <c r="N32" s="2"/>
      <c r="O32" s="2"/>
      <c r="P32" s="2"/>
      <c r="Q32" s="2"/>
      <c r="R32" s="2"/>
      <c r="S32" s="2"/>
      <c r="T32" s="3"/>
      <c r="U32" s="28" t="s">
        <v>116</v>
      </c>
      <c r="V32" s="3"/>
      <c r="W32" s="18" t="s">
        <v>166</v>
      </c>
      <c r="X32" s="2"/>
      <c r="Y32" s="2"/>
      <c r="Z32" s="2"/>
      <c r="AA32" s="2"/>
      <c r="AB32" s="2"/>
      <c r="AC32" s="3"/>
      <c r="AD32" s="19">
        <v>30</v>
      </c>
      <c r="AE32" s="2"/>
      <c r="AF32" s="3"/>
    </row>
    <row r="33" ht="30" customHeight="1" spans="2:32">
      <c r="B33" s="17">
        <v>26</v>
      </c>
      <c r="C33" s="19" t="s">
        <v>167</v>
      </c>
      <c r="D33" s="2"/>
      <c r="E33" s="3"/>
      <c r="F33" s="18" t="s">
        <v>150</v>
      </c>
      <c r="G33" s="2"/>
      <c r="H33" s="2"/>
      <c r="I33" s="2"/>
      <c r="J33" s="2"/>
      <c r="K33" s="2"/>
      <c r="L33" s="3"/>
      <c r="M33" s="18" t="s">
        <v>168</v>
      </c>
      <c r="N33" s="2"/>
      <c r="O33" s="2"/>
      <c r="P33" s="2"/>
      <c r="Q33" s="2"/>
      <c r="R33" s="2"/>
      <c r="S33" s="2"/>
      <c r="T33" s="3"/>
      <c r="U33" s="27" t="s">
        <v>96</v>
      </c>
      <c r="V33" s="3"/>
      <c r="W33" s="18" t="s">
        <v>169</v>
      </c>
      <c r="X33" s="2"/>
      <c r="Y33" s="2"/>
      <c r="Z33" s="2"/>
      <c r="AA33" s="2"/>
      <c r="AB33" s="2"/>
      <c r="AC33" s="3"/>
      <c r="AD33" s="19">
        <v>15</v>
      </c>
      <c r="AE33" s="2"/>
      <c r="AF33" s="3"/>
    </row>
    <row r="34" ht="30" customHeight="1" spans="2:32">
      <c r="B34" s="17">
        <v>27</v>
      </c>
      <c r="C34" s="19" t="s">
        <v>170</v>
      </c>
      <c r="D34" s="2"/>
      <c r="E34" s="3"/>
      <c r="F34" s="18" t="s">
        <v>150</v>
      </c>
      <c r="G34" s="2"/>
      <c r="H34" s="2"/>
      <c r="I34" s="2"/>
      <c r="J34" s="2"/>
      <c r="K34" s="2"/>
      <c r="L34" s="3"/>
      <c r="M34" s="18" t="s">
        <v>171</v>
      </c>
      <c r="N34" s="2"/>
      <c r="O34" s="2"/>
      <c r="P34" s="2"/>
      <c r="Q34" s="2"/>
      <c r="R34" s="2"/>
      <c r="S34" s="2"/>
      <c r="T34" s="3"/>
      <c r="U34" s="27" t="s">
        <v>96</v>
      </c>
      <c r="V34" s="3"/>
      <c r="W34" s="18" t="s">
        <v>172</v>
      </c>
      <c r="X34" s="2"/>
      <c r="Y34" s="2"/>
      <c r="Z34" s="2"/>
      <c r="AA34" s="2"/>
      <c r="AB34" s="2"/>
      <c r="AC34" s="3"/>
      <c r="AD34" s="19">
        <v>18</v>
      </c>
      <c r="AE34" s="2"/>
      <c r="AF34" s="3"/>
    </row>
    <row r="35" ht="30" customHeight="1" spans="2:32">
      <c r="B35" s="17">
        <v>28</v>
      </c>
      <c r="C35" s="19" t="s">
        <v>173</v>
      </c>
      <c r="D35" s="2"/>
      <c r="E35" s="3"/>
      <c r="F35" s="18" t="s">
        <v>174</v>
      </c>
      <c r="G35" s="2"/>
      <c r="H35" s="2"/>
      <c r="I35" s="2"/>
      <c r="J35" s="2"/>
      <c r="K35" s="2"/>
      <c r="L35" s="3"/>
      <c r="M35" s="18" t="s">
        <v>175</v>
      </c>
      <c r="N35" s="2"/>
      <c r="O35" s="2"/>
      <c r="P35" s="2"/>
      <c r="Q35" s="2"/>
      <c r="R35" s="2"/>
      <c r="S35" s="2"/>
      <c r="T35" s="3"/>
      <c r="U35" s="27" t="s">
        <v>96</v>
      </c>
      <c r="V35" s="3"/>
      <c r="W35" s="18" t="s">
        <v>176</v>
      </c>
      <c r="X35" s="2"/>
      <c r="Y35" s="2"/>
      <c r="Z35" s="2"/>
      <c r="AA35" s="2"/>
      <c r="AB35" s="2"/>
      <c r="AC35" s="3"/>
      <c r="AD35" s="19">
        <v>25</v>
      </c>
      <c r="AE35" s="2"/>
      <c r="AF35" s="3"/>
    </row>
    <row r="36" ht="30" customHeight="1" spans="2:32">
      <c r="B36" s="17">
        <v>29</v>
      </c>
      <c r="C36" s="19" t="s">
        <v>177</v>
      </c>
      <c r="D36" s="2"/>
      <c r="E36" s="3"/>
      <c r="F36" s="18" t="s">
        <v>174</v>
      </c>
      <c r="G36" s="2"/>
      <c r="H36" s="2"/>
      <c r="I36" s="2"/>
      <c r="J36" s="2"/>
      <c r="K36" s="2"/>
      <c r="L36" s="3"/>
      <c r="M36" s="18" t="s">
        <v>178</v>
      </c>
      <c r="N36" s="2"/>
      <c r="O36" s="2"/>
      <c r="P36" s="2"/>
      <c r="Q36" s="2"/>
      <c r="R36" s="2"/>
      <c r="S36" s="2"/>
      <c r="T36" s="3"/>
      <c r="U36" s="27" t="s">
        <v>96</v>
      </c>
      <c r="V36" s="3"/>
      <c r="W36" s="18" t="s">
        <v>108</v>
      </c>
      <c r="X36" s="2"/>
      <c r="Y36" s="2"/>
      <c r="Z36" s="2"/>
      <c r="AA36" s="2"/>
      <c r="AB36" s="2"/>
      <c r="AC36" s="3"/>
      <c r="AD36" s="19">
        <v>8</v>
      </c>
      <c r="AE36" s="2"/>
      <c r="AF36" s="3"/>
    </row>
    <row r="37" ht="30" customHeight="1" spans="2:32">
      <c r="B37" s="17">
        <v>30</v>
      </c>
      <c r="C37" s="19" t="s">
        <v>179</v>
      </c>
      <c r="D37" s="2"/>
      <c r="E37" s="3"/>
      <c r="F37" s="18" t="s">
        <v>174</v>
      </c>
      <c r="G37" s="2"/>
      <c r="H37" s="2"/>
      <c r="I37" s="2"/>
      <c r="J37" s="2"/>
      <c r="K37" s="2"/>
      <c r="L37" s="3"/>
      <c r="M37" s="18" t="s">
        <v>180</v>
      </c>
      <c r="N37" s="2"/>
      <c r="O37" s="2"/>
      <c r="P37" s="2"/>
      <c r="Q37" s="2"/>
      <c r="R37" s="2"/>
      <c r="S37" s="2"/>
      <c r="T37" s="3"/>
      <c r="U37" s="27" t="s">
        <v>96</v>
      </c>
      <c r="V37" s="3"/>
      <c r="W37" s="18" t="s">
        <v>181</v>
      </c>
      <c r="X37" s="2"/>
      <c r="Y37" s="2"/>
      <c r="Z37" s="2"/>
      <c r="AA37" s="2"/>
      <c r="AB37" s="2"/>
      <c r="AC37" s="3"/>
      <c r="AD37" s="19">
        <v>15</v>
      </c>
      <c r="AE37" s="2"/>
      <c r="AF37" s="3"/>
    </row>
    <row r="38" ht="30" customHeight="1" spans="2:32">
      <c r="B38" s="17">
        <v>31</v>
      </c>
      <c r="C38" s="19" t="s">
        <v>182</v>
      </c>
      <c r="D38" s="2"/>
      <c r="E38" s="3"/>
      <c r="F38" s="18" t="s">
        <v>174</v>
      </c>
      <c r="G38" s="2"/>
      <c r="H38" s="2"/>
      <c r="I38" s="2"/>
      <c r="J38" s="2"/>
      <c r="K38" s="2"/>
      <c r="L38" s="3"/>
      <c r="M38" s="18" t="s">
        <v>183</v>
      </c>
      <c r="N38" s="2"/>
      <c r="O38" s="2"/>
      <c r="P38" s="2"/>
      <c r="Q38" s="2"/>
      <c r="R38" s="2"/>
      <c r="S38" s="2"/>
      <c r="T38" s="3"/>
      <c r="U38" s="27" t="s">
        <v>96</v>
      </c>
      <c r="V38" s="3"/>
      <c r="W38" s="18" t="s">
        <v>108</v>
      </c>
      <c r="X38" s="2"/>
      <c r="Y38" s="2"/>
      <c r="Z38" s="2"/>
      <c r="AA38" s="2"/>
      <c r="AB38" s="2"/>
      <c r="AC38" s="3"/>
      <c r="AD38" s="19">
        <v>40</v>
      </c>
      <c r="AE38" s="2"/>
      <c r="AF38" s="3"/>
    </row>
    <row r="39" ht="30" customHeight="1" spans="2:32">
      <c r="B39" s="17">
        <v>32</v>
      </c>
      <c r="C39" s="19" t="s">
        <v>184</v>
      </c>
      <c r="D39" s="2"/>
      <c r="E39" s="3"/>
      <c r="F39" s="18" t="s">
        <v>174</v>
      </c>
      <c r="G39" s="2"/>
      <c r="H39" s="2"/>
      <c r="I39" s="2"/>
      <c r="J39" s="2"/>
      <c r="K39" s="2"/>
      <c r="L39" s="3"/>
      <c r="M39" s="18" t="s">
        <v>185</v>
      </c>
      <c r="N39" s="2"/>
      <c r="O39" s="2"/>
      <c r="P39" s="2"/>
      <c r="Q39" s="2"/>
      <c r="R39" s="2"/>
      <c r="S39" s="2"/>
      <c r="T39" s="3"/>
      <c r="U39" s="28" t="s">
        <v>116</v>
      </c>
      <c r="V39" s="3"/>
      <c r="W39" s="18" t="s">
        <v>186</v>
      </c>
      <c r="X39" s="2"/>
      <c r="Y39" s="2"/>
      <c r="Z39" s="2"/>
      <c r="AA39" s="2"/>
      <c r="AB39" s="2"/>
      <c r="AC39" s="3"/>
      <c r="AD39" s="19">
        <v>20</v>
      </c>
      <c r="AE39" s="2"/>
      <c r="AF39" s="3"/>
    </row>
    <row r="40" ht="30" customHeight="1" spans="2:32">
      <c r="B40" s="17">
        <v>33</v>
      </c>
      <c r="C40" s="19" t="s">
        <v>187</v>
      </c>
      <c r="D40" s="2"/>
      <c r="E40" s="3"/>
      <c r="F40" s="18" t="s">
        <v>174</v>
      </c>
      <c r="G40" s="2"/>
      <c r="H40" s="2"/>
      <c r="I40" s="2"/>
      <c r="J40" s="2"/>
      <c r="K40" s="2"/>
      <c r="L40" s="3"/>
      <c r="M40" s="18" t="s">
        <v>188</v>
      </c>
      <c r="N40" s="2"/>
      <c r="O40" s="2"/>
      <c r="P40" s="2"/>
      <c r="Q40" s="2"/>
      <c r="R40" s="2"/>
      <c r="S40" s="2"/>
      <c r="T40" s="3"/>
      <c r="U40" s="28" t="s">
        <v>116</v>
      </c>
      <c r="V40" s="3"/>
      <c r="W40" s="18" t="s">
        <v>189</v>
      </c>
      <c r="X40" s="2"/>
      <c r="Y40" s="2"/>
      <c r="Z40" s="2"/>
      <c r="AA40" s="2"/>
      <c r="AB40" s="2"/>
      <c r="AC40" s="3"/>
      <c r="AD40" s="19">
        <v>12</v>
      </c>
      <c r="AE40" s="2"/>
      <c r="AF40" s="3"/>
    </row>
    <row r="41" ht="30" customHeight="1" spans="2:32">
      <c r="B41" s="17">
        <v>34</v>
      </c>
      <c r="C41" s="19" t="s">
        <v>190</v>
      </c>
      <c r="D41" s="2"/>
      <c r="E41" s="3"/>
      <c r="F41" s="18" t="s">
        <v>174</v>
      </c>
      <c r="G41" s="2"/>
      <c r="H41" s="2"/>
      <c r="I41" s="2"/>
      <c r="J41" s="2"/>
      <c r="K41" s="2"/>
      <c r="L41" s="3"/>
      <c r="M41" s="18" t="s">
        <v>191</v>
      </c>
      <c r="N41" s="2"/>
      <c r="O41" s="2"/>
      <c r="P41" s="2"/>
      <c r="Q41" s="2"/>
      <c r="R41" s="2"/>
      <c r="S41" s="2"/>
      <c r="T41" s="3"/>
      <c r="U41" s="27" t="s">
        <v>96</v>
      </c>
      <c r="V41" s="3"/>
      <c r="W41" s="18" t="s">
        <v>192</v>
      </c>
      <c r="X41" s="2"/>
      <c r="Y41" s="2"/>
      <c r="Z41" s="2"/>
      <c r="AA41" s="2"/>
      <c r="AB41" s="2"/>
      <c r="AC41" s="3"/>
      <c r="AD41" s="19">
        <v>15</v>
      </c>
      <c r="AE41" s="2"/>
      <c r="AF41" s="3"/>
    </row>
    <row r="42" ht="30" customHeight="1" spans="2:32">
      <c r="B42" s="17">
        <v>35</v>
      </c>
      <c r="C42" s="19" t="s">
        <v>193</v>
      </c>
      <c r="D42" s="2"/>
      <c r="E42" s="3"/>
      <c r="F42" s="18" t="s">
        <v>174</v>
      </c>
      <c r="G42" s="2"/>
      <c r="H42" s="2"/>
      <c r="I42" s="2"/>
      <c r="J42" s="2"/>
      <c r="K42" s="2"/>
      <c r="L42" s="3"/>
      <c r="M42" s="18" t="s">
        <v>194</v>
      </c>
      <c r="N42" s="2"/>
      <c r="O42" s="2"/>
      <c r="P42" s="2"/>
      <c r="Q42" s="2"/>
      <c r="R42" s="2"/>
      <c r="S42" s="2"/>
      <c r="T42" s="3"/>
      <c r="U42" s="28" t="s">
        <v>116</v>
      </c>
      <c r="V42" s="3"/>
      <c r="W42" s="18" t="s">
        <v>108</v>
      </c>
      <c r="X42" s="2"/>
      <c r="Y42" s="2"/>
      <c r="Z42" s="2"/>
      <c r="AA42" s="2"/>
      <c r="AB42" s="2"/>
      <c r="AC42" s="3"/>
      <c r="AD42" s="19">
        <v>30</v>
      </c>
      <c r="AE42" s="2"/>
      <c r="AF42" s="3"/>
    </row>
    <row r="43" ht="36" customHeight="1" spans="2:32">
      <c r="B43" s="17">
        <v>36</v>
      </c>
      <c r="C43" s="19" t="s">
        <v>195</v>
      </c>
      <c r="D43" s="2"/>
      <c r="E43" s="3"/>
      <c r="F43" s="18" t="s">
        <v>174</v>
      </c>
      <c r="G43" s="2"/>
      <c r="H43" s="2"/>
      <c r="I43" s="2"/>
      <c r="J43" s="2"/>
      <c r="K43" s="2"/>
      <c r="L43" s="3"/>
      <c r="M43" s="18" t="s">
        <v>196</v>
      </c>
      <c r="N43" s="2"/>
      <c r="O43" s="2"/>
      <c r="P43" s="2"/>
      <c r="Q43" s="2"/>
      <c r="R43" s="2"/>
      <c r="S43" s="2"/>
      <c r="T43" s="3"/>
      <c r="U43" s="27" t="s">
        <v>96</v>
      </c>
      <c r="V43" s="3"/>
      <c r="W43" s="18" t="s">
        <v>181</v>
      </c>
      <c r="X43" s="2"/>
      <c r="Y43" s="2"/>
      <c r="Z43" s="2"/>
      <c r="AA43" s="2"/>
      <c r="AB43" s="2"/>
      <c r="AC43" s="3"/>
      <c r="AD43" s="19">
        <v>6</v>
      </c>
      <c r="AE43" s="2"/>
      <c r="AF43" s="3"/>
    </row>
    <row r="44" ht="30" customHeight="1" spans="2:32">
      <c r="B44" s="17">
        <v>37</v>
      </c>
      <c r="C44" s="19" t="s">
        <v>197</v>
      </c>
      <c r="D44" s="2"/>
      <c r="E44" s="3"/>
      <c r="F44" s="18" t="s">
        <v>198</v>
      </c>
      <c r="G44" s="2"/>
      <c r="H44" s="2"/>
      <c r="I44" s="2"/>
      <c r="J44" s="2"/>
      <c r="K44" s="2"/>
      <c r="L44" s="3"/>
      <c r="M44" s="18" t="s">
        <v>199</v>
      </c>
      <c r="N44" s="2"/>
      <c r="O44" s="2"/>
      <c r="P44" s="2"/>
      <c r="Q44" s="2"/>
      <c r="R44" s="2"/>
      <c r="S44" s="2"/>
      <c r="T44" s="3"/>
      <c r="U44" s="29" t="s">
        <v>200</v>
      </c>
      <c r="V44" s="3"/>
      <c r="W44" s="18" t="s">
        <v>201</v>
      </c>
      <c r="X44" s="2"/>
      <c r="Y44" s="2"/>
      <c r="Z44" s="2"/>
      <c r="AA44" s="2"/>
      <c r="AB44" s="2"/>
      <c r="AC44" s="3"/>
      <c r="AD44" s="19">
        <v>60</v>
      </c>
      <c r="AE44" s="2"/>
      <c r="AF44" s="3"/>
    </row>
    <row r="45" ht="36" customHeight="1" spans="2:32">
      <c r="B45" s="17">
        <v>38</v>
      </c>
      <c r="C45" s="19" t="s">
        <v>202</v>
      </c>
      <c r="D45" s="2"/>
      <c r="E45" s="3"/>
      <c r="F45" s="18" t="s">
        <v>198</v>
      </c>
      <c r="G45" s="2"/>
      <c r="H45" s="2"/>
      <c r="I45" s="2"/>
      <c r="J45" s="2"/>
      <c r="K45" s="2"/>
      <c r="L45" s="3"/>
      <c r="M45" s="18" t="s">
        <v>203</v>
      </c>
      <c r="N45" s="2"/>
      <c r="O45" s="2"/>
      <c r="P45" s="2"/>
      <c r="Q45" s="2"/>
      <c r="R45" s="2"/>
      <c r="S45" s="2"/>
      <c r="T45" s="3"/>
      <c r="U45" s="29" t="s">
        <v>200</v>
      </c>
      <c r="V45" s="3"/>
      <c r="W45" s="18" t="s">
        <v>201</v>
      </c>
      <c r="X45" s="2"/>
      <c r="Y45" s="2"/>
      <c r="Z45" s="2"/>
      <c r="AA45" s="2"/>
      <c r="AB45" s="2"/>
      <c r="AC45" s="3"/>
      <c r="AD45" s="19">
        <v>40</v>
      </c>
      <c r="AE45" s="2"/>
      <c r="AF45" s="3"/>
    </row>
    <row r="46" ht="30" customHeight="1" spans="2:32">
      <c r="B46" s="17">
        <v>39</v>
      </c>
      <c r="C46" s="19" t="s">
        <v>204</v>
      </c>
      <c r="D46" s="2"/>
      <c r="E46" s="3"/>
      <c r="F46" s="18" t="s">
        <v>198</v>
      </c>
      <c r="G46" s="2"/>
      <c r="H46" s="2"/>
      <c r="I46" s="2"/>
      <c r="J46" s="2"/>
      <c r="K46" s="2"/>
      <c r="L46" s="3"/>
      <c r="M46" s="18" t="s">
        <v>205</v>
      </c>
      <c r="N46" s="2"/>
      <c r="O46" s="2"/>
      <c r="P46" s="2"/>
      <c r="Q46" s="2"/>
      <c r="R46" s="2"/>
      <c r="S46" s="2"/>
      <c r="T46" s="3"/>
      <c r="U46" s="29" t="s">
        <v>200</v>
      </c>
      <c r="V46" s="3"/>
      <c r="W46" s="18" t="s">
        <v>127</v>
      </c>
      <c r="X46" s="2"/>
      <c r="Y46" s="2"/>
      <c r="Z46" s="2"/>
      <c r="AA46" s="2"/>
      <c r="AB46" s="2"/>
      <c r="AC46" s="3"/>
      <c r="AD46" s="19">
        <v>25</v>
      </c>
      <c r="AE46" s="2"/>
      <c r="AF46" s="3"/>
    </row>
    <row r="47" ht="30" customHeight="1" spans="2:32">
      <c r="B47" s="17">
        <v>40</v>
      </c>
      <c r="C47" s="19" t="s">
        <v>206</v>
      </c>
      <c r="D47" s="2"/>
      <c r="E47" s="3"/>
      <c r="F47" s="18" t="s">
        <v>198</v>
      </c>
      <c r="G47" s="2"/>
      <c r="H47" s="2"/>
      <c r="I47" s="2"/>
      <c r="J47" s="2"/>
      <c r="K47" s="2"/>
      <c r="L47" s="3"/>
      <c r="M47" s="18" t="s">
        <v>207</v>
      </c>
      <c r="N47" s="2"/>
      <c r="O47" s="2"/>
      <c r="P47" s="2"/>
      <c r="Q47" s="2"/>
      <c r="R47" s="2"/>
      <c r="S47" s="2"/>
      <c r="T47" s="3"/>
      <c r="U47" s="29" t="s">
        <v>200</v>
      </c>
      <c r="V47" s="3"/>
      <c r="W47" s="18" t="s">
        <v>108</v>
      </c>
      <c r="X47" s="2"/>
      <c r="Y47" s="2"/>
      <c r="Z47" s="2"/>
      <c r="AA47" s="2"/>
      <c r="AB47" s="2"/>
      <c r="AC47" s="3"/>
      <c r="AD47" s="19">
        <v>5</v>
      </c>
      <c r="AE47" s="2"/>
      <c r="AF47" s="3"/>
    </row>
    <row r="48" ht="30" customHeight="1" spans="2:32">
      <c r="B48" s="17">
        <v>41</v>
      </c>
      <c r="C48" s="19" t="s">
        <v>208</v>
      </c>
      <c r="D48" s="2"/>
      <c r="E48" s="3"/>
      <c r="F48" s="18" t="s">
        <v>198</v>
      </c>
      <c r="G48" s="2"/>
      <c r="H48" s="2"/>
      <c r="I48" s="2"/>
      <c r="J48" s="2"/>
      <c r="K48" s="2"/>
      <c r="L48" s="3"/>
      <c r="M48" s="18" t="s">
        <v>209</v>
      </c>
      <c r="N48" s="2"/>
      <c r="O48" s="2"/>
      <c r="P48" s="2"/>
      <c r="Q48" s="2"/>
      <c r="R48" s="2"/>
      <c r="S48" s="2"/>
      <c r="T48" s="3"/>
      <c r="U48" s="27" t="s">
        <v>96</v>
      </c>
      <c r="V48" s="3"/>
      <c r="W48" s="18" t="s">
        <v>108</v>
      </c>
      <c r="X48" s="2"/>
      <c r="Y48" s="2"/>
      <c r="Z48" s="2"/>
      <c r="AA48" s="2"/>
      <c r="AB48" s="2"/>
      <c r="AC48" s="3"/>
      <c r="AD48" s="19">
        <v>5</v>
      </c>
      <c r="AE48" s="2"/>
      <c r="AF48" s="3"/>
    </row>
    <row r="49" ht="30" customHeight="1" spans="2:37">
      <c r="B49" s="17">
        <v>42</v>
      </c>
      <c r="C49" s="19" t="s">
        <v>210</v>
      </c>
      <c r="D49" s="2"/>
      <c r="E49" s="3"/>
      <c r="F49" s="18" t="s">
        <v>198</v>
      </c>
      <c r="G49" s="2"/>
      <c r="H49" s="2"/>
      <c r="I49" s="2"/>
      <c r="J49" s="2"/>
      <c r="K49" s="2"/>
      <c r="L49" s="3"/>
      <c r="M49" s="18" t="s">
        <v>211</v>
      </c>
      <c r="N49" s="2"/>
      <c r="O49" s="2"/>
      <c r="P49" s="2"/>
      <c r="Q49" s="2"/>
      <c r="R49" s="2"/>
      <c r="S49" s="2"/>
      <c r="T49" s="3"/>
      <c r="U49" s="28" t="s">
        <v>116</v>
      </c>
      <c r="V49" s="3"/>
      <c r="W49" s="18" t="s">
        <v>212</v>
      </c>
      <c r="X49" s="2"/>
      <c r="Y49" s="2"/>
      <c r="Z49" s="2"/>
      <c r="AA49" s="2"/>
      <c r="AB49" s="2"/>
      <c r="AC49" s="3"/>
      <c r="AD49" s="19">
        <v>8</v>
      </c>
      <c r="AE49" s="2"/>
      <c r="AF49" s="3"/>
    </row>
    <row r="50" ht="30" customHeight="1" spans="2:37">
      <c r="B50" s="17">
        <v>43</v>
      </c>
      <c r="C50" s="19" t="s">
        <v>213</v>
      </c>
      <c r="D50" s="2"/>
      <c r="E50" s="3"/>
      <c r="F50" s="18" t="s">
        <v>214</v>
      </c>
      <c r="G50" s="2"/>
      <c r="H50" s="2"/>
      <c r="I50" s="2"/>
      <c r="J50" s="2"/>
      <c r="K50" s="2"/>
      <c r="L50" s="3"/>
      <c r="M50" s="18" t="s">
        <v>215</v>
      </c>
      <c r="N50" s="2"/>
      <c r="O50" s="2"/>
      <c r="P50" s="2"/>
      <c r="Q50" s="2"/>
      <c r="R50" s="2"/>
      <c r="S50" s="2"/>
      <c r="T50" s="3"/>
      <c r="U50" s="28" t="s">
        <v>116</v>
      </c>
      <c r="V50" s="3"/>
      <c r="W50" s="18" t="s">
        <v>216</v>
      </c>
      <c r="X50" s="2"/>
      <c r="Y50" s="2"/>
      <c r="Z50" s="2"/>
      <c r="AA50" s="2"/>
      <c r="AB50" s="2"/>
      <c r="AC50" s="3"/>
      <c r="AD50" s="19">
        <v>12</v>
      </c>
      <c r="AE50" s="2"/>
      <c r="AF50" s="3"/>
    </row>
    <row r="51" ht="30" customHeight="1" spans="2:37">
      <c r="B51" s="17">
        <v>44</v>
      </c>
      <c r="C51" s="19" t="s">
        <v>217</v>
      </c>
      <c r="D51" s="2"/>
      <c r="E51" s="3"/>
      <c r="F51" s="18" t="s">
        <v>214</v>
      </c>
      <c r="G51" s="2"/>
      <c r="H51" s="2"/>
      <c r="I51" s="2"/>
      <c r="J51" s="2"/>
      <c r="K51" s="2"/>
      <c r="L51" s="3"/>
      <c r="M51" s="18" t="s">
        <v>218</v>
      </c>
      <c r="N51" s="2"/>
      <c r="O51" s="2"/>
      <c r="P51" s="2"/>
      <c r="Q51" s="2"/>
      <c r="R51" s="2"/>
      <c r="S51" s="2"/>
      <c r="T51" s="3"/>
      <c r="U51" s="28" t="s">
        <v>116</v>
      </c>
      <c r="V51" s="3"/>
      <c r="W51" s="18" t="s">
        <v>219</v>
      </c>
      <c r="X51" s="2"/>
      <c r="Y51" s="2"/>
      <c r="Z51" s="2"/>
      <c r="AA51" s="2"/>
      <c r="AB51" s="2"/>
      <c r="AC51" s="3"/>
      <c r="AD51" s="19">
        <v>8</v>
      </c>
      <c r="AE51" s="2"/>
      <c r="AF51" s="3"/>
    </row>
    <row r="52" ht="22.5" customHeight="1" spans="2:37">
      <c r="B52" s="30" t="s">
        <v>72</v>
      </c>
      <c r="C52" s="2"/>
      <c r="D52" s="2"/>
      <c r="E52" s="2"/>
      <c r="F52" s="2"/>
      <c r="G52" s="2"/>
      <c r="H52" s="2"/>
      <c r="I52" s="2"/>
      <c r="J52" s="2"/>
      <c r="K52" s="2"/>
      <c r="L52" s="2"/>
      <c r="M52" s="2"/>
      <c r="N52" s="2"/>
      <c r="O52" s="2"/>
      <c r="P52" s="2"/>
      <c r="Q52" s="2"/>
      <c r="R52" s="2"/>
      <c r="S52" s="2"/>
      <c r="T52" s="3"/>
      <c r="U52" s="31"/>
      <c r="V52" s="3"/>
      <c r="W52" s="31"/>
      <c r="X52" s="2"/>
      <c r="Y52" s="2"/>
      <c r="Z52" s="2"/>
      <c r="AA52" s="2"/>
      <c r="AB52" s="2"/>
      <c r="AC52" s="3"/>
      <c r="AD52" s="31">
        <f>SUM(AD8:AD51)</f>
        <v>1682</v>
      </c>
      <c r="AE52" s="2"/>
      <c r="AF52" s="3"/>
    </row>
    <row r="53" ht="15.75" customHeight="1"/>
    <row r="54" ht="19.5" customHeight="1" spans="2:37">
      <c r="B54" s="25" t="s">
        <v>220</v>
      </c>
    </row>
    <row r="55" ht="15.75" customHeight="1"/>
    <row r="56" ht="28.5" customHeight="1" spans="2:37">
      <c r="B56" s="1" t="s">
        <v>221</v>
      </c>
      <c r="C56" s="3"/>
      <c r="D56" s="1" t="s">
        <v>222</v>
      </c>
      <c r="E56" s="2"/>
      <c r="F56" s="3"/>
      <c r="G56" s="1" t="s">
        <v>223</v>
      </c>
      <c r="H56" s="2"/>
      <c r="I56" s="2"/>
      <c r="J56" s="2"/>
      <c r="K56" s="2"/>
      <c r="L56" s="3"/>
      <c r="M56" s="1" t="s">
        <v>224</v>
      </c>
      <c r="N56" s="3"/>
      <c r="O56" s="1" t="s">
        <v>225</v>
      </c>
      <c r="P56" s="2"/>
      <c r="Q56" s="3"/>
      <c r="R56" s="1" t="s">
        <v>226</v>
      </c>
      <c r="S56" s="2"/>
      <c r="T56" s="2"/>
      <c r="U56" s="2"/>
      <c r="V56" s="2"/>
      <c r="W56" s="2"/>
      <c r="X56" s="2"/>
      <c r="Y56" s="2"/>
      <c r="Z56" s="2"/>
      <c r="AA56" s="2"/>
      <c r="AB56" s="2"/>
      <c r="AC56" s="2"/>
      <c r="AD56" s="2"/>
      <c r="AE56" s="2"/>
      <c r="AF56" s="2"/>
      <c r="AG56" s="2"/>
      <c r="AH56" s="2"/>
      <c r="AI56" s="2"/>
      <c r="AJ56" s="2"/>
      <c r="AK56" s="3"/>
    </row>
    <row r="57" ht="36" customHeight="1" spans="2:37">
      <c r="B57" s="32" t="s">
        <v>227</v>
      </c>
      <c r="C57" s="3"/>
      <c r="D57" s="19" t="s">
        <v>228</v>
      </c>
      <c r="E57" s="2"/>
      <c r="F57" s="3"/>
      <c r="G57" s="18" t="s">
        <v>229</v>
      </c>
      <c r="H57" s="2"/>
      <c r="I57" s="2"/>
      <c r="J57" s="2"/>
      <c r="K57" s="2"/>
      <c r="L57" s="3"/>
      <c r="M57" s="19">
        <v>10</v>
      </c>
      <c r="N57" s="3"/>
      <c r="O57" s="19" t="s">
        <v>96</v>
      </c>
      <c r="P57" s="2"/>
      <c r="Q57" s="3"/>
      <c r="R57" s="18" t="s">
        <v>230</v>
      </c>
      <c r="S57" s="2"/>
      <c r="T57" s="2"/>
      <c r="U57" s="2"/>
      <c r="V57" s="2"/>
      <c r="W57" s="2"/>
      <c r="X57" s="2"/>
      <c r="Y57" s="2"/>
      <c r="Z57" s="2"/>
      <c r="AA57" s="2"/>
      <c r="AB57" s="2"/>
      <c r="AC57" s="2"/>
      <c r="AD57" s="2"/>
      <c r="AE57" s="2"/>
      <c r="AF57" s="2"/>
      <c r="AG57" s="2"/>
      <c r="AH57" s="2"/>
      <c r="AI57" s="2"/>
      <c r="AJ57" s="2"/>
      <c r="AK57" s="3"/>
    </row>
    <row r="58" ht="30" customHeight="1" spans="2:37">
      <c r="B58" s="32" t="s">
        <v>231</v>
      </c>
      <c r="C58" s="3"/>
      <c r="D58" s="19" t="s">
        <v>232</v>
      </c>
      <c r="E58" s="2"/>
      <c r="F58" s="3"/>
      <c r="G58" s="18" t="s">
        <v>233</v>
      </c>
      <c r="H58" s="2"/>
      <c r="I58" s="2"/>
      <c r="J58" s="2"/>
      <c r="K58" s="2"/>
      <c r="L58" s="3"/>
      <c r="M58" s="19">
        <v>9</v>
      </c>
      <c r="N58" s="3"/>
      <c r="O58" s="19" t="s">
        <v>116</v>
      </c>
      <c r="P58" s="2"/>
      <c r="Q58" s="3"/>
      <c r="R58" s="18" t="s">
        <v>234</v>
      </c>
      <c r="S58" s="2"/>
      <c r="T58" s="2"/>
      <c r="U58" s="2"/>
      <c r="V58" s="2"/>
      <c r="W58" s="2"/>
      <c r="X58" s="2"/>
      <c r="Y58" s="2"/>
      <c r="Z58" s="2"/>
      <c r="AA58" s="2"/>
      <c r="AB58" s="2"/>
      <c r="AC58" s="2"/>
      <c r="AD58" s="2"/>
      <c r="AE58" s="2"/>
      <c r="AF58" s="2"/>
      <c r="AG58" s="2"/>
      <c r="AH58" s="2"/>
      <c r="AI58" s="2"/>
      <c r="AJ58" s="2"/>
      <c r="AK58" s="3"/>
    </row>
    <row r="59" ht="36" customHeight="1" spans="2:37">
      <c r="B59" s="32" t="s">
        <v>235</v>
      </c>
      <c r="C59" s="3"/>
      <c r="D59" s="19" t="s">
        <v>236</v>
      </c>
      <c r="E59" s="2"/>
      <c r="F59" s="3"/>
      <c r="G59" s="18" t="s">
        <v>237</v>
      </c>
      <c r="H59" s="2"/>
      <c r="I59" s="2"/>
      <c r="J59" s="2"/>
      <c r="K59" s="2"/>
      <c r="L59" s="3"/>
      <c r="M59" s="19">
        <v>8</v>
      </c>
      <c r="N59" s="3"/>
      <c r="O59" s="19" t="s">
        <v>96</v>
      </c>
      <c r="P59" s="2"/>
      <c r="Q59" s="3"/>
      <c r="R59" s="18" t="s">
        <v>238</v>
      </c>
      <c r="S59" s="2"/>
      <c r="T59" s="2"/>
      <c r="U59" s="2"/>
      <c r="V59" s="2"/>
      <c r="W59" s="2"/>
      <c r="X59" s="2"/>
      <c r="Y59" s="2"/>
      <c r="Z59" s="2"/>
      <c r="AA59" s="2"/>
      <c r="AB59" s="2"/>
      <c r="AC59" s="2"/>
      <c r="AD59" s="2"/>
      <c r="AE59" s="2"/>
      <c r="AF59" s="2"/>
      <c r="AG59" s="2"/>
      <c r="AH59" s="2"/>
      <c r="AI59" s="2"/>
      <c r="AJ59" s="2"/>
      <c r="AK59" s="3"/>
    </row>
    <row r="60" ht="36" customHeight="1" spans="2:37">
      <c r="B60" s="32" t="s">
        <v>239</v>
      </c>
      <c r="C60" s="3"/>
      <c r="D60" s="19" t="s">
        <v>240</v>
      </c>
      <c r="E60" s="2"/>
      <c r="F60" s="3"/>
      <c r="G60" s="18" t="s">
        <v>241</v>
      </c>
      <c r="H60" s="2"/>
      <c r="I60" s="2"/>
      <c r="J60" s="2"/>
      <c r="K60" s="2"/>
      <c r="L60" s="3"/>
      <c r="M60" s="19">
        <v>9</v>
      </c>
      <c r="N60" s="3"/>
      <c r="O60" s="19" t="s">
        <v>96</v>
      </c>
      <c r="P60" s="2"/>
      <c r="Q60" s="3"/>
      <c r="R60" s="18" t="s">
        <v>242</v>
      </c>
      <c r="S60" s="2"/>
      <c r="T60" s="2"/>
      <c r="U60" s="2"/>
      <c r="V60" s="2"/>
      <c r="W60" s="2"/>
      <c r="X60" s="2"/>
      <c r="Y60" s="2"/>
      <c r="Z60" s="2"/>
      <c r="AA60" s="2"/>
      <c r="AB60" s="2"/>
      <c r="AC60" s="2"/>
      <c r="AD60" s="2"/>
      <c r="AE60" s="2"/>
      <c r="AF60" s="2"/>
      <c r="AG60" s="2"/>
      <c r="AH60" s="2"/>
      <c r="AI60" s="2"/>
      <c r="AJ60" s="2"/>
      <c r="AK60" s="3"/>
    </row>
    <row r="61" ht="36" customHeight="1" spans="2:37">
      <c r="B61" s="32" t="s">
        <v>243</v>
      </c>
      <c r="C61" s="3"/>
      <c r="D61" s="19" t="s">
        <v>244</v>
      </c>
      <c r="E61" s="2"/>
      <c r="F61" s="3"/>
      <c r="G61" s="18" t="s">
        <v>245</v>
      </c>
      <c r="H61" s="2"/>
      <c r="I61" s="2"/>
      <c r="J61" s="2"/>
      <c r="K61" s="2"/>
      <c r="L61" s="3"/>
      <c r="M61" s="19">
        <v>6</v>
      </c>
      <c r="N61" s="3"/>
      <c r="O61" s="19" t="s">
        <v>246</v>
      </c>
      <c r="P61" s="2"/>
      <c r="Q61" s="3"/>
      <c r="R61" s="18" t="s">
        <v>247</v>
      </c>
      <c r="S61" s="2"/>
      <c r="T61" s="2"/>
      <c r="U61" s="2"/>
      <c r="V61" s="2"/>
      <c r="W61" s="2"/>
      <c r="X61" s="2"/>
      <c r="Y61" s="2"/>
      <c r="Z61" s="2"/>
      <c r="AA61" s="2"/>
      <c r="AB61" s="2"/>
      <c r="AC61" s="2"/>
      <c r="AD61" s="2"/>
      <c r="AE61" s="2"/>
      <c r="AF61" s="2"/>
      <c r="AG61" s="2"/>
      <c r="AH61" s="2"/>
      <c r="AI61" s="2"/>
      <c r="AJ61" s="2"/>
      <c r="AK61" s="3"/>
    </row>
    <row r="62" ht="30" customHeight="1" spans="2:37">
      <c r="B62" s="32" t="s">
        <v>248</v>
      </c>
      <c r="C62" s="3"/>
      <c r="D62" s="19" t="s">
        <v>249</v>
      </c>
      <c r="E62" s="2"/>
      <c r="F62" s="3"/>
      <c r="G62" s="18" t="s">
        <v>250</v>
      </c>
      <c r="H62" s="2"/>
      <c r="I62" s="2"/>
      <c r="J62" s="2"/>
      <c r="K62" s="2"/>
      <c r="L62" s="3"/>
      <c r="M62" s="19">
        <v>2</v>
      </c>
      <c r="N62" s="3"/>
      <c r="O62" s="19" t="s">
        <v>116</v>
      </c>
      <c r="P62" s="2"/>
      <c r="Q62" s="3"/>
      <c r="R62" s="18" t="s">
        <v>251</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33" t="s">
        <v>252</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topLeftCell="A87" workbookViewId="0">
      <selection activeCell="AV86" sqref="AV86:AX86"/>
    </sheetView>
  </sheetViews>
  <sheetFormatPr defaultColWidth="14.4285714285714" defaultRowHeight="15" customHeight="1"/>
  <cols>
    <col min="1" max="69" width="4" customWidth="1"/>
  </cols>
  <sheetData>
    <row r="1" ht="22.5" customHeight="1" spans="1:69">
      <c r="A1" s="1" t="s">
        <v>253</v>
      </c>
      <c r="B1" s="2"/>
      <c r="C1" s="2"/>
      <c r="D1" s="2"/>
      <c r="E1" s="3"/>
      <c r="F1" s="4" t="s">
        <v>254</v>
      </c>
      <c r="G1" s="2"/>
      <c r="H1" s="2"/>
      <c r="I1" s="2"/>
      <c r="J1" s="2"/>
      <c r="K1" s="2"/>
      <c r="L1" s="2"/>
      <c r="M1" s="2"/>
      <c r="N1" s="2"/>
      <c r="O1" s="2"/>
      <c r="P1" s="2"/>
      <c r="Q1" s="3"/>
      <c r="R1" s="1" t="s">
        <v>255</v>
      </c>
      <c r="S1" s="2"/>
      <c r="T1" s="2"/>
      <c r="U1" s="2"/>
      <c r="V1" s="3"/>
      <c r="W1" s="4" t="s">
        <v>256</v>
      </c>
      <c r="X1" s="2"/>
      <c r="Y1" s="2"/>
      <c r="Z1" s="2"/>
      <c r="AA1" s="2"/>
      <c r="AB1" s="2"/>
      <c r="AC1" s="2"/>
      <c r="AD1" s="2"/>
      <c r="AE1" s="2"/>
      <c r="AF1" s="2"/>
      <c r="AG1" s="2"/>
      <c r="AH1" s="3"/>
    </row>
    <row r="2" ht="22.5" customHeight="1" spans="1:69">
      <c r="A2" s="1" t="s">
        <v>33</v>
      </c>
      <c r="B2" s="2"/>
      <c r="C2" s="2"/>
      <c r="D2" s="2"/>
      <c r="E2" s="3"/>
      <c r="F2" s="4" t="s">
        <v>16</v>
      </c>
      <c r="G2" s="2"/>
      <c r="H2" s="2"/>
      <c r="I2" s="2"/>
      <c r="J2" s="2"/>
      <c r="K2" s="2"/>
      <c r="L2" s="2"/>
      <c r="M2" s="2"/>
      <c r="N2" s="2"/>
      <c r="O2" s="2"/>
      <c r="P2" s="2"/>
      <c r="Q2" s="3"/>
      <c r="R2" s="1" t="s">
        <v>32</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257</v>
      </c>
      <c r="S3" s="2"/>
      <c r="T3" s="2"/>
      <c r="U3" s="2"/>
      <c r="V3" s="3"/>
      <c r="W3" s="5"/>
      <c r="X3" s="2"/>
      <c r="Y3" s="2"/>
      <c r="Z3" s="2"/>
      <c r="AA3" s="2"/>
      <c r="AB3" s="2"/>
      <c r="AC3" s="2"/>
      <c r="AD3" s="2"/>
      <c r="AE3" s="2"/>
      <c r="AF3" s="2"/>
      <c r="AG3" s="2"/>
      <c r="AH3" s="3"/>
    </row>
    <row r="4" ht="22.5" customHeight="1" spans="1:69">
      <c r="A4" s="1" t="s">
        <v>258</v>
      </c>
      <c r="B4" s="2"/>
      <c r="C4" s="2"/>
      <c r="D4" s="2"/>
      <c r="E4" s="3"/>
      <c r="F4" s="4" t="s">
        <v>259</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260</v>
      </c>
      <c r="B5" s="2"/>
      <c r="C5" s="2"/>
      <c r="D5" s="2"/>
      <c r="E5" s="2"/>
      <c r="F5" s="2"/>
      <c r="G5" s="2"/>
      <c r="H5" s="2"/>
      <c r="I5" s="2"/>
      <c r="J5" s="2"/>
      <c r="K5" s="2"/>
      <c r="L5" s="2"/>
      <c r="M5" s="2"/>
      <c r="N5" s="2"/>
      <c r="O5" s="2"/>
      <c r="P5" s="2"/>
      <c r="Q5" s="2"/>
      <c r="R5" s="2"/>
      <c r="S5" s="3"/>
      <c r="T5" s="1" t="s">
        <v>73</v>
      </c>
      <c r="U5" s="2"/>
      <c r="V5" s="2"/>
      <c r="W5" s="2"/>
      <c r="X5" s="2"/>
      <c r="Y5" s="2"/>
      <c r="Z5" s="2"/>
      <c r="AA5" s="2"/>
      <c r="AB5" s="2"/>
      <c r="AC5" s="2"/>
      <c r="AD5" s="2"/>
      <c r="AE5" s="2"/>
      <c r="AF5" s="2"/>
      <c r="AG5" s="2"/>
      <c r="AH5" s="3"/>
    </row>
    <row r="6" ht="22.5" customHeight="1" spans="1:69">
      <c r="A6" s="1" t="s">
        <v>261</v>
      </c>
      <c r="B6" s="2"/>
      <c r="C6" s="2"/>
      <c r="D6" s="2"/>
      <c r="E6" s="2"/>
      <c r="F6" s="2"/>
      <c r="G6" s="3"/>
      <c r="H6" s="1" t="s">
        <v>74</v>
      </c>
      <c r="I6" s="2"/>
      <c r="J6" s="3"/>
      <c r="K6" s="1" t="s">
        <v>75</v>
      </c>
      <c r="L6" s="2"/>
      <c r="M6" s="3"/>
      <c r="N6" s="1" t="s">
        <v>262</v>
      </c>
      <c r="O6" s="2"/>
      <c r="P6" s="3"/>
      <c r="Q6" s="1" t="s">
        <v>72</v>
      </c>
      <c r="R6" s="2"/>
      <c r="S6" s="3"/>
      <c r="T6" s="1" t="s">
        <v>77</v>
      </c>
      <c r="U6" s="2"/>
      <c r="V6" s="3"/>
      <c r="W6" s="1" t="s">
        <v>78</v>
      </c>
      <c r="X6" s="2"/>
      <c r="Y6" s="3"/>
      <c r="Z6" s="1" t="s">
        <v>79</v>
      </c>
      <c r="AA6" s="2"/>
      <c r="AB6" s="3"/>
      <c r="AC6" s="1" t="s">
        <v>80</v>
      </c>
      <c r="AD6" s="2"/>
      <c r="AE6" s="3"/>
      <c r="AF6" s="1" t="s">
        <v>72</v>
      </c>
      <c r="AG6" s="2"/>
      <c r="AH6" s="3"/>
    </row>
    <row r="7" ht="22.5" customHeight="1" spans="1:69">
      <c r="A7" s="1" t="s">
        <v>263</v>
      </c>
      <c r="B7" s="2"/>
      <c r="C7" s="2"/>
      <c r="D7" s="2"/>
      <c r="E7" s="2"/>
      <c r="F7" s="2"/>
      <c r="G7" s="3"/>
      <c r="H7" s="6">
        <f t="shared" ref="H7:H8" si="0">COUNTIF($AE$12:$AF$1049,"N")</f>
        <v>44</v>
      </c>
      <c r="I7" s="2"/>
      <c r="J7" s="3"/>
      <c r="K7" s="6">
        <f t="shared" ref="K7:K8" si="1">COUNTIF($AE$12:$AF$1049,"A")</f>
        <v>31</v>
      </c>
      <c r="L7" s="2"/>
      <c r="M7" s="3"/>
      <c r="N7" s="6">
        <f t="shared" ref="N7:N8" si="2">COUNTIF($AE$12:$AF$1049,"B")</f>
        <v>6</v>
      </c>
      <c r="O7" s="2"/>
      <c r="P7" s="3"/>
      <c r="Q7" s="7">
        <f t="shared" ref="Q7:Q8" si="3">SUM(H7:P7)</f>
        <v>81</v>
      </c>
      <c r="R7" s="2"/>
      <c r="S7" s="3"/>
      <c r="T7" s="6">
        <f>COUNTIF($AG$12:$AI$1049,T$6)</f>
        <v>77</v>
      </c>
      <c r="U7" s="2"/>
      <c r="V7" s="3"/>
      <c r="W7" s="6">
        <f>COUNTIF($AG$12:$AI$1049,W$6)</f>
        <v>0</v>
      </c>
      <c r="X7" s="2"/>
      <c r="Y7" s="3"/>
      <c r="Z7" s="6">
        <f>COUNTIF($AG$12:$AI$1049,Z$6)</f>
        <v>0</v>
      </c>
      <c r="AA7" s="2"/>
      <c r="AB7" s="3"/>
      <c r="AC7" s="6">
        <f>COUNTIF($AG$12:$AI$1049,AC$6)</f>
        <v>4</v>
      </c>
      <c r="AD7" s="2"/>
      <c r="AE7" s="3"/>
      <c r="AF7" s="7">
        <f t="shared" ref="AF7:AF8" si="4">SUM(T7:AE7)</f>
        <v>81</v>
      </c>
      <c r="AG7" s="2"/>
      <c r="AH7" s="3"/>
    </row>
    <row r="8" ht="22.5" customHeight="1" spans="1:69">
      <c r="A8" s="1" t="s">
        <v>264</v>
      </c>
      <c r="B8" s="2"/>
      <c r="C8" s="2"/>
      <c r="D8" s="2"/>
      <c r="E8" s="2"/>
      <c r="F8" s="2"/>
      <c r="G8" s="3"/>
      <c r="H8" s="6">
        <f t="shared" si="0"/>
        <v>44</v>
      </c>
      <c r="I8" s="2"/>
      <c r="J8" s="3"/>
      <c r="K8" s="6">
        <f t="shared" si="1"/>
        <v>31</v>
      </c>
      <c r="L8" s="2"/>
      <c r="M8" s="3"/>
      <c r="N8" s="6">
        <f t="shared" si="2"/>
        <v>6</v>
      </c>
      <c r="O8" s="2"/>
      <c r="P8" s="3"/>
      <c r="Q8" s="7">
        <f t="shared" si="3"/>
        <v>81</v>
      </c>
      <c r="R8" s="2"/>
      <c r="S8" s="3"/>
      <c r="T8" s="6">
        <f>COUNTIF($AV$12:$AX$1049,T$6)</f>
        <v>78</v>
      </c>
      <c r="U8" s="2"/>
      <c r="V8" s="3"/>
      <c r="W8" s="6">
        <f>COUNTIF($AV$12:$AX$1049,W$6)</f>
        <v>0</v>
      </c>
      <c r="X8" s="2"/>
      <c r="Y8" s="3"/>
      <c r="Z8" s="6">
        <f>COUNTIF($AV$12:$AX$1049,Z$6)</f>
        <v>0</v>
      </c>
      <c r="AA8" s="2"/>
      <c r="AB8" s="3"/>
      <c r="AC8" s="6">
        <f>COUNTIF($AV$12:$AX$1049,AC$6)</f>
        <v>3</v>
      </c>
      <c r="AD8" s="2"/>
      <c r="AE8" s="3"/>
      <c r="AF8" s="7">
        <f t="shared" si="4"/>
        <v>81</v>
      </c>
      <c r="AG8" s="2"/>
      <c r="AH8" s="3"/>
    </row>
    <row r="9" ht="12.75" customHeight="1"/>
    <row r="10" ht="36" customHeight="1" spans="1:69">
      <c r="A10" s="8" t="s">
        <v>69</v>
      </c>
      <c r="B10" s="9" t="s">
        <v>265</v>
      </c>
      <c r="C10" s="10"/>
      <c r="D10" s="11"/>
      <c r="E10" s="9" t="s">
        <v>266</v>
      </c>
      <c r="F10" s="10"/>
      <c r="G10" s="10"/>
      <c r="H10" s="10"/>
      <c r="I10" s="11"/>
      <c r="J10" s="9" t="s">
        <v>267</v>
      </c>
      <c r="K10" s="10"/>
      <c r="L10" s="10"/>
      <c r="M10" s="10"/>
      <c r="N10" s="10"/>
      <c r="O10" s="10"/>
      <c r="P10" s="11"/>
      <c r="Q10" s="9" t="s">
        <v>268</v>
      </c>
      <c r="R10" s="10"/>
      <c r="S10" s="10"/>
      <c r="T10" s="10"/>
      <c r="U10" s="10"/>
      <c r="V10" s="10"/>
      <c r="W10" s="11"/>
      <c r="X10" s="9" t="s">
        <v>269</v>
      </c>
      <c r="Y10" s="10"/>
      <c r="Z10" s="10"/>
      <c r="AA10" s="10"/>
      <c r="AB10" s="10"/>
      <c r="AC10" s="10"/>
      <c r="AD10" s="11"/>
      <c r="AE10" s="9" t="s">
        <v>270</v>
      </c>
      <c r="AF10" s="11"/>
      <c r="AG10" s="1" t="s">
        <v>271</v>
      </c>
      <c r="AH10" s="2"/>
      <c r="AI10" s="2"/>
      <c r="AJ10" s="2"/>
      <c r="AK10" s="2"/>
      <c r="AL10" s="2"/>
      <c r="AM10" s="2"/>
      <c r="AN10" s="2"/>
      <c r="AO10" s="2"/>
      <c r="AP10" s="2"/>
      <c r="AQ10" s="2"/>
      <c r="AR10" s="2"/>
      <c r="AS10" s="2"/>
      <c r="AT10" s="2"/>
      <c r="AU10" s="3"/>
      <c r="AV10" s="1" t="s">
        <v>272</v>
      </c>
      <c r="AW10" s="2"/>
      <c r="AX10" s="2"/>
      <c r="AY10" s="2"/>
      <c r="AZ10" s="2"/>
      <c r="BA10" s="2"/>
      <c r="BB10" s="2"/>
      <c r="BC10" s="2"/>
      <c r="BD10" s="2"/>
      <c r="BE10" s="2"/>
      <c r="BF10" s="2"/>
      <c r="BG10" s="2"/>
      <c r="BH10" s="2"/>
      <c r="BI10" s="2"/>
      <c r="BJ10" s="3"/>
      <c r="BK10" s="9" t="s">
        <v>273</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274</v>
      </c>
      <c r="AH11" s="2"/>
      <c r="AI11" s="3"/>
      <c r="AJ11" s="1" t="s">
        <v>275</v>
      </c>
      <c r="AK11" s="2"/>
      <c r="AL11" s="3"/>
      <c r="AM11" s="1" t="s">
        <v>11</v>
      </c>
      <c r="AN11" s="2"/>
      <c r="AO11" s="3"/>
      <c r="AP11" s="1" t="s">
        <v>276</v>
      </c>
      <c r="AQ11" s="2"/>
      <c r="AR11" s="3"/>
      <c r="AS11" s="1" t="s">
        <v>277</v>
      </c>
      <c r="AT11" s="2"/>
      <c r="AU11" s="3"/>
      <c r="AV11" s="1" t="s">
        <v>274</v>
      </c>
      <c r="AW11" s="2"/>
      <c r="AX11" s="3"/>
      <c r="AY11" s="1" t="s">
        <v>275</v>
      </c>
      <c r="AZ11" s="2"/>
      <c r="BA11" s="3"/>
      <c r="BB11" s="1" t="s">
        <v>11</v>
      </c>
      <c r="BC11" s="2"/>
      <c r="BD11" s="3"/>
      <c r="BE11" s="1" t="s">
        <v>276</v>
      </c>
      <c r="BF11" s="2"/>
      <c r="BG11" s="3"/>
      <c r="BH11" s="1" t="s">
        <v>277</v>
      </c>
      <c r="BI11" s="2"/>
      <c r="BJ11" s="3"/>
      <c r="BK11" s="13"/>
      <c r="BL11" s="14"/>
      <c r="BM11" s="14"/>
      <c r="BN11" s="14"/>
      <c r="BO11" s="14"/>
      <c r="BP11" s="14"/>
      <c r="BQ11" s="15"/>
    </row>
    <row r="12" ht="22.5" customHeight="1" spans="1:69">
      <c r="A12" s="16" t="s">
        <v>278</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409.5" customHeight="1" spans="1:69">
      <c r="A13" s="17">
        <v>1</v>
      </c>
      <c r="B13" s="18" t="s">
        <v>279</v>
      </c>
      <c r="C13" s="2"/>
      <c r="D13" s="3"/>
      <c r="E13" s="18" t="s">
        <v>280</v>
      </c>
      <c r="F13" s="2"/>
      <c r="G13" s="2"/>
      <c r="H13" s="2"/>
      <c r="I13" s="3"/>
      <c r="J13" s="18" t="s">
        <v>281</v>
      </c>
      <c r="K13" s="2"/>
      <c r="L13" s="2"/>
      <c r="M13" s="2"/>
      <c r="N13" s="2"/>
      <c r="O13" s="2"/>
      <c r="P13" s="3"/>
      <c r="Q13" s="18" t="s">
        <v>282</v>
      </c>
      <c r="R13" s="2"/>
      <c r="S13" s="2"/>
      <c r="T13" s="2"/>
      <c r="U13" s="2"/>
      <c r="V13" s="2"/>
      <c r="W13" s="3"/>
      <c r="X13" s="18" t="s">
        <v>283</v>
      </c>
      <c r="Y13" s="2"/>
      <c r="Z13" s="2"/>
      <c r="AA13" s="2"/>
      <c r="AB13" s="2"/>
      <c r="AC13" s="2"/>
      <c r="AD13" s="3"/>
      <c r="AE13" s="19" t="s">
        <v>284</v>
      </c>
      <c r="AF13" s="3"/>
      <c r="AG13" s="19" t="s">
        <v>77</v>
      </c>
      <c r="AH13" s="2"/>
      <c r="AI13" s="3"/>
      <c r="AJ13" s="19"/>
      <c r="AK13" s="2"/>
      <c r="AL13" s="3"/>
      <c r="AM13" s="20" t="s">
        <v>285</v>
      </c>
      <c r="AN13" s="2"/>
      <c r="AO13" s="3"/>
      <c r="AP13" s="21">
        <v>46181</v>
      </c>
      <c r="AQ13" s="2"/>
      <c r="AR13" s="3"/>
      <c r="AS13" s="19"/>
      <c r="AT13" s="2"/>
      <c r="AU13" s="3"/>
      <c r="AV13" s="19" t="s">
        <v>77</v>
      </c>
      <c r="AW13" s="2"/>
      <c r="AX13" s="3"/>
      <c r="AY13" s="19"/>
      <c r="AZ13" s="2"/>
      <c r="BA13" s="3"/>
      <c r="BB13" s="19" t="s">
        <v>286</v>
      </c>
      <c r="BC13" s="2"/>
      <c r="BD13" s="3"/>
      <c r="BE13" s="21">
        <v>46247</v>
      </c>
      <c r="BF13" s="2"/>
      <c r="BG13" s="3"/>
      <c r="BH13" s="19"/>
      <c r="BI13" s="2"/>
      <c r="BJ13" s="3"/>
      <c r="BK13" s="18"/>
      <c r="BL13" s="2"/>
      <c r="BM13" s="2"/>
      <c r="BN13" s="2"/>
      <c r="BO13" s="2"/>
      <c r="BP13" s="2"/>
      <c r="BQ13" s="3"/>
    </row>
    <row r="14" ht="303.75" customHeight="1" spans="1:69">
      <c r="A14" s="17">
        <v>2</v>
      </c>
      <c r="B14" s="18" t="s">
        <v>287</v>
      </c>
      <c r="C14" s="2"/>
      <c r="D14" s="3"/>
      <c r="E14" s="18" t="s">
        <v>288</v>
      </c>
      <c r="F14" s="2"/>
      <c r="G14" s="2"/>
      <c r="H14" s="2"/>
      <c r="I14" s="3"/>
      <c r="J14" s="18" t="s">
        <v>289</v>
      </c>
      <c r="K14" s="2"/>
      <c r="L14" s="2"/>
      <c r="M14" s="2"/>
      <c r="N14" s="2"/>
      <c r="O14" s="2"/>
      <c r="P14" s="3"/>
      <c r="Q14" s="18" t="s">
        <v>290</v>
      </c>
      <c r="R14" s="2"/>
      <c r="S14" s="2"/>
      <c r="T14" s="2"/>
      <c r="U14" s="2"/>
      <c r="V14" s="2"/>
      <c r="W14" s="3"/>
      <c r="X14" s="18" t="s">
        <v>291</v>
      </c>
      <c r="Y14" s="2"/>
      <c r="Z14" s="2"/>
      <c r="AA14" s="2"/>
      <c r="AB14" s="2"/>
      <c r="AC14" s="2"/>
      <c r="AD14" s="3"/>
      <c r="AE14" s="19" t="s">
        <v>284</v>
      </c>
      <c r="AF14" s="3"/>
      <c r="AG14" s="19" t="s">
        <v>77</v>
      </c>
      <c r="AH14" s="2"/>
      <c r="AI14" s="3"/>
      <c r="AJ14" s="19"/>
      <c r="AK14" s="2"/>
      <c r="AL14" s="3"/>
      <c r="AM14" s="20" t="s">
        <v>285</v>
      </c>
      <c r="AN14" s="2"/>
      <c r="AO14" s="3"/>
      <c r="AP14" s="21">
        <v>46181</v>
      </c>
      <c r="AQ14" s="2"/>
      <c r="AR14" s="3"/>
      <c r="AS14" s="19"/>
      <c r="AT14" s="2"/>
      <c r="AU14" s="3"/>
      <c r="AV14" s="19" t="s">
        <v>77</v>
      </c>
      <c r="AW14" s="2"/>
      <c r="AX14" s="3"/>
      <c r="AY14" s="19"/>
      <c r="AZ14" s="2"/>
      <c r="BA14" s="3"/>
      <c r="BB14" s="19" t="s">
        <v>286</v>
      </c>
      <c r="BC14" s="2"/>
      <c r="BD14" s="3"/>
      <c r="BE14" s="21">
        <v>46247</v>
      </c>
      <c r="BF14" s="2"/>
      <c r="BG14" s="3"/>
      <c r="BH14" s="19"/>
      <c r="BI14" s="2"/>
      <c r="BJ14" s="3"/>
      <c r="BK14" s="18"/>
      <c r="BL14" s="2"/>
      <c r="BM14" s="2"/>
      <c r="BN14" s="2"/>
      <c r="BO14" s="2"/>
      <c r="BP14" s="2"/>
      <c r="BQ14" s="3"/>
    </row>
    <row r="15" ht="409.5" customHeight="1" spans="1:69">
      <c r="A15" s="17">
        <v>3</v>
      </c>
      <c r="B15" s="18" t="s">
        <v>292</v>
      </c>
      <c r="C15" s="2"/>
      <c r="D15" s="3"/>
      <c r="E15" s="18" t="s">
        <v>293</v>
      </c>
      <c r="F15" s="2"/>
      <c r="G15" s="2"/>
      <c r="H15" s="2"/>
      <c r="I15" s="3"/>
      <c r="J15" s="18" t="s">
        <v>294</v>
      </c>
      <c r="K15" s="2"/>
      <c r="L15" s="2"/>
      <c r="M15" s="2"/>
      <c r="N15" s="2"/>
      <c r="O15" s="2"/>
      <c r="P15" s="3"/>
      <c r="Q15" s="18" t="s">
        <v>295</v>
      </c>
      <c r="R15" s="2"/>
      <c r="S15" s="2"/>
      <c r="T15" s="2"/>
      <c r="U15" s="2"/>
      <c r="V15" s="2"/>
      <c r="W15" s="3"/>
      <c r="X15" s="18" t="s">
        <v>296</v>
      </c>
      <c r="Y15" s="2"/>
      <c r="Z15" s="2"/>
      <c r="AA15" s="2"/>
      <c r="AB15" s="2"/>
      <c r="AC15" s="2"/>
      <c r="AD15" s="3"/>
      <c r="AE15" s="19" t="s">
        <v>284</v>
      </c>
      <c r="AF15" s="3"/>
      <c r="AG15" s="19" t="s">
        <v>77</v>
      </c>
      <c r="AH15" s="2"/>
      <c r="AI15" s="3"/>
      <c r="AJ15" s="19"/>
      <c r="AK15" s="2"/>
      <c r="AL15" s="3"/>
      <c r="AM15" s="20" t="s">
        <v>285</v>
      </c>
      <c r="AN15" s="2"/>
      <c r="AO15" s="3"/>
      <c r="AP15" s="21">
        <v>46181</v>
      </c>
      <c r="AQ15" s="2"/>
      <c r="AR15" s="3"/>
      <c r="AS15" s="19"/>
      <c r="AT15" s="2"/>
      <c r="AU15" s="3"/>
      <c r="AV15" s="19" t="s">
        <v>77</v>
      </c>
      <c r="AW15" s="2"/>
      <c r="AX15" s="3"/>
      <c r="AY15" s="19"/>
      <c r="AZ15" s="2"/>
      <c r="BA15" s="3"/>
      <c r="BB15" s="19" t="s">
        <v>286</v>
      </c>
      <c r="BC15" s="2"/>
      <c r="BD15" s="3"/>
      <c r="BE15" s="21">
        <v>46247</v>
      </c>
      <c r="BF15" s="2"/>
      <c r="BG15" s="3"/>
      <c r="BH15" s="19"/>
      <c r="BI15" s="2"/>
      <c r="BJ15" s="3"/>
      <c r="BK15" s="18" t="s">
        <v>297</v>
      </c>
      <c r="BL15" s="2"/>
      <c r="BM15" s="2"/>
      <c r="BN15" s="2"/>
      <c r="BO15" s="2"/>
      <c r="BP15" s="2"/>
      <c r="BQ15" s="3"/>
    </row>
    <row r="16" ht="367.5" customHeight="1" spans="1:69">
      <c r="A16" s="17">
        <v>4</v>
      </c>
      <c r="B16" s="18" t="s">
        <v>298</v>
      </c>
      <c r="C16" s="2"/>
      <c r="D16" s="3"/>
      <c r="E16" s="18" t="s">
        <v>299</v>
      </c>
      <c r="F16" s="2"/>
      <c r="G16" s="2"/>
      <c r="H16" s="2"/>
      <c r="I16" s="3"/>
      <c r="J16" s="18" t="s">
        <v>300</v>
      </c>
      <c r="K16" s="2"/>
      <c r="L16" s="2"/>
      <c r="M16" s="2"/>
      <c r="N16" s="2"/>
      <c r="O16" s="2"/>
      <c r="P16" s="3"/>
      <c r="Q16" s="18" t="s">
        <v>301</v>
      </c>
      <c r="R16" s="2"/>
      <c r="S16" s="2"/>
      <c r="T16" s="2"/>
      <c r="U16" s="2"/>
      <c r="V16" s="2"/>
      <c r="W16" s="3"/>
      <c r="X16" s="18" t="s">
        <v>302</v>
      </c>
      <c r="Y16" s="2"/>
      <c r="Z16" s="2"/>
      <c r="AA16" s="2"/>
      <c r="AB16" s="2"/>
      <c r="AC16" s="2"/>
      <c r="AD16" s="3"/>
      <c r="AE16" s="19" t="s">
        <v>284</v>
      </c>
      <c r="AF16" s="3"/>
      <c r="AG16" s="19" t="s">
        <v>77</v>
      </c>
      <c r="AH16" s="2"/>
      <c r="AI16" s="3"/>
      <c r="AJ16" s="19"/>
      <c r="AK16" s="2"/>
      <c r="AL16" s="3"/>
      <c r="AM16" s="20" t="s">
        <v>285</v>
      </c>
      <c r="AN16" s="2"/>
      <c r="AO16" s="3"/>
      <c r="AP16" s="21">
        <v>46181</v>
      </c>
      <c r="AQ16" s="2"/>
      <c r="AR16" s="3"/>
      <c r="AS16" s="19"/>
      <c r="AT16" s="2"/>
      <c r="AU16" s="3"/>
      <c r="AV16" s="19" t="s">
        <v>77</v>
      </c>
      <c r="AW16" s="2"/>
      <c r="AX16" s="3"/>
      <c r="AY16" s="19"/>
      <c r="AZ16" s="2"/>
      <c r="BA16" s="3"/>
      <c r="BB16" s="19" t="s">
        <v>286</v>
      </c>
      <c r="BC16" s="2"/>
      <c r="BD16" s="3"/>
      <c r="BE16" s="21">
        <v>46247</v>
      </c>
      <c r="BF16" s="2"/>
      <c r="BG16" s="3"/>
      <c r="BH16" s="19"/>
      <c r="BI16" s="2"/>
      <c r="BJ16" s="3"/>
      <c r="BK16" s="18"/>
      <c r="BL16" s="2"/>
      <c r="BM16" s="2"/>
      <c r="BN16" s="2"/>
      <c r="BO16" s="2"/>
      <c r="BP16" s="2"/>
      <c r="BQ16" s="3"/>
    </row>
    <row r="17" ht="336" customHeight="1" spans="1:69">
      <c r="A17" s="17">
        <v>5</v>
      </c>
      <c r="B17" s="18" t="s">
        <v>303</v>
      </c>
      <c r="C17" s="2"/>
      <c r="D17" s="3"/>
      <c r="E17" s="18" t="s">
        <v>304</v>
      </c>
      <c r="F17" s="2"/>
      <c r="G17" s="2"/>
      <c r="H17" s="2"/>
      <c r="I17" s="3"/>
      <c r="J17" s="18" t="s">
        <v>305</v>
      </c>
      <c r="K17" s="2"/>
      <c r="L17" s="2"/>
      <c r="M17" s="2"/>
      <c r="N17" s="2"/>
      <c r="O17" s="2"/>
      <c r="P17" s="3"/>
      <c r="Q17" s="18" t="s">
        <v>306</v>
      </c>
      <c r="R17" s="2"/>
      <c r="S17" s="2"/>
      <c r="T17" s="2"/>
      <c r="U17" s="2"/>
      <c r="V17" s="2"/>
      <c r="W17" s="3"/>
      <c r="X17" s="18" t="s">
        <v>307</v>
      </c>
      <c r="Y17" s="2"/>
      <c r="Z17" s="2"/>
      <c r="AA17" s="2"/>
      <c r="AB17" s="2"/>
      <c r="AC17" s="2"/>
      <c r="AD17" s="3"/>
      <c r="AE17" s="19" t="s">
        <v>284</v>
      </c>
      <c r="AF17" s="3"/>
      <c r="AG17" s="19" t="s">
        <v>77</v>
      </c>
      <c r="AH17" s="2"/>
      <c r="AI17" s="3"/>
      <c r="AJ17" s="19"/>
      <c r="AK17" s="2"/>
      <c r="AL17" s="3"/>
      <c r="AM17" s="20" t="s">
        <v>285</v>
      </c>
      <c r="AN17" s="2"/>
      <c r="AO17" s="3"/>
      <c r="AP17" s="21">
        <v>46181</v>
      </c>
      <c r="AQ17" s="2"/>
      <c r="AR17" s="3"/>
      <c r="AS17" s="19"/>
      <c r="AT17" s="2"/>
      <c r="AU17" s="3"/>
      <c r="AV17" s="19" t="s">
        <v>77</v>
      </c>
      <c r="AW17" s="2"/>
      <c r="AX17" s="3"/>
      <c r="AY17" s="19"/>
      <c r="AZ17" s="2"/>
      <c r="BA17" s="3"/>
      <c r="BB17" s="19" t="s">
        <v>286</v>
      </c>
      <c r="BC17" s="2"/>
      <c r="BD17" s="3"/>
      <c r="BE17" s="21">
        <v>46247</v>
      </c>
      <c r="BF17" s="2"/>
      <c r="BG17" s="3"/>
      <c r="BH17" s="19"/>
      <c r="BI17" s="2"/>
      <c r="BJ17" s="3"/>
      <c r="BK17" s="18"/>
      <c r="BL17" s="2"/>
      <c r="BM17" s="2"/>
      <c r="BN17" s="2"/>
      <c r="BO17" s="2"/>
      <c r="BP17" s="2"/>
      <c r="BQ17" s="3"/>
    </row>
    <row r="18" ht="409.5" customHeight="1" spans="1:69">
      <c r="A18" s="17">
        <v>6</v>
      </c>
      <c r="B18" s="18" t="s">
        <v>308</v>
      </c>
      <c r="C18" s="2"/>
      <c r="D18" s="3"/>
      <c r="E18" s="18" t="s">
        <v>309</v>
      </c>
      <c r="F18" s="2"/>
      <c r="G18" s="2"/>
      <c r="H18" s="2"/>
      <c r="I18" s="3"/>
      <c r="J18" s="18" t="s">
        <v>310</v>
      </c>
      <c r="K18" s="2"/>
      <c r="L18" s="2"/>
      <c r="M18" s="2"/>
      <c r="N18" s="2"/>
      <c r="O18" s="2"/>
      <c r="P18" s="3"/>
      <c r="Q18" s="18" t="s">
        <v>311</v>
      </c>
      <c r="R18" s="2"/>
      <c r="S18" s="2"/>
      <c r="T18" s="2"/>
      <c r="U18" s="2"/>
      <c r="V18" s="2"/>
      <c r="W18" s="3"/>
      <c r="X18" s="18" t="s">
        <v>312</v>
      </c>
      <c r="Y18" s="2"/>
      <c r="Z18" s="2"/>
      <c r="AA18" s="2"/>
      <c r="AB18" s="2"/>
      <c r="AC18" s="2"/>
      <c r="AD18" s="3"/>
      <c r="AE18" s="19" t="s">
        <v>227</v>
      </c>
      <c r="AF18" s="3"/>
      <c r="AG18" s="19" t="s">
        <v>77</v>
      </c>
      <c r="AH18" s="2"/>
      <c r="AI18" s="3"/>
      <c r="AJ18" s="19"/>
      <c r="AK18" s="2"/>
      <c r="AL18" s="3"/>
      <c r="AM18" s="20" t="s">
        <v>285</v>
      </c>
      <c r="AN18" s="2"/>
      <c r="AO18" s="3"/>
      <c r="AP18" s="21">
        <v>46181</v>
      </c>
      <c r="AQ18" s="2"/>
      <c r="AR18" s="3"/>
      <c r="AS18" s="19"/>
      <c r="AT18" s="2"/>
      <c r="AU18" s="3"/>
      <c r="AV18" s="19" t="s">
        <v>77</v>
      </c>
      <c r="AW18" s="2"/>
      <c r="AX18" s="3"/>
      <c r="AY18" s="19"/>
      <c r="AZ18" s="2"/>
      <c r="BA18" s="3"/>
      <c r="BB18" s="19" t="s">
        <v>286</v>
      </c>
      <c r="BC18" s="2"/>
      <c r="BD18" s="3"/>
      <c r="BE18" s="21">
        <v>46247</v>
      </c>
      <c r="BF18" s="2"/>
      <c r="BG18" s="3"/>
      <c r="BH18" s="19"/>
      <c r="BI18" s="2"/>
      <c r="BJ18" s="3"/>
      <c r="BK18" s="18"/>
      <c r="BL18" s="2"/>
      <c r="BM18" s="2"/>
      <c r="BN18" s="2"/>
      <c r="BO18" s="2"/>
      <c r="BP18" s="2"/>
      <c r="BQ18" s="3"/>
    </row>
    <row r="19" ht="336" customHeight="1" spans="1:69">
      <c r="A19" s="17">
        <v>7</v>
      </c>
      <c r="B19" s="18" t="s">
        <v>313</v>
      </c>
      <c r="C19" s="2"/>
      <c r="D19" s="3"/>
      <c r="E19" s="18" t="s">
        <v>314</v>
      </c>
      <c r="F19" s="2"/>
      <c r="G19" s="2"/>
      <c r="H19" s="2"/>
      <c r="I19" s="3"/>
      <c r="J19" s="18" t="s">
        <v>315</v>
      </c>
      <c r="K19" s="2"/>
      <c r="L19" s="2"/>
      <c r="M19" s="2"/>
      <c r="N19" s="2"/>
      <c r="O19" s="2"/>
      <c r="P19" s="3"/>
      <c r="Q19" s="18" t="s">
        <v>316</v>
      </c>
      <c r="R19" s="2"/>
      <c r="S19" s="2"/>
      <c r="T19" s="2"/>
      <c r="U19" s="2"/>
      <c r="V19" s="2"/>
      <c r="W19" s="3"/>
      <c r="X19" s="18" t="s">
        <v>317</v>
      </c>
      <c r="Y19" s="2"/>
      <c r="Z19" s="2"/>
      <c r="AA19" s="2"/>
      <c r="AB19" s="2"/>
      <c r="AC19" s="2"/>
      <c r="AD19" s="3"/>
      <c r="AE19" s="19" t="s">
        <v>227</v>
      </c>
      <c r="AF19" s="3"/>
      <c r="AG19" s="19" t="s">
        <v>77</v>
      </c>
      <c r="AH19" s="2"/>
      <c r="AI19" s="3"/>
      <c r="AJ19" s="19"/>
      <c r="AK19" s="2"/>
      <c r="AL19" s="3"/>
      <c r="AM19" s="20" t="s">
        <v>285</v>
      </c>
      <c r="AN19" s="2"/>
      <c r="AO19" s="3"/>
      <c r="AP19" s="21">
        <v>46181</v>
      </c>
      <c r="AQ19" s="2"/>
      <c r="AR19" s="3"/>
      <c r="AS19" s="19"/>
      <c r="AT19" s="2"/>
      <c r="AU19" s="3"/>
      <c r="AV19" s="19" t="s">
        <v>77</v>
      </c>
      <c r="AW19" s="2"/>
      <c r="AX19" s="3"/>
      <c r="AY19" s="19"/>
      <c r="AZ19" s="2"/>
      <c r="BA19" s="3"/>
      <c r="BB19" s="19" t="s">
        <v>286</v>
      </c>
      <c r="BC19" s="2"/>
      <c r="BD19" s="3"/>
      <c r="BE19" s="21">
        <v>46247</v>
      </c>
      <c r="BF19" s="2"/>
      <c r="BG19" s="3"/>
      <c r="BH19" s="19"/>
      <c r="BI19" s="2"/>
      <c r="BJ19" s="3"/>
      <c r="BK19" s="18" t="s">
        <v>318</v>
      </c>
      <c r="BL19" s="2"/>
      <c r="BM19" s="2"/>
      <c r="BN19" s="2"/>
      <c r="BO19" s="2"/>
      <c r="BP19" s="2"/>
      <c r="BQ19" s="3"/>
    </row>
    <row r="20" ht="319.5" customHeight="1" spans="1:69">
      <c r="A20" s="17">
        <v>8</v>
      </c>
      <c r="B20" s="18" t="s">
        <v>319</v>
      </c>
      <c r="C20" s="2"/>
      <c r="D20" s="3"/>
      <c r="E20" s="18" t="s">
        <v>320</v>
      </c>
      <c r="F20" s="2"/>
      <c r="G20" s="2"/>
      <c r="H20" s="2"/>
      <c r="I20" s="3"/>
      <c r="J20" s="18" t="s">
        <v>321</v>
      </c>
      <c r="K20" s="2"/>
      <c r="L20" s="2"/>
      <c r="M20" s="2"/>
      <c r="N20" s="2"/>
      <c r="O20" s="2"/>
      <c r="P20" s="3"/>
      <c r="Q20" s="18" t="s">
        <v>322</v>
      </c>
      <c r="R20" s="2"/>
      <c r="S20" s="2"/>
      <c r="T20" s="2"/>
      <c r="U20" s="2"/>
      <c r="V20" s="2"/>
      <c r="W20" s="3"/>
      <c r="X20" s="18" t="s">
        <v>323</v>
      </c>
      <c r="Y20" s="2"/>
      <c r="Z20" s="2"/>
      <c r="AA20" s="2"/>
      <c r="AB20" s="2"/>
      <c r="AC20" s="2"/>
      <c r="AD20" s="3"/>
      <c r="AE20" s="19" t="s">
        <v>284</v>
      </c>
      <c r="AF20" s="3"/>
      <c r="AG20" s="19" t="s">
        <v>77</v>
      </c>
      <c r="AH20" s="2"/>
      <c r="AI20" s="3"/>
      <c r="AJ20" s="19"/>
      <c r="AK20" s="2"/>
      <c r="AL20" s="3"/>
      <c r="AM20" s="20" t="s">
        <v>285</v>
      </c>
      <c r="AN20" s="2"/>
      <c r="AO20" s="3"/>
      <c r="AP20" s="21">
        <v>46181</v>
      </c>
      <c r="AQ20" s="2"/>
      <c r="AR20" s="3"/>
      <c r="AS20" s="19"/>
      <c r="AT20" s="2"/>
      <c r="AU20" s="3"/>
      <c r="AV20" s="19" t="s">
        <v>77</v>
      </c>
      <c r="AW20" s="2"/>
      <c r="AX20" s="3"/>
      <c r="AY20" s="19"/>
      <c r="AZ20" s="2"/>
      <c r="BA20" s="3"/>
      <c r="BB20" s="19" t="s">
        <v>286</v>
      </c>
      <c r="BC20" s="2"/>
      <c r="BD20" s="3"/>
      <c r="BE20" s="21">
        <v>46247</v>
      </c>
      <c r="BF20" s="2"/>
      <c r="BG20" s="3"/>
      <c r="BH20" s="19"/>
      <c r="BI20" s="2"/>
      <c r="BJ20" s="3"/>
      <c r="BK20" s="18"/>
      <c r="BL20" s="2"/>
      <c r="BM20" s="2"/>
      <c r="BN20" s="2"/>
      <c r="BO20" s="2"/>
      <c r="BP20" s="2"/>
      <c r="BQ20" s="3"/>
    </row>
    <row r="21" ht="409.5" customHeight="1" spans="1:69">
      <c r="A21" s="17">
        <v>9</v>
      </c>
      <c r="B21" s="18" t="s">
        <v>324</v>
      </c>
      <c r="C21" s="2"/>
      <c r="D21" s="3"/>
      <c r="E21" s="18" t="s">
        <v>325</v>
      </c>
      <c r="F21" s="2"/>
      <c r="G21" s="2"/>
      <c r="H21" s="2"/>
      <c r="I21" s="3"/>
      <c r="J21" s="18" t="s">
        <v>326</v>
      </c>
      <c r="K21" s="2"/>
      <c r="L21" s="2"/>
      <c r="M21" s="2"/>
      <c r="N21" s="2"/>
      <c r="O21" s="2"/>
      <c r="P21" s="3"/>
      <c r="Q21" s="18" t="s">
        <v>327</v>
      </c>
      <c r="R21" s="2"/>
      <c r="S21" s="2"/>
      <c r="T21" s="2"/>
      <c r="U21" s="2"/>
      <c r="V21" s="2"/>
      <c r="W21" s="3"/>
      <c r="X21" s="18" t="s">
        <v>328</v>
      </c>
      <c r="Y21" s="2"/>
      <c r="Z21" s="2"/>
      <c r="AA21" s="2"/>
      <c r="AB21" s="2"/>
      <c r="AC21" s="2"/>
      <c r="AD21" s="3"/>
      <c r="AE21" s="19" t="s">
        <v>227</v>
      </c>
      <c r="AF21" s="3"/>
      <c r="AG21" s="19" t="s">
        <v>77</v>
      </c>
      <c r="AH21" s="2"/>
      <c r="AI21" s="3"/>
      <c r="AJ21" s="19"/>
      <c r="AK21" s="2"/>
      <c r="AL21" s="3"/>
      <c r="AM21" s="20" t="s">
        <v>285</v>
      </c>
      <c r="AN21" s="2"/>
      <c r="AO21" s="3"/>
      <c r="AP21" s="21">
        <v>46181</v>
      </c>
      <c r="AQ21" s="2"/>
      <c r="AR21" s="3"/>
      <c r="AS21" s="19"/>
      <c r="AT21" s="2"/>
      <c r="AU21" s="3"/>
      <c r="AV21" s="19" t="s">
        <v>77</v>
      </c>
      <c r="AW21" s="2"/>
      <c r="AX21" s="3"/>
      <c r="AY21" s="19"/>
      <c r="AZ21" s="2"/>
      <c r="BA21" s="3"/>
      <c r="BB21" s="19" t="s">
        <v>286</v>
      </c>
      <c r="BC21" s="2"/>
      <c r="BD21" s="3"/>
      <c r="BE21" s="21">
        <v>46247</v>
      </c>
      <c r="BF21" s="2"/>
      <c r="BG21" s="3"/>
      <c r="BH21" s="19"/>
      <c r="BI21" s="2"/>
      <c r="BJ21" s="3"/>
      <c r="BK21" s="18" t="s">
        <v>329</v>
      </c>
      <c r="BL21" s="2"/>
      <c r="BM21" s="2"/>
      <c r="BN21" s="2"/>
      <c r="BO21" s="2"/>
      <c r="BP21" s="2"/>
      <c r="BQ21" s="3"/>
    </row>
    <row r="22" ht="336" customHeight="1" spans="1:69">
      <c r="A22" s="17">
        <v>10</v>
      </c>
      <c r="B22" s="18" t="s">
        <v>330</v>
      </c>
      <c r="C22" s="2"/>
      <c r="D22" s="3"/>
      <c r="E22" s="18" t="s">
        <v>331</v>
      </c>
      <c r="F22" s="2"/>
      <c r="G22" s="2"/>
      <c r="H22" s="2"/>
      <c r="I22" s="3"/>
      <c r="J22" s="18" t="s">
        <v>332</v>
      </c>
      <c r="K22" s="2"/>
      <c r="L22" s="2"/>
      <c r="M22" s="2"/>
      <c r="N22" s="2"/>
      <c r="O22" s="2"/>
      <c r="P22" s="3"/>
      <c r="Q22" s="18" t="s">
        <v>333</v>
      </c>
      <c r="R22" s="2"/>
      <c r="S22" s="2"/>
      <c r="T22" s="2"/>
      <c r="U22" s="2"/>
      <c r="V22" s="2"/>
      <c r="W22" s="3"/>
      <c r="X22" s="18" t="s">
        <v>334</v>
      </c>
      <c r="Y22" s="2"/>
      <c r="Z22" s="2"/>
      <c r="AA22" s="2"/>
      <c r="AB22" s="2"/>
      <c r="AC22" s="2"/>
      <c r="AD22" s="3"/>
      <c r="AE22" s="19" t="s">
        <v>227</v>
      </c>
      <c r="AF22" s="3"/>
      <c r="AG22" s="19" t="s">
        <v>77</v>
      </c>
      <c r="AH22" s="2"/>
      <c r="AI22" s="3"/>
      <c r="AJ22" s="19"/>
      <c r="AK22" s="2"/>
      <c r="AL22" s="3"/>
      <c r="AM22" s="20" t="s">
        <v>285</v>
      </c>
      <c r="AN22" s="2"/>
      <c r="AO22" s="3"/>
      <c r="AP22" s="21">
        <v>46181</v>
      </c>
      <c r="AQ22" s="2"/>
      <c r="AR22" s="3"/>
      <c r="AS22" s="19"/>
      <c r="AT22" s="2"/>
      <c r="AU22" s="3"/>
      <c r="AV22" s="19" t="s">
        <v>77</v>
      </c>
      <c r="AW22" s="2"/>
      <c r="AX22" s="3"/>
      <c r="AY22" s="19"/>
      <c r="AZ22" s="2"/>
      <c r="BA22" s="3"/>
      <c r="BB22" s="19" t="s">
        <v>286</v>
      </c>
      <c r="BC22" s="2"/>
      <c r="BD22" s="3"/>
      <c r="BE22" s="21">
        <v>46247</v>
      </c>
      <c r="BF22" s="2"/>
      <c r="BG22" s="3"/>
      <c r="BH22" s="19"/>
      <c r="BI22" s="2"/>
      <c r="BJ22" s="3"/>
      <c r="BK22" s="18"/>
      <c r="BL22" s="2"/>
      <c r="BM22" s="2"/>
      <c r="BN22" s="2"/>
      <c r="BO22" s="2"/>
      <c r="BP22" s="2"/>
      <c r="BQ22" s="3"/>
    </row>
    <row r="23" ht="384" customHeight="1" spans="1:69">
      <c r="A23" s="17">
        <v>11</v>
      </c>
      <c r="B23" s="18" t="s">
        <v>335</v>
      </c>
      <c r="C23" s="2"/>
      <c r="D23" s="3"/>
      <c r="E23" s="18" t="s">
        <v>336</v>
      </c>
      <c r="F23" s="2"/>
      <c r="G23" s="2"/>
      <c r="H23" s="2"/>
      <c r="I23" s="3"/>
      <c r="J23" s="18" t="s">
        <v>337</v>
      </c>
      <c r="K23" s="2"/>
      <c r="L23" s="2"/>
      <c r="M23" s="2"/>
      <c r="N23" s="2"/>
      <c r="O23" s="2"/>
      <c r="P23" s="3"/>
      <c r="Q23" s="18" t="s">
        <v>338</v>
      </c>
      <c r="R23" s="2"/>
      <c r="S23" s="2"/>
      <c r="T23" s="2"/>
      <c r="U23" s="2"/>
      <c r="V23" s="2"/>
      <c r="W23" s="3"/>
      <c r="X23" s="18" t="s">
        <v>339</v>
      </c>
      <c r="Y23" s="2"/>
      <c r="Z23" s="2"/>
      <c r="AA23" s="2"/>
      <c r="AB23" s="2"/>
      <c r="AC23" s="2"/>
      <c r="AD23" s="3"/>
      <c r="AE23" s="19" t="s">
        <v>227</v>
      </c>
      <c r="AF23" s="3"/>
      <c r="AG23" s="19" t="s">
        <v>80</v>
      </c>
      <c r="AH23" s="2"/>
      <c r="AI23" s="3"/>
      <c r="AJ23" s="19"/>
      <c r="AK23" s="2"/>
      <c r="AL23" s="3"/>
      <c r="AM23" s="20" t="s">
        <v>285</v>
      </c>
      <c r="AN23" s="2"/>
      <c r="AO23" s="3"/>
      <c r="AP23" s="21">
        <v>46181</v>
      </c>
      <c r="AQ23" s="2"/>
      <c r="AR23" s="3"/>
      <c r="AS23" s="19"/>
      <c r="AT23" s="2"/>
      <c r="AU23" s="3"/>
      <c r="AV23" s="19" t="s">
        <v>80</v>
      </c>
      <c r="AW23" s="2"/>
      <c r="AX23" s="3"/>
      <c r="AY23" s="19"/>
      <c r="AZ23" s="2"/>
      <c r="BA23" s="3"/>
      <c r="BB23" s="19" t="s">
        <v>286</v>
      </c>
      <c r="BC23" s="2"/>
      <c r="BD23" s="3"/>
      <c r="BE23" s="21">
        <v>46247</v>
      </c>
      <c r="BF23" s="2"/>
      <c r="BG23" s="3"/>
      <c r="BH23" s="19"/>
      <c r="BI23" s="2"/>
      <c r="BJ23" s="3"/>
      <c r="BK23" s="18" t="s">
        <v>340</v>
      </c>
      <c r="BL23" s="2"/>
      <c r="BM23" s="2"/>
      <c r="BN23" s="2"/>
      <c r="BO23" s="2"/>
      <c r="BP23" s="2"/>
      <c r="BQ23" s="3"/>
    </row>
    <row r="24" ht="22.5" customHeight="1" spans="1:69">
      <c r="A24" s="16" t="s">
        <v>341</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3"/>
    </row>
    <row r="25" ht="303.75" customHeight="1" spans="1:69">
      <c r="A25" s="17">
        <v>12</v>
      </c>
      <c r="B25" s="18" t="s">
        <v>342</v>
      </c>
      <c r="C25" s="2"/>
      <c r="D25" s="3"/>
      <c r="E25" s="18" t="s">
        <v>343</v>
      </c>
      <c r="F25" s="2"/>
      <c r="G25" s="2"/>
      <c r="H25" s="2"/>
      <c r="I25" s="3"/>
      <c r="J25" s="18" t="s">
        <v>344</v>
      </c>
      <c r="K25" s="2"/>
      <c r="L25" s="2"/>
      <c r="M25" s="2"/>
      <c r="N25" s="2"/>
      <c r="O25" s="2"/>
      <c r="P25" s="3"/>
      <c r="Q25" s="18" t="s">
        <v>345</v>
      </c>
      <c r="R25" s="2"/>
      <c r="S25" s="2"/>
      <c r="T25" s="2"/>
      <c r="U25" s="2"/>
      <c r="V25" s="2"/>
      <c r="W25" s="3"/>
      <c r="X25" s="18" t="s">
        <v>346</v>
      </c>
      <c r="Y25" s="2"/>
      <c r="Z25" s="2"/>
      <c r="AA25" s="2"/>
      <c r="AB25" s="2"/>
      <c r="AC25" s="2"/>
      <c r="AD25" s="3"/>
      <c r="AE25" s="19" t="s">
        <v>284</v>
      </c>
      <c r="AF25" s="3"/>
      <c r="AG25" s="19" t="s">
        <v>77</v>
      </c>
      <c r="AH25" s="2"/>
      <c r="AI25" s="3"/>
      <c r="AJ25" s="19"/>
      <c r="AK25" s="2"/>
      <c r="AL25" s="3"/>
      <c r="AM25" s="20" t="s">
        <v>285</v>
      </c>
      <c r="AN25" s="2"/>
      <c r="AO25" s="3"/>
      <c r="AP25" s="21">
        <v>46181</v>
      </c>
      <c r="AQ25" s="2"/>
      <c r="AR25" s="3"/>
      <c r="AS25" s="19"/>
      <c r="AT25" s="2"/>
      <c r="AU25" s="3"/>
      <c r="AV25" s="19" t="s">
        <v>77</v>
      </c>
      <c r="AW25" s="2"/>
      <c r="AX25" s="3"/>
      <c r="AY25" s="19"/>
      <c r="AZ25" s="2"/>
      <c r="BA25" s="3"/>
      <c r="BB25" s="19" t="s">
        <v>286</v>
      </c>
      <c r="BC25" s="2"/>
      <c r="BD25" s="3"/>
      <c r="BE25" s="21">
        <v>46247</v>
      </c>
      <c r="BF25" s="2"/>
      <c r="BG25" s="3"/>
      <c r="BH25" s="19"/>
      <c r="BI25" s="2"/>
      <c r="BJ25" s="3"/>
      <c r="BK25" s="18"/>
      <c r="BL25" s="2"/>
      <c r="BM25" s="2"/>
      <c r="BN25" s="2"/>
      <c r="BO25" s="2"/>
      <c r="BP25" s="2"/>
      <c r="BQ25" s="3"/>
    </row>
    <row r="26" ht="351.75" customHeight="1" spans="1:69">
      <c r="A26" s="17">
        <v>13</v>
      </c>
      <c r="B26" s="18" t="s">
        <v>347</v>
      </c>
      <c r="C26" s="2"/>
      <c r="D26" s="3"/>
      <c r="E26" s="18" t="s">
        <v>348</v>
      </c>
      <c r="F26" s="2"/>
      <c r="G26" s="2"/>
      <c r="H26" s="2"/>
      <c r="I26" s="3"/>
      <c r="J26" s="18" t="s">
        <v>349</v>
      </c>
      <c r="K26" s="2"/>
      <c r="L26" s="2"/>
      <c r="M26" s="2"/>
      <c r="N26" s="2"/>
      <c r="O26" s="2"/>
      <c r="P26" s="3"/>
      <c r="Q26" s="18" t="s">
        <v>350</v>
      </c>
      <c r="R26" s="2"/>
      <c r="S26" s="2"/>
      <c r="T26" s="2"/>
      <c r="U26" s="2"/>
      <c r="V26" s="2"/>
      <c r="W26" s="3"/>
      <c r="X26" s="18" t="s">
        <v>351</v>
      </c>
      <c r="Y26" s="2"/>
      <c r="Z26" s="2"/>
      <c r="AA26" s="2"/>
      <c r="AB26" s="2"/>
      <c r="AC26" s="2"/>
      <c r="AD26" s="3"/>
      <c r="AE26" s="19" t="s">
        <v>284</v>
      </c>
      <c r="AF26" s="3"/>
      <c r="AG26" s="19" t="s">
        <v>77</v>
      </c>
      <c r="AH26" s="2"/>
      <c r="AI26" s="3"/>
      <c r="AJ26" s="19"/>
      <c r="AK26" s="2"/>
      <c r="AL26" s="3"/>
      <c r="AM26" s="20" t="s">
        <v>285</v>
      </c>
      <c r="AN26" s="2"/>
      <c r="AO26" s="3"/>
      <c r="AP26" s="21">
        <v>46181</v>
      </c>
      <c r="AQ26" s="2"/>
      <c r="AR26" s="3"/>
      <c r="AS26" s="19"/>
      <c r="AT26" s="2"/>
      <c r="AU26" s="3"/>
      <c r="AV26" s="19" t="s">
        <v>77</v>
      </c>
      <c r="AW26" s="2"/>
      <c r="AX26" s="3"/>
      <c r="AY26" s="19"/>
      <c r="AZ26" s="2"/>
      <c r="BA26" s="3"/>
      <c r="BB26" s="19" t="s">
        <v>286</v>
      </c>
      <c r="BC26" s="2"/>
      <c r="BD26" s="3"/>
      <c r="BE26" s="21">
        <v>46247</v>
      </c>
      <c r="BF26" s="2"/>
      <c r="BG26" s="3"/>
      <c r="BH26" s="19"/>
      <c r="BI26" s="2"/>
      <c r="BJ26" s="3"/>
      <c r="BK26" s="18" t="s">
        <v>352</v>
      </c>
      <c r="BL26" s="2"/>
      <c r="BM26" s="2"/>
      <c r="BN26" s="2"/>
      <c r="BO26" s="2"/>
      <c r="BP26" s="2"/>
      <c r="BQ26" s="3"/>
    </row>
    <row r="27" ht="384" customHeight="1" spans="1:69">
      <c r="A27" s="17">
        <v>14</v>
      </c>
      <c r="B27" s="18" t="s">
        <v>353</v>
      </c>
      <c r="C27" s="2"/>
      <c r="D27" s="3"/>
      <c r="E27" s="18" t="s">
        <v>354</v>
      </c>
      <c r="F27" s="2"/>
      <c r="G27" s="2"/>
      <c r="H27" s="2"/>
      <c r="I27" s="3"/>
      <c r="J27" s="18" t="s">
        <v>355</v>
      </c>
      <c r="K27" s="2"/>
      <c r="L27" s="2"/>
      <c r="M27" s="2"/>
      <c r="N27" s="2"/>
      <c r="O27" s="2"/>
      <c r="P27" s="3"/>
      <c r="Q27" s="18" t="s">
        <v>356</v>
      </c>
      <c r="R27" s="2"/>
      <c r="S27" s="2"/>
      <c r="T27" s="2"/>
      <c r="U27" s="2"/>
      <c r="V27" s="2"/>
      <c r="W27" s="3"/>
      <c r="X27" s="18" t="s">
        <v>357</v>
      </c>
      <c r="Y27" s="2"/>
      <c r="Z27" s="2"/>
      <c r="AA27" s="2"/>
      <c r="AB27" s="2"/>
      <c r="AC27" s="2"/>
      <c r="AD27" s="3"/>
      <c r="AE27" s="19" t="s">
        <v>284</v>
      </c>
      <c r="AF27" s="3"/>
      <c r="AG27" s="19" t="s">
        <v>77</v>
      </c>
      <c r="AH27" s="2"/>
      <c r="AI27" s="3"/>
      <c r="AJ27" s="19"/>
      <c r="AK27" s="2"/>
      <c r="AL27" s="3"/>
      <c r="AM27" s="20" t="s">
        <v>285</v>
      </c>
      <c r="AN27" s="2"/>
      <c r="AO27" s="3"/>
      <c r="AP27" s="21">
        <v>46181</v>
      </c>
      <c r="AQ27" s="2"/>
      <c r="AR27" s="3"/>
      <c r="AS27" s="19"/>
      <c r="AT27" s="2"/>
      <c r="AU27" s="3"/>
      <c r="AV27" s="19" t="s">
        <v>77</v>
      </c>
      <c r="AW27" s="2"/>
      <c r="AX27" s="3"/>
      <c r="AY27" s="19"/>
      <c r="AZ27" s="2"/>
      <c r="BA27" s="3"/>
      <c r="BB27" s="19" t="s">
        <v>286</v>
      </c>
      <c r="BC27" s="2"/>
      <c r="BD27" s="3"/>
      <c r="BE27" s="21">
        <v>46247</v>
      </c>
      <c r="BF27" s="2"/>
      <c r="BG27" s="3"/>
      <c r="BH27" s="19"/>
      <c r="BI27" s="2"/>
      <c r="BJ27" s="3"/>
      <c r="BK27" s="18"/>
      <c r="BL27" s="2"/>
      <c r="BM27" s="2"/>
      <c r="BN27" s="2"/>
      <c r="BO27" s="2"/>
      <c r="BP27" s="2"/>
      <c r="BQ27" s="3"/>
    </row>
    <row r="28" ht="288" customHeight="1" spans="1:69">
      <c r="A28" s="17">
        <v>15</v>
      </c>
      <c r="B28" s="18" t="s">
        <v>358</v>
      </c>
      <c r="C28" s="2"/>
      <c r="D28" s="3"/>
      <c r="E28" s="18" t="s">
        <v>359</v>
      </c>
      <c r="F28" s="2"/>
      <c r="G28" s="2"/>
      <c r="H28" s="2"/>
      <c r="I28" s="3"/>
      <c r="J28" s="18" t="s">
        <v>360</v>
      </c>
      <c r="K28" s="2"/>
      <c r="L28" s="2"/>
      <c r="M28" s="2"/>
      <c r="N28" s="2"/>
      <c r="O28" s="2"/>
      <c r="P28" s="3"/>
      <c r="Q28" s="18" t="s">
        <v>361</v>
      </c>
      <c r="R28" s="2"/>
      <c r="S28" s="2"/>
      <c r="T28" s="2"/>
      <c r="U28" s="2"/>
      <c r="V28" s="2"/>
      <c r="W28" s="3"/>
      <c r="X28" s="18" t="s">
        <v>362</v>
      </c>
      <c r="Y28" s="2"/>
      <c r="Z28" s="2"/>
      <c r="AA28" s="2"/>
      <c r="AB28" s="2"/>
      <c r="AC28" s="2"/>
      <c r="AD28" s="3"/>
      <c r="AE28" s="19" t="s">
        <v>284</v>
      </c>
      <c r="AF28" s="3"/>
      <c r="AG28" s="19" t="s">
        <v>77</v>
      </c>
      <c r="AH28" s="2"/>
      <c r="AI28" s="3"/>
      <c r="AJ28" s="19"/>
      <c r="AK28" s="2"/>
      <c r="AL28" s="3"/>
      <c r="AM28" s="20" t="s">
        <v>285</v>
      </c>
      <c r="AN28" s="2"/>
      <c r="AO28" s="3"/>
      <c r="AP28" s="21">
        <v>46181</v>
      </c>
      <c r="AQ28" s="2"/>
      <c r="AR28" s="3"/>
      <c r="AS28" s="19"/>
      <c r="AT28" s="2"/>
      <c r="AU28" s="3"/>
      <c r="AV28" s="19" t="s">
        <v>77</v>
      </c>
      <c r="AW28" s="2"/>
      <c r="AX28" s="3"/>
      <c r="AY28" s="19"/>
      <c r="AZ28" s="2"/>
      <c r="BA28" s="3"/>
      <c r="BB28" s="19" t="s">
        <v>286</v>
      </c>
      <c r="BC28" s="2"/>
      <c r="BD28" s="3"/>
      <c r="BE28" s="21">
        <v>46247</v>
      </c>
      <c r="BF28" s="2"/>
      <c r="BG28" s="3"/>
      <c r="BH28" s="19"/>
      <c r="BI28" s="2"/>
      <c r="BJ28" s="3"/>
      <c r="BK28" s="18"/>
      <c r="BL28" s="2"/>
      <c r="BM28" s="2"/>
      <c r="BN28" s="2"/>
      <c r="BO28" s="2"/>
      <c r="BP28" s="2"/>
      <c r="BQ28" s="3"/>
    </row>
    <row r="29" ht="288" customHeight="1" spans="1:69">
      <c r="A29" s="17">
        <v>16</v>
      </c>
      <c r="B29" s="18" t="s">
        <v>363</v>
      </c>
      <c r="C29" s="2"/>
      <c r="D29" s="3"/>
      <c r="E29" s="18" t="s">
        <v>364</v>
      </c>
      <c r="F29" s="2"/>
      <c r="G29" s="2"/>
      <c r="H29" s="2"/>
      <c r="I29" s="3"/>
      <c r="J29" s="18" t="s">
        <v>365</v>
      </c>
      <c r="K29" s="2"/>
      <c r="L29" s="2"/>
      <c r="M29" s="2"/>
      <c r="N29" s="2"/>
      <c r="O29" s="2"/>
      <c r="P29" s="3"/>
      <c r="Q29" s="18" t="s">
        <v>366</v>
      </c>
      <c r="R29" s="2"/>
      <c r="S29" s="2"/>
      <c r="T29" s="2"/>
      <c r="U29" s="2"/>
      <c r="V29" s="2"/>
      <c r="W29" s="3"/>
      <c r="X29" s="18" t="s">
        <v>367</v>
      </c>
      <c r="Y29" s="2"/>
      <c r="Z29" s="2"/>
      <c r="AA29" s="2"/>
      <c r="AB29" s="2"/>
      <c r="AC29" s="2"/>
      <c r="AD29" s="3"/>
      <c r="AE29" s="19" t="s">
        <v>284</v>
      </c>
      <c r="AF29" s="3"/>
      <c r="AG29" s="19" t="s">
        <v>77</v>
      </c>
      <c r="AH29" s="2"/>
      <c r="AI29" s="3"/>
      <c r="AJ29" s="19"/>
      <c r="AK29" s="2"/>
      <c r="AL29" s="3"/>
      <c r="AM29" s="20" t="s">
        <v>285</v>
      </c>
      <c r="AN29" s="2"/>
      <c r="AO29" s="3"/>
      <c r="AP29" s="21">
        <v>46181</v>
      </c>
      <c r="AQ29" s="2"/>
      <c r="AR29" s="3"/>
      <c r="AS29" s="19"/>
      <c r="AT29" s="2"/>
      <c r="AU29" s="3"/>
      <c r="AV29" s="19" t="s">
        <v>77</v>
      </c>
      <c r="AW29" s="2"/>
      <c r="AX29" s="3"/>
      <c r="AY29" s="19"/>
      <c r="AZ29" s="2"/>
      <c r="BA29" s="3"/>
      <c r="BB29" s="19" t="s">
        <v>286</v>
      </c>
      <c r="BC29" s="2"/>
      <c r="BD29" s="3"/>
      <c r="BE29" s="21">
        <v>46247</v>
      </c>
      <c r="BF29" s="2"/>
      <c r="BG29" s="3"/>
      <c r="BH29" s="19"/>
      <c r="BI29" s="2"/>
      <c r="BJ29" s="3"/>
      <c r="BK29" s="18"/>
      <c r="BL29" s="2"/>
      <c r="BM29" s="2"/>
      <c r="BN29" s="2"/>
      <c r="BO29" s="2"/>
      <c r="BP29" s="2"/>
      <c r="BQ29" s="3"/>
    </row>
    <row r="30" ht="319.5" customHeight="1" spans="1:69">
      <c r="A30" s="17">
        <v>17</v>
      </c>
      <c r="B30" s="18" t="s">
        <v>368</v>
      </c>
      <c r="C30" s="2"/>
      <c r="D30" s="3"/>
      <c r="E30" s="18" t="s">
        <v>369</v>
      </c>
      <c r="F30" s="2"/>
      <c r="G30" s="2"/>
      <c r="H30" s="2"/>
      <c r="I30" s="3"/>
      <c r="J30" s="18" t="s">
        <v>349</v>
      </c>
      <c r="K30" s="2"/>
      <c r="L30" s="2"/>
      <c r="M30" s="2"/>
      <c r="N30" s="2"/>
      <c r="O30" s="2"/>
      <c r="P30" s="3"/>
      <c r="Q30" s="18" t="s">
        <v>370</v>
      </c>
      <c r="R30" s="2"/>
      <c r="S30" s="2"/>
      <c r="T30" s="2"/>
      <c r="U30" s="2"/>
      <c r="V30" s="2"/>
      <c r="W30" s="3"/>
      <c r="X30" s="18" t="s">
        <v>371</v>
      </c>
      <c r="Y30" s="2"/>
      <c r="Z30" s="2"/>
      <c r="AA30" s="2"/>
      <c r="AB30" s="2"/>
      <c r="AC30" s="2"/>
      <c r="AD30" s="3"/>
      <c r="AE30" s="19" t="s">
        <v>284</v>
      </c>
      <c r="AF30" s="3"/>
      <c r="AG30" s="19" t="s">
        <v>77</v>
      </c>
      <c r="AH30" s="2"/>
      <c r="AI30" s="3"/>
      <c r="AJ30" s="19"/>
      <c r="AK30" s="2"/>
      <c r="AL30" s="3"/>
      <c r="AM30" s="20" t="s">
        <v>285</v>
      </c>
      <c r="AN30" s="2"/>
      <c r="AO30" s="3"/>
      <c r="AP30" s="21">
        <v>46181</v>
      </c>
      <c r="AQ30" s="2"/>
      <c r="AR30" s="3"/>
      <c r="AS30" s="19"/>
      <c r="AT30" s="2"/>
      <c r="AU30" s="3"/>
      <c r="AV30" s="19" t="s">
        <v>77</v>
      </c>
      <c r="AW30" s="2"/>
      <c r="AX30" s="3"/>
      <c r="AY30" s="19"/>
      <c r="AZ30" s="2"/>
      <c r="BA30" s="3"/>
      <c r="BB30" s="19" t="s">
        <v>286</v>
      </c>
      <c r="BC30" s="2"/>
      <c r="BD30" s="3"/>
      <c r="BE30" s="21">
        <v>46247</v>
      </c>
      <c r="BF30" s="2"/>
      <c r="BG30" s="3"/>
      <c r="BH30" s="19"/>
      <c r="BI30" s="2"/>
      <c r="BJ30" s="3"/>
      <c r="BK30" s="18"/>
      <c r="BL30" s="2"/>
      <c r="BM30" s="2"/>
      <c r="BN30" s="2"/>
      <c r="BO30" s="2"/>
      <c r="BP30" s="2"/>
      <c r="BQ30" s="3"/>
    </row>
    <row r="31" ht="351.75" customHeight="1" spans="1:69">
      <c r="A31" s="17">
        <v>18</v>
      </c>
      <c r="B31" s="18" t="s">
        <v>372</v>
      </c>
      <c r="C31" s="2"/>
      <c r="D31" s="3"/>
      <c r="E31" s="18" t="s">
        <v>373</v>
      </c>
      <c r="F31" s="2"/>
      <c r="G31" s="2"/>
      <c r="H31" s="2"/>
      <c r="I31" s="3"/>
      <c r="J31" s="18" t="s">
        <v>349</v>
      </c>
      <c r="K31" s="2"/>
      <c r="L31" s="2"/>
      <c r="M31" s="2"/>
      <c r="N31" s="2"/>
      <c r="O31" s="2"/>
      <c r="P31" s="3"/>
      <c r="Q31" s="18" t="s">
        <v>374</v>
      </c>
      <c r="R31" s="2"/>
      <c r="S31" s="2"/>
      <c r="T31" s="2"/>
      <c r="U31" s="2"/>
      <c r="V31" s="2"/>
      <c r="W31" s="3"/>
      <c r="X31" s="18" t="s">
        <v>375</v>
      </c>
      <c r="Y31" s="2"/>
      <c r="Z31" s="2"/>
      <c r="AA31" s="2"/>
      <c r="AB31" s="2"/>
      <c r="AC31" s="2"/>
      <c r="AD31" s="3"/>
      <c r="AE31" s="19" t="s">
        <v>284</v>
      </c>
      <c r="AF31" s="3"/>
      <c r="AG31" s="19" t="s">
        <v>77</v>
      </c>
      <c r="AH31" s="2"/>
      <c r="AI31" s="3"/>
      <c r="AJ31" s="19"/>
      <c r="AK31" s="2"/>
      <c r="AL31" s="3"/>
      <c r="AM31" s="20" t="s">
        <v>285</v>
      </c>
      <c r="AN31" s="2"/>
      <c r="AO31" s="3"/>
      <c r="AP31" s="21">
        <v>46181</v>
      </c>
      <c r="AQ31" s="2"/>
      <c r="AR31" s="3"/>
      <c r="AS31" s="19"/>
      <c r="AT31" s="2"/>
      <c r="AU31" s="3"/>
      <c r="AV31" s="19" t="s">
        <v>77</v>
      </c>
      <c r="AW31" s="2"/>
      <c r="AX31" s="3"/>
      <c r="AY31" s="19"/>
      <c r="AZ31" s="2"/>
      <c r="BA31" s="3"/>
      <c r="BB31" s="19" t="s">
        <v>286</v>
      </c>
      <c r="BC31" s="2"/>
      <c r="BD31" s="3"/>
      <c r="BE31" s="21">
        <v>46247</v>
      </c>
      <c r="BF31" s="2"/>
      <c r="BG31" s="3"/>
      <c r="BH31" s="19"/>
      <c r="BI31" s="2"/>
      <c r="BJ31" s="3"/>
      <c r="BK31" s="18"/>
      <c r="BL31" s="2"/>
      <c r="BM31" s="2"/>
      <c r="BN31" s="2"/>
      <c r="BO31" s="2"/>
      <c r="BP31" s="2"/>
      <c r="BQ31" s="3"/>
    </row>
    <row r="32" ht="22.5" customHeight="1" spans="1:69">
      <c r="A32" s="16" t="s">
        <v>376</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3"/>
    </row>
    <row r="33" ht="271.5" customHeight="1" spans="1:69">
      <c r="A33" s="17">
        <v>19</v>
      </c>
      <c r="B33" s="18" t="s">
        <v>377</v>
      </c>
      <c r="C33" s="2"/>
      <c r="D33" s="3"/>
      <c r="E33" s="18" t="s">
        <v>378</v>
      </c>
      <c r="F33" s="2"/>
      <c r="G33" s="2"/>
      <c r="H33" s="2"/>
      <c r="I33" s="3"/>
      <c r="J33" s="18" t="s">
        <v>349</v>
      </c>
      <c r="K33" s="2"/>
      <c r="L33" s="2"/>
      <c r="M33" s="2"/>
      <c r="N33" s="2"/>
      <c r="O33" s="2"/>
      <c r="P33" s="3"/>
      <c r="Q33" s="18" t="s">
        <v>379</v>
      </c>
      <c r="R33" s="2"/>
      <c r="S33" s="2"/>
      <c r="T33" s="2"/>
      <c r="U33" s="2"/>
      <c r="V33" s="2"/>
      <c r="W33" s="3"/>
      <c r="X33" s="18" t="s">
        <v>380</v>
      </c>
      <c r="Y33" s="2"/>
      <c r="Z33" s="2"/>
      <c r="AA33" s="2"/>
      <c r="AB33" s="2"/>
      <c r="AC33" s="2"/>
      <c r="AD33" s="3"/>
      <c r="AE33" s="19" t="s">
        <v>284</v>
      </c>
      <c r="AF33" s="3"/>
      <c r="AG33" s="19" t="s">
        <v>77</v>
      </c>
      <c r="AH33" s="2"/>
      <c r="AI33" s="3"/>
      <c r="AJ33" s="19"/>
      <c r="AK33" s="2"/>
      <c r="AL33" s="3"/>
      <c r="AM33" s="20" t="s">
        <v>285</v>
      </c>
      <c r="AN33" s="2"/>
      <c r="AO33" s="3"/>
      <c r="AP33" s="21">
        <v>46181</v>
      </c>
      <c r="AQ33" s="2"/>
      <c r="AR33" s="3"/>
      <c r="AS33" s="19"/>
      <c r="AT33" s="2"/>
      <c r="AU33" s="3"/>
      <c r="AV33" s="19" t="s">
        <v>77</v>
      </c>
      <c r="AW33" s="2"/>
      <c r="AX33" s="3"/>
      <c r="AY33" s="19"/>
      <c r="AZ33" s="2"/>
      <c r="BA33" s="3"/>
      <c r="BB33" s="19" t="s">
        <v>286</v>
      </c>
      <c r="BC33" s="2"/>
      <c r="BD33" s="3"/>
      <c r="BE33" s="21">
        <v>46247</v>
      </c>
      <c r="BF33" s="2"/>
      <c r="BG33" s="3"/>
      <c r="BH33" s="19"/>
      <c r="BI33" s="2"/>
      <c r="BJ33" s="3"/>
      <c r="BK33" s="18"/>
      <c r="BL33" s="2"/>
      <c r="BM33" s="2"/>
      <c r="BN33" s="2"/>
      <c r="BO33" s="2"/>
      <c r="BP33" s="2"/>
      <c r="BQ33" s="3"/>
    </row>
    <row r="34" ht="255.75" customHeight="1" spans="1:69">
      <c r="A34" s="17">
        <v>20</v>
      </c>
      <c r="B34" s="18" t="s">
        <v>381</v>
      </c>
      <c r="C34" s="2"/>
      <c r="D34" s="3"/>
      <c r="E34" s="18" t="s">
        <v>382</v>
      </c>
      <c r="F34" s="2"/>
      <c r="G34" s="2"/>
      <c r="H34" s="2"/>
      <c r="I34" s="3"/>
      <c r="J34" s="18" t="s">
        <v>349</v>
      </c>
      <c r="K34" s="2"/>
      <c r="L34" s="2"/>
      <c r="M34" s="2"/>
      <c r="N34" s="2"/>
      <c r="O34" s="2"/>
      <c r="P34" s="3"/>
      <c r="Q34" s="18" t="s">
        <v>383</v>
      </c>
      <c r="R34" s="2"/>
      <c r="S34" s="2"/>
      <c r="T34" s="2"/>
      <c r="U34" s="2"/>
      <c r="V34" s="2"/>
      <c r="W34" s="3"/>
      <c r="X34" s="18" t="s">
        <v>384</v>
      </c>
      <c r="Y34" s="2"/>
      <c r="Z34" s="2"/>
      <c r="AA34" s="2"/>
      <c r="AB34" s="2"/>
      <c r="AC34" s="2"/>
      <c r="AD34" s="3"/>
      <c r="AE34" s="19" t="s">
        <v>284</v>
      </c>
      <c r="AF34" s="3"/>
      <c r="AG34" s="19" t="s">
        <v>77</v>
      </c>
      <c r="AH34" s="2"/>
      <c r="AI34" s="3"/>
      <c r="AJ34" s="19"/>
      <c r="AK34" s="2"/>
      <c r="AL34" s="3"/>
      <c r="AM34" s="20" t="s">
        <v>285</v>
      </c>
      <c r="AN34" s="2"/>
      <c r="AO34" s="3"/>
      <c r="AP34" s="21">
        <v>46181</v>
      </c>
      <c r="AQ34" s="2"/>
      <c r="AR34" s="3"/>
      <c r="AS34" s="19"/>
      <c r="AT34" s="2"/>
      <c r="AU34" s="3"/>
      <c r="AV34" s="19" t="s">
        <v>77</v>
      </c>
      <c r="AW34" s="2"/>
      <c r="AX34" s="3"/>
      <c r="AY34" s="19"/>
      <c r="AZ34" s="2"/>
      <c r="BA34" s="3"/>
      <c r="BB34" s="19" t="s">
        <v>286</v>
      </c>
      <c r="BC34" s="2"/>
      <c r="BD34" s="3"/>
      <c r="BE34" s="21">
        <v>46247</v>
      </c>
      <c r="BF34" s="2"/>
      <c r="BG34" s="3"/>
      <c r="BH34" s="19"/>
      <c r="BI34" s="2"/>
      <c r="BJ34" s="3"/>
      <c r="BK34" s="18"/>
      <c r="BL34" s="2"/>
      <c r="BM34" s="2"/>
      <c r="BN34" s="2"/>
      <c r="BO34" s="2"/>
      <c r="BP34" s="2"/>
      <c r="BQ34" s="3"/>
    </row>
    <row r="35" ht="303.75" customHeight="1" spans="1:69">
      <c r="A35" s="17">
        <v>21</v>
      </c>
      <c r="B35" s="18" t="s">
        <v>385</v>
      </c>
      <c r="C35" s="2"/>
      <c r="D35" s="3"/>
      <c r="E35" s="18" t="s">
        <v>386</v>
      </c>
      <c r="F35" s="2"/>
      <c r="G35" s="2"/>
      <c r="H35" s="2"/>
      <c r="I35" s="3"/>
      <c r="J35" s="18" t="s">
        <v>355</v>
      </c>
      <c r="K35" s="2"/>
      <c r="L35" s="2"/>
      <c r="M35" s="2"/>
      <c r="N35" s="2"/>
      <c r="O35" s="2"/>
      <c r="P35" s="3"/>
      <c r="Q35" s="18" t="s">
        <v>387</v>
      </c>
      <c r="R35" s="2"/>
      <c r="S35" s="2"/>
      <c r="T35" s="2"/>
      <c r="U35" s="2"/>
      <c r="V35" s="2"/>
      <c r="W35" s="3"/>
      <c r="X35" s="18" t="s">
        <v>388</v>
      </c>
      <c r="Y35" s="2"/>
      <c r="Z35" s="2"/>
      <c r="AA35" s="2"/>
      <c r="AB35" s="2"/>
      <c r="AC35" s="2"/>
      <c r="AD35" s="3"/>
      <c r="AE35" s="19" t="s">
        <v>284</v>
      </c>
      <c r="AF35" s="3"/>
      <c r="AG35" s="19" t="s">
        <v>77</v>
      </c>
      <c r="AH35" s="2"/>
      <c r="AI35" s="3"/>
      <c r="AJ35" s="19"/>
      <c r="AK35" s="2"/>
      <c r="AL35" s="3"/>
      <c r="AM35" s="20" t="s">
        <v>285</v>
      </c>
      <c r="AN35" s="2"/>
      <c r="AO35" s="3"/>
      <c r="AP35" s="21">
        <v>46181</v>
      </c>
      <c r="AQ35" s="2"/>
      <c r="AR35" s="3"/>
      <c r="AS35" s="19"/>
      <c r="AT35" s="2"/>
      <c r="AU35" s="3"/>
      <c r="AV35" s="19" t="s">
        <v>77</v>
      </c>
      <c r="AW35" s="2"/>
      <c r="AX35" s="3"/>
      <c r="AY35" s="19"/>
      <c r="AZ35" s="2"/>
      <c r="BA35" s="3"/>
      <c r="BB35" s="19" t="s">
        <v>286</v>
      </c>
      <c r="BC35" s="2"/>
      <c r="BD35" s="3"/>
      <c r="BE35" s="21">
        <v>46247</v>
      </c>
      <c r="BF35" s="2"/>
      <c r="BG35" s="3"/>
      <c r="BH35" s="19"/>
      <c r="BI35" s="2"/>
      <c r="BJ35" s="3"/>
      <c r="BK35" s="18"/>
      <c r="BL35" s="2"/>
      <c r="BM35" s="2"/>
      <c r="BN35" s="2"/>
      <c r="BO35" s="2"/>
      <c r="BP35" s="2"/>
      <c r="BQ35" s="3"/>
    </row>
    <row r="36" ht="22.5" customHeight="1" spans="1:69">
      <c r="A36" s="16" t="s">
        <v>389</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3"/>
    </row>
    <row r="37" ht="18.75" spans="1:69">
      <c r="A37" s="17">
        <v>22</v>
      </c>
      <c r="B37" s="18" t="s">
        <v>390</v>
      </c>
      <c r="C37" s="2"/>
      <c r="D37" s="3"/>
      <c r="E37" s="18" t="s">
        <v>391</v>
      </c>
      <c r="F37" s="2"/>
      <c r="G37" s="2"/>
      <c r="H37" s="2"/>
      <c r="I37" s="3"/>
      <c r="J37" s="18" t="s">
        <v>392</v>
      </c>
      <c r="K37" s="2"/>
      <c r="L37" s="2"/>
      <c r="M37" s="2"/>
      <c r="N37" s="2"/>
      <c r="O37" s="2"/>
      <c r="P37" s="3"/>
      <c r="Q37" s="18" t="s">
        <v>393</v>
      </c>
      <c r="R37" s="2"/>
      <c r="S37" s="2"/>
      <c r="T37" s="2"/>
      <c r="U37" s="2"/>
      <c r="V37" s="2"/>
      <c r="W37" s="3"/>
      <c r="X37" s="18" t="s">
        <v>394</v>
      </c>
      <c r="Y37" s="2"/>
      <c r="Z37" s="2"/>
      <c r="AA37" s="2"/>
      <c r="AB37" s="2"/>
      <c r="AC37" s="2"/>
      <c r="AD37" s="3"/>
      <c r="AE37" s="19" t="s">
        <v>284</v>
      </c>
      <c r="AF37" s="3"/>
      <c r="AG37" s="19" t="s">
        <v>77</v>
      </c>
      <c r="AH37" s="2"/>
      <c r="AI37" s="3"/>
      <c r="AJ37" s="19"/>
      <c r="AK37" s="2"/>
      <c r="AL37" s="3"/>
      <c r="AM37" s="20" t="s">
        <v>285</v>
      </c>
      <c r="AN37" s="2"/>
      <c r="AO37" s="3"/>
      <c r="AP37" s="21">
        <v>46181</v>
      </c>
      <c r="AQ37" s="2"/>
      <c r="AR37" s="3"/>
      <c r="AS37" s="19"/>
      <c r="AT37" s="2"/>
      <c r="AU37" s="3"/>
      <c r="AV37" s="19" t="s">
        <v>77</v>
      </c>
      <c r="AW37" s="2"/>
      <c r="AX37" s="3"/>
      <c r="AY37" s="19"/>
      <c r="AZ37" s="2"/>
      <c r="BA37" s="3"/>
      <c r="BB37" s="19" t="s">
        <v>286</v>
      </c>
      <c r="BC37" s="2"/>
      <c r="BD37" s="3"/>
      <c r="BE37" s="21">
        <v>46247</v>
      </c>
      <c r="BF37" s="2"/>
      <c r="BG37" s="3"/>
      <c r="BH37" s="19"/>
      <c r="BI37" s="2"/>
      <c r="BJ37" s="3"/>
      <c r="BK37" s="18"/>
      <c r="BL37" s="2"/>
      <c r="BM37" s="2"/>
      <c r="BN37" s="2"/>
      <c r="BO37" s="2"/>
      <c r="BP37" s="2"/>
      <c r="BQ37" s="3"/>
    </row>
    <row r="38" ht="384" customHeight="1" spans="1:69">
      <c r="A38" s="17">
        <v>23</v>
      </c>
      <c r="B38" s="18" t="s">
        <v>395</v>
      </c>
      <c r="C38" s="2"/>
      <c r="D38" s="3"/>
      <c r="E38" s="18" t="s">
        <v>396</v>
      </c>
      <c r="F38" s="2"/>
      <c r="G38" s="2"/>
      <c r="H38" s="2"/>
      <c r="I38" s="3"/>
      <c r="J38" s="18" t="s">
        <v>397</v>
      </c>
      <c r="K38" s="2"/>
      <c r="L38" s="2"/>
      <c r="M38" s="2"/>
      <c r="N38" s="2"/>
      <c r="O38" s="2"/>
      <c r="P38" s="3"/>
      <c r="Q38" s="18" t="s">
        <v>398</v>
      </c>
      <c r="R38" s="2"/>
      <c r="S38" s="2"/>
      <c r="T38" s="2"/>
      <c r="U38" s="2"/>
      <c r="V38" s="2"/>
      <c r="W38" s="3"/>
      <c r="X38" s="18" t="s">
        <v>399</v>
      </c>
      <c r="Y38" s="2"/>
      <c r="Z38" s="2"/>
      <c r="AA38" s="2"/>
      <c r="AB38" s="2"/>
      <c r="AC38" s="2"/>
      <c r="AD38" s="3"/>
      <c r="AE38" s="19" t="s">
        <v>284</v>
      </c>
      <c r="AF38" s="3"/>
      <c r="AG38" s="19" t="s">
        <v>77</v>
      </c>
      <c r="AH38" s="2"/>
      <c r="AI38" s="3"/>
      <c r="AJ38" s="19"/>
      <c r="AK38" s="2"/>
      <c r="AL38" s="3"/>
      <c r="AM38" s="20" t="s">
        <v>285</v>
      </c>
      <c r="AN38" s="2"/>
      <c r="AO38" s="3"/>
      <c r="AP38" s="21">
        <v>46181</v>
      </c>
      <c r="AQ38" s="2"/>
      <c r="AR38" s="3"/>
      <c r="AS38" s="19"/>
      <c r="AT38" s="2"/>
      <c r="AU38" s="3"/>
      <c r="AV38" s="19" t="s">
        <v>77</v>
      </c>
      <c r="AW38" s="2"/>
      <c r="AX38" s="3"/>
      <c r="AY38" s="19"/>
      <c r="AZ38" s="2"/>
      <c r="BA38" s="3"/>
      <c r="BB38" s="19" t="s">
        <v>286</v>
      </c>
      <c r="BC38" s="2"/>
      <c r="BD38" s="3"/>
      <c r="BE38" s="21">
        <v>46247</v>
      </c>
      <c r="BF38" s="2"/>
      <c r="BG38" s="3"/>
      <c r="BH38" s="19"/>
      <c r="BI38" s="2"/>
      <c r="BJ38" s="3"/>
      <c r="BK38" s="18"/>
      <c r="BL38" s="2"/>
      <c r="BM38" s="2"/>
      <c r="BN38" s="2"/>
      <c r="BO38" s="2"/>
      <c r="BP38" s="2"/>
      <c r="BQ38" s="3"/>
    </row>
    <row r="39" ht="223.5" customHeight="1" spans="1:69">
      <c r="A39" s="17">
        <v>24</v>
      </c>
      <c r="B39" s="18" t="s">
        <v>400</v>
      </c>
      <c r="C39" s="2"/>
      <c r="D39" s="3"/>
      <c r="E39" s="18" t="s">
        <v>401</v>
      </c>
      <c r="F39" s="2"/>
      <c r="G39" s="2"/>
      <c r="H39" s="2"/>
      <c r="I39" s="3"/>
      <c r="J39" s="18" t="s">
        <v>349</v>
      </c>
      <c r="K39" s="2"/>
      <c r="L39" s="2"/>
      <c r="M39" s="2"/>
      <c r="N39" s="2"/>
      <c r="O39" s="2"/>
      <c r="P39" s="3"/>
      <c r="Q39" s="18" t="s">
        <v>402</v>
      </c>
      <c r="R39" s="2"/>
      <c r="S39" s="2"/>
      <c r="T39" s="2"/>
      <c r="U39" s="2"/>
      <c r="V39" s="2"/>
      <c r="W39" s="3"/>
      <c r="X39" s="18" t="s">
        <v>403</v>
      </c>
      <c r="Y39" s="2"/>
      <c r="Z39" s="2"/>
      <c r="AA39" s="2"/>
      <c r="AB39" s="2"/>
      <c r="AC39" s="2"/>
      <c r="AD39" s="3"/>
      <c r="AE39" s="19" t="s">
        <v>231</v>
      </c>
      <c r="AF39" s="3"/>
      <c r="AG39" s="19" t="s">
        <v>77</v>
      </c>
      <c r="AH39" s="2"/>
      <c r="AI39" s="3"/>
      <c r="AJ39" s="19"/>
      <c r="AK39" s="2"/>
      <c r="AL39" s="3"/>
      <c r="AM39" s="20" t="s">
        <v>285</v>
      </c>
      <c r="AN39" s="2"/>
      <c r="AO39" s="3"/>
      <c r="AP39" s="21">
        <v>46181</v>
      </c>
      <c r="AQ39" s="2"/>
      <c r="AR39" s="3"/>
      <c r="AS39" s="19"/>
      <c r="AT39" s="2"/>
      <c r="AU39" s="3"/>
      <c r="AV39" s="19" t="s">
        <v>77</v>
      </c>
      <c r="AW39" s="2"/>
      <c r="AX39" s="3"/>
      <c r="AY39" s="19"/>
      <c r="AZ39" s="2"/>
      <c r="BA39" s="3"/>
      <c r="BB39" s="19" t="s">
        <v>286</v>
      </c>
      <c r="BC39" s="2"/>
      <c r="BD39" s="3"/>
      <c r="BE39" s="21">
        <v>46247</v>
      </c>
      <c r="BF39" s="2"/>
      <c r="BG39" s="3"/>
      <c r="BH39" s="19"/>
      <c r="BI39" s="2"/>
      <c r="BJ39" s="3"/>
      <c r="BK39" s="18"/>
      <c r="BL39" s="2"/>
      <c r="BM39" s="2"/>
      <c r="BN39" s="2"/>
      <c r="BO39" s="2"/>
      <c r="BP39" s="2"/>
      <c r="BQ39" s="3"/>
    </row>
    <row r="40" ht="367.5" customHeight="1" spans="1:69">
      <c r="A40" s="17">
        <v>25</v>
      </c>
      <c r="B40" s="18" t="s">
        <v>404</v>
      </c>
      <c r="C40" s="2"/>
      <c r="D40" s="3"/>
      <c r="E40" s="18" t="s">
        <v>405</v>
      </c>
      <c r="F40" s="2"/>
      <c r="G40" s="2"/>
      <c r="H40" s="2"/>
      <c r="I40" s="3"/>
      <c r="J40" s="18" t="s">
        <v>349</v>
      </c>
      <c r="K40" s="2"/>
      <c r="L40" s="2"/>
      <c r="M40" s="2"/>
      <c r="N40" s="2"/>
      <c r="O40" s="2"/>
      <c r="P40" s="3"/>
      <c r="Q40" s="18" t="s">
        <v>406</v>
      </c>
      <c r="R40" s="2"/>
      <c r="S40" s="2"/>
      <c r="T40" s="2"/>
      <c r="U40" s="2"/>
      <c r="V40" s="2"/>
      <c r="W40" s="3"/>
      <c r="X40" s="18" t="s">
        <v>407</v>
      </c>
      <c r="Y40" s="2"/>
      <c r="Z40" s="2"/>
      <c r="AA40" s="2"/>
      <c r="AB40" s="2"/>
      <c r="AC40" s="2"/>
      <c r="AD40" s="3"/>
      <c r="AE40" s="19" t="s">
        <v>231</v>
      </c>
      <c r="AF40" s="3"/>
      <c r="AG40" s="19" t="s">
        <v>77</v>
      </c>
      <c r="AH40" s="2"/>
      <c r="AI40" s="3"/>
      <c r="AJ40" s="19"/>
      <c r="AK40" s="2"/>
      <c r="AL40" s="3"/>
      <c r="AM40" s="20" t="s">
        <v>285</v>
      </c>
      <c r="AN40" s="2"/>
      <c r="AO40" s="3"/>
      <c r="AP40" s="21">
        <v>46181</v>
      </c>
      <c r="AQ40" s="2"/>
      <c r="AR40" s="3"/>
      <c r="AS40" s="19"/>
      <c r="AT40" s="2"/>
      <c r="AU40" s="3"/>
      <c r="AV40" s="19" t="s">
        <v>77</v>
      </c>
      <c r="AW40" s="2"/>
      <c r="AX40" s="3"/>
      <c r="AY40" s="19"/>
      <c r="AZ40" s="2"/>
      <c r="BA40" s="3"/>
      <c r="BB40" s="19" t="s">
        <v>286</v>
      </c>
      <c r="BC40" s="2"/>
      <c r="BD40" s="3"/>
      <c r="BE40" s="21">
        <v>46247</v>
      </c>
      <c r="BF40" s="2"/>
      <c r="BG40" s="3"/>
      <c r="BH40" s="19"/>
      <c r="BI40" s="2"/>
      <c r="BJ40" s="3"/>
      <c r="BK40" s="18"/>
      <c r="BL40" s="2"/>
      <c r="BM40" s="2"/>
      <c r="BN40" s="2"/>
      <c r="BO40" s="2"/>
      <c r="BP40" s="2"/>
      <c r="BQ40" s="3"/>
    </row>
    <row r="41" ht="319.5" customHeight="1" spans="1:69">
      <c r="A41" s="17">
        <v>26</v>
      </c>
      <c r="B41" s="18" t="s">
        <v>408</v>
      </c>
      <c r="C41" s="2"/>
      <c r="D41" s="3"/>
      <c r="E41" s="18" t="s">
        <v>409</v>
      </c>
      <c r="F41" s="2"/>
      <c r="G41" s="2"/>
      <c r="H41" s="2"/>
      <c r="I41" s="3"/>
      <c r="J41" s="18" t="s">
        <v>349</v>
      </c>
      <c r="K41" s="2"/>
      <c r="L41" s="2"/>
      <c r="M41" s="2"/>
      <c r="N41" s="2"/>
      <c r="O41" s="2"/>
      <c r="P41" s="3"/>
      <c r="Q41" s="18" t="s">
        <v>410</v>
      </c>
      <c r="R41" s="2"/>
      <c r="S41" s="2"/>
      <c r="T41" s="2"/>
      <c r="U41" s="2"/>
      <c r="V41" s="2"/>
      <c r="W41" s="3"/>
      <c r="X41" s="18" t="s">
        <v>411</v>
      </c>
      <c r="Y41" s="2"/>
      <c r="Z41" s="2"/>
      <c r="AA41" s="2"/>
      <c r="AB41" s="2"/>
      <c r="AC41" s="2"/>
      <c r="AD41" s="3"/>
      <c r="AE41" s="19" t="s">
        <v>284</v>
      </c>
      <c r="AF41" s="3"/>
      <c r="AG41" s="19" t="s">
        <v>77</v>
      </c>
      <c r="AH41" s="2"/>
      <c r="AI41" s="3"/>
      <c r="AJ41" s="19"/>
      <c r="AK41" s="2"/>
      <c r="AL41" s="3"/>
      <c r="AM41" s="20" t="s">
        <v>285</v>
      </c>
      <c r="AN41" s="2"/>
      <c r="AO41" s="3"/>
      <c r="AP41" s="21">
        <v>46181</v>
      </c>
      <c r="AQ41" s="2"/>
      <c r="AR41" s="3"/>
      <c r="AS41" s="19"/>
      <c r="AT41" s="2"/>
      <c r="AU41" s="3"/>
      <c r="AV41" s="19" t="s">
        <v>77</v>
      </c>
      <c r="AW41" s="2"/>
      <c r="AX41" s="3"/>
      <c r="AY41" s="19"/>
      <c r="AZ41" s="2"/>
      <c r="BA41" s="3"/>
      <c r="BB41" s="19" t="s">
        <v>286</v>
      </c>
      <c r="BC41" s="2"/>
      <c r="BD41" s="3"/>
      <c r="BE41" s="21">
        <v>46247</v>
      </c>
      <c r="BF41" s="2"/>
      <c r="BG41" s="3"/>
      <c r="BH41" s="19"/>
      <c r="BI41" s="2"/>
      <c r="BJ41" s="3"/>
      <c r="BK41" s="18"/>
      <c r="BL41" s="2"/>
      <c r="BM41" s="2"/>
      <c r="BN41" s="2"/>
      <c r="BO41" s="2"/>
      <c r="BP41" s="2"/>
      <c r="BQ41" s="3"/>
    </row>
    <row r="42" ht="409.5" customHeight="1" spans="1:69">
      <c r="A42" s="17">
        <v>27</v>
      </c>
      <c r="B42" s="18" t="s">
        <v>412</v>
      </c>
      <c r="C42" s="2"/>
      <c r="D42" s="3"/>
      <c r="E42" s="18" t="s">
        <v>413</v>
      </c>
      <c r="F42" s="2"/>
      <c r="G42" s="2"/>
      <c r="H42" s="2"/>
      <c r="I42" s="3"/>
      <c r="J42" s="18" t="s">
        <v>349</v>
      </c>
      <c r="K42" s="2"/>
      <c r="L42" s="2"/>
      <c r="M42" s="2"/>
      <c r="N42" s="2"/>
      <c r="O42" s="2"/>
      <c r="P42" s="3"/>
      <c r="Q42" s="18" t="s">
        <v>414</v>
      </c>
      <c r="R42" s="2"/>
      <c r="S42" s="2"/>
      <c r="T42" s="2"/>
      <c r="U42" s="2"/>
      <c r="V42" s="2"/>
      <c r="W42" s="3"/>
      <c r="X42" s="18" t="s">
        <v>415</v>
      </c>
      <c r="Y42" s="2"/>
      <c r="Z42" s="2"/>
      <c r="AA42" s="2"/>
      <c r="AB42" s="2"/>
      <c r="AC42" s="2"/>
      <c r="AD42" s="3"/>
      <c r="AE42" s="19" t="s">
        <v>227</v>
      </c>
      <c r="AF42" s="3"/>
      <c r="AG42" s="19" t="s">
        <v>77</v>
      </c>
      <c r="AH42" s="2"/>
      <c r="AI42" s="3"/>
      <c r="AJ42" s="19"/>
      <c r="AK42" s="2"/>
      <c r="AL42" s="3"/>
      <c r="AM42" s="20" t="s">
        <v>285</v>
      </c>
      <c r="AN42" s="2"/>
      <c r="AO42" s="3"/>
      <c r="AP42" s="21">
        <v>46181</v>
      </c>
      <c r="AQ42" s="2"/>
      <c r="AR42" s="3"/>
      <c r="AS42" s="19"/>
      <c r="AT42" s="2"/>
      <c r="AU42" s="3"/>
      <c r="AV42" s="19" t="s">
        <v>77</v>
      </c>
      <c r="AW42" s="2"/>
      <c r="AX42" s="3"/>
      <c r="AY42" s="19"/>
      <c r="AZ42" s="2"/>
      <c r="BA42" s="3"/>
      <c r="BB42" s="19" t="s">
        <v>286</v>
      </c>
      <c r="BC42" s="2"/>
      <c r="BD42" s="3"/>
      <c r="BE42" s="21">
        <v>46247</v>
      </c>
      <c r="BF42" s="2"/>
      <c r="BG42" s="3"/>
      <c r="BH42" s="19"/>
      <c r="BI42" s="2"/>
      <c r="BJ42" s="3"/>
      <c r="BK42" s="18"/>
      <c r="BL42" s="2"/>
      <c r="BM42" s="2"/>
      <c r="BN42" s="2"/>
      <c r="BO42" s="2"/>
      <c r="BP42" s="2"/>
      <c r="BQ42" s="3"/>
    </row>
    <row r="43" ht="409.5" customHeight="1" spans="1:69">
      <c r="A43" s="17">
        <v>28</v>
      </c>
      <c r="B43" s="18" t="s">
        <v>416</v>
      </c>
      <c r="C43" s="2"/>
      <c r="D43" s="3"/>
      <c r="E43" s="18" t="s">
        <v>417</v>
      </c>
      <c r="F43" s="2"/>
      <c r="G43" s="2"/>
      <c r="H43" s="2"/>
      <c r="I43" s="3"/>
      <c r="J43" s="18" t="s">
        <v>349</v>
      </c>
      <c r="K43" s="2"/>
      <c r="L43" s="2"/>
      <c r="M43" s="2"/>
      <c r="N43" s="2"/>
      <c r="O43" s="2"/>
      <c r="P43" s="3"/>
      <c r="Q43" s="18" t="s">
        <v>418</v>
      </c>
      <c r="R43" s="2"/>
      <c r="S43" s="2"/>
      <c r="T43" s="2"/>
      <c r="U43" s="2"/>
      <c r="V43" s="2"/>
      <c r="W43" s="3"/>
      <c r="X43" s="18" t="s">
        <v>419</v>
      </c>
      <c r="Y43" s="2"/>
      <c r="Z43" s="2"/>
      <c r="AA43" s="2"/>
      <c r="AB43" s="2"/>
      <c r="AC43" s="2"/>
      <c r="AD43" s="3"/>
      <c r="AE43" s="19" t="s">
        <v>227</v>
      </c>
      <c r="AF43" s="3"/>
      <c r="AG43" s="19" t="s">
        <v>80</v>
      </c>
      <c r="AH43" s="2"/>
      <c r="AI43" s="3"/>
      <c r="AJ43" s="19"/>
      <c r="AK43" s="2"/>
      <c r="AL43" s="3"/>
      <c r="AM43" s="20" t="s">
        <v>285</v>
      </c>
      <c r="AN43" s="2"/>
      <c r="AO43" s="3"/>
      <c r="AP43" s="21">
        <v>46181</v>
      </c>
      <c r="AQ43" s="2"/>
      <c r="AR43" s="3"/>
      <c r="AS43" s="19"/>
      <c r="AT43" s="2"/>
      <c r="AU43" s="3"/>
      <c r="AV43" s="19" t="s">
        <v>80</v>
      </c>
      <c r="AW43" s="2"/>
      <c r="AX43" s="3"/>
      <c r="AY43" s="19"/>
      <c r="AZ43" s="2"/>
      <c r="BA43" s="3"/>
      <c r="BB43" s="19" t="s">
        <v>286</v>
      </c>
      <c r="BC43" s="2"/>
      <c r="BD43" s="3"/>
      <c r="BE43" s="21">
        <v>46247</v>
      </c>
      <c r="BF43" s="2"/>
      <c r="BG43" s="3"/>
      <c r="BH43" s="19"/>
      <c r="BI43" s="2"/>
      <c r="BJ43" s="3"/>
      <c r="BK43" s="18"/>
      <c r="BL43" s="2"/>
      <c r="BM43" s="2"/>
      <c r="BN43" s="2"/>
      <c r="BO43" s="2"/>
      <c r="BP43" s="2"/>
      <c r="BQ43" s="3"/>
    </row>
    <row r="44" ht="409.5" customHeight="1" spans="1:69">
      <c r="A44" s="17">
        <v>29</v>
      </c>
      <c r="B44" s="18" t="s">
        <v>420</v>
      </c>
      <c r="C44" s="2"/>
      <c r="D44" s="3"/>
      <c r="E44" s="18" t="s">
        <v>421</v>
      </c>
      <c r="F44" s="2"/>
      <c r="G44" s="2"/>
      <c r="H44" s="2"/>
      <c r="I44" s="3"/>
      <c r="J44" s="18" t="s">
        <v>422</v>
      </c>
      <c r="K44" s="2"/>
      <c r="L44" s="2"/>
      <c r="M44" s="2"/>
      <c r="N44" s="2"/>
      <c r="O44" s="2"/>
      <c r="P44" s="3"/>
      <c r="Q44" s="18" t="s">
        <v>423</v>
      </c>
      <c r="R44" s="2"/>
      <c r="S44" s="2"/>
      <c r="T44" s="2"/>
      <c r="U44" s="2"/>
      <c r="V44" s="2"/>
      <c r="W44" s="3"/>
      <c r="X44" s="18" t="s">
        <v>424</v>
      </c>
      <c r="Y44" s="2"/>
      <c r="Z44" s="2"/>
      <c r="AA44" s="2"/>
      <c r="AB44" s="2"/>
      <c r="AC44" s="2"/>
      <c r="AD44" s="3"/>
      <c r="AE44" s="19" t="s">
        <v>231</v>
      </c>
      <c r="AF44" s="3"/>
      <c r="AG44" s="19" t="s">
        <v>77</v>
      </c>
      <c r="AH44" s="2"/>
      <c r="AI44" s="3"/>
      <c r="AJ44" s="19"/>
      <c r="AK44" s="2"/>
      <c r="AL44" s="3"/>
      <c r="AM44" s="20" t="s">
        <v>285</v>
      </c>
      <c r="AN44" s="2"/>
      <c r="AO44" s="3"/>
      <c r="AP44" s="21">
        <v>46181</v>
      </c>
      <c r="AQ44" s="2"/>
      <c r="AR44" s="3"/>
      <c r="AS44" s="19"/>
      <c r="AT44" s="2"/>
      <c r="AU44" s="3"/>
      <c r="AV44" s="19" t="s">
        <v>77</v>
      </c>
      <c r="AW44" s="2"/>
      <c r="AX44" s="3"/>
      <c r="AY44" s="19"/>
      <c r="AZ44" s="2"/>
      <c r="BA44" s="3"/>
      <c r="BB44" s="19" t="s">
        <v>286</v>
      </c>
      <c r="BC44" s="2"/>
      <c r="BD44" s="3"/>
      <c r="BE44" s="21">
        <v>46247</v>
      </c>
      <c r="BF44" s="2"/>
      <c r="BG44" s="3"/>
      <c r="BH44" s="19"/>
      <c r="BI44" s="2"/>
      <c r="BJ44" s="3"/>
      <c r="BK44" s="18"/>
      <c r="BL44" s="2"/>
      <c r="BM44" s="2"/>
      <c r="BN44" s="2"/>
      <c r="BO44" s="2"/>
      <c r="BP44" s="2"/>
      <c r="BQ44" s="3"/>
    </row>
    <row r="45" ht="409.5" customHeight="1" spans="1:69">
      <c r="A45" s="17">
        <v>30</v>
      </c>
      <c r="B45" s="18" t="s">
        <v>425</v>
      </c>
      <c r="C45" s="2"/>
      <c r="D45" s="3"/>
      <c r="E45" s="18" t="s">
        <v>426</v>
      </c>
      <c r="F45" s="2"/>
      <c r="G45" s="2"/>
      <c r="H45" s="2"/>
      <c r="I45" s="3"/>
      <c r="J45" s="18" t="s">
        <v>427</v>
      </c>
      <c r="K45" s="2"/>
      <c r="L45" s="2"/>
      <c r="M45" s="2"/>
      <c r="N45" s="2"/>
      <c r="O45" s="2"/>
      <c r="P45" s="3"/>
      <c r="Q45" s="18" t="s">
        <v>428</v>
      </c>
      <c r="R45" s="2"/>
      <c r="S45" s="2"/>
      <c r="T45" s="2"/>
      <c r="U45" s="2"/>
      <c r="V45" s="2"/>
      <c r="W45" s="3"/>
      <c r="X45" s="18" t="s">
        <v>429</v>
      </c>
      <c r="Y45" s="2"/>
      <c r="Z45" s="2"/>
      <c r="AA45" s="2"/>
      <c r="AB45" s="2"/>
      <c r="AC45" s="2"/>
      <c r="AD45" s="3"/>
      <c r="AE45" s="19" t="s">
        <v>231</v>
      </c>
      <c r="AF45" s="3"/>
      <c r="AG45" s="19" t="s">
        <v>77</v>
      </c>
      <c r="AH45" s="2"/>
      <c r="AI45" s="3"/>
      <c r="AJ45" s="19"/>
      <c r="AK45" s="2"/>
      <c r="AL45" s="3"/>
      <c r="AM45" s="20" t="s">
        <v>285</v>
      </c>
      <c r="AN45" s="2"/>
      <c r="AO45" s="3"/>
      <c r="AP45" s="21">
        <v>46181</v>
      </c>
      <c r="AQ45" s="2"/>
      <c r="AR45" s="3"/>
      <c r="AS45" s="19"/>
      <c r="AT45" s="2"/>
      <c r="AU45" s="3"/>
      <c r="AV45" s="19" t="s">
        <v>77</v>
      </c>
      <c r="AW45" s="2"/>
      <c r="AX45" s="3"/>
      <c r="AY45" s="19"/>
      <c r="AZ45" s="2"/>
      <c r="BA45" s="3"/>
      <c r="BB45" s="19" t="s">
        <v>286</v>
      </c>
      <c r="BC45" s="2"/>
      <c r="BD45" s="3"/>
      <c r="BE45" s="21">
        <v>46247</v>
      </c>
      <c r="BF45" s="2"/>
      <c r="BG45" s="3"/>
      <c r="BH45" s="19"/>
      <c r="BI45" s="2"/>
      <c r="BJ45" s="3"/>
      <c r="BK45" s="18" t="s">
        <v>430</v>
      </c>
      <c r="BL45" s="2"/>
      <c r="BM45" s="2"/>
      <c r="BN45" s="2"/>
      <c r="BO45" s="2"/>
      <c r="BP45" s="2"/>
      <c r="BQ45" s="3"/>
    </row>
    <row r="46" ht="409.5" customHeight="1" spans="1:69">
      <c r="A46" s="17">
        <v>31</v>
      </c>
      <c r="B46" s="18" t="s">
        <v>431</v>
      </c>
      <c r="C46" s="2"/>
      <c r="D46" s="3"/>
      <c r="E46" s="18" t="s">
        <v>432</v>
      </c>
      <c r="F46" s="2"/>
      <c r="G46" s="2"/>
      <c r="H46" s="2"/>
      <c r="I46" s="3"/>
      <c r="J46" s="18" t="s">
        <v>349</v>
      </c>
      <c r="K46" s="2"/>
      <c r="L46" s="2"/>
      <c r="M46" s="2"/>
      <c r="N46" s="2"/>
      <c r="O46" s="2"/>
      <c r="P46" s="3"/>
      <c r="Q46" s="18" t="s">
        <v>433</v>
      </c>
      <c r="R46" s="2"/>
      <c r="S46" s="2"/>
      <c r="T46" s="2"/>
      <c r="U46" s="2"/>
      <c r="V46" s="2"/>
      <c r="W46" s="3"/>
      <c r="X46" s="18" t="s">
        <v>434</v>
      </c>
      <c r="Y46" s="2"/>
      <c r="Z46" s="2"/>
      <c r="AA46" s="2"/>
      <c r="AB46" s="2"/>
      <c r="AC46" s="2"/>
      <c r="AD46" s="3"/>
      <c r="AE46" s="19" t="s">
        <v>227</v>
      </c>
      <c r="AF46" s="3"/>
      <c r="AG46" s="19" t="s">
        <v>77</v>
      </c>
      <c r="AH46" s="2"/>
      <c r="AI46" s="3"/>
      <c r="AJ46" s="19"/>
      <c r="AK46" s="2"/>
      <c r="AL46" s="3"/>
      <c r="AM46" s="20" t="s">
        <v>285</v>
      </c>
      <c r="AN46" s="2"/>
      <c r="AO46" s="3"/>
      <c r="AP46" s="21">
        <v>46181</v>
      </c>
      <c r="AQ46" s="2"/>
      <c r="AR46" s="3"/>
      <c r="AS46" s="19"/>
      <c r="AT46" s="2"/>
      <c r="AU46" s="3"/>
      <c r="AV46" s="19" t="s">
        <v>77</v>
      </c>
      <c r="AW46" s="2"/>
      <c r="AX46" s="3"/>
      <c r="AY46" s="19"/>
      <c r="AZ46" s="2"/>
      <c r="BA46" s="3"/>
      <c r="BB46" s="19" t="s">
        <v>286</v>
      </c>
      <c r="BC46" s="2"/>
      <c r="BD46" s="3"/>
      <c r="BE46" s="21">
        <v>46247</v>
      </c>
      <c r="BF46" s="2"/>
      <c r="BG46" s="3"/>
      <c r="BH46" s="19"/>
      <c r="BI46" s="2"/>
      <c r="BJ46" s="3"/>
      <c r="BK46" s="18" t="s">
        <v>435</v>
      </c>
      <c r="BL46" s="2"/>
      <c r="BM46" s="2"/>
      <c r="BN46" s="2"/>
      <c r="BO46" s="2"/>
      <c r="BP46" s="2"/>
      <c r="BQ46" s="3"/>
    </row>
    <row r="47" ht="409.5" customHeight="1" spans="1:69">
      <c r="A47" s="17">
        <v>32</v>
      </c>
      <c r="B47" s="18" t="s">
        <v>436</v>
      </c>
      <c r="C47" s="2"/>
      <c r="D47" s="3"/>
      <c r="E47" s="18" t="s">
        <v>437</v>
      </c>
      <c r="F47" s="2"/>
      <c r="G47" s="2"/>
      <c r="H47" s="2"/>
      <c r="I47" s="3"/>
      <c r="J47" s="18" t="s">
        <v>355</v>
      </c>
      <c r="K47" s="2"/>
      <c r="L47" s="2"/>
      <c r="M47" s="2"/>
      <c r="N47" s="2"/>
      <c r="O47" s="2"/>
      <c r="P47" s="3"/>
      <c r="Q47" s="18" t="s">
        <v>438</v>
      </c>
      <c r="R47" s="2"/>
      <c r="S47" s="2"/>
      <c r="T47" s="2"/>
      <c r="U47" s="2"/>
      <c r="V47" s="2"/>
      <c r="W47" s="3"/>
      <c r="X47" s="18" t="s">
        <v>439</v>
      </c>
      <c r="Y47" s="2"/>
      <c r="Z47" s="2"/>
      <c r="AA47" s="2"/>
      <c r="AB47" s="2"/>
      <c r="AC47" s="2"/>
      <c r="AD47" s="3"/>
      <c r="AE47" s="19" t="s">
        <v>227</v>
      </c>
      <c r="AF47" s="3"/>
      <c r="AG47" s="19" t="s">
        <v>77</v>
      </c>
      <c r="AH47" s="2"/>
      <c r="AI47" s="3"/>
      <c r="AJ47" s="19"/>
      <c r="AK47" s="2"/>
      <c r="AL47" s="3"/>
      <c r="AM47" s="20" t="s">
        <v>285</v>
      </c>
      <c r="AN47" s="2"/>
      <c r="AO47" s="3"/>
      <c r="AP47" s="21">
        <v>46181</v>
      </c>
      <c r="AQ47" s="2"/>
      <c r="AR47" s="3"/>
      <c r="AS47" s="19"/>
      <c r="AT47" s="2"/>
      <c r="AU47" s="3"/>
      <c r="AV47" s="19" t="s">
        <v>77</v>
      </c>
      <c r="AW47" s="2"/>
      <c r="AX47" s="3"/>
      <c r="AY47" s="19"/>
      <c r="AZ47" s="2"/>
      <c r="BA47" s="3"/>
      <c r="BB47" s="19" t="s">
        <v>286</v>
      </c>
      <c r="BC47" s="2"/>
      <c r="BD47" s="3"/>
      <c r="BE47" s="21">
        <v>46247</v>
      </c>
      <c r="BF47" s="2"/>
      <c r="BG47" s="3"/>
      <c r="BH47" s="19"/>
      <c r="BI47" s="2"/>
      <c r="BJ47" s="3"/>
      <c r="BK47" s="18"/>
      <c r="BL47" s="2"/>
      <c r="BM47" s="2"/>
      <c r="BN47" s="2"/>
      <c r="BO47" s="2"/>
      <c r="BP47" s="2"/>
      <c r="BQ47" s="3"/>
    </row>
    <row r="48" ht="351.75" customHeight="1" spans="1:69">
      <c r="A48" s="17">
        <v>33</v>
      </c>
      <c r="B48" s="18" t="s">
        <v>440</v>
      </c>
      <c r="C48" s="2"/>
      <c r="D48" s="3"/>
      <c r="E48" s="18" t="s">
        <v>441</v>
      </c>
      <c r="F48" s="2"/>
      <c r="G48" s="2"/>
      <c r="H48" s="2"/>
      <c r="I48" s="3"/>
      <c r="J48" s="18" t="s">
        <v>442</v>
      </c>
      <c r="K48" s="2"/>
      <c r="L48" s="2"/>
      <c r="M48" s="2"/>
      <c r="N48" s="2"/>
      <c r="O48" s="2"/>
      <c r="P48" s="3"/>
      <c r="Q48" s="18" t="s">
        <v>443</v>
      </c>
      <c r="R48" s="2"/>
      <c r="S48" s="2"/>
      <c r="T48" s="2"/>
      <c r="U48" s="2"/>
      <c r="V48" s="2"/>
      <c r="W48" s="3"/>
      <c r="X48" s="18" t="s">
        <v>444</v>
      </c>
      <c r="Y48" s="2"/>
      <c r="Z48" s="2"/>
      <c r="AA48" s="2"/>
      <c r="AB48" s="2"/>
      <c r="AC48" s="2"/>
      <c r="AD48" s="3"/>
      <c r="AE48" s="19" t="s">
        <v>227</v>
      </c>
      <c r="AF48" s="3"/>
      <c r="AG48" s="19" t="s">
        <v>77</v>
      </c>
      <c r="AH48" s="2"/>
      <c r="AI48" s="3"/>
      <c r="AJ48" s="19"/>
      <c r="AK48" s="2"/>
      <c r="AL48" s="3"/>
      <c r="AM48" s="20" t="s">
        <v>285</v>
      </c>
      <c r="AN48" s="2"/>
      <c r="AO48" s="3"/>
      <c r="AP48" s="21">
        <v>46181</v>
      </c>
      <c r="AQ48" s="2"/>
      <c r="AR48" s="3"/>
      <c r="AS48" s="19"/>
      <c r="AT48" s="2"/>
      <c r="AU48" s="3"/>
      <c r="AV48" s="19" t="s">
        <v>77</v>
      </c>
      <c r="AW48" s="2"/>
      <c r="AX48" s="3"/>
      <c r="AY48" s="19"/>
      <c r="AZ48" s="2"/>
      <c r="BA48" s="3"/>
      <c r="BB48" s="19" t="s">
        <v>286</v>
      </c>
      <c r="BC48" s="2"/>
      <c r="BD48" s="3"/>
      <c r="BE48" s="21">
        <v>46247</v>
      </c>
      <c r="BF48" s="2"/>
      <c r="BG48" s="3"/>
      <c r="BH48" s="19"/>
      <c r="BI48" s="2"/>
      <c r="BJ48" s="3"/>
      <c r="BK48" s="18"/>
      <c r="BL48" s="2"/>
      <c r="BM48" s="2"/>
      <c r="BN48" s="2"/>
      <c r="BO48" s="2"/>
      <c r="BP48" s="2"/>
      <c r="BQ48" s="3"/>
    </row>
    <row r="49" ht="22.5" customHeight="1" spans="1:69">
      <c r="A49" s="16" t="s">
        <v>445</v>
      </c>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3"/>
    </row>
    <row r="50" ht="367.5" customHeight="1" spans="1:69">
      <c r="A50" s="17">
        <v>34</v>
      </c>
      <c r="B50" s="18" t="s">
        <v>446</v>
      </c>
      <c r="C50" s="2"/>
      <c r="D50" s="3"/>
      <c r="E50" s="18" t="s">
        <v>447</v>
      </c>
      <c r="F50" s="2"/>
      <c r="G50" s="2"/>
      <c r="H50" s="2"/>
      <c r="I50" s="3"/>
      <c r="J50" s="18" t="s">
        <v>448</v>
      </c>
      <c r="K50" s="2"/>
      <c r="L50" s="2"/>
      <c r="M50" s="2"/>
      <c r="N50" s="2"/>
      <c r="O50" s="2"/>
      <c r="P50" s="3"/>
      <c r="Q50" s="18" t="s">
        <v>449</v>
      </c>
      <c r="R50" s="2"/>
      <c r="S50" s="2"/>
      <c r="T50" s="2"/>
      <c r="U50" s="2"/>
      <c r="V50" s="2"/>
      <c r="W50" s="3"/>
      <c r="X50" s="18" t="s">
        <v>450</v>
      </c>
      <c r="Y50" s="2"/>
      <c r="Z50" s="2"/>
      <c r="AA50" s="2"/>
      <c r="AB50" s="2"/>
      <c r="AC50" s="2"/>
      <c r="AD50" s="3"/>
      <c r="AE50" s="19" t="s">
        <v>284</v>
      </c>
      <c r="AF50" s="3"/>
      <c r="AG50" s="19" t="s">
        <v>77</v>
      </c>
      <c r="AH50" s="2"/>
      <c r="AI50" s="3"/>
      <c r="AJ50" s="19"/>
      <c r="AK50" s="2"/>
      <c r="AL50" s="3"/>
      <c r="AM50" s="20" t="s">
        <v>285</v>
      </c>
      <c r="AN50" s="2"/>
      <c r="AO50" s="3"/>
      <c r="AP50" s="21">
        <v>46181</v>
      </c>
      <c r="AQ50" s="2"/>
      <c r="AR50" s="3"/>
      <c r="AS50" s="19"/>
      <c r="AT50" s="2"/>
      <c r="AU50" s="3"/>
      <c r="AV50" s="19" t="s">
        <v>77</v>
      </c>
      <c r="AW50" s="2"/>
      <c r="AX50" s="3"/>
      <c r="AY50" s="19"/>
      <c r="AZ50" s="2"/>
      <c r="BA50" s="3"/>
      <c r="BB50" s="19" t="s">
        <v>286</v>
      </c>
      <c r="BC50" s="2"/>
      <c r="BD50" s="3"/>
      <c r="BE50" s="21">
        <v>46247</v>
      </c>
      <c r="BF50" s="2"/>
      <c r="BG50" s="3"/>
      <c r="BH50" s="19"/>
      <c r="BI50" s="2"/>
      <c r="BJ50" s="3"/>
      <c r="BK50" s="18"/>
      <c r="BL50" s="2"/>
      <c r="BM50" s="2"/>
      <c r="BN50" s="2"/>
      <c r="BO50" s="2"/>
      <c r="BP50" s="2"/>
      <c r="BQ50" s="3"/>
    </row>
    <row r="51" ht="367.5" customHeight="1" spans="1:69">
      <c r="A51" s="17">
        <v>35</v>
      </c>
      <c r="B51" s="18" t="s">
        <v>451</v>
      </c>
      <c r="C51" s="2"/>
      <c r="D51" s="3"/>
      <c r="E51" s="18" t="s">
        <v>452</v>
      </c>
      <c r="F51" s="2"/>
      <c r="G51" s="2"/>
      <c r="H51" s="2"/>
      <c r="I51" s="3"/>
      <c r="J51" s="18" t="s">
        <v>453</v>
      </c>
      <c r="K51" s="2"/>
      <c r="L51" s="2"/>
      <c r="M51" s="2"/>
      <c r="N51" s="2"/>
      <c r="O51" s="2"/>
      <c r="P51" s="3"/>
      <c r="Q51" s="18" t="s">
        <v>454</v>
      </c>
      <c r="R51" s="2"/>
      <c r="S51" s="2"/>
      <c r="T51" s="2"/>
      <c r="U51" s="2"/>
      <c r="V51" s="2"/>
      <c r="W51" s="3"/>
      <c r="X51" s="18" t="s">
        <v>455</v>
      </c>
      <c r="Y51" s="2"/>
      <c r="Z51" s="2"/>
      <c r="AA51" s="2"/>
      <c r="AB51" s="2"/>
      <c r="AC51" s="2"/>
      <c r="AD51" s="3"/>
      <c r="AE51" s="19" t="s">
        <v>284</v>
      </c>
      <c r="AF51" s="3"/>
      <c r="AG51" s="19" t="s">
        <v>77</v>
      </c>
      <c r="AH51" s="2"/>
      <c r="AI51" s="3"/>
      <c r="AJ51" s="19"/>
      <c r="AK51" s="2"/>
      <c r="AL51" s="3"/>
      <c r="AM51" s="20" t="s">
        <v>285</v>
      </c>
      <c r="AN51" s="2"/>
      <c r="AO51" s="3"/>
      <c r="AP51" s="21">
        <v>46181</v>
      </c>
      <c r="AQ51" s="2"/>
      <c r="AR51" s="3"/>
      <c r="AS51" s="19"/>
      <c r="AT51" s="2"/>
      <c r="AU51" s="3"/>
      <c r="AV51" s="19" t="s">
        <v>77</v>
      </c>
      <c r="AW51" s="2"/>
      <c r="AX51" s="3"/>
      <c r="AY51" s="19"/>
      <c r="AZ51" s="2"/>
      <c r="BA51" s="3"/>
      <c r="BB51" s="19" t="s">
        <v>286</v>
      </c>
      <c r="BC51" s="2"/>
      <c r="BD51" s="3"/>
      <c r="BE51" s="21">
        <v>46247</v>
      </c>
      <c r="BF51" s="2"/>
      <c r="BG51" s="3"/>
      <c r="BH51" s="19"/>
      <c r="BI51" s="2"/>
      <c r="BJ51" s="3"/>
      <c r="BK51" s="18"/>
      <c r="BL51" s="2"/>
      <c r="BM51" s="2"/>
      <c r="BN51" s="2"/>
      <c r="BO51" s="2"/>
      <c r="BP51" s="2"/>
      <c r="BQ51" s="3"/>
    </row>
    <row r="52" ht="255.75" customHeight="1" spans="1:69">
      <c r="A52" s="17">
        <v>36</v>
      </c>
      <c r="B52" s="18" t="s">
        <v>456</v>
      </c>
      <c r="C52" s="2"/>
      <c r="D52" s="3"/>
      <c r="E52" s="18" t="s">
        <v>457</v>
      </c>
      <c r="F52" s="2"/>
      <c r="G52" s="2"/>
      <c r="H52" s="2"/>
      <c r="I52" s="3"/>
      <c r="J52" s="18" t="s">
        <v>458</v>
      </c>
      <c r="K52" s="2"/>
      <c r="L52" s="2"/>
      <c r="M52" s="2"/>
      <c r="N52" s="2"/>
      <c r="O52" s="2"/>
      <c r="P52" s="3"/>
      <c r="Q52" s="18" t="s">
        <v>459</v>
      </c>
      <c r="R52" s="2"/>
      <c r="S52" s="2"/>
      <c r="T52" s="2"/>
      <c r="U52" s="2"/>
      <c r="V52" s="2"/>
      <c r="W52" s="3"/>
      <c r="X52" s="18" t="s">
        <v>460</v>
      </c>
      <c r="Y52" s="2"/>
      <c r="Z52" s="2"/>
      <c r="AA52" s="2"/>
      <c r="AB52" s="2"/>
      <c r="AC52" s="2"/>
      <c r="AD52" s="3"/>
      <c r="AE52" s="19" t="s">
        <v>284</v>
      </c>
      <c r="AF52" s="3"/>
      <c r="AG52" s="19" t="s">
        <v>77</v>
      </c>
      <c r="AH52" s="2"/>
      <c r="AI52" s="3"/>
      <c r="AJ52" s="19"/>
      <c r="AK52" s="2"/>
      <c r="AL52" s="3"/>
      <c r="AM52" s="20" t="s">
        <v>285</v>
      </c>
      <c r="AN52" s="2"/>
      <c r="AO52" s="3"/>
      <c r="AP52" s="21">
        <v>46181</v>
      </c>
      <c r="AQ52" s="2"/>
      <c r="AR52" s="3"/>
      <c r="AS52" s="19"/>
      <c r="AT52" s="2"/>
      <c r="AU52" s="3"/>
      <c r="AV52" s="19" t="s">
        <v>77</v>
      </c>
      <c r="AW52" s="2"/>
      <c r="AX52" s="3"/>
      <c r="AY52" s="19"/>
      <c r="AZ52" s="2"/>
      <c r="BA52" s="3"/>
      <c r="BB52" s="19" t="s">
        <v>286</v>
      </c>
      <c r="BC52" s="2"/>
      <c r="BD52" s="3"/>
      <c r="BE52" s="21">
        <v>46247</v>
      </c>
      <c r="BF52" s="2"/>
      <c r="BG52" s="3"/>
      <c r="BH52" s="19"/>
      <c r="BI52" s="2"/>
      <c r="BJ52" s="3"/>
      <c r="BK52" s="18"/>
      <c r="BL52" s="2"/>
      <c r="BM52" s="2"/>
      <c r="BN52" s="2"/>
      <c r="BO52" s="2"/>
      <c r="BP52" s="2"/>
      <c r="BQ52" s="3"/>
    </row>
    <row r="53" ht="288" customHeight="1" spans="1:69">
      <c r="A53" s="17">
        <v>37</v>
      </c>
      <c r="B53" s="18" t="s">
        <v>461</v>
      </c>
      <c r="C53" s="2"/>
      <c r="D53" s="3"/>
      <c r="E53" s="18" t="s">
        <v>462</v>
      </c>
      <c r="F53" s="2"/>
      <c r="G53" s="2"/>
      <c r="H53" s="2"/>
      <c r="I53" s="3"/>
      <c r="J53" s="18" t="s">
        <v>463</v>
      </c>
      <c r="K53" s="2"/>
      <c r="L53" s="2"/>
      <c r="M53" s="2"/>
      <c r="N53" s="2"/>
      <c r="O53" s="2"/>
      <c r="P53" s="3"/>
      <c r="Q53" s="18" t="s">
        <v>464</v>
      </c>
      <c r="R53" s="2"/>
      <c r="S53" s="2"/>
      <c r="T53" s="2"/>
      <c r="U53" s="2"/>
      <c r="V53" s="2"/>
      <c r="W53" s="3"/>
      <c r="X53" s="18" t="s">
        <v>465</v>
      </c>
      <c r="Y53" s="2"/>
      <c r="Z53" s="2"/>
      <c r="AA53" s="2"/>
      <c r="AB53" s="2"/>
      <c r="AC53" s="2"/>
      <c r="AD53" s="3"/>
      <c r="AE53" s="19" t="s">
        <v>284</v>
      </c>
      <c r="AF53" s="3"/>
      <c r="AG53" s="19" t="s">
        <v>77</v>
      </c>
      <c r="AH53" s="2"/>
      <c r="AI53" s="3"/>
      <c r="AJ53" s="19"/>
      <c r="AK53" s="2"/>
      <c r="AL53" s="3"/>
      <c r="AM53" s="20" t="s">
        <v>285</v>
      </c>
      <c r="AN53" s="2"/>
      <c r="AO53" s="3"/>
      <c r="AP53" s="21">
        <v>46181</v>
      </c>
      <c r="AQ53" s="2"/>
      <c r="AR53" s="3"/>
      <c r="AS53" s="19"/>
      <c r="AT53" s="2"/>
      <c r="AU53" s="3"/>
      <c r="AV53" s="19" t="s">
        <v>77</v>
      </c>
      <c r="AW53" s="2"/>
      <c r="AX53" s="3"/>
      <c r="AY53" s="19"/>
      <c r="AZ53" s="2"/>
      <c r="BA53" s="3"/>
      <c r="BB53" s="19" t="s">
        <v>286</v>
      </c>
      <c r="BC53" s="2"/>
      <c r="BD53" s="3"/>
      <c r="BE53" s="21">
        <v>46247</v>
      </c>
      <c r="BF53" s="2"/>
      <c r="BG53" s="3"/>
      <c r="BH53" s="19"/>
      <c r="BI53" s="2"/>
      <c r="BJ53" s="3"/>
      <c r="BK53" s="18"/>
      <c r="BL53" s="2"/>
      <c r="BM53" s="2"/>
      <c r="BN53" s="2"/>
      <c r="BO53" s="2"/>
      <c r="BP53" s="2"/>
      <c r="BQ53" s="3"/>
    </row>
    <row r="54" ht="319.5" customHeight="1" spans="1:69">
      <c r="A54" s="17">
        <v>38</v>
      </c>
      <c r="B54" s="18" t="s">
        <v>466</v>
      </c>
      <c r="C54" s="2"/>
      <c r="D54" s="3"/>
      <c r="E54" s="18" t="s">
        <v>467</v>
      </c>
      <c r="F54" s="2"/>
      <c r="G54" s="2"/>
      <c r="H54" s="2"/>
      <c r="I54" s="3"/>
      <c r="J54" s="18" t="s">
        <v>468</v>
      </c>
      <c r="K54" s="2"/>
      <c r="L54" s="2"/>
      <c r="M54" s="2"/>
      <c r="N54" s="2"/>
      <c r="O54" s="2"/>
      <c r="P54" s="3"/>
      <c r="Q54" s="18" t="s">
        <v>469</v>
      </c>
      <c r="R54" s="2"/>
      <c r="S54" s="2"/>
      <c r="T54" s="2"/>
      <c r="U54" s="2"/>
      <c r="V54" s="2"/>
      <c r="W54" s="3"/>
      <c r="X54" s="18" t="s">
        <v>470</v>
      </c>
      <c r="Y54" s="2"/>
      <c r="Z54" s="2"/>
      <c r="AA54" s="2"/>
      <c r="AB54" s="2"/>
      <c r="AC54" s="2"/>
      <c r="AD54" s="3"/>
      <c r="AE54" s="19" t="s">
        <v>284</v>
      </c>
      <c r="AF54" s="3"/>
      <c r="AG54" s="19" t="s">
        <v>80</v>
      </c>
      <c r="AH54" s="2"/>
      <c r="AI54" s="3"/>
      <c r="AJ54" s="19"/>
      <c r="AK54" s="2"/>
      <c r="AL54" s="3"/>
      <c r="AM54" s="20" t="s">
        <v>285</v>
      </c>
      <c r="AN54" s="2"/>
      <c r="AO54" s="3"/>
      <c r="AP54" s="21">
        <v>46181</v>
      </c>
      <c r="AQ54" s="2"/>
      <c r="AR54" s="3"/>
      <c r="AS54" s="19"/>
      <c r="AT54" s="2"/>
      <c r="AU54" s="3"/>
      <c r="AV54" s="19" t="s">
        <v>80</v>
      </c>
      <c r="AW54" s="2"/>
      <c r="AX54" s="3"/>
      <c r="AY54" s="19"/>
      <c r="AZ54" s="2"/>
      <c r="BA54" s="3"/>
      <c r="BB54" s="19" t="s">
        <v>286</v>
      </c>
      <c r="BC54" s="2"/>
      <c r="BD54" s="3"/>
      <c r="BE54" s="21">
        <v>46247</v>
      </c>
      <c r="BF54" s="2"/>
      <c r="BG54" s="3"/>
      <c r="BH54" s="19"/>
      <c r="BI54" s="2"/>
      <c r="BJ54" s="3"/>
      <c r="BK54" s="18"/>
      <c r="BL54" s="2"/>
      <c r="BM54" s="2"/>
      <c r="BN54" s="2"/>
      <c r="BO54" s="2"/>
      <c r="BP54" s="2"/>
      <c r="BQ54" s="3"/>
    </row>
    <row r="55" ht="255.75" customHeight="1" spans="1:69">
      <c r="A55" s="17">
        <v>39</v>
      </c>
      <c r="B55" s="18" t="s">
        <v>471</v>
      </c>
      <c r="C55" s="2"/>
      <c r="D55" s="3"/>
      <c r="E55" s="18" t="s">
        <v>472</v>
      </c>
      <c r="F55" s="2"/>
      <c r="G55" s="2"/>
      <c r="H55" s="2"/>
      <c r="I55" s="3"/>
      <c r="J55" s="18" t="s">
        <v>349</v>
      </c>
      <c r="K55" s="2"/>
      <c r="L55" s="2"/>
      <c r="M55" s="2"/>
      <c r="N55" s="2"/>
      <c r="O55" s="2"/>
      <c r="P55" s="3"/>
      <c r="Q55" s="18" t="s">
        <v>473</v>
      </c>
      <c r="R55" s="2"/>
      <c r="S55" s="2"/>
      <c r="T55" s="2"/>
      <c r="U55" s="2"/>
      <c r="V55" s="2"/>
      <c r="W55" s="3"/>
      <c r="X55" s="18" t="s">
        <v>474</v>
      </c>
      <c r="Y55" s="2"/>
      <c r="Z55" s="2"/>
      <c r="AA55" s="2"/>
      <c r="AB55" s="2"/>
      <c r="AC55" s="2"/>
      <c r="AD55" s="3"/>
      <c r="AE55" s="19" t="s">
        <v>284</v>
      </c>
      <c r="AF55" s="3"/>
      <c r="AG55" s="19" t="s">
        <v>77</v>
      </c>
      <c r="AH55" s="2"/>
      <c r="AI55" s="3"/>
      <c r="AJ55" s="19"/>
      <c r="AK55" s="2"/>
      <c r="AL55" s="3"/>
      <c r="AM55" s="20" t="s">
        <v>285</v>
      </c>
      <c r="AN55" s="2"/>
      <c r="AO55" s="3"/>
      <c r="AP55" s="21">
        <v>46181</v>
      </c>
      <c r="AQ55" s="2"/>
      <c r="AR55" s="3"/>
      <c r="AS55" s="19"/>
      <c r="AT55" s="2"/>
      <c r="AU55" s="3"/>
      <c r="AV55" s="19" t="s">
        <v>77</v>
      </c>
      <c r="AW55" s="2"/>
      <c r="AX55" s="3"/>
      <c r="AY55" s="19"/>
      <c r="AZ55" s="2"/>
      <c r="BA55" s="3"/>
      <c r="BB55" s="19" t="s">
        <v>286</v>
      </c>
      <c r="BC55" s="2"/>
      <c r="BD55" s="3"/>
      <c r="BE55" s="21">
        <v>46247</v>
      </c>
      <c r="BF55" s="2"/>
      <c r="BG55" s="3"/>
      <c r="BH55" s="19"/>
      <c r="BI55" s="2"/>
      <c r="BJ55" s="3"/>
      <c r="BK55" s="18"/>
      <c r="BL55" s="2"/>
      <c r="BM55" s="2"/>
      <c r="BN55" s="2"/>
      <c r="BO55" s="2"/>
      <c r="BP55" s="2"/>
      <c r="BQ55" s="3"/>
    </row>
    <row r="56" ht="255.75" customHeight="1" spans="1:69">
      <c r="A56" s="17">
        <v>40</v>
      </c>
      <c r="B56" s="18" t="s">
        <v>475</v>
      </c>
      <c r="C56" s="2"/>
      <c r="D56" s="3"/>
      <c r="E56" s="18" t="s">
        <v>476</v>
      </c>
      <c r="F56" s="2"/>
      <c r="G56" s="2"/>
      <c r="H56" s="2"/>
      <c r="I56" s="3"/>
      <c r="J56" s="18" t="s">
        <v>477</v>
      </c>
      <c r="K56" s="2"/>
      <c r="L56" s="2"/>
      <c r="M56" s="2"/>
      <c r="N56" s="2"/>
      <c r="O56" s="2"/>
      <c r="P56" s="3"/>
      <c r="Q56" s="18" t="s">
        <v>478</v>
      </c>
      <c r="R56" s="2"/>
      <c r="S56" s="2"/>
      <c r="T56" s="2"/>
      <c r="U56" s="2"/>
      <c r="V56" s="2"/>
      <c r="W56" s="3"/>
      <c r="X56" s="18" t="s">
        <v>479</v>
      </c>
      <c r="Y56" s="2"/>
      <c r="Z56" s="2"/>
      <c r="AA56" s="2"/>
      <c r="AB56" s="2"/>
      <c r="AC56" s="2"/>
      <c r="AD56" s="3"/>
      <c r="AE56" s="19" t="s">
        <v>284</v>
      </c>
      <c r="AF56" s="3"/>
      <c r="AG56" s="19" t="s">
        <v>77</v>
      </c>
      <c r="AH56" s="2"/>
      <c r="AI56" s="3"/>
      <c r="AJ56" s="19"/>
      <c r="AK56" s="2"/>
      <c r="AL56" s="3"/>
      <c r="AM56" s="20" t="s">
        <v>285</v>
      </c>
      <c r="AN56" s="2"/>
      <c r="AO56" s="3"/>
      <c r="AP56" s="21">
        <v>46181</v>
      </c>
      <c r="AQ56" s="2"/>
      <c r="AR56" s="3"/>
      <c r="AS56" s="19"/>
      <c r="AT56" s="2"/>
      <c r="AU56" s="3"/>
      <c r="AV56" s="19" t="s">
        <v>77</v>
      </c>
      <c r="AW56" s="2"/>
      <c r="AX56" s="3"/>
      <c r="AY56" s="19"/>
      <c r="AZ56" s="2"/>
      <c r="BA56" s="3"/>
      <c r="BB56" s="19" t="s">
        <v>286</v>
      </c>
      <c r="BC56" s="2"/>
      <c r="BD56" s="3"/>
      <c r="BE56" s="21">
        <v>46247</v>
      </c>
      <c r="BF56" s="2"/>
      <c r="BG56" s="3"/>
      <c r="BH56" s="19"/>
      <c r="BI56" s="2"/>
      <c r="BJ56" s="3"/>
      <c r="BK56" s="18"/>
      <c r="BL56" s="2"/>
      <c r="BM56" s="2"/>
      <c r="BN56" s="2"/>
      <c r="BO56" s="2"/>
      <c r="BP56" s="2"/>
      <c r="BQ56" s="3"/>
    </row>
    <row r="57" ht="351.75" customHeight="1" spans="1:69">
      <c r="A57" s="17">
        <v>41</v>
      </c>
      <c r="B57" s="18" t="s">
        <v>480</v>
      </c>
      <c r="C57" s="2"/>
      <c r="D57" s="3"/>
      <c r="E57" s="18" t="s">
        <v>481</v>
      </c>
      <c r="F57" s="2"/>
      <c r="G57" s="2"/>
      <c r="H57" s="2"/>
      <c r="I57" s="3"/>
      <c r="J57" s="18" t="s">
        <v>482</v>
      </c>
      <c r="K57" s="2"/>
      <c r="L57" s="2"/>
      <c r="M57" s="2"/>
      <c r="N57" s="2"/>
      <c r="O57" s="2"/>
      <c r="P57" s="3"/>
      <c r="Q57" s="18" t="s">
        <v>483</v>
      </c>
      <c r="R57" s="2"/>
      <c r="S57" s="2"/>
      <c r="T57" s="2"/>
      <c r="U57" s="2"/>
      <c r="V57" s="2"/>
      <c r="W57" s="3"/>
      <c r="X57" s="18" t="s">
        <v>484</v>
      </c>
      <c r="Y57" s="2"/>
      <c r="Z57" s="2"/>
      <c r="AA57" s="2"/>
      <c r="AB57" s="2"/>
      <c r="AC57" s="2"/>
      <c r="AD57" s="3"/>
      <c r="AE57" s="19" t="s">
        <v>284</v>
      </c>
      <c r="AF57" s="3"/>
      <c r="AG57" s="19" t="s">
        <v>77</v>
      </c>
      <c r="AH57" s="2"/>
      <c r="AI57" s="3"/>
      <c r="AJ57" s="19"/>
      <c r="AK57" s="2"/>
      <c r="AL57" s="3"/>
      <c r="AM57" s="20" t="s">
        <v>285</v>
      </c>
      <c r="AN57" s="2"/>
      <c r="AO57" s="3"/>
      <c r="AP57" s="21">
        <v>46181</v>
      </c>
      <c r="AQ57" s="2"/>
      <c r="AR57" s="3"/>
      <c r="AS57" s="19"/>
      <c r="AT57" s="2"/>
      <c r="AU57" s="3"/>
      <c r="AV57" s="19" t="s">
        <v>77</v>
      </c>
      <c r="AW57" s="2"/>
      <c r="AX57" s="3"/>
      <c r="AY57" s="19"/>
      <c r="AZ57" s="2"/>
      <c r="BA57" s="3"/>
      <c r="BB57" s="19" t="s">
        <v>286</v>
      </c>
      <c r="BC57" s="2"/>
      <c r="BD57" s="3"/>
      <c r="BE57" s="21">
        <v>46247</v>
      </c>
      <c r="BF57" s="2"/>
      <c r="BG57" s="3"/>
      <c r="BH57" s="19"/>
      <c r="BI57" s="2"/>
      <c r="BJ57" s="3"/>
      <c r="BK57" s="18"/>
      <c r="BL57" s="2"/>
      <c r="BM57" s="2"/>
      <c r="BN57" s="2"/>
      <c r="BO57" s="2"/>
      <c r="BP57" s="2"/>
      <c r="BQ57" s="3"/>
    </row>
    <row r="58" ht="351.75" customHeight="1" spans="1:69">
      <c r="A58" s="17">
        <v>42</v>
      </c>
      <c r="B58" s="18" t="s">
        <v>485</v>
      </c>
      <c r="C58" s="2"/>
      <c r="D58" s="3"/>
      <c r="E58" s="18" t="s">
        <v>486</v>
      </c>
      <c r="F58" s="2"/>
      <c r="G58" s="2"/>
      <c r="H58" s="2"/>
      <c r="I58" s="3"/>
      <c r="J58" s="18" t="s">
        <v>487</v>
      </c>
      <c r="K58" s="2"/>
      <c r="L58" s="2"/>
      <c r="M58" s="2"/>
      <c r="N58" s="2"/>
      <c r="O58" s="2"/>
      <c r="P58" s="3"/>
      <c r="Q58" s="18" t="s">
        <v>488</v>
      </c>
      <c r="R58" s="2"/>
      <c r="S58" s="2"/>
      <c r="T58" s="2"/>
      <c r="U58" s="2"/>
      <c r="V58" s="2"/>
      <c r="W58" s="3"/>
      <c r="X58" s="18" t="s">
        <v>489</v>
      </c>
      <c r="Y58" s="2"/>
      <c r="Z58" s="2"/>
      <c r="AA58" s="2"/>
      <c r="AB58" s="2"/>
      <c r="AC58" s="2"/>
      <c r="AD58" s="3"/>
      <c r="AE58" s="19" t="s">
        <v>284</v>
      </c>
      <c r="AF58" s="3"/>
      <c r="AG58" s="19" t="s">
        <v>77</v>
      </c>
      <c r="AH58" s="2"/>
      <c r="AI58" s="3"/>
      <c r="AJ58" s="19"/>
      <c r="AK58" s="2"/>
      <c r="AL58" s="3"/>
      <c r="AM58" s="20" t="s">
        <v>285</v>
      </c>
      <c r="AN58" s="2"/>
      <c r="AO58" s="3"/>
      <c r="AP58" s="21">
        <v>46181</v>
      </c>
      <c r="AQ58" s="2"/>
      <c r="AR58" s="3"/>
      <c r="AS58" s="19"/>
      <c r="AT58" s="2"/>
      <c r="AU58" s="3"/>
      <c r="AV58" s="19" t="s">
        <v>77</v>
      </c>
      <c r="AW58" s="2"/>
      <c r="AX58" s="3"/>
      <c r="AY58" s="19"/>
      <c r="AZ58" s="2"/>
      <c r="BA58" s="3"/>
      <c r="BB58" s="19" t="s">
        <v>286</v>
      </c>
      <c r="BC58" s="2"/>
      <c r="BD58" s="3"/>
      <c r="BE58" s="21">
        <v>46247</v>
      </c>
      <c r="BF58" s="2"/>
      <c r="BG58" s="3"/>
      <c r="BH58" s="19"/>
      <c r="BI58" s="2"/>
      <c r="BJ58" s="3"/>
      <c r="BK58" s="18"/>
      <c r="BL58" s="2"/>
      <c r="BM58" s="2"/>
      <c r="BN58" s="2"/>
      <c r="BO58" s="2"/>
      <c r="BP58" s="2"/>
      <c r="BQ58" s="3"/>
    </row>
    <row r="59" ht="399.75" customHeight="1" spans="1:69">
      <c r="A59" s="17">
        <v>43</v>
      </c>
      <c r="B59" s="18" t="s">
        <v>490</v>
      </c>
      <c r="C59" s="2"/>
      <c r="D59" s="3"/>
      <c r="E59" s="18" t="s">
        <v>491</v>
      </c>
      <c r="F59" s="2"/>
      <c r="G59" s="2"/>
      <c r="H59" s="2"/>
      <c r="I59" s="3"/>
      <c r="J59" s="18" t="s">
        <v>492</v>
      </c>
      <c r="K59" s="2"/>
      <c r="L59" s="2"/>
      <c r="M59" s="2"/>
      <c r="N59" s="2"/>
      <c r="O59" s="2"/>
      <c r="P59" s="3"/>
      <c r="Q59" s="18" t="s">
        <v>493</v>
      </c>
      <c r="R59" s="2"/>
      <c r="S59" s="2"/>
      <c r="T59" s="2"/>
      <c r="U59" s="2"/>
      <c r="V59" s="2"/>
      <c r="W59" s="3"/>
      <c r="X59" s="18" t="s">
        <v>494</v>
      </c>
      <c r="Y59" s="2"/>
      <c r="Z59" s="2"/>
      <c r="AA59" s="2"/>
      <c r="AB59" s="2"/>
      <c r="AC59" s="2"/>
      <c r="AD59" s="3"/>
      <c r="AE59" s="19" t="s">
        <v>284</v>
      </c>
      <c r="AF59" s="3"/>
      <c r="AG59" s="19" t="s">
        <v>77</v>
      </c>
      <c r="AH59" s="2"/>
      <c r="AI59" s="3"/>
      <c r="AJ59" s="19"/>
      <c r="AK59" s="2"/>
      <c r="AL59" s="3"/>
      <c r="AM59" s="20" t="s">
        <v>285</v>
      </c>
      <c r="AN59" s="2"/>
      <c r="AO59" s="3"/>
      <c r="AP59" s="21">
        <v>46181</v>
      </c>
      <c r="AQ59" s="2"/>
      <c r="AR59" s="3"/>
      <c r="AS59" s="19"/>
      <c r="AT59" s="2"/>
      <c r="AU59" s="3"/>
      <c r="AV59" s="19" t="s">
        <v>77</v>
      </c>
      <c r="AW59" s="2"/>
      <c r="AX59" s="3"/>
      <c r="AY59" s="19"/>
      <c r="AZ59" s="2"/>
      <c r="BA59" s="3"/>
      <c r="BB59" s="19" t="s">
        <v>286</v>
      </c>
      <c r="BC59" s="2"/>
      <c r="BD59" s="3"/>
      <c r="BE59" s="21">
        <v>46247</v>
      </c>
      <c r="BF59" s="2"/>
      <c r="BG59" s="3"/>
      <c r="BH59" s="19"/>
      <c r="BI59" s="2"/>
      <c r="BJ59" s="3"/>
      <c r="BK59" s="18"/>
      <c r="BL59" s="2"/>
      <c r="BM59" s="2"/>
      <c r="BN59" s="2"/>
      <c r="BO59" s="2"/>
      <c r="BP59" s="2"/>
      <c r="BQ59" s="3"/>
    </row>
    <row r="60" ht="336" customHeight="1" spans="1:69">
      <c r="A60" s="17">
        <v>44</v>
      </c>
      <c r="B60" s="18" t="s">
        <v>495</v>
      </c>
      <c r="C60" s="2"/>
      <c r="D60" s="3"/>
      <c r="E60" s="18" t="s">
        <v>496</v>
      </c>
      <c r="F60" s="2"/>
      <c r="G60" s="2"/>
      <c r="H60" s="2"/>
      <c r="I60" s="3"/>
      <c r="J60" s="18" t="s">
        <v>497</v>
      </c>
      <c r="K60" s="2"/>
      <c r="L60" s="2"/>
      <c r="M60" s="2"/>
      <c r="N60" s="2"/>
      <c r="O60" s="2"/>
      <c r="P60" s="3"/>
      <c r="Q60" s="18" t="s">
        <v>498</v>
      </c>
      <c r="R60" s="2"/>
      <c r="S60" s="2"/>
      <c r="T60" s="2"/>
      <c r="U60" s="2"/>
      <c r="V60" s="2"/>
      <c r="W60" s="3"/>
      <c r="X60" s="18" t="s">
        <v>499</v>
      </c>
      <c r="Y60" s="2"/>
      <c r="Z60" s="2"/>
      <c r="AA60" s="2"/>
      <c r="AB60" s="2"/>
      <c r="AC60" s="2"/>
      <c r="AD60" s="3"/>
      <c r="AE60" s="19" t="s">
        <v>284</v>
      </c>
      <c r="AF60" s="3"/>
      <c r="AG60" s="19" t="s">
        <v>77</v>
      </c>
      <c r="AH60" s="2"/>
      <c r="AI60" s="3"/>
      <c r="AJ60" s="19"/>
      <c r="AK60" s="2"/>
      <c r="AL60" s="3"/>
      <c r="AM60" s="20" t="s">
        <v>285</v>
      </c>
      <c r="AN60" s="2"/>
      <c r="AO60" s="3"/>
      <c r="AP60" s="21">
        <v>46181</v>
      </c>
      <c r="AQ60" s="2"/>
      <c r="AR60" s="3"/>
      <c r="AS60" s="19"/>
      <c r="AT60" s="2"/>
      <c r="AU60" s="3"/>
      <c r="AV60" s="19" t="s">
        <v>77</v>
      </c>
      <c r="AW60" s="2"/>
      <c r="AX60" s="3"/>
      <c r="AY60" s="19"/>
      <c r="AZ60" s="2"/>
      <c r="BA60" s="3"/>
      <c r="BB60" s="19" t="s">
        <v>286</v>
      </c>
      <c r="BC60" s="2"/>
      <c r="BD60" s="3"/>
      <c r="BE60" s="21">
        <v>46247</v>
      </c>
      <c r="BF60" s="2"/>
      <c r="BG60" s="3"/>
      <c r="BH60" s="19"/>
      <c r="BI60" s="2"/>
      <c r="BJ60" s="3"/>
      <c r="BK60" s="18"/>
      <c r="BL60" s="2"/>
      <c r="BM60" s="2"/>
      <c r="BN60" s="2"/>
      <c r="BO60" s="2"/>
      <c r="BP60" s="2"/>
      <c r="BQ60" s="3"/>
    </row>
    <row r="61" ht="409.5" customHeight="1" spans="1:69">
      <c r="A61" s="17">
        <v>45</v>
      </c>
      <c r="B61" s="18" t="s">
        <v>500</v>
      </c>
      <c r="C61" s="2"/>
      <c r="D61" s="3"/>
      <c r="E61" s="18" t="s">
        <v>501</v>
      </c>
      <c r="F61" s="2"/>
      <c r="G61" s="2"/>
      <c r="H61" s="2"/>
      <c r="I61" s="3"/>
      <c r="J61" s="18" t="s">
        <v>502</v>
      </c>
      <c r="K61" s="2"/>
      <c r="L61" s="2"/>
      <c r="M61" s="2"/>
      <c r="N61" s="2"/>
      <c r="O61" s="2"/>
      <c r="P61" s="3"/>
      <c r="Q61" s="18" t="s">
        <v>503</v>
      </c>
      <c r="R61" s="2"/>
      <c r="S61" s="2"/>
      <c r="T61" s="2"/>
      <c r="U61" s="2"/>
      <c r="V61" s="2"/>
      <c r="W61" s="3"/>
      <c r="X61" s="18" t="s">
        <v>504</v>
      </c>
      <c r="Y61" s="2"/>
      <c r="Z61" s="2"/>
      <c r="AA61" s="2"/>
      <c r="AB61" s="2"/>
      <c r="AC61" s="2"/>
      <c r="AD61" s="3"/>
      <c r="AE61" s="19" t="s">
        <v>284</v>
      </c>
      <c r="AF61" s="3"/>
      <c r="AG61" s="19" t="s">
        <v>77</v>
      </c>
      <c r="AH61" s="2"/>
      <c r="AI61" s="3"/>
      <c r="AJ61" s="19"/>
      <c r="AK61" s="2"/>
      <c r="AL61" s="3"/>
      <c r="AM61" s="20" t="s">
        <v>285</v>
      </c>
      <c r="AN61" s="2"/>
      <c r="AO61" s="3"/>
      <c r="AP61" s="21">
        <v>46181</v>
      </c>
      <c r="AQ61" s="2"/>
      <c r="AR61" s="3"/>
      <c r="AS61" s="19"/>
      <c r="AT61" s="2"/>
      <c r="AU61" s="3"/>
      <c r="AV61" s="19" t="s">
        <v>77</v>
      </c>
      <c r="AW61" s="2"/>
      <c r="AX61" s="3"/>
      <c r="AY61" s="19"/>
      <c r="AZ61" s="2"/>
      <c r="BA61" s="3"/>
      <c r="BB61" s="19" t="s">
        <v>286</v>
      </c>
      <c r="BC61" s="2"/>
      <c r="BD61" s="3"/>
      <c r="BE61" s="21">
        <v>46247</v>
      </c>
      <c r="BF61" s="2"/>
      <c r="BG61" s="3"/>
      <c r="BH61" s="19"/>
      <c r="BI61" s="2"/>
      <c r="BJ61" s="3"/>
      <c r="BK61" s="18"/>
      <c r="BL61" s="2"/>
      <c r="BM61" s="2"/>
      <c r="BN61" s="2"/>
      <c r="BO61" s="2"/>
      <c r="BP61" s="2"/>
      <c r="BQ61" s="3"/>
    </row>
    <row r="62" ht="319.5" customHeight="1" spans="1:69">
      <c r="A62" s="17">
        <v>46</v>
      </c>
      <c r="B62" s="18" t="s">
        <v>505</v>
      </c>
      <c r="C62" s="2"/>
      <c r="D62" s="3"/>
      <c r="E62" s="18" t="s">
        <v>506</v>
      </c>
      <c r="F62" s="2"/>
      <c r="G62" s="2"/>
      <c r="H62" s="2"/>
      <c r="I62" s="3"/>
      <c r="J62" s="18" t="s">
        <v>507</v>
      </c>
      <c r="K62" s="2"/>
      <c r="L62" s="2"/>
      <c r="M62" s="2"/>
      <c r="N62" s="2"/>
      <c r="O62" s="2"/>
      <c r="P62" s="3"/>
      <c r="Q62" s="18" t="s">
        <v>508</v>
      </c>
      <c r="R62" s="2"/>
      <c r="S62" s="2"/>
      <c r="T62" s="2"/>
      <c r="U62" s="2"/>
      <c r="V62" s="2"/>
      <c r="W62" s="3"/>
      <c r="X62" s="18" t="s">
        <v>509</v>
      </c>
      <c r="Y62" s="2"/>
      <c r="Z62" s="2"/>
      <c r="AA62" s="2"/>
      <c r="AB62" s="2"/>
      <c r="AC62" s="2"/>
      <c r="AD62" s="3"/>
      <c r="AE62" s="19" t="s">
        <v>284</v>
      </c>
      <c r="AF62" s="3"/>
      <c r="AG62" s="19" t="s">
        <v>77</v>
      </c>
      <c r="AH62" s="2"/>
      <c r="AI62" s="3"/>
      <c r="AJ62" s="19"/>
      <c r="AK62" s="2"/>
      <c r="AL62" s="3"/>
      <c r="AM62" s="20" t="s">
        <v>285</v>
      </c>
      <c r="AN62" s="2"/>
      <c r="AO62" s="3"/>
      <c r="AP62" s="21">
        <v>46181</v>
      </c>
      <c r="AQ62" s="2"/>
      <c r="AR62" s="3"/>
      <c r="AS62" s="19"/>
      <c r="AT62" s="2"/>
      <c r="AU62" s="3"/>
      <c r="AV62" s="19" t="s">
        <v>77</v>
      </c>
      <c r="AW62" s="2"/>
      <c r="AX62" s="3"/>
      <c r="AY62" s="19"/>
      <c r="AZ62" s="2"/>
      <c r="BA62" s="3"/>
      <c r="BB62" s="19" t="s">
        <v>286</v>
      </c>
      <c r="BC62" s="2"/>
      <c r="BD62" s="3"/>
      <c r="BE62" s="21">
        <v>46247</v>
      </c>
      <c r="BF62" s="2"/>
      <c r="BG62" s="3"/>
      <c r="BH62" s="19"/>
      <c r="BI62" s="2"/>
      <c r="BJ62" s="3"/>
      <c r="BK62" s="18"/>
      <c r="BL62" s="2"/>
      <c r="BM62" s="2"/>
      <c r="BN62" s="2"/>
      <c r="BO62" s="2"/>
      <c r="BP62" s="2"/>
      <c r="BQ62" s="3"/>
    </row>
    <row r="63" ht="240" customHeight="1" spans="1:69">
      <c r="A63" s="17">
        <v>47</v>
      </c>
      <c r="B63" s="18" t="s">
        <v>510</v>
      </c>
      <c r="C63" s="2"/>
      <c r="D63" s="3"/>
      <c r="E63" s="18" t="s">
        <v>511</v>
      </c>
      <c r="F63" s="2"/>
      <c r="G63" s="2"/>
      <c r="H63" s="2"/>
      <c r="I63" s="3"/>
      <c r="J63" s="18" t="s">
        <v>507</v>
      </c>
      <c r="K63" s="2"/>
      <c r="L63" s="2"/>
      <c r="M63" s="2"/>
      <c r="N63" s="2"/>
      <c r="O63" s="2"/>
      <c r="P63" s="3"/>
      <c r="Q63" s="18" t="s">
        <v>512</v>
      </c>
      <c r="R63" s="2"/>
      <c r="S63" s="2"/>
      <c r="T63" s="2"/>
      <c r="U63" s="2"/>
      <c r="V63" s="2"/>
      <c r="W63" s="3"/>
      <c r="X63" s="18" t="s">
        <v>513</v>
      </c>
      <c r="Y63" s="2"/>
      <c r="Z63" s="2"/>
      <c r="AA63" s="2"/>
      <c r="AB63" s="2"/>
      <c r="AC63" s="2"/>
      <c r="AD63" s="3"/>
      <c r="AE63" s="19" t="s">
        <v>284</v>
      </c>
      <c r="AF63" s="3"/>
      <c r="AG63" s="19" t="s">
        <v>77</v>
      </c>
      <c r="AH63" s="2"/>
      <c r="AI63" s="3"/>
      <c r="AJ63" s="19"/>
      <c r="AK63" s="2"/>
      <c r="AL63" s="3"/>
      <c r="AM63" s="20" t="s">
        <v>285</v>
      </c>
      <c r="AN63" s="2"/>
      <c r="AO63" s="3"/>
      <c r="AP63" s="21">
        <v>46181</v>
      </c>
      <c r="AQ63" s="2"/>
      <c r="AR63" s="3"/>
      <c r="AS63" s="19"/>
      <c r="AT63" s="2"/>
      <c r="AU63" s="3"/>
      <c r="AV63" s="19" t="s">
        <v>77</v>
      </c>
      <c r="AW63" s="2"/>
      <c r="AX63" s="3"/>
      <c r="AY63" s="19"/>
      <c r="AZ63" s="2"/>
      <c r="BA63" s="3"/>
      <c r="BB63" s="19" t="s">
        <v>286</v>
      </c>
      <c r="BC63" s="2"/>
      <c r="BD63" s="3"/>
      <c r="BE63" s="21">
        <v>46247</v>
      </c>
      <c r="BF63" s="2"/>
      <c r="BG63" s="3"/>
      <c r="BH63" s="19"/>
      <c r="BI63" s="2"/>
      <c r="BJ63" s="3"/>
      <c r="BK63" s="18"/>
      <c r="BL63" s="2"/>
      <c r="BM63" s="2"/>
      <c r="BN63" s="2"/>
      <c r="BO63" s="2"/>
      <c r="BP63" s="2"/>
      <c r="BQ63" s="3"/>
    </row>
    <row r="64" ht="22.5" customHeight="1" spans="1:69">
      <c r="A64" s="16" t="s">
        <v>514</v>
      </c>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3"/>
    </row>
    <row r="65" ht="399.75" customHeight="1" spans="1:69">
      <c r="A65" s="17">
        <v>48</v>
      </c>
      <c r="B65" s="18" t="s">
        <v>515</v>
      </c>
      <c r="C65" s="2"/>
      <c r="D65" s="3"/>
      <c r="E65" s="18" t="s">
        <v>516</v>
      </c>
      <c r="F65" s="2"/>
      <c r="G65" s="2"/>
      <c r="H65" s="2"/>
      <c r="I65" s="3"/>
      <c r="J65" s="18" t="s">
        <v>517</v>
      </c>
      <c r="K65" s="2"/>
      <c r="L65" s="2"/>
      <c r="M65" s="2"/>
      <c r="N65" s="2"/>
      <c r="O65" s="2"/>
      <c r="P65" s="3"/>
      <c r="Q65" s="18" t="s">
        <v>518</v>
      </c>
      <c r="R65" s="2"/>
      <c r="S65" s="2"/>
      <c r="T65" s="2"/>
      <c r="U65" s="2"/>
      <c r="V65" s="2"/>
      <c r="W65" s="3"/>
      <c r="X65" s="18" t="s">
        <v>519</v>
      </c>
      <c r="Y65" s="2"/>
      <c r="Z65" s="2"/>
      <c r="AA65" s="2"/>
      <c r="AB65" s="2"/>
      <c r="AC65" s="2"/>
      <c r="AD65" s="3"/>
      <c r="AE65" s="19" t="s">
        <v>284</v>
      </c>
      <c r="AF65" s="3"/>
      <c r="AG65" s="19" t="s">
        <v>77</v>
      </c>
      <c r="AH65" s="2"/>
      <c r="AI65" s="3"/>
      <c r="AJ65" s="19"/>
      <c r="AK65" s="2"/>
      <c r="AL65" s="3"/>
      <c r="AM65" s="20" t="s">
        <v>285</v>
      </c>
      <c r="AN65" s="2"/>
      <c r="AO65" s="3"/>
      <c r="AP65" s="21">
        <v>46181</v>
      </c>
      <c r="AQ65" s="2"/>
      <c r="AR65" s="3"/>
      <c r="AS65" s="19"/>
      <c r="AT65" s="2"/>
      <c r="AU65" s="3"/>
      <c r="AV65" s="19" t="s">
        <v>77</v>
      </c>
      <c r="AW65" s="2"/>
      <c r="AX65" s="3"/>
      <c r="AY65" s="19"/>
      <c r="AZ65" s="2"/>
      <c r="BA65" s="3"/>
      <c r="BB65" s="19" t="s">
        <v>286</v>
      </c>
      <c r="BC65" s="2"/>
      <c r="BD65" s="3"/>
      <c r="BE65" s="21">
        <v>46247</v>
      </c>
      <c r="BF65" s="2"/>
      <c r="BG65" s="3"/>
      <c r="BH65" s="19"/>
      <c r="BI65" s="2"/>
      <c r="BJ65" s="3"/>
      <c r="BK65" s="18"/>
      <c r="BL65" s="2"/>
      <c r="BM65" s="2"/>
      <c r="BN65" s="2"/>
      <c r="BO65" s="2"/>
      <c r="BP65" s="2"/>
      <c r="BQ65" s="3"/>
    </row>
    <row r="66" ht="271.5" customHeight="1" spans="1:69">
      <c r="A66" s="17">
        <v>49</v>
      </c>
      <c r="B66" s="18" t="s">
        <v>520</v>
      </c>
      <c r="C66" s="2"/>
      <c r="D66" s="3"/>
      <c r="E66" s="18" t="s">
        <v>521</v>
      </c>
      <c r="F66" s="2"/>
      <c r="G66" s="2"/>
      <c r="H66" s="2"/>
      <c r="I66" s="3"/>
      <c r="J66" s="18" t="s">
        <v>522</v>
      </c>
      <c r="K66" s="2"/>
      <c r="L66" s="2"/>
      <c r="M66" s="2"/>
      <c r="N66" s="2"/>
      <c r="O66" s="2"/>
      <c r="P66" s="3"/>
      <c r="Q66" s="18" t="s">
        <v>523</v>
      </c>
      <c r="R66" s="2"/>
      <c r="S66" s="2"/>
      <c r="T66" s="2"/>
      <c r="U66" s="2"/>
      <c r="V66" s="2"/>
      <c r="W66" s="3"/>
      <c r="X66" s="18" t="s">
        <v>524</v>
      </c>
      <c r="Y66" s="2"/>
      <c r="Z66" s="2"/>
      <c r="AA66" s="2"/>
      <c r="AB66" s="2"/>
      <c r="AC66" s="2"/>
      <c r="AD66" s="3"/>
      <c r="AE66" s="19" t="s">
        <v>284</v>
      </c>
      <c r="AF66" s="3"/>
      <c r="AG66" s="19" t="s">
        <v>77</v>
      </c>
      <c r="AH66" s="2"/>
      <c r="AI66" s="3"/>
      <c r="AJ66" s="19"/>
      <c r="AK66" s="2"/>
      <c r="AL66" s="3"/>
      <c r="AM66" s="20" t="s">
        <v>285</v>
      </c>
      <c r="AN66" s="2"/>
      <c r="AO66" s="3"/>
      <c r="AP66" s="21">
        <v>46181</v>
      </c>
      <c r="AQ66" s="2"/>
      <c r="AR66" s="3"/>
      <c r="AS66" s="19"/>
      <c r="AT66" s="2"/>
      <c r="AU66" s="3"/>
      <c r="AV66" s="19" t="s">
        <v>77</v>
      </c>
      <c r="AW66" s="2"/>
      <c r="AX66" s="3"/>
      <c r="AY66" s="19"/>
      <c r="AZ66" s="2"/>
      <c r="BA66" s="3"/>
      <c r="BB66" s="19" t="s">
        <v>286</v>
      </c>
      <c r="BC66" s="2"/>
      <c r="BD66" s="3"/>
      <c r="BE66" s="21">
        <v>46247</v>
      </c>
      <c r="BF66" s="2"/>
      <c r="BG66" s="3"/>
      <c r="BH66" s="19"/>
      <c r="BI66" s="2"/>
      <c r="BJ66" s="3"/>
      <c r="BK66" s="18"/>
      <c r="BL66" s="2"/>
      <c r="BM66" s="2"/>
      <c r="BN66" s="2"/>
      <c r="BO66" s="2"/>
      <c r="BP66" s="2"/>
      <c r="BQ66" s="3"/>
    </row>
    <row r="67" ht="336" customHeight="1" spans="1:69">
      <c r="A67" s="17">
        <v>50</v>
      </c>
      <c r="B67" s="18" t="s">
        <v>525</v>
      </c>
      <c r="C67" s="2"/>
      <c r="D67" s="3"/>
      <c r="E67" s="18" t="s">
        <v>526</v>
      </c>
      <c r="F67" s="2"/>
      <c r="G67" s="2"/>
      <c r="H67" s="2"/>
      <c r="I67" s="3"/>
      <c r="J67" s="18" t="s">
        <v>527</v>
      </c>
      <c r="K67" s="2"/>
      <c r="L67" s="2"/>
      <c r="M67" s="2"/>
      <c r="N67" s="2"/>
      <c r="O67" s="2"/>
      <c r="P67" s="3"/>
      <c r="Q67" s="18" t="s">
        <v>528</v>
      </c>
      <c r="R67" s="2"/>
      <c r="S67" s="2"/>
      <c r="T67" s="2"/>
      <c r="U67" s="2"/>
      <c r="V67" s="2"/>
      <c r="W67" s="3"/>
      <c r="X67" s="18" t="s">
        <v>529</v>
      </c>
      <c r="Y67" s="2"/>
      <c r="Z67" s="2"/>
      <c r="AA67" s="2"/>
      <c r="AB67" s="2"/>
      <c r="AC67" s="2"/>
      <c r="AD67" s="3"/>
      <c r="AE67" s="19" t="s">
        <v>284</v>
      </c>
      <c r="AF67" s="3"/>
      <c r="AG67" s="19" t="s">
        <v>77</v>
      </c>
      <c r="AH67" s="2"/>
      <c r="AI67" s="3"/>
      <c r="AJ67" s="19"/>
      <c r="AK67" s="2"/>
      <c r="AL67" s="3"/>
      <c r="AM67" s="20" t="s">
        <v>285</v>
      </c>
      <c r="AN67" s="2"/>
      <c r="AO67" s="3"/>
      <c r="AP67" s="21">
        <v>46181</v>
      </c>
      <c r="AQ67" s="2"/>
      <c r="AR67" s="3"/>
      <c r="AS67" s="19"/>
      <c r="AT67" s="2"/>
      <c r="AU67" s="3"/>
      <c r="AV67" s="19" t="s">
        <v>77</v>
      </c>
      <c r="AW67" s="2"/>
      <c r="AX67" s="3"/>
      <c r="AY67" s="19"/>
      <c r="AZ67" s="2"/>
      <c r="BA67" s="3"/>
      <c r="BB67" s="19" t="s">
        <v>286</v>
      </c>
      <c r="BC67" s="2"/>
      <c r="BD67" s="3"/>
      <c r="BE67" s="21">
        <v>46247</v>
      </c>
      <c r="BF67" s="2"/>
      <c r="BG67" s="3"/>
      <c r="BH67" s="19"/>
      <c r="BI67" s="2"/>
      <c r="BJ67" s="3"/>
      <c r="BK67" s="18"/>
      <c r="BL67" s="2"/>
      <c r="BM67" s="2"/>
      <c r="BN67" s="2"/>
      <c r="BO67" s="2"/>
      <c r="BP67" s="2"/>
      <c r="BQ67" s="3"/>
    </row>
    <row r="68" ht="288" customHeight="1" spans="1:69">
      <c r="A68" s="17">
        <v>51</v>
      </c>
      <c r="B68" s="18" t="s">
        <v>530</v>
      </c>
      <c r="C68" s="2"/>
      <c r="D68" s="3"/>
      <c r="E68" s="18" t="s">
        <v>531</v>
      </c>
      <c r="F68" s="2"/>
      <c r="G68" s="2"/>
      <c r="H68" s="2"/>
      <c r="I68" s="3"/>
      <c r="J68" s="18" t="s">
        <v>532</v>
      </c>
      <c r="K68" s="2"/>
      <c r="L68" s="2"/>
      <c r="M68" s="2"/>
      <c r="N68" s="2"/>
      <c r="O68" s="2"/>
      <c r="P68" s="3"/>
      <c r="Q68" s="18" t="s">
        <v>533</v>
      </c>
      <c r="R68" s="2"/>
      <c r="S68" s="2"/>
      <c r="T68" s="2"/>
      <c r="U68" s="2"/>
      <c r="V68" s="2"/>
      <c r="W68" s="3"/>
      <c r="X68" s="18" t="s">
        <v>534</v>
      </c>
      <c r="Y68" s="2"/>
      <c r="Z68" s="2"/>
      <c r="AA68" s="2"/>
      <c r="AB68" s="2"/>
      <c r="AC68" s="2"/>
      <c r="AD68" s="3"/>
      <c r="AE68" s="19" t="s">
        <v>284</v>
      </c>
      <c r="AF68" s="3"/>
      <c r="AG68" s="19" t="s">
        <v>77</v>
      </c>
      <c r="AH68" s="2"/>
      <c r="AI68" s="3"/>
      <c r="AJ68" s="19"/>
      <c r="AK68" s="2"/>
      <c r="AL68" s="3"/>
      <c r="AM68" s="20" t="s">
        <v>285</v>
      </c>
      <c r="AN68" s="2"/>
      <c r="AO68" s="3"/>
      <c r="AP68" s="21">
        <v>46181</v>
      </c>
      <c r="AQ68" s="2"/>
      <c r="AR68" s="3"/>
      <c r="AS68" s="19"/>
      <c r="AT68" s="2"/>
      <c r="AU68" s="3"/>
      <c r="AV68" s="19" t="s">
        <v>77</v>
      </c>
      <c r="AW68" s="2"/>
      <c r="AX68" s="3"/>
      <c r="AY68" s="19"/>
      <c r="AZ68" s="2"/>
      <c r="BA68" s="3"/>
      <c r="BB68" s="19" t="s">
        <v>286</v>
      </c>
      <c r="BC68" s="2"/>
      <c r="BD68" s="3"/>
      <c r="BE68" s="21">
        <v>46247</v>
      </c>
      <c r="BF68" s="2"/>
      <c r="BG68" s="3"/>
      <c r="BH68" s="19"/>
      <c r="BI68" s="2"/>
      <c r="BJ68" s="3"/>
      <c r="BK68" s="18"/>
      <c r="BL68" s="2"/>
      <c r="BM68" s="2"/>
      <c r="BN68" s="2"/>
      <c r="BO68" s="2"/>
      <c r="BP68" s="2"/>
      <c r="BQ68" s="3"/>
    </row>
    <row r="69" ht="240" customHeight="1" spans="1:69">
      <c r="A69" s="17">
        <v>52</v>
      </c>
      <c r="B69" s="18" t="s">
        <v>535</v>
      </c>
      <c r="C69" s="2"/>
      <c r="D69" s="3"/>
      <c r="E69" s="18" t="s">
        <v>536</v>
      </c>
      <c r="F69" s="2"/>
      <c r="G69" s="2"/>
      <c r="H69" s="2"/>
      <c r="I69" s="3"/>
      <c r="J69" s="18" t="s">
        <v>355</v>
      </c>
      <c r="K69" s="2"/>
      <c r="L69" s="2"/>
      <c r="M69" s="2"/>
      <c r="N69" s="2"/>
      <c r="O69" s="2"/>
      <c r="P69" s="3"/>
      <c r="Q69" s="18" t="s">
        <v>537</v>
      </c>
      <c r="R69" s="2"/>
      <c r="S69" s="2"/>
      <c r="T69" s="2"/>
      <c r="U69" s="2"/>
      <c r="V69" s="2"/>
      <c r="W69" s="3"/>
      <c r="X69" s="18" t="s">
        <v>538</v>
      </c>
      <c r="Y69" s="2"/>
      <c r="Z69" s="2"/>
      <c r="AA69" s="2"/>
      <c r="AB69" s="2"/>
      <c r="AC69" s="2"/>
      <c r="AD69" s="3"/>
      <c r="AE69" s="19" t="s">
        <v>227</v>
      </c>
      <c r="AF69" s="3"/>
      <c r="AG69" s="19" t="s">
        <v>77</v>
      </c>
      <c r="AH69" s="2"/>
      <c r="AI69" s="3"/>
      <c r="AJ69" s="19"/>
      <c r="AK69" s="2"/>
      <c r="AL69" s="3"/>
      <c r="AM69" s="20" t="s">
        <v>285</v>
      </c>
      <c r="AN69" s="2"/>
      <c r="AO69" s="3"/>
      <c r="AP69" s="21">
        <v>46181</v>
      </c>
      <c r="AQ69" s="2"/>
      <c r="AR69" s="3"/>
      <c r="AS69" s="19"/>
      <c r="AT69" s="2"/>
      <c r="AU69" s="3"/>
      <c r="AV69" s="19" t="s">
        <v>77</v>
      </c>
      <c r="AW69" s="2"/>
      <c r="AX69" s="3"/>
      <c r="AY69" s="19"/>
      <c r="AZ69" s="2"/>
      <c r="BA69" s="3"/>
      <c r="BB69" s="19" t="s">
        <v>286</v>
      </c>
      <c r="BC69" s="2"/>
      <c r="BD69" s="3"/>
      <c r="BE69" s="21">
        <v>46247</v>
      </c>
      <c r="BF69" s="2"/>
      <c r="BG69" s="3"/>
      <c r="BH69" s="19"/>
      <c r="BI69" s="2"/>
      <c r="BJ69" s="3"/>
      <c r="BK69" s="18"/>
      <c r="BL69" s="2"/>
      <c r="BM69" s="2"/>
      <c r="BN69" s="2"/>
      <c r="BO69" s="2"/>
      <c r="BP69" s="2"/>
      <c r="BQ69" s="3"/>
    </row>
    <row r="70" ht="367.5" customHeight="1" spans="1:69">
      <c r="A70" s="17">
        <v>53</v>
      </c>
      <c r="B70" s="18" t="s">
        <v>539</v>
      </c>
      <c r="C70" s="2"/>
      <c r="D70" s="3"/>
      <c r="E70" s="18" t="s">
        <v>540</v>
      </c>
      <c r="F70" s="2"/>
      <c r="G70" s="2"/>
      <c r="H70" s="2"/>
      <c r="I70" s="3"/>
      <c r="J70" s="18" t="s">
        <v>541</v>
      </c>
      <c r="K70" s="2"/>
      <c r="L70" s="2"/>
      <c r="M70" s="2"/>
      <c r="N70" s="2"/>
      <c r="O70" s="2"/>
      <c r="P70" s="3"/>
      <c r="Q70" s="18" t="s">
        <v>542</v>
      </c>
      <c r="R70" s="2"/>
      <c r="S70" s="2"/>
      <c r="T70" s="2"/>
      <c r="U70" s="2"/>
      <c r="V70" s="2"/>
      <c r="W70" s="3"/>
      <c r="X70" s="18" t="s">
        <v>543</v>
      </c>
      <c r="Y70" s="2"/>
      <c r="Z70" s="2"/>
      <c r="AA70" s="2"/>
      <c r="AB70" s="2"/>
      <c r="AC70" s="2"/>
      <c r="AD70" s="3"/>
      <c r="AE70" s="19" t="s">
        <v>227</v>
      </c>
      <c r="AF70" s="3"/>
      <c r="AG70" s="19" t="s">
        <v>77</v>
      </c>
      <c r="AH70" s="2"/>
      <c r="AI70" s="3"/>
      <c r="AJ70" s="19"/>
      <c r="AK70" s="2"/>
      <c r="AL70" s="3"/>
      <c r="AM70" s="20" t="s">
        <v>285</v>
      </c>
      <c r="AN70" s="2"/>
      <c r="AO70" s="3"/>
      <c r="AP70" s="21">
        <v>46181</v>
      </c>
      <c r="AQ70" s="2"/>
      <c r="AR70" s="3"/>
      <c r="AS70" s="19"/>
      <c r="AT70" s="2"/>
      <c r="AU70" s="3"/>
      <c r="AV70" s="19" t="s">
        <v>77</v>
      </c>
      <c r="AW70" s="2"/>
      <c r="AX70" s="3"/>
      <c r="AY70" s="19"/>
      <c r="AZ70" s="2"/>
      <c r="BA70" s="3"/>
      <c r="BB70" s="19" t="s">
        <v>286</v>
      </c>
      <c r="BC70" s="2"/>
      <c r="BD70" s="3"/>
      <c r="BE70" s="21">
        <v>46247</v>
      </c>
      <c r="BF70" s="2"/>
      <c r="BG70" s="3"/>
      <c r="BH70" s="19"/>
      <c r="BI70" s="2"/>
      <c r="BJ70" s="3"/>
      <c r="BK70" s="18"/>
      <c r="BL70" s="2"/>
      <c r="BM70" s="2"/>
      <c r="BN70" s="2"/>
      <c r="BO70" s="2"/>
      <c r="BP70" s="2"/>
      <c r="BQ70" s="3"/>
    </row>
    <row r="71" ht="22.5" customHeight="1" spans="1:69">
      <c r="A71" s="16" t="s">
        <v>544</v>
      </c>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3"/>
    </row>
    <row r="72" ht="18.75" spans="1:69">
      <c r="A72" s="17">
        <v>54</v>
      </c>
      <c r="B72" s="18" t="s">
        <v>545</v>
      </c>
      <c r="C72" s="2"/>
      <c r="D72" s="3"/>
      <c r="E72" s="18" t="s">
        <v>546</v>
      </c>
      <c r="F72" s="2"/>
      <c r="G72" s="2"/>
      <c r="H72" s="2"/>
      <c r="I72" s="3"/>
      <c r="J72" s="18" t="s">
        <v>547</v>
      </c>
      <c r="K72" s="2"/>
      <c r="L72" s="2"/>
      <c r="M72" s="2"/>
      <c r="N72" s="2"/>
      <c r="O72" s="2"/>
      <c r="P72" s="3"/>
      <c r="Q72" s="18" t="s">
        <v>548</v>
      </c>
      <c r="R72" s="2"/>
      <c r="S72" s="2"/>
      <c r="T72" s="2"/>
      <c r="U72" s="2"/>
      <c r="V72" s="2"/>
      <c r="W72" s="3"/>
      <c r="X72" s="18" t="s">
        <v>549</v>
      </c>
      <c r="Y72" s="2"/>
      <c r="Z72" s="2"/>
      <c r="AA72" s="2"/>
      <c r="AB72" s="2"/>
      <c r="AC72" s="2"/>
      <c r="AD72" s="3"/>
      <c r="AE72" s="19" t="s">
        <v>284</v>
      </c>
      <c r="AF72" s="3"/>
      <c r="AG72" s="19" t="s">
        <v>77</v>
      </c>
      <c r="AH72" s="2"/>
      <c r="AI72" s="3"/>
      <c r="AJ72" s="19"/>
      <c r="AK72" s="2"/>
      <c r="AL72" s="3"/>
      <c r="AM72" s="20" t="s">
        <v>285</v>
      </c>
      <c r="AN72" s="2"/>
      <c r="AO72" s="3"/>
      <c r="AP72" s="21">
        <v>46181</v>
      </c>
      <c r="AQ72" s="2"/>
      <c r="AR72" s="3"/>
      <c r="AS72" s="19"/>
      <c r="AT72" s="2"/>
      <c r="AU72" s="3"/>
      <c r="AV72" s="19" t="s">
        <v>77</v>
      </c>
      <c r="AW72" s="2"/>
      <c r="AX72" s="3"/>
      <c r="AY72" s="19"/>
      <c r="AZ72" s="2"/>
      <c r="BA72" s="3"/>
      <c r="BB72" s="19" t="s">
        <v>286</v>
      </c>
      <c r="BC72" s="2"/>
      <c r="BD72" s="3"/>
      <c r="BE72" s="21">
        <v>46247</v>
      </c>
      <c r="BF72" s="2"/>
      <c r="BG72" s="3"/>
      <c r="BH72" s="19"/>
      <c r="BI72" s="2"/>
      <c r="BJ72" s="3"/>
      <c r="BK72" s="18"/>
      <c r="BL72" s="2"/>
      <c r="BM72" s="2"/>
      <c r="BN72" s="2"/>
      <c r="BO72" s="2"/>
      <c r="BP72" s="2"/>
      <c r="BQ72" s="3"/>
    </row>
    <row r="73" ht="409.5" customHeight="1" spans="1:69">
      <c r="A73" s="17">
        <v>55</v>
      </c>
      <c r="B73" s="18" t="s">
        <v>550</v>
      </c>
      <c r="C73" s="2"/>
      <c r="D73" s="3"/>
      <c r="E73" s="18" t="s">
        <v>551</v>
      </c>
      <c r="F73" s="2"/>
      <c r="G73" s="2"/>
      <c r="H73" s="2"/>
      <c r="I73" s="3"/>
      <c r="J73" s="18" t="s">
        <v>552</v>
      </c>
      <c r="K73" s="2"/>
      <c r="L73" s="2"/>
      <c r="M73" s="2"/>
      <c r="N73" s="2"/>
      <c r="O73" s="2"/>
      <c r="P73" s="3"/>
      <c r="Q73" s="18" t="s">
        <v>553</v>
      </c>
      <c r="R73" s="2"/>
      <c r="S73" s="2"/>
      <c r="T73" s="2"/>
      <c r="U73" s="2"/>
      <c r="V73" s="2"/>
      <c r="W73" s="3"/>
      <c r="X73" s="18" t="s">
        <v>554</v>
      </c>
      <c r="Y73" s="2"/>
      <c r="Z73" s="2"/>
      <c r="AA73" s="2"/>
      <c r="AB73" s="2"/>
      <c r="AC73" s="2"/>
      <c r="AD73" s="3"/>
      <c r="AE73" s="19" t="s">
        <v>284</v>
      </c>
      <c r="AF73" s="3"/>
      <c r="AG73" s="19" t="s">
        <v>77</v>
      </c>
      <c r="AH73" s="2"/>
      <c r="AI73" s="3"/>
      <c r="AJ73" s="19"/>
      <c r="AK73" s="2"/>
      <c r="AL73" s="3"/>
      <c r="AM73" s="20" t="s">
        <v>285</v>
      </c>
      <c r="AN73" s="2"/>
      <c r="AO73" s="3"/>
      <c r="AP73" s="21">
        <v>46181</v>
      </c>
      <c r="AQ73" s="2"/>
      <c r="AR73" s="3"/>
      <c r="AS73" s="19"/>
      <c r="AT73" s="2"/>
      <c r="AU73" s="3"/>
      <c r="AV73" s="19" t="s">
        <v>77</v>
      </c>
      <c r="AW73" s="2"/>
      <c r="AX73" s="3"/>
      <c r="AY73" s="19"/>
      <c r="AZ73" s="2"/>
      <c r="BA73" s="3"/>
      <c r="BB73" s="19" t="s">
        <v>286</v>
      </c>
      <c r="BC73" s="2"/>
      <c r="BD73" s="3"/>
      <c r="BE73" s="21">
        <v>46247</v>
      </c>
      <c r="BF73" s="2"/>
      <c r="BG73" s="3"/>
      <c r="BH73" s="19"/>
      <c r="BI73" s="2"/>
      <c r="BJ73" s="3"/>
      <c r="BK73" s="18"/>
      <c r="BL73" s="2"/>
      <c r="BM73" s="2"/>
      <c r="BN73" s="2"/>
      <c r="BO73" s="2"/>
      <c r="BP73" s="2"/>
      <c r="BQ73" s="3"/>
    </row>
    <row r="74" ht="303.75" customHeight="1" spans="1:69">
      <c r="A74" s="17">
        <v>56</v>
      </c>
      <c r="B74" s="18" t="s">
        <v>555</v>
      </c>
      <c r="C74" s="2"/>
      <c r="D74" s="3"/>
      <c r="E74" s="18" t="s">
        <v>556</v>
      </c>
      <c r="F74" s="2"/>
      <c r="G74" s="2"/>
      <c r="H74" s="2"/>
      <c r="I74" s="3"/>
      <c r="J74" s="18" t="s">
        <v>355</v>
      </c>
      <c r="K74" s="2"/>
      <c r="L74" s="2"/>
      <c r="M74" s="2"/>
      <c r="N74" s="2"/>
      <c r="O74" s="2"/>
      <c r="P74" s="3"/>
      <c r="Q74" s="18" t="s">
        <v>557</v>
      </c>
      <c r="R74" s="2"/>
      <c r="S74" s="2"/>
      <c r="T74" s="2"/>
      <c r="U74" s="2"/>
      <c r="V74" s="2"/>
      <c r="W74" s="3"/>
      <c r="X74" s="18" t="s">
        <v>558</v>
      </c>
      <c r="Y74" s="2"/>
      <c r="Z74" s="2"/>
      <c r="AA74" s="2"/>
      <c r="AB74" s="2"/>
      <c r="AC74" s="2"/>
      <c r="AD74" s="3"/>
      <c r="AE74" s="19" t="s">
        <v>227</v>
      </c>
      <c r="AF74" s="3"/>
      <c r="AG74" s="19" t="s">
        <v>77</v>
      </c>
      <c r="AH74" s="2"/>
      <c r="AI74" s="3"/>
      <c r="AJ74" s="19"/>
      <c r="AK74" s="2"/>
      <c r="AL74" s="3"/>
      <c r="AM74" s="20" t="s">
        <v>285</v>
      </c>
      <c r="AN74" s="2"/>
      <c r="AO74" s="3"/>
      <c r="AP74" s="21">
        <v>46181</v>
      </c>
      <c r="AQ74" s="2"/>
      <c r="AR74" s="3"/>
      <c r="AS74" s="19"/>
      <c r="AT74" s="2"/>
      <c r="AU74" s="3"/>
      <c r="AV74" s="19" t="s">
        <v>77</v>
      </c>
      <c r="AW74" s="2"/>
      <c r="AX74" s="3"/>
      <c r="AY74" s="19"/>
      <c r="AZ74" s="2"/>
      <c r="BA74" s="3"/>
      <c r="BB74" s="19" t="s">
        <v>286</v>
      </c>
      <c r="BC74" s="2"/>
      <c r="BD74" s="3"/>
      <c r="BE74" s="21">
        <v>46247</v>
      </c>
      <c r="BF74" s="2"/>
      <c r="BG74" s="3"/>
      <c r="BH74" s="19"/>
      <c r="BI74" s="2"/>
      <c r="BJ74" s="3"/>
      <c r="BK74" s="18"/>
      <c r="BL74" s="2"/>
      <c r="BM74" s="2"/>
      <c r="BN74" s="2"/>
      <c r="BO74" s="2"/>
      <c r="BP74" s="2"/>
      <c r="BQ74" s="3"/>
    </row>
    <row r="75" ht="409.5" customHeight="1" spans="1:69">
      <c r="A75" s="17">
        <v>57</v>
      </c>
      <c r="B75" s="18" t="s">
        <v>559</v>
      </c>
      <c r="C75" s="2"/>
      <c r="D75" s="3"/>
      <c r="E75" s="18" t="s">
        <v>560</v>
      </c>
      <c r="F75" s="2"/>
      <c r="G75" s="2"/>
      <c r="H75" s="2"/>
      <c r="I75" s="3"/>
      <c r="J75" s="18" t="s">
        <v>561</v>
      </c>
      <c r="K75" s="2"/>
      <c r="L75" s="2"/>
      <c r="M75" s="2"/>
      <c r="N75" s="2"/>
      <c r="O75" s="2"/>
      <c r="P75" s="3"/>
      <c r="Q75" s="18" t="s">
        <v>562</v>
      </c>
      <c r="R75" s="2"/>
      <c r="S75" s="2"/>
      <c r="T75" s="2"/>
      <c r="U75" s="2"/>
      <c r="V75" s="2"/>
      <c r="W75" s="3"/>
      <c r="X75" s="18" t="s">
        <v>563</v>
      </c>
      <c r="Y75" s="2"/>
      <c r="Z75" s="2"/>
      <c r="AA75" s="2"/>
      <c r="AB75" s="2"/>
      <c r="AC75" s="2"/>
      <c r="AD75" s="3"/>
      <c r="AE75" s="19" t="s">
        <v>284</v>
      </c>
      <c r="AF75" s="3"/>
      <c r="AG75" s="19" t="s">
        <v>77</v>
      </c>
      <c r="AH75" s="2"/>
      <c r="AI75" s="3"/>
      <c r="AJ75" s="19"/>
      <c r="AK75" s="2"/>
      <c r="AL75" s="3"/>
      <c r="AM75" s="20" t="s">
        <v>285</v>
      </c>
      <c r="AN75" s="2"/>
      <c r="AO75" s="3"/>
      <c r="AP75" s="21">
        <v>46181</v>
      </c>
      <c r="AQ75" s="2"/>
      <c r="AR75" s="3"/>
      <c r="AS75" s="19"/>
      <c r="AT75" s="2"/>
      <c r="AU75" s="3"/>
      <c r="AV75" s="19" t="s">
        <v>77</v>
      </c>
      <c r="AW75" s="2"/>
      <c r="AX75" s="3"/>
      <c r="AY75" s="19"/>
      <c r="AZ75" s="2"/>
      <c r="BA75" s="3"/>
      <c r="BB75" s="19" t="s">
        <v>286</v>
      </c>
      <c r="BC75" s="2"/>
      <c r="BD75" s="3"/>
      <c r="BE75" s="21">
        <v>46247</v>
      </c>
      <c r="BF75" s="2"/>
      <c r="BG75" s="3"/>
      <c r="BH75" s="19"/>
      <c r="BI75" s="2"/>
      <c r="BJ75" s="3"/>
      <c r="BK75" s="18"/>
      <c r="BL75" s="2"/>
      <c r="BM75" s="2"/>
      <c r="BN75" s="2"/>
      <c r="BO75" s="2"/>
      <c r="BP75" s="2"/>
      <c r="BQ75" s="3"/>
    </row>
    <row r="76" ht="288" customHeight="1" spans="1:69">
      <c r="A76" s="17">
        <v>58</v>
      </c>
      <c r="B76" s="18" t="s">
        <v>564</v>
      </c>
      <c r="C76" s="2"/>
      <c r="D76" s="3"/>
      <c r="E76" s="18" t="s">
        <v>565</v>
      </c>
      <c r="F76" s="2"/>
      <c r="G76" s="2"/>
      <c r="H76" s="2"/>
      <c r="I76" s="3"/>
      <c r="J76" s="18" t="s">
        <v>566</v>
      </c>
      <c r="K76" s="2"/>
      <c r="L76" s="2"/>
      <c r="M76" s="2"/>
      <c r="N76" s="2"/>
      <c r="O76" s="2"/>
      <c r="P76" s="3"/>
      <c r="Q76" s="18" t="s">
        <v>567</v>
      </c>
      <c r="R76" s="2"/>
      <c r="S76" s="2"/>
      <c r="T76" s="2"/>
      <c r="U76" s="2"/>
      <c r="V76" s="2"/>
      <c r="W76" s="3"/>
      <c r="X76" s="18" t="s">
        <v>568</v>
      </c>
      <c r="Y76" s="2"/>
      <c r="Z76" s="2"/>
      <c r="AA76" s="2"/>
      <c r="AB76" s="2"/>
      <c r="AC76" s="2"/>
      <c r="AD76" s="3"/>
      <c r="AE76" s="19" t="s">
        <v>231</v>
      </c>
      <c r="AF76" s="3"/>
      <c r="AG76" s="19" t="s">
        <v>77</v>
      </c>
      <c r="AH76" s="2"/>
      <c r="AI76" s="3"/>
      <c r="AJ76" s="19"/>
      <c r="AK76" s="2"/>
      <c r="AL76" s="3"/>
      <c r="AM76" s="20" t="s">
        <v>285</v>
      </c>
      <c r="AN76" s="2"/>
      <c r="AO76" s="3"/>
      <c r="AP76" s="21">
        <v>46181</v>
      </c>
      <c r="AQ76" s="2"/>
      <c r="AR76" s="3"/>
      <c r="AS76" s="19"/>
      <c r="AT76" s="2"/>
      <c r="AU76" s="3"/>
      <c r="AV76" s="19" t="s">
        <v>77</v>
      </c>
      <c r="AW76" s="2"/>
      <c r="AX76" s="3"/>
      <c r="AY76" s="19"/>
      <c r="AZ76" s="2"/>
      <c r="BA76" s="3"/>
      <c r="BB76" s="19" t="s">
        <v>286</v>
      </c>
      <c r="BC76" s="2"/>
      <c r="BD76" s="3"/>
      <c r="BE76" s="21">
        <v>46247</v>
      </c>
      <c r="BF76" s="2"/>
      <c r="BG76" s="3"/>
      <c r="BH76" s="19"/>
      <c r="BI76" s="2"/>
      <c r="BJ76" s="3"/>
      <c r="BK76" s="18"/>
      <c r="BL76" s="2"/>
      <c r="BM76" s="2"/>
      <c r="BN76" s="2"/>
      <c r="BO76" s="2"/>
      <c r="BP76" s="2"/>
      <c r="BQ76" s="3"/>
    </row>
    <row r="77" ht="336" customHeight="1" spans="1:69">
      <c r="A77" s="17">
        <v>59</v>
      </c>
      <c r="B77" s="18" t="s">
        <v>569</v>
      </c>
      <c r="C77" s="2"/>
      <c r="D77" s="3"/>
      <c r="E77" s="18" t="s">
        <v>570</v>
      </c>
      <c r="F77" s="2"/>
      <c r="G77" s="2"/>
      <c r="H77" s="2"/>
      <c r="I77" s="3"/>
      <c r="J77" s="18" t="s">
        <v>571</v>
      </c>
      <c r="K77" s="2"/>
      <c r="L77" s="2"/>
      <c r="M77" s="2"/>
      <c r="N77" s="2"/>
      <c r="O77" s="2"/>
      <c r="P77" s="3"/>
      <c r="Q77" s="18" t="s">
        <v>572</v>
      </c>
      <c r="R77" s="2"/>
      <c r="S77" s="2"/>
      <c r="T77" s="2"/>
      <c r="U77" s="2"/>
      <c r="V77" s="2"/>
      <c r="W77" s="3"/>
      <c r="X77" s="18" t="s">
        <v>573</v>
      </c>
      <c r="Y77" s="2"/>
      <c r="Z77" s="2"/>
      <c r="AA77" s="2"/>
      <c r="AB77" s="2"/>
      <c r="AC77" s="2"/>
      <c r="AD77" s="3"/>
      <c r="AE77" s="19" t="s">
        <v>231</v>
      </c>
      <c r="AF77" s="3"/>
      <c r="AG77" s="19" t="s">
        <v>77</v>
      </c>
      <c r="AH77" s="2"/>
      <c r="AI77" s="3"/>
      <c r="AJ77" s="19"/>
      <c r="AK77" s="2"/>
      <c r="AL77" s="3"/>
      <c r="AM77" s="20" t="s">
        <v>285</v>
      </c>
      <c r="AN77" s="2"/>
      <c r="AO77" s="3"/>
      <c r="AP77" s="21">
        <v>46181</v>
      </c>
      <c r="AQ77" s="2"/>
      <c r="AR77" s="3"/>
      <c r="AS77" s="19"/>
      <c r="AT77" s="2"/>
      <c r="AU77" s="3"/>
      <c r="AV77" s="19" t="s">
        <v>77</v>
      </c>
      <c r="AW77" s="2"/>
      <c r="AX77" s="3"/>
      <c r="AY77" s="19"/>
      <c r="AZ77" s="2"/>
      <c r="BA77" s="3"/>
      <c r="BB77" s="19" t="s">
        <v>286</v>
      </c>
      <c r="BC77" s="2"/>
      <c r="BD77" s="3"/>
      <c r="BE77" s="21">
        <v>46247</v>
      </c>
      <c r="BF77" s="2"/>
      <c r="BG77" s="3"/>
      <c r="BH77" s="19"/>
      <c r="BI77" s="2"/>
      <c r="BJ77" s="3"/>
      <c r="BK77" s="18"/>
      <c r="BL77" s="2"/>
      <c r="BM77" s="2"/>
      <c r="BN77" s="2"/>
      <c r="BO77" s="2"/>
      <c r="BP77" s="2"/>
      <c r="BQ77" s="3"/>
    </row>
    <row r="78" ht="351.75" customHeight="1" spans="1:69">
      <c r="A78" s="17">
        <v>60</v>
      </c>
      <c r="B78" s="18" t="s">
        <v>574</v>
      </c>
      <c r="C78" s="2"/>
      <c r="D78" s="3"/>
      <c r="E78" s="18" t="s">
        <v>575</v>
      </c>
      <c r="F78" s="2"/>
      <c r="G78" s="2"/>
      <c r="H78" s="2"/>
      <c r="I78" s="3"/>
      <c r="J78" s="18" t="s">
        <v>349</v>
      </c>
      <c r="K78" s="2"/>
      <c r="L78" s="2"/>
      <c r="M78" s="2"/>
      <c r="N78" s="2"/>
      <c r="O78" s="2"/>
      <c r="P78" s="3"/>
      <c r="Q78" s="18" t="s">
        <v>576</v>
      </c>
      <c r="R78" s="2"/>
      <c r="S78" s="2"/>
      <c r="T78" s="2"/>
      <c r="U78" s="2"/>
      <c r="V78" s="2"/>
      <c r="W78" s="3"/>
      <c r="X78" s="18" t="s">
        <v>577</v>
      </c>
      <c r="Y78" s="2"/>
      <c r="Z78" s="2"/>
      <c r="AA78" s="2"/>
      <c r="AB78" s="2"/>
      <c r="AC78" s="2"/>
      <c r="AD78" s="3"/>
      <c r="AE78" s="19" t="s">
        <v>227</v>
      </c>
      <c r="AF78" s="3"/>
      <c r="AG78" s="19" t="s">
        <v>77</v>
      </c>
      <c r="AH78" s="2"/>
      <c r="AI78" s="3"/>
      <c r="AJ78" s="19"/>
      <c r="AK78" s="2"/>
      <c r="AL78" s="3"/>
      <c r="AM78" s="20" t="s">
        <v>285</v>
      </c>
      <c r="AN78" s="2"/>
      <c r="AO78" s="3"/>
      <c r="AP78" s="21">
        <v>46181</v>
      </c>
      <c r="AQ78" s="2"/>
      <c r="AR78" s="3"/>
      <c r="AS78" s="19"/>
      <c r="AT78" s="2"/>
      <c r="AU78" s="3"/>
      <c r="AV78" s="19" t="s">
        <v>77</v>
      </c>
      <c r="AW78" s="2"/>
      <c r="AX78" s="3"/>
      <c r="AY78" s="19"/>
      <c r="AZ78" s="2"/>
      <c r="BA78" s="3"/>
      <c r="BB78" s="19" t="s">
        <v>286</v>
      </c>
      <c r="BC78" s="2"/>
      <c r="BD78" s="3"/>
      <c r="BE78" s="21">
        <v>46247</v>
      </c>
      <c r="BF78" s="2"/>
      <c r="BG78" s="3"/>
      <c r="BH78" s="19"/>
      <c r="BI78" s="2"/>
      <c r="BJ78" s="3"/>
      <c r="BK78" s="18"/>
      <c r="BL78" s="2"/>
      <c r="BM78" s="2"/>
      <c r="BN78" s="2"/>
      <c r="BO78" s="2"/>
      <c r="BP78" s="2"/>
      <c r="BQ78" s="3"/>
    </row>
    <row r="79" ht="336" customHeight="1" spans="1:69">
      <c r="A79" s="17">
        <v>61</v>
      </c>
      <c r="B79" s="18" t="s">
        <v>578</v>
      </c>
      <c r="C79" s="2"/>
      <c r="D79" s="3"/>
      <c r="E79" s="18" t="s">
        <v>579</v>
      </c>
      <c r="F79" s="2"/>
      <c r="G79" s="2"/>
      <c r="H79" s="2"/>
      <c r="I79" s="3"/>
      <c r="J79" s="18" t="s">
        <v>580</v>
      </c>
      <c r="K79" s="2"/>
      <c r="L79" s="2"/>
      <c r="M79" s="2"/>
      <c r="N79" s="2"/>
      <c r="O79" s="2"/>
      <c r="P79" s="3"/>
      <c r="Q79" s="18" t="s">
        <v>581</v>
      </c>
      <c r="R79" s="2"/>
      <c r="S79" s="2"/>
      <c r="T79" s="2"/>
      <c r="U79" s="2"/>
      <c r="V79" s="2"/>
      <c r="W79" s="3"/>
      <c r="X79" s="18" t="s">
        <v>582</v>
      </c>
      <c r="Y79" s="2"/>
      <c r="Z79" s="2"/>
      <c r="AA79" s="2"/>
      <c r="AB79" s="2"/>
      <c r="AC79" s="2"/>
      <c r="AD79" s="3"/>
      <c r="AE79" s="19" t="s">
        <v>227</v>
      </c>
      <c r="AF79" s="3"/>
      <c r="AG79" s="19" t="s">
        <v>77</v>
      </c>
      <c r="AH79" s="2"/>
      <c r="AI79" s="3"/>
      <c r="AJ79" s="19"/>
      <c r="AK79" s="2"/>
      <c r="AL79" s="3"/>
      <c r="AM79" s="20" t="s">
        <v>285</v>
      </c>
      <c r="AN79" s="2"/>
      <c r="AO79" s="3"/>
      <c r="AP79" s="21">
        <v>46181</v>
      </c>
      <c r="AQ79" s="2"/>
      <c r="AR79" s="3"/>
      <c r="AS79" s="19"/>
      <c r="AT79" s="2"/>
      <c r="AU79" s="3"/>
      <c r="AV79" s="19" t="s">
        <v>77</v>
      </c>
      <c r="AW79" s="2"/>
      <c r="AX79" s="3"/>
      <c r="AY79" s="19"/>
      <c r="AZ79" s="2"/>
      <c r="BA79" s="3"/>
      <c r="BB79" s="19" t="s">
        <v>286</v>
      </c>
      <c r="BC79" s="2"/>
      <c r="BD79" s="3"/>
      <c r="BE79" s="21">
        <v>46247</v>
      </c>
      <c r="BF79" s="2"/>
      <c r="BG79" s="3"/>
      <c r="BH79" s="19"/>
      <c r="BI79" s="2"/>
      <c r="BJ79" s="3"/>
      <c r="BK79" s="18"/>
      <c r="BL79" s="2"/>
      <c r="BM79" s="2"/>
      <c r="BN79" s="2"/>
      <c r="BO79" s="2"/>
      <c r="BP79" s="2"/>
      <c r="BQ79" s="3"/>
    </row>
    <row r="80" ht="409.5" customHeight="1" spans="1:69">
      <c r="A80" s="17">
        <v>62</v>
      </c>
      <c r="B80" s="18" t="s">
        <v>583</v>
      </c>
      <c r="C80" s="2"/>
      <c r="D80" s="3"/>
      <c r="E80" s="18" t="s">
        <v>584</v>
      </c>
      <c r="F80" s="2"/>
      <c r="G80" s="2"/>
      <c r="H80" s="2"/>
      <c r="I80" s="3"/>
      <c r="J80" s="18" t="s">
        <v>349</v>
      </c>
      <c r="K80" s="2"/>
      <c r="L80" s="2"/>
      <c r="M80" s="2"/>
      <c r="N80" s="2"/>
      <c r="O80" s="2"/>
      <c r="P80" s="3"/>
      <c r="Q80" s="18" t="s">
        <v>585</v>
      </c>
      <c r="R80" s="2"/>
      <c r="S80" s="2"/>
      <c r="T80" s="2"/>
      <c r="U80" s="2"/>
      <c r="V80" s="2"/>
      <c r="W80" s="3"/>
      <c r="X80" s="18" t="s">
        <v>586</v>
      </c>
      <c r="Y80" s="2"/>
      <c r="Z80" s="2"/>
      <c r="AA80" s="2"/>
      <c r="AB80" s="2"/>
      <c r="AC80" s="2"/>
      <c r="AD80" s="3"/>
      <c r="AE80" s="19" t="s">
        <v>227</v>
      </c>
      <c r="AF80" s="3"/>
      <c r="AG80" s="19" t="s">
        <v>77</v>
      </c>
      <c r="AH80" s="2"/>
      <c r="AI80" s="3"/>
      <c r="AJ80" s="19"/>
      <c r="AK80" s="2"/>
      <c r="AL80" s="3"/>
      <c r="AM80" s="20" t="s">
        <v>285</v>
      </c>
      <c r="AN80" s="2"/>
      <c r="AO80" s="3"/>
      <c r="AP80" s="21">
        <v>46181</v>
      </c>
      <c r="AQ80" s="2"/>
      <c r="AR80" s="3"/>
      <c r="AS80" s="19"/>
      <c r="AT80" s="2"/>
      <c r="AU80" s="3"/>
      <c r="AV80" s="19" t="s">
        <v>77</v>
      </c>
      <c r="AW80" s="2"/>
      <c r="AX80" s="3"/>
      <c r="AY80" s="19"/>
      <c r="AZ80" s="2"/>
      <c r="BA80" s="3"/>
      <c r="BB80" s="19" t="s">
        <v>286</v>
      </c>
      <c r="BC80" s="2"/>
      <c r="BD80" s="3"/>
      <c r="BE80" s="21">
        <v>46247</v>
      </c>
      <c r="BF80" s="2"/>
      <c r="BG80" s="3"/>
      <c r="BH80" s="19"/>
      <c r="BI80" s="2"/>
      <c r="BJ80" s="3"/>
      <c r="BK80" s="18" t="s">
        <v>587</v>
      </c>
      <c r="BL80" s="2"/>
      <c r="BM80" s="2"/>
      <c r="BN80" s="2"/>
      <c r="BO80" s="2"/>
      <c r="BP80" s="2"/>
      <c r="BQ80" s="3"/>
    </row>
    <row r="81" ht="399.75" customHeight="1" spans="1:69">
      <c r="A81" s="17">
        <v>63</v>
      </c>
      <c r="B81" s="18" t="s">
        <v>588</v>
      </c>
      <c r="C81" s="2"/>
      <c r="D81" s="3"/>
      <c r="E81" s="18" t="s">
        <v>589</v>
      </c>
      <c r="F81" s="2"/>
      <c r="G81" s="2"/>
      <c r="H81" s="2"/>
      <c r="I81" s="3"/>
      <c r="J81" s="18" t="s">
        <v>590</v>
      </c>
      <c r="K81" s="2"/>
      <c r="L81" s="2"/>
      <c r="M81" s="2"/>
      <c r="N81" s="2"/>
      <c r="O81" s="2"/>
      <c r="P81" s="3"/>
      <c r="Q81" s="18" t="s">
        <v>591</v>
      </c>
      <c r="R81" s="2"/>
      <c r="S81" s="2"/>
      <c r="T81" s="2"/>
      <c r="U81" s="2"/>
      <c r="V81" s="2"/>
      <c r="W81" s="3"/>
      <c r="X81" s="18" t="s">
        <v>592</v>
      </c>
      <c r="Y81" s="2"/>
      <c r="Z81" s="2"/>
      <c r="AA81" s="2"/>
      <c r="AB81" s="2"/>
      <c r="AC81" s="2"/>
      <c r="AD81" s="3"/>
      <c r="AE81" s="19" t="s">
        <v>227</v>
      </c>
      <c r="AF81" s="3"/>
      <c r="AG81" s="19" t="s">
        <v>77</v>
      </c>
      <c r="AH81" s="2"/>
      <c r="AI81" s="3"/>
      <c r="AJ81" s="19"/>
      <c r="AK81" s="2"/>
      <c r="AL81" s="3"/>
      <c r="AM81" s="20" t="s">
        <v>285</v>
      </c>
      <c r="AN81" s="2"/>
      <c r="AO81" s="3"/>
      <c r="AP81" s="21">
        <v>46181</v>
      </c>
      <c r="AQ81" s="2"/>
      <c r="AR81" s="3"/>
      <c r="AS81" s="19"/>
      <c r="AT81" s="2"/>
      <c r="AU81" s="3"/>
      <c r="AV81" s="19" t="s">
        <v>77</v>
      </c>
      <c r="AW81" s="2"/>
      <c r="AX81" s="3"/>
      <c r="AY81" s="19"/>
      <c r="AZ81" s="2"/>
      <c r="BA81" s="3"/>
      <c r="BB81" s="19" t="s">
        <v>286</v>
      </c>
      <c r="BC81" s="2"/>
      <c r="BD81" s="3"/>
      <c r="BE81" s="21">
        <v>46247</v>
      </c>
      <c r="BF81" s="2"/>
      <c r="BG81" s="3"/>
      <c r="BH81" s="19"/>
      <c r="BI81" s="2"/>
      <c r="BJ81" s="3"/>
      <c r="BK81" s="18"/>
      <c r="BL81" s="2"/>
      <c r="BM81" s="2"/>
      <c r="BN81" s="2"/>
      <c r="BO81" s="2"/>
      <c r="BP81" s="2"/>
      <c r="BQ81" s="3"/>
    </row>
    <row r="82" ht="409.5" customHeight="1" spans="1:69">
      <c r="A82" s="17">
        <v>64</v>
      </c>
      <c r="B82" s="18" t="s">
        <v>593</v>
      </c>
      <c r="C82" s="2"/>
      <c r="D82" s="3"/>
      <c r="E82" s="18" t="s">
        <v>594</v>
      </c>
      <c r="F82" s="2"/>
      <c r="G82" s="2"/>
      <c r="H82" s="2"/>
      <c r="I82" s="3"/>
      <c r="J82" s="18" t="s">
        <v>595</v>
      </c>
      <c r="K82" s="2"/>
      <c r="L82" s="2"/>
      <c r="M82" s="2"/>
      <c r="N82" s="2"/>
      <c r="O82" s="2"/>
      <c r="P82" s="3"/>
      <c r="Q82" s="18" t="s">
        <v>596</v>
      </c>
      <c r="R82" s="2"/>
      <c r="S82" s="2"/>
      <c r="T82" s="2"/>
      <c r="U82" s="2"/>
      <c r="V82" s="2"/>
      <c r="W82" s="3"/>
      <c r="X82" s="18" t="s">
        <v>597</v>
      </c>
      <c r="Y82" s="2"/>
      <c r="Z82" s="2"/>
      <c r="AA82" s="2"/>
      <c r="AB82" s="2"/>
      <c r="AC82" s="2"/>
      <c r="AD82" s="3"/>
      <c r="AE82" s="19" t="s">
        <v>227</v>
      </c>
      <c r="AF82" s="3"/>
      <c r="AG82" s="19" t="s">
        <v>77</v>
      </c>
      <c r="AH82" s="2"/>
      <c r="AI82" s="3"/>
      <c r="AJ82" s="19"/>
      <c r="AK82" s="2"/>
      <c r="AL82" s="3"/>
      <c r="AM82" s="20" t="s">
        <v>285</v>
      </c>
      <c r="AN82" s="2"/>
      <c r="AO82" s="3"/>
      <c r="AP82" s="21">
        <v>46181</v>
      </c>
      <c r="AQ82" s="2"/>
      <c r="AR82" s="3"/>
      <c r="AS82" s="19"/>
      <c r="AT82" s="2"/>
      <c r="AU82" s="3"/>
      <c r="AV82" s="19" t="s">
        <v>77</v>
      </c>
      <c r="AW82" s="2"/>
      <c r="AX82" s="3"/>
      <c r="AY82" s="19"/>
      <c r="AZ82" s="2"/>
      <c r="BA82" s="3"/>
      <c r="BB82" s="19" t="s">
        <v>286</v>
      </c>
      <c r="BC82" s="2"/>
      <c r="BD82" s="3"/>
      <c r="BE82" s="21">
        <v>46247</v>
      </c>
      <c r="BF82" s="2"/>
      <c r="BG82" s="3"/>
      <c r="BH82" s="19"/>
      <c r="BI82" s="2"/>
      <c r="BJ82" s="3"/>
      <c r="BK82" s="18"/>
      <c r="BL82" s="2"/>
      <c r="BM82" s="2"/>
      <c r="BN82" s="2"/>
      <c r="BO82" s="2"/>
      <c r="BP82" s="2"/>
      <c r="BQ82" s="3"/>
    </row>
    <row r="83" ht="409.5" customHeight="1" spans="1:69">
      <c r="A83" s="17">
        <v>65</v>
      </c>
      <c r="B83" s="18" t="s">
        <v>598</v>
      </c>
      <c r="C83" s="2"/>
      <c r="D83" s="3"/>
      <c r="E83" s="18" t="s">
        <v>599</v>
      </c>
      <c r="F83" s="2"/>
      <c r="G83" s="2"/>
      <c r="H83" s="2"/>
      <c r="I83" s="3"/>
      <c r="J83" s="18" t="s">
        <v>600</v>
      </c>
      <c r="K83" s="2"/>
      <c r="L83" s="2"/>
      <c r="M83" s="2"/>
      <c r="N83" s="2"/>
      <c r="O83" s="2"/>
      <c r="P83" s="3"/>
      <c r="Q83" s="18" t="s">
        <v>601</v>
      </c>
      <c r="R83" s="2"/>
      <c r="S83" s="2"/>
      <c r="T83" s="2"/>
      <c r="U83" s="2"/>
      <c r="V83" s="2"/>
      <c r="W83" s="3"/>
      <c r="X83" s="18" t="s">
        <v>602</v>
      </c>
      <c r="Y83" s="2"/>
      <c r="Z83" s="2"/>
      <c r="AA83" s="2"/>
      <c r="AB83" s="2"/>
      <c r="AC83" s="2"/>
      <c r="AD83" s="3"/>
      <c r="AE83" s="19" t="s">
        <v>227</v>
      </c>
      <c r="AF83" s="3"/>
      <c r="AG83" s="19" t="s">
        <v>77</v>
      </c>
      <c r="AH83" s="2"/>
      <c r="AI83" s="3"/>
      <c r="AJ83" s="19"/>
      <c r="AK83" s="2"/>
      <c r="AL83" s="3"/>
      <c r="AM83" s="20" t="s">
        <v>285</v>
      </c>
      <c r="AN83" s="2"/>
      <c r="AO83" s="3"/>
      <c r="AP83" s="21">
        <v>46181</v>
      </c>
      <c r="AQ83" s="2"/>
      <c r="AR83" s="3"/>
      <c r="AS83" s="19"/>
      <c r="AT83" s="2"/>
      <c r="AU83" s="3"/>
      <c r="AV83" s="19" t="s">
        <v>77</v>
      </c>
      <c r="AW83" s="2"/>
      <c r="AX83" s="3"/>
      <c r="AY83" s="19"/>
      <c r="AZ83" s="2"/>
      <c r="BA83" s="3"/>
      <c r="BB83" s="19" t="s">
        <v>286</v>
      </c>
      <c r="BC83" s="2"/>
      <c r="BD83" s="3"/>
      <c r="BE83" s="21">
        <v>46247</v>
      </c>
      <c r="BF83" s="2"/>
      <c r="BG83" s="3"/>
      <c r="BH83" s="19"/>
      <c r="BI83" s="2"/>
      <c r="BJ83" s="3"/>
      <c r="BK83" s="18" t="s">
        <v>603</v>
      </c>
      <c r="BL83" s="2"/>
      <c r="BM83" s="2"/>
      <c r="BN83" s="2"/>
      <c r="BO83" s="2"/>
      <c r="BP83" s="2"/>
      <c r="BQ83" s="3"/>
    </row>
    <row r="84" ht="409.5" customHeight="1" spans="1:69">
      <c r="A84" s="17">
        <v>66</v>
      </c>
      <c r="B84" s="18" t="s">
        <v>604</v>
      </c>
      <c r="C84" s="2"/>
      <c r="D84" s="3"/>
      <c r="E84" s="18" t="s">
        <v>605</v>
      </c>
      <c r="F84" s="2"/>
      <c r="G84" s="2"/>
      <c r="H84" s="2"/>
      <c r="I84" s="3"/>
      <c r="J84" s="18" t="s">
        <v>606</v>
      </c>
      <c r="K84" s="2"/>
      <c r="L84" s="2"/>
      <c r="M84" s="2"/>
      <c r="N84" s="2"/>
      <c r="O84" s="2"/>
      <c r="P84" s="3"/>
      <c r="Q84" s="18" t="s">
        <v>607</v>
      </c>
      <c r="R84" s="2"/>
      <c r="S84" s="2"/>
      <c r="T84" s="2"/>
      <c r="U84" s="2"/>
      <c r="V84" s="2"/>
      <c r="W84" s="3"/>
      <c r="X84" s="18" t="s">
        <v>608</v>
      </c>
      <c r="Y84" s="2"/>
      <c r="Z84" s="2"/>
      <c r="AA84" s="2"/>
      <c r="AB84" s="2"/>
      <c r="AC84" s="2"/>
      <c r="AD84" s="3"/>
      <c r="AE84" s="19" t="s">
        <v>284</v>
      </c>
      <c r="AF84" s="3"/>
      <c r="AG84" s="19" t="s">
        <v>77</v>
      </c>
      <c r="AH84" s="2"/>
      <c r="AI84" s="3"/>
      <c r="AJ84" s="19"/>
      <c r="AK84" s="2"/>
      <c r="AL84" s="3"/>
      <c r="AM84" s="20" t="s">
        <v>285</v>
      </c>
      <c r="AN84" s="2"/>
      <c r="AO84" s="3"/>
      <c r="AP84" s="21">
        <v>46181</v>
      </c>
      <c r="AQ84" s="2"/>
      <c r="AR84" s="3"/>
      <c r="AS84" s="19"/>
      <c r="AT84" s="2"/>
      <c r="AU84" s="3"/>
      <c r="AV84" s="19" t="s">
        <v>77</v>
      </c>
      <c r="AW84" s="2"/>
      <c r="AX84" s="3"/>
      <c r="AY84" s="19"/>
      <c r="AZ84" s="2"/>
      <c r="BA84" s="3"/>
      <c r="BB84" s="19" t="s">
        <v>286</v>
      </c>
      <c r="BC84" s="2"/>
      <c r="BD84" s="3"/>
      <c r="BE84" s="21">
        <v>46247</v>
      </c>
      <c r="BF84" s="2"/>
      <c r="BG84" s="3"/>
      <c r="BH84" s="19"/>
      <c r="BI84" s="2"/>
      <c r="BJ84" s="3"/>
      <c r="BK84" s="18"/>
      <c r="BL84" s="2"/>
      <c r="BM84" s="2"/>
      <c r="BN84" s="2"/>
      <c r="BO84" s="2"/>
      <c r="BP84" s="2"/>
      <c r="BQ84" s="3"/>
    </row>
    <row r="85" ht="409.5" customHeight="1" spans="1:69">
      <c r="A85" s="17">
        <v>67</v>
      </c>
      <c r="B85" s="18" t="s">
        <v>609</v>
      </c>
      <c r="C85" s="2"/>
      <c r="D85" s="3"/>
      <c r="E85" s="18" t="s">
        <v>610</v>
      </c>
      <c r="F85" s="2"/>
      <c r="G85" s="2"/>
      <c r="H85" s="2"/>
      <c r="I85" s="3"/>
      <c r="J85" s="18" t="s">
        <v>611</v>
      </c>
      <c r="K85" s="2"/>
      <c r="L85" s="2"/>
      <c r="M85" s="2"/>
      <c r="N85" s="2"/>
      <c r="O85" s="2"/>
      <c r="P85" s="3"/>
      <c r="Q85" s="18" t="s">
        <v>612</v>
      </c>
      <c r="R85" s="2"/>
      <c r="S85" s="2"/>
      <c r="T85" s="2"/>
      <c r="U85" s="2"/>
      <c r="V85" s="2"/>
      <c r="W85" s="3"/>
      <c r="X85" s="18" t="s">
        <v>613</v>
      </c>
      <c r="Y85" s="2"/>
      <c r="Z85" s="2"/>
      <c r="AA85" s="2"/>
      <c r="AB85" s="2"/>
      <c r="AC85" s="2"/>
      <c r="AD85" s="3"/>
      <c r="AE85" s="19" t="s">
        <v>227</v>
      </c>
      <c r="AF85" s="3"/>
      <c r="AG85" s="19" t="s">
        <v>77</v>
      </c>
      <c r="AH85" s="2"/>
      <c r="AI85" s="3"/>
      <c r="AJ85" s="19"/>
      <c r="AK85" s="2"/>
      <c r="AL85" s="3"/>
      <c r="AM85" s="20" t="s">
        <v>285</v>
      </c>
      <c r="AN85" s="2"/>
      <c r="AO85" s="3"/>
      <c r="AP85" s="21">
        <v>46181</v>
      </c>
      <c r="AQ85" s="2"/>
      <c r="AR85" s="3"/>
      <c r="AS85" s="19"/>
      <c r="AT85" s="2"/>
      <c r="AU85" s="3"/>
      <c r="AV85" s="19" t="s">
        <v>77</v>
      </c>
      <c r="AW85" s="2"/>
      <c r="AX85" s="3"/>
      <c r="AY85" s="19"/>
      <c r="AZ85" s="2"/>
      <c r="BA85" s="3"/>
      <c r="BB85" s="19" t="s">
        <v>286</v>
      </c>
      <c r="BC85" s="2"/>
      <c r="BD85" s="3"/>
      <c r="BE85" s="21">
        <v>46247</v>
      </c>
      <c r="BF85" s="2"/>
      <c r="BG85" s="3"/>
      <c r="BH85" s="19"/>
      <c r="BI85" s="2"/>
      <c r="BJ85" s="3"/>
      <c r="BK85" s="18"/>
      <c r="BL85" s="2"/>
      <c r="BM85" s="2"/>
      <c r="BN85" s="2"/>
      <c r="BO85" s="2"/>
      <c r="BP85" s="2"/>
      <c r="BQ85" s="3"/>
    </row>
    <row r="86" ht="336" customHeight="1" spans="1:69">
      <c r="A86" s="17">
        <v>68</v>
      </c>
      <c r="B86" s="18" t="s">
        <v>614</v>
      </c>
      <c r="C86" s="2"/>
      <c r="D86" s="3"/>
      <c r="E86" s="18" t="s">
        <v>615</v>
      </c>
      <c r="F86" s="2"/>
      <c r="G86" s="2"/>
      <c r="H86" s="2"/>
      <c r="I86" s="3"/>
      <c r="J86" s="18" t="s">
        <v>616</v>
      </c>
      <c r="K86" s="2"/>
      <c r="L86" s="2"/>
      <c r="M86" s="2"/>
      <c r="N86" s="2"/>
      <c r="O86" s="2"/>
      <c r="P86" s="3"/>
      <c r="Q86" s="18" t="s">
        <v>617</v>
      </c>
      <c r="R86" s="2"/>
      <c r="S86" s="2"/>
      <c r="T86" s="2"/>
      <c r="U86" s="2"/>
      <c r="V86" s="2"/>
      <c r="W86" s="3"/>
      <c r="X86" s="18" t="s">
        <v>618</v>
      </c>
      <c r="Y86" s="2"/>
      <c r="Z86" s="2"/>
      <c r="AA86" s="2"/>
      <c r="AB86" s="2"/>
      <c r="AC86" s="2"/>
      <c r="AD86" s="3"/>
      <c r="AE86" s="19" t="s">
        <v>284</v>
      </c>
      <c r="AF86" s="3"/>
      <c r="AG86" s="19" t="s">
        <v>77</v>
      </c>
      <c r="AH86" s="2"/>
      <c r="AI86" s="3"/>
      <c r="AJ86" s="19"/>
      <c r="AK86" s="2"/>
      <c r="AL86" s="3"/>
      <c r="AM86" s="20" t="s">
        <v>285</v>
      </c>
      <c r="AN86" s="2"/>
      <c r="AO86" s="3"/>
      <c r="AP86" s="21">
        <v>46181</v>
      </c>
      <c r="AQ86" s="2"/>
      <c r="AR86" s="3"/>
      <c r="AS86" s="19"/>
      <c r="AT86" s="2"/>
      <c r="AU86" s="3"/>
      <c r="AV86" s="19" t="s">
        <v>77</v>
      </c>
      <c r="AW86" s="2"/>
      <c r="AX86" s="3"/>
      <c r="AY86" s="19"/>
      <c r="AZ86" s="2"/>
      <c r="BA86" s="3"/>
      <c r="BB86" s="19" t="s">
        <v>286</v>
      </c>
      <c r="BC86" s="2"/>
      <c r="BD86" s="3"/>
      <c r="BE86" s="21">
        <v>46247</v>
      </c>
      <c r="BF86" s="2"/>
      <c r="BG86" s="3"/>
      <c r="BH86" s="19"/>
      <c r="BI86" s="2"/>
      <c r="BJ86" s="3"/>
      <c r="BK86" s="18"/>
      <c r="BL86" s="2"/>
      <c r="BM86" s="2"/>
      <c r="BN86" s="2"/>
      <c r="BO86" s="2"/>
      <c r="BP86" s="2"/>
      <c r="BQ86" s="3"/>
    </row>
    <row r="87" ht="336" customHeight="1" spans="1:69">
      <c r="A87" s="17">
        <v>69</v>
      </c>
      <c r="B87" s="18" t="s">
        <v>619</v>
      </c>
      <c r="C87" s="2"/>
      <c r="D87" s="3"/>
      <c r="E87" s="18" t="s">
        <v>620</v>
      </c>
      <c r="F87" s="2"/>
      <c r="G87" s="2"/>
      <c r="H87" s="2"/>
      <c r="I87" s="3"/>
      <c r="J87" s="18" t="s">
        <v>621</v>
      </c>
      <c r="K87" s="2"/>
      <c r="L87" s="2"/>
      <c r="M87" s="2"/>
      <c r="N87" s="2"/>
      <c r="O87" s="2"/>
      <c r="P87" s="3"/>
      <c r="Q87" s="18" t="s">
        <v>622</v>
      </c>
      <c r="R87" s="2"/>
      <c r="S87" s="2"/>
      <c r="T87" s="2"/>
      <c r="U87" s="2"/>
      <c r="V87" s="2"/>
      <c r="W87" s="3"/>
      <c r="X87" s="18" t="s">
        <v>623</v>
      </c>
      <c r="Y87" s="2"/>
      <c r="Z87" s="2"/>
      <c r="AA87" s="2"/>
      <c r="AB87" s="2"/>
      <c r="AC87" s="2"/>
      <c r="AD87" s="3"/>
      <c r="AE87" s="19" t="s">
        <v>284</v>
      </c>
      <c r="AF87" s="3"/>
      <c r="AG87" s="19" t="s">
        <v>77</v>
      </c>
      <c r="AH87" s="2"/>
      <c r="AI87" s="3"/>
      <c r="AJ87" s="19"/>
      <c r="AK87" s="2"/>
      <c r="AL87" s="3"/>
      <c r="AM87" s="20" t="s">
        <v>285</v>
      </c>
      <c r="AN87" s="2"/>
      <c r="AO87" s="3"/>
      <c r="AP87" s="21">
        <v>46181</v>
      </c>
      <c r="AQ87" s="2"/>
      <c r="AR87" s="3"/>
      <c r="AS87" s="19"/>
      <c r="AT87" s="2"/>
      <c r="AU87" s="3"/>
      <c r="AV87" s="19" t="s">
        <v>77</v>
      </c>
      <c r="AW87" s="2"/>
      <c r="AX87" s="3"/>
      <c r="AY87" s="19"/>
      <c r="AZ87" s="2"/>
      <c r="BA87" s="3"/>
      <c r="BB87" s="19" t="s">
        <v>286</v>
      </c>
      <c r="BC87" s="2"/>
      <c r="BD87" s="3"/>
      <c r="BE87" s="21">
        <v>46247</v>
      </c>
      <c r="BF87" s="2"/>
      <c r="BG87" s="3"/>
      <c r="BH87" s="19"/>
      <c r="BI87" s="2"/>
      <c r="BJ87" s="3"/>
      <c r="BK87" s="18"/>
      <c r="BL87" s="2"/>
      <c r="BM87" s="2"/>
      <c r="BN87" s="2"/>
      <c r="BO87" s="2"/>
      <c r="BP87" s="2"/>
      <c r="BQ87" s="3"/>
    </row>
    <row r="88" ht="409.5" customHeight="1" spans="1:69">
      <c r="A88" s="17">
        <v>70</v>
      </c>
      <c r="B88" s="18" t="s">
        <v>624</v>
      </c>
      <c r="C88" s="2"/>
      <c r="D88" s="3"/>
      <c r="E88" s="18" t="s">
        <v>625</v>
      </c>
      <c r="F88" s="2"/>
      <c r="G88" s="2"/>
      <c r="H88" s="2"/>
      <c r="I88" s="3"/>
      <c r="J88" s="18" t="s">
        <v>626</v>
      </c>
      <c r="K88" s="2"/>
      <c r="L88" s="2"/>
      <c r="M88" s="2"/>
      <c r="N88" s="2"/>
      <c r="O88" s="2"/>
      <c r="P88" s="3"/>
      <c r="Q88" s="18" t="s">
        <v>627</v>
      </c>
      <c r="R88" s="2"/>
      <c r="S88" s="2"/>
      <c r="T88" s="2"/>
      <c r="U88" s="2"/>
      <c r="V88" s="2"/>
      <c r="W88" s="3"/>
      <c r="X88" s="18" t="s">
        <v>628</v>
      </c>
      <c r="Y88" s="2"/>
      <c r="Z88" s="2"/>
      <c r="AA88" s="2"/>
      <c r="AB88" s="2"/>
      <c r="AC88" s="2"/>
      <c r="AD88" s="3"/>
      <c r="AE88" s="19" t="s">
        <v>227</v>
      </c>
      <c r="AF88" s="3"/>
      <c r="AG88" s="19" t="s">
        <v>77</v>
      </c>
      <c r="AH88" s="2"/>
      <c r="AI88" s="3"/>
      <c r="AJ88" s="19"/>
      <c r="AK88" s="2"/>
      <c r="AL88" s="3"/>
      <c r="AM88" s="20" t="s">
        <v>285</v>
      </c>
      <c r="AN88" s="2"/>
      <c r="AO88" s="3"/>
      <c r="AP88" s="21">
        <v>46181</v>
      </c>
      <c r="AQ88" s="2"/>
      <c r="AR88" s="3"/>
      <c r="AS88" s="19"/>
      <c r="AT88" s="2"/>
      <c r="AU88" s="3"/>
      <c r="AV88" s="19" t="s">
        <v>77</v>
      </c>
      <c r="AW88" s="2"/>
      <c r="AX88" s="3"/>
      <c r="AY88" s="19"/>
      <c r="AZ88" s="2"/>
      <c r="BA88" s="3"/>
      <c r="BB88" s="19" t="s">
        <v>286</v>
      </c>
      <c r="BC88" s="2"/>
      <c r="BD88" s="3"/>
      <c r="BE88" s="21">
        <v>46247</v>
      </c>
      <c r="BF88" s="2"/>
      <c r="BG88" s="3"/>
      <c r="BH88" s="19"/>
      <c r="BI88" s="2"/>
      <c r="BJ88" s="3"/>
      <c r="BK88" s="18"/>
      <c r="BL88" s="2"/>
      <c r="BM88" s="2"/>
      <c r="BN88" s="2"/>
      <c r="BO88" s="2"/>
      <c r="BP88" s="2"/>
      <c r="BQ88" s="3"/>
    </row>
    <row r="89" ht="409.5" customHeight="1" spans="1:69">
      <c r="A89" s="17">
        <v>71</v>
      </c>
      <c r="B89" s="18" t="s">
        <v>629</v>
      </c>
      <c r="C89" s="2"/>
      <c r="D89" s="3"/>
      <c r="E89" s="18" t="s">
        <v>630</v>
      </c>
      <c r="F89" s="2"/>
      <c r="G89" s="2"/>
      <c r="H89" s="2"/>
      <c r="I89" s="3"/>
      <c r="J89" s="18" t="s">
        <v>631</v>
      </c>
      <c r="K89" s="2"/>
      <c r="L89" s="2"/>
      <c r="M89" s="2"/>
      <c r="N89" s="2"/>
      <c r="O89" s="2"/>
      <c r="P89" s="3"/>
      <c r="Q89" s="18" t="s">
        <v>632</v>
      </c>
      <c r="R89" s="2"/>
      <c r="S89" s="2"/>
      <c r="T89" s="2"/>
      <c r="U89" s="2"/>
      <c r="V89" s="2"/>
      <c r="W89" s="3"/>
      <c r="X89" s="18" t="s">
        <v>633</v>
      </c>
      <c r="Y89" s="2"/>
      <c r="Z89" s="2"/>
      <c r="AA89" s="2"/>
      <c r="AB89" s="2"/>
      <c r="AC89" s="2"/>
      <c r="AD89" s="3"/>
      <c r="AE89" s="19" t="s">
        <v>227</v>
      </c>
      <c r="AF89" s="3"/>
      <c r="AG89" s="19" t="s">
        <v>77</v>
      </c>
      <c r="AH89" s="2"/>
      <c r="AI89" s="3"/>
      <c r="AJ89" s="19"/>
      <c r="AK89" s="2"/>
      <c r="AL89" s="3"/>
      <c r="AM89" s="20" t="s">
        <v>285</v>
      </c>
      <c r="AN89" s="2"/>
      <c r="AO89" s="3"/>
      <c r="AP89" s="21">
        <v>46181</v>
      </c>
      <c r="AQ89" s="2"/>
      <c r="AR89" s="3"/>
      <c r="AS89" s="19"/>
      <c r="AT89" s="2"/>
      <c r="AU89" s="3"/>
      <c r="AV89" s="19" t="s">
        <v>77</v>
      </c>
      <c r="AW89" s="2"/>
      <c r="AX89" s="3"/>
      <c r="AY89" s="19"/>
      <c r="AZ89" s="2"/>
      <c r="BA89" s="3"/>
      <c r="BB89" s="19" t="s">
        <v>286</v>
      </c>
      <c r="BC89" s="2"/>
      <c r="BD89" s="3"/>
      <c r="BE89" s="21">
        <v>46247</v>
      </c>
      <c r="BF89" s="2"/>
      <c r="BG89" s="3"/>
      <c r="BH89" s="19"/>
      <c r="BI89" s="2"/>
      <c r="BJ89" s="3"/>
      <c r="BK89" s="18"/>
      <c r="BL89" s="2"/>
      <c r="BM89" s="2"/>
      <c r="BN89" s="2"/>
      <c r="BO89" s="2"/>
      <c r="BP89" s="2"/>
      <c r="BQ89" s="3"/>
    </row>
    <row r="90" ht="22.5" customHeight="1" spans="1:69">
      <c r="A90" s="16" t="s">
        <v>634</v>
      </c>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3"/>
    </row>
    <row r="91" ht="384" customHeight="1" spans="1:69">
      <c r="A91" s="17">
        <v>72</v>
      </c>
      <c r="B91" s="18" t="s">
        <v>635</v>
      </c>
      <c r="C91" s="2"/>
      <c r="D91" s="3"/>
      <c r="E91" s="18" t="s">
        <v>636</v>
      </c>
      <c r="F91" s="2"/>
      <c r="G91" s="2"/>
      <c r="H91" s="2"/>
      <c r="I91" s="3"/>
      <c r="J91" s="18" t="s">
        <v>637</v>
      </c>
      <c r="K91" s="2"/>
      <c r="L91" s="2"/>
      <c r="M91" s="2"/>
      <c r="N91" s="2"/>
      <c r="O91" s="2"/>
      <c r="P91" s="3"/>
      <c r="Q91" s="18" t="s">
        <v>638</v>
      </c>
      <c r="R91" s="2"/>
      <c r="S91" s="2"/>
      <c r="T91" s="2"/>
      <c r="U91" s="2"/>
      <c r="V91" s="2"/>
      <c r="W91" s="3"/>
      <c r="X91" s="18" t="s">
        <v>639</v>
      </c>
      <c r="Y91" s="2"/>
      <c r="Z91" s="2"/>
      <c r="AA91" s="2"/>
      <c r="AB91" s="2"/>
      <c r="AC91" s="2"/>
      <c r="AD91" s="3"/>
      <c r="AE91" s="19" t="s">
        <v>227</v>
      </c>
      <c r="AF91" s="3"/>
      <c r="AG91" s="19" t="s">
        <v>77</v>
      </c>
      <c r="AH91" s="2"/>
      <c r="AI91" s="3"/>
      <c r="AJ91" s="19"/>
      <c r="AK91" s="2"/>
      <c r="AL91" s="3"/>
      <c r="AM91" s="20" t="s">
        <v>285</v>
      </c>
      <c r="AN91" s="2"/>
      <c r="AO91" s="3"/>
      <c r="AP91" s="21">
        <v>46181</v>
      </c>
      <c r="AQ91" s="2"/>
      <c r="AR91" s="3"/>
      <c r="AS91" s="19"/>
      <c r="AT91" s="2"/>
      <c r="AU91" s="3"/>
      <c r="AV91" s="19" t="s">
        <v>77</v>
      </c>
      <c r="AW91" s="2"/>
      <c r="AX91" s="3"/>
      <c r="AY91" s="19"/>
      <c r="AZ91" s="2"/>
      <c r="BA91" s="3"/>
      <c r="BB91" s="19" t="s">
        <v>286</v>
      </c>
      <c r="BC91" s="2"/>
      <c r="BD91" s="3"/>
      <c r="BE91" s="21">
        <v>46247</v>
      </c>
      <c r="BF91" s="2"/>
      <c r="BG91" s="3"/>
      <c r="BH91" s="19"/>
      <c r="BI91" s="2"/>
      <c r="BJ91" s="3"/>
      <c r="BK91" s="18"/>
      <c r="BL91" s="2"/>
      <c r="BM91" s="2"/>
      <c r="BN91" s="2"/>
      <c r="BO91" s="2"/>
      <c r="BP91" s="2"/>
      <c r="BQ91" s="3"/>
    </row>
    <row r="92" ht="409.5" customHeight="1" spans="1:69">
      <c r="A92" s="17">
        <v>73</v>
      </c>
      <c r="B92" s="18" t="s">
        <v>640</v>
      </c>
      <c r="C92" s="2"/>
      <c r="D92" s="3"/>
      <c r="E92" s="18" t="s">
        <v>641</v>
      </c>
      <c r="F92" s="2"/>
      <c r="G92" s="2"/>
      <c r="H92" s="2"/>
      <c r="I92" s="3"/>
      <c r="J92" s="18" t="s">
        <v>349</v>
      </c>
      <c r="K92" s="2"/>
      <c r="L92" s="2"/>
      <c r="M92" s="2"/>
      <c r="N92" s="2"/>
      <c r="O92" s="2"/>
      <c r="P92" s="3"/>
      <c r="Q92" s="18" t="s">
        <v>642</v>
      </c>
      <c r="R92" s="2"/>
      <c r="S92" s="2"/>
      <c r="T92" s="2"/>
      <c r="U92" s="2"/>
      <c r="V92" s="2"/>
      <c r="W92" s="3"/>
      <c r="X92" s="18" t="s">
        <v>643</v>
      </c>
      <c r="Y92" s="2"/>
      <c r="Z92" s="2"/>
      <c r="AA92" s="2"/>
      <c r="AB92" s="2"/>
      <c r="AC92" s="2"/>
      <c r="AD92" s="3"/>
      <c r="AE92" s="19" t="s">
        <v>227</v>
      </c>
      <c r="AF92" s="3"/>
      <c r="AG92" s="19" t="s">
        <v>80</v>
      </c>
      <c r="AH92" s="2"/>
      <c r="AI92" s="3"/>
      <c r="AJ92" s="19"/>
      <c r="AK92" s="2"/>
      <c r="AL92" s="3"/>
      <c r="AM92" s="20" t="s">
        <v>285</v>
      </c>
      <c r="AN92" s="2"/>
      <c r="AO92" s="3"/>
      <c r="AP92" s="21">
        <v>46181</v>
      </c>
      <c r="AQ92" s="2"/>
      <c r="AR92" s="3"/>
      <c r="AS92" s="19"/>
      <c r="AT92" s="2"/>
      <c r="AU92" s="3"/>
      <c r="AV92" s="19" t="s">
        <v>77</v>
      </c>
      <c r="AW92" s="2"/>
      <c r="AX92" s="3"/>
      <c r="AY92" s="19"/>
      <c r="AZ92" s="2"/>
      <c r="BA92" s="3"/>
      <c r="BB92" s="19" t="s">
        <v>286</v>
      </c>
      <c r="BC92" s="2"/>
      <c r="BD92" s="3"/>
      <c r="BE92" s="21">
        <v>46247</v>
      </c>
      <c r="BF92" s="2"/>
      <c r="BG92" s="3"/>
      <c r="BH92" s="19"/>
      <c r="BI92" s="2"/>
      <c r="BJ92" s="3"/>
      <c r="BK92" s="18"/>
      <c r="BL92" s="2"/>
      <c r="BM92" s="2"/>
      <c r="BN92" s="2"/>
      <c r="BO92" s="2"/>
      <c r="BP92" s="2"/>
      <c r="BQ92" s="3"/>
    </row>
    <row r="93" ht="409.5" customHeight="1" spans="1:69">
      <c r="A93" s="17">
        <v>74</v>
      </c>
      <c r="B93" s="18" t="s">
        <v>644</v>
      </c>
      <c r="C93" s="2"/>
      <c r="D93" s="3"/>
      <c r="E93" s="18" t="s">
        <v>645</v>
      </c>
      <c r="F93" s="2"/>
      <c r="G93" s="2"/>
      <c r="H93" s="2"/>
      <c r="I93" s="3"/>
      <c r="J93" s="18" t="s">
        <v>349</v>
      </c>
      <c r="K93" s="2"/>
      <c r="L93" s="2"/>
      <c r="M93" s="2"/>
      <c r="N93" s="2"/>
      <c r="O93" s="2"/>
      <c r="P93" s="3"/>
      <c r="Q93" s="18" t="s">
        <v>646</v>
      </c>
      <c r="R93" s="2"/>
      <c r="S93" s="2"/>
      <c r="T93" s="2"/>
      <c r="U93" s="2"/>
      <c r="V93" s="2"/>
      <c r="W93" s="3"/>
      <c r="X93" s="18" t="s">
        <v>647</v>
      </c>
      <c r="Y93" s="2"/>
      <c r="Z93" s="2"/>
      <c r="AA93" s="2"/>
      <c r="AB93" s="2"/>
      <c r="AC93" s="2"/>
      <c r="AD93" s="3"/>
      <c r="AE93" s="19" t="s">
        <v>227</v>
      </c>
      <c r="AF93" s="3"/>
      <c r="AG93" s="19" t="s">
        <v>77</v>
      </c>
      <c r="AH93" s="2"/>
      <c r="AI93" s="3"/>
      <c r="AJ93" s="19"/>
      <c r="AK93" s="2"/>
      <c r="AL93" s="3"/>
      <c r="AM93" s="20" t="s">
        <v>285</v>
      </c>
      <c r="AN93" s="2"/>
      <c r="AO93" s="3"/>
      <c r="AP93" s="21">
        <v>46181</v>
      </c>
      <c r="AQ93" s="2"/>
      <c r="AR93" s="3"/>
      <c r="AS93" s="19"/>
      <c r="AT93" s="2"/>
      <c r="AU93" s="3"/>
      <c r="AV93" s="19" t="s">
        <v>77</v>
      </c>
      <c r="AW93" s="2"/>
      <c r="AX93" s="3"/>
      <c r="AY93" s="19"/>
      <c r="AZ93" s="2"/>
      <c r="BA93" s="3"/>
      <c r="BB93" s="19" t="s">
        <v>286</v>
      </c>
      <c r="BC93" s="2"/>
      <c r="BD93" s="3"/>
      <c r="BE93" s="21">
        <v>46247</v>
      </c>
      <c r="BF93" s="2"/>
      <c r="BG93" s="3"/>
      <c r="BH93" s="19"/>
      <c r="BI93" s="2"/>
      <c r="BJ93" s="3"/>
      <c r="BK93" s="18"/>
      <c r="BL93" s="2"/>
      <c r="BM93" s="2"/>
      <c r="BN93" s="2"/>
      <c r="BO93" s="2"/>
      <c r="BP93" s="2"/>
      <c r="BQ93" s="3"/>
    </row>
    <row r="94" ht="409.5" customHeight="1" spans="1:69">
      <c r="A94" s="17">
        <v>75</v>
      </c>
      <c r="B94" s="18" t="s">
        <v>648</v>
      </c>
      <c r="C94" s="2"/>
      <c r="D94" s="3"/>
      <c r="E94" s="18" t="s">
        <v>649</v>
      </c>
      <c r="F94" s="2"/>
      <c r="G94" s="2"/>
      <c r="H94" s="2"/>
      <c r="I94" s="3"/>
      <c r="J94" s="18" t="s">
        <v>650</v>
      </c>
      <c r="K94" s="2"/>
      <c r="L94" s="2"/>
      <c r="M94" s="2"/>
      <c r="N94" s="2"/>
      <c r="O94" s="2"/>
      <c r="P94" s="3"/>
      <c r="Q94" s="18" t="s">
        <v>651</v>
      </c>
      <c r="R94" s="2"/>
      <c r="S94" s="2"/>
      <c r="T94" s="2"/>
      <c r="U94" s="2"/>
      <c r="V94" s="2"/>
      <c r="W94" s="3"/>
      <c r="X94" s="18" t="s">
        <v>652</v>
      </c>
      <c r="Y94" s="2"/>
      <c r="Z94" s="2"/>
      <c r="AA94" s="2"/>
      <c r="AB94" s="2"/>
      <c r="AC94" s="2"/>
      <c r="AD94" s="3"/>
      <c r="AE94" s="19" t="s">
        <v>227</v>
      </c>
      <c r="AF94" s="3"/>
      <c r="AG94" s="19" t="s">
        <v>77</v>
      </c>
      <c r="AH94" s="2"/>
      <c r="AI94" s="3"/>
      <c r="AJ94" s="19"/>
      <c r="AK94" s="2"/>
      <c r="AL94" s="3"/>
      <c r="AM94" s="20" t="s">
        <v>285</v>
      </c>
      <c r="AN94" s="2"/>
      <c r="AO94" s="3"/>
      <c r="AP94" s="21">
        <v>46181</v>
      </c>
      <c r="AQ94" s="2"/>
      <c r="AR94" s="3"/>
      <c r="AS94" s="19"/>
      <c r="AT94" s="2"/>
      <c r="AU94" s="3"/>
      <c r="AV94" s="19" t="s">
        <v>77</v>
      </c>
      <c r="AW94" s="2"/>
      <c r="AX94" s="3"/>
      <c r="AY94" s="19"/>
      <c r="AZ94" s="2"/>
      <c r="BA94" s="3"/>
      <c r="BB94" s="19" t="s">
        <v>286</v>
      </c>
      <c r="BC94" s="2"/>
      <c r="BD94" s="3"/>
      <c r="BE94" s="21">
        <v>46247</v>
      </c>
      <c r="BF94" s="2"/>
      <c r="BG94" s="3"/>
      <c r="BH94" s="19"/>
      <c r="BI94" s="2"/>
      <c r="BJ94" s="3"/>
      <c r="BK94" s="18"/>
      <c r="BL94" s="2"/>
      <c r="BM94" s="2"/>
      <c r="BN94" s="2"/>
      <c r="BO94" s="2"/>
      <c r="BP94" s="2"/>
      <c r="BQ94" s="3"/>
    </row>
    <row r="95" ht="409.5" customHeight="1" spans="1:69">
      <c r="A95" s="17">
        <v>76</v>
      </c>
      <c r="B95" s="18" t="s">
        <v>653</v>
      </c>
      <c r="C95" s="2"/>
      <c r="D95" s="3"/>
      <c r="E95" s="18" t="s">
        <v>654</v>
      </c>
      <c r="F95" s="2"/>
      <c r="G95" s="2"/>
      <c r="H95" s="2"/>
      <c r="I95" s="3"/>
      <c r="J95" s="18" t="s">
        <v>655</v>
      </c>
      <c r="K95" s="2"/>
      <c r="L95" s="2"/>
      <c r="M95" s="2"/>
      <c r="N95" s="2"/>
      <c r="O95" s="2"/>
      <c r="P95" s="3"/>
      <c r="Q95" s="18" t="s">
        <v>656</v>
      </c>
      <c r="R95" s="2"/>
      <c r="S95" s="2"/>
      <c r="T95" s="2"/>
      <c r="U95" s="2"/>
      <c r="V95" s="2"/>
      <c r="W95" s="3"/>
      <c r="X95" s="18" t="s">
        <v>657</v>
      </c>
      <c r="Y95" s="2"/>
      <c r="Z95" s="2"/>
      <c r="AA95" s="2"/>
      <c r="AB95" s="2"/>
      <c r="AC95" s="2"/>
      <c r="AD95" s="3"/>
      <c r="AE95" s="19" t="s">
        <v>227</v>
      </c>
      <c r="AF95" s="3"/>
      <c r="AG95" s="19" t="s">
        <v>77</v>
      </c>
      <c r="AH95" s="2"/>
      <c r="AI95" s="3"/>
      <c r="AJ95" s="19"/>
      <c r="AK95" s="2"/>
      <c r="AL95" s="3"/>
      <c r="AM95" s="20" t="s">
        <v>285</v>
      </c>
      <c r="AN95" s="2"/>
      <c r="AO95" s="3"/>
      <c r="AP95" s="21">
        <v>46181</v>
      </c>
      <c r="AQ95" s="2"/>
      <c r="AR95" s="3"/>
      <c r="AS95" s="19"/>
      <c r="AT95" s="2"/>
      <c r="AU95" s="3"/>
      <c r="AV95" s="19" t="s">
        <v>77</v>
      </c>
      <c r="AW95" s="2"/>
      <c r="AX95" s="3"/>
      <c r="AY95" s="19"/>
      <c r="AZ95" s="2"/>
      <c r="BA95" s="3"/>
      <c r="BB95" s="19" t="s">
        <v>286</v>
      </c>
      <c r="BC95" s="2"/>
      <c r="BD95" s="3"/>
      <c r="BE95" s="21">
        <v>46247</v>
      </c>
      <c r="BF95" s="2"/>
      <c r="BG95" s="3"/>
      <c r="BH95" s="19"/>
      <c r="BI95" s="2"/>
      <c r="BJ95" s="3"/>
      <c r="BK95" s="18"/>
      <c r="BL95" s="2"/>
      <c r="BM95" s="2"/>
      <c r="BN95" s="2"/>
      <c r="BO95" s="2"/>
      <c r="BP95" s="2"/>
      <c r="BQ95" s="3"/>
    </row>
    <row r="96" ht="409.5" customHeight="1" spans="1:69">
      <c r="A96" s="17">
        <v>77</v>
      </c>
      <c r="B96" s="18" t="s">
        <v>658</v>
      </c>
      <c r="C96" s="2"/>
      <c r="D96" s="3"/>
      <c r="E96" s="18" t="s">
        <v>659</v>
      </c>
      <c r="F96" s="2"/>
      <c r="G96" s="2"/>
      <c r="H96" s="2"/>
      <c r="I96" s="3"/>
      <c r="J96" s="18" t="s">
        <v>660</v>
      </c>
      <c r="K96" s="2"/>
      <c r="L96" s="2"/>
      <c r="M96" s="2"/>
      <c r="N96" s="2"/>
      <c r="O96" s="2"/>
      <c r="P96" s="3"/>
      <c r="Q96" s="18" t="s">
        <v>661</v>
      </c>
      <c r="R96" s="2"/>
      <c r="S96" s="2"/>
      <c r="T96" s="2"/>
      <c r="U96" s="2"/>
      <c r="V96" s="2"/>
      <c r="W96" s="3"/>
      <c r="X96" s="18" t="s">
        <v>662</v>
      </c>
      <c r="Y96" s="2"/>
      <c r="Z96" s="2"/>
      <c r="AA96" s="2"/>
      <c r="AB96" s="2"/>
      <c r="AC96" s="2"/>
      <c r="AD96" s="3"/>
      <c r="AE96" s="19" t="s">
        <v>227</v>
      </c>
      <c r="AF96" s="3"/>
      <c r="AG96" s="19" t="s">
        <v>77</v>
      </c>
      <c r="AH96" s="2"/>
      <c r="AI96" s="3"/>
      <c r="AJ96" s="19"/>
      <c r="AK96" s="2"/>
      <c r="AL96" s="3"/>
      <c r="AM96" s="20" t="s">
        <v>285</v>
      </c>
      <c r="AN96" s="2"/>
      <c r="AO96" s="3"/>
      <c r="AP96" s="21">
        <v>46181</v>
      </c>
      <c r="AQ96" s="2"/>
      <c r="AR96" s="3"/>
      <c r="AS96" s="19"/>
      <c r="AT96" s="2"/>
      <c r="AU96" s="3"/>
      <c r="AV96" s="19" t="s">
        <v>77</v>
      </c>
      <c r="AW96" s="2"/>
      <c r="AX96" s="3"/>
      <c r="AY96" s="19"/>
      <c r="AZ96" s="2"/>
      <c r="BA96" s="3"/>
      <c r="BB96" s="19" t="s">
        <v>286</v>
      </c>
      <c r="BC96" s="2"/>
      <c r="BD96" s="3"/>
      <c r="BE96" s="21">
        <v>46247</v>
      </c>
      <c r="BF96" s="2"/>
      <c r="BG96" s="3"/>
      <c r="BH96" s="19"/>
      <c r="BI96" s="2"/>
      <c r="BJ96" s="3"/>
      <c r="BK96" s="18"/>
      <c r="BL96" s="2"/>
      <c r="BM96" s="2"/>
      <c r="BN96" s="2"/>
      <c r="BO96" s="2"/>
      <c r="BP96" s="2"/>
      <c r="BQ96" s="3"/>
    </row>
    <row r="97" ht="409.5" customHeight="1" spans="1:69">
      <c r="A97" s="17">
        <v>78</v>
      </c>
      <c r="B97" s="18" t="s">
        <v>663</v>
      </c>
      <c r="C97" s="2"/>
      <c r="D97" s="3"/>
      <c r="E97" s="18" t="s">
        <v>664</v>
      </c>
      <c r="F97" s="2"/>
      <c r="G97" s="2"/>
      <c r="H97" s="2"/>
      <c r="I97" s="3"/>
      <c r="J97" s="18" t="s">
        <v>665</v>
      </c>
      <c r="K97" s="2"/>
      <c r="L97" s="2"/>
      <c r="M97" s="2"/>
      <c r="N97" s="2"/>
      <c r="O97" s="2"/>
      <c r="P97" s="3"/>
      <c r="Q97" s="18" t="s">
        <v>666</v>
      </c>
      <c r="R97" s="2"/>
      <c r="S97" s="2"/>
      <c r="T97" s="2"/>
      <c r="U97" s="2"/>
      <c r="V97" s="2"/>
      <c r="W97" s="3"/>
      <c r="X97" s="18" t="s">
        <v>667</v>
      </c>
      <c r="Y97" s="2"/>
      <c r="Z97" s="2"/>
      <c r="AA97" s="2"/>
      <c r="AB97" s="2"/>
      <c r="AC97" s="2"/>
      <c r="AD97" s="3"/>
      <c r="AE97" s="19" t="s">
        <v>227</v>
      </c>
      <c r="AF97" s="3"/>
      <c r="AG97" s="19" t="s">
        <v>77</v>
      </c>
      <c r="AH97" s="2"/>
      <c r="AI97" s="3"/>
      <c r="AJ97" s="19"/>
      <c r="AK97" s="2"/>
      <c r="AL97" s="3"/>
      <c r="AM97" s="20" t="s">
        <v>285</v>
      </c>
      <c r="AN97" s="2"/>
      <c r="AO97" s="3"/>
      <c r="AP97" s="21">
        <v>46181</v>
      </c>
      <c r="AQ97" s="2"/>
      <c r="AR97" s="3"/>
      <c r="AS97" s="19"/>
      <c r="AT97" s="2"/>
      <c r="AU97" s="3"/>
      <c r="AV97" s="19" t="s">
        <v>77</v>
      </c>
      <c r="AW97" s="2"/>
      <c r="AX97" s="3"/>
      <c r="AY97" s="19"/>
      <c r="AZ97" s="2"/>
      <c r="BA97" s="3"/>
      <c r="BB97" s="19" t="s">
        <v>286</v>
      </c>
      <c r="BC97" s="2"/>
      <c r="BD97" s="3"/>
      <c r="BE97" s="21">
        <v>46247</v>
      </c>
      <c r="BF97" s="2"/>
      <c r="BG97" s="3"/>
      <c r="BH97" s="19"/>
      <c r="BI97" s="2"/>
      <c r="BJ97" s="3"/>
      <c r="BK97" s="18"/>
      <c r="BL97" s="2"/>
      <c r="BM97" s="2"/>
      <c r="BN97" s="2"/>
      <c r="BO97" s="2"/>
      <c r="BP97" s="2"/>
      <c r="BQ97" s="3"/>
    </row>
    <row r="98" ht="384" customHeight="1" spans="1:69">
      <c r="A98" s="17">
        <v>79</v>
      </c>
      <c r="B98" s="18" t="s">
        <v>668</v>
      </c>
      <c r="C98" s="2"/>
      <c r="D98" s="3"/>
      <c r="E98" s="18" t="s">
        <v>669</v>
      </c>
      <c r="F98" s="2"/>
      <c r="G98" s="2"/>
      <c r="H98" s="2"/>
      <c r="I98" s="3"/>
      <c r="J98" s="18" t="s">
        <v>637</v>
      </c>
      <c r="K98" s="2"/>
      <c r="L98" s="2"/>
      <c r="M98" s="2"/>
      <c r="N98" s="2"/>
      <c r="O98" s="2"/>
      <c r="P98" s="3"/>
      <c r="Q98" s="18" t="s">
        <v>670</v>
      </c>
      <c r="R98" s="2"/>
      <c r="S98" s="2"/>
      <c r="T98" s="2"/>
      <c r="U98" s="2"/>
      <c r="V98" s="2"/>
      <c r="W98" s="3"/>
      <c r="X98" s="18" t="s">
        <v>671</v>
      </c>
      <c r="Y98" s="2"/>
      <c r="Z98" s="2"/>
      <c r="AA98" s="2"/>
      <c r="AB98" s="2"/>
      <c r="AC98" s="2"/>
      <c r="AD98" s="3"/>
      <c r="AE98" s="19" t="s">
        <v>227</v>
      </c>
      <c r="AF98" s="3"/>
      <c r="AG98" s="19" t="s">
        <v>77</v>
      </c>
      <c r="AH98" s="2"/>
      <c r="AI98" s="3"/>
      <c r="AJ98" s="19"/>
      <c r="AK98" s="2"/>
      <c r="AL98" s="3"/>
      <c r="AM98" s="20" t="s">
        <v>285</v>
      </c>
      <c r="AN98" s="2"/>
      <c r="AO98" s="3"/>
      <c r="AP98" s="21">
        <v>46181</v>
      </c>
      <c r="AQ98" s="2"/>
      <c r="AR98" s="3"/>
      <c r="AS98" s="19"/>
      <c r="AT98" s="2"/>
      <c r="AU98" s="3"/>
      <c r="AV98" s="19" t="s">
        <v>77</v>
      </c>
      <c r="AW98" s="2"/>
      <c r="AX98" s="3"/>
      <c r="AY98" s="19"/>
      <c r="AZ98" s="2"/>
      <c r="BA98" s="3"/>
      <c r="BB98" s="19" t="s">
        <v>286</v>
      </c>
      <c r="BC98" s="2"/>
      <c r="BD98" s="3"/>
      <c r="BE98" s="21">
        <v>46247</v>
      </c>
      <c r="BF98" s="2"/>
      <c r="BG98" s="3"/>
      <c r="BH98" s="19"/>
      <c r="BI98" s="2"/>
      <c r="BJ98" s="3"/>
      <c r="BK98" s="18"/>
      <c r="BL98" s="2"/>
      <c r="BM98" s="2"/>
      <c r="BN98" s="2"/>
      <c r="BO98" s="2"/>
      <c r="BP98" s="2"/>
      <c r="BQ98" s="3"/>
    </row>
    <row r="99" ht="303.75" customHeight="1" spans="1:69">
      <c r="A99" s="17">
        <v>80</v>
      </c>
      <c r="B99" s="18" t="s">
        <v>672</v>
      </c>
      <c r="C99" s="2"/>
      <c r="D99" s="3"/>
      <c r="E99" s="18" t="s">
        <v>673</v>
      </c>
      <c r="F99" s="2"/>
      <c r="G99" s="2"/>
      <c r="H99" s="2"/>
      <c r="I99" s="3"/>
      <c r="J99" s="18" t="s">
        <v>349</v>
      </c>
      <c r="K99" s="2"/>
      <c r="L99" s="2"/>
      <c r="M99" s="2"/>
      <c r="N99" s="2"/>
      <c r="O99" s="2"/>
      <c r="P99" s="3"/>
      <c r="Q99" s="18" t="s">
        <v>674</v>
      </c>
      <c r="R99" s="2"/>
      <c r="S99" s="2"/>
      <c r="T99" s="2"/>
      <c r="U99" s="2"/>
      <c r="V99" s="2"/>
      <c r="W99" s="3"/>
      <c r="X99" s="18" t="s">
        <v>675</v>
      </c>
      <c r="Y99" s="2"/>
      <c r="Z99" s="2"/>
      <c r="AA99" s="2"/>
      <c r="AB99" s="2"/>
      <c r="AC99" s="2"/>
      <c r="AD99" s="3"/>
      <c r="AE99" s="19" t="s">
        <v>284</v>
      </c>
      <c r="AF99" s="3"/>
      <c r="AG99" s="19" t="s">
        <v>77</v>
      </c>
      <c r="AH99" s="2"/>
      <c r="AI99" s="3"/>
      <c r="AJ99" s="19"/>
      <c r="AK99" s="2"/>
      <c r="AL99" s="3"/>
      <c r="AM99" s="20" t="s">
        <v>285</v>
      </c>
      <c r="AN99" s="2"/>
      <c r="AO99" s="3"/>
      <c r="AP99" s="21">
        <v>46181</v>
      </c>
      <c r="AQ99" s="2"/>
      <c r="AR99" s="3"/>
      <c r="AS99" s="19"/>
      <c r="AT99" s="2"/>
      <c r="AU99" s="3"/>
      <c r="AV99" s="19" t="s">
        <v>77</v>
      </c>
      <c r="AW99" s="2"/>
      <c r="AX99" s="3"/>
      <c r="AY99" s="19"/>
      <c r="AZ99" s="2"/>
      <c r="BA99" s="3"/>
      <c r="BB99" s="19" t="s">
        <v>286</v>
      </c>
      <c r="BC99" s="2"/>
      <c r="BD99" s="3"/>
      <c r="BE99" s="21">
        <v>46247</v>
      </c>
      <c r="BF99" s="2"/>
      <c r="BG99" s="3"/>
      <c r="BH99" s="19"/>
      <c r="BI99" s="2"/>
      <c r="BJ99" s="3"/>
      <c r="BK99" s="18"/>
      <c r="BL99" s="2"/>
      <c r="BM99" s="2"/>
      <c r="BN99" s="2"/>
      <c r="BO99" s="2"/>
      <c r="BP99" s="2"/>
      <c r="BQ99" s="3"/>
    </row>
    <row r="100" ht="336" customHeight="1" spans="1:69">
      <c r="A100" s="17">
        <v>81</v>
      </c>
      <c r="B100" s="18" t="s">
        <v>676</v>
      </c>
      <c r="C100" s="2"/>
      <c r="D100" s="3"/>
      <c r="E100" s="18" t="s">
        <v>677</v>
      </c>
      <c r="F100" s="2"/>
      <c r="G100" s="2"/>
      <c r="H100" s="2"/>
      <c r="I100" s="3"/>
      <c r="J100" s="18" t="s">
        <v>678</v>
      </c>
      <c r="K100" s="2"/>
      <c r="L100" s="2"/>
      <c r="M100" s="2"/>
      <c r="N100" s="2"/>
      <c r="O100" s="2"/>
      <c r="P100" s="3"/>
      <c r="Q100" s="18" t="s">
        <v>679</v>
      </c>
      <c r="R100" s="2"/>
      <c r="S100" s="2"/>
      <c r="T100" s="2"/>
      <c r="U100" s="2"/>
      <c r="V100" s="2"/>
      <c r="W100" s="3"/>
      <c r="X100" s="18" t="s">
        <v>680</v>
      </c>
      <c r="Y100" s="2"/>
      <c r="Z100" s="2"/>
      <c r="AA100" s="2"/>
      <c r="AB100" s="2"/>
      <c r="AC100" s="2"/>
      <c r="AD100" s="3"/>
      <c r="AE100" s="19" t="s">
        <v>227</v>
      </c>
      <c r="AF100" s="3"/>
      <c r="AG100" s="19" t="s">
        <v>77</v>
      </c>
      <c r="AH100" s="2"/>
      <c r="AI100" s="3"/>
      <c r="AJ100" s="19"/>
      <c r="AK100" s="2"/>
      <c r="AL100" s="3"/>
      <c r="AM100" s="20" t="s">
        <v>285</v>
      </c>
      <c r="AN100" s="2"/>
      <c r="AO100" s="3"/>
      <c r="AP100" s="21">
        <v>46181</v>
      </c>
      <c r="AQ100" s="2"/>
      <c r="AR100" s="3"/>
      <c r="AS100" s="19"/>
      <c r="AT100" s="2"/>
      <c r="AU100" s="3"/>
      <c r="AV100" s="19" t="s">
        <v>77</v>
      </c>
      <c r="AW100" s="2"/>
      <c r="AX100" s="3"/>
      <c r="AY100" s="19"/>
      <c r="AZ100" s="2"/>
      <c r="BA100" s="3"/>
      <c r="BB100" s="19" t="s">
        <v>286</v>
      </c>
      <c r="BC100" s="2"/>
      <c r="BD100" s="3"/>
      <c r="BE100" s="21">
        <v>46247</v>
      </c>
      <c r="BF100" s="2"/>
      <c r="BG100" s="3"/>
      <c r="BH100" s="19"/>
      <c r="BI100" s="2"/>
      <c r="BJ100" s="3"/>
      <c r="BK100" s="18"/>
      <c r="BL100" s="2"/>
      <c r="BM100" s="2"/>
      <c r="BN100" s="2"/>
      <c r="BO100" s="2"/>
      <c r="BP100" s="2"/>
      <c r="BQ100" s="3"/>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51">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H13:BJ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B18:D18"/>
    <mergeCell ref="E18:I18"/>
    <mergeCell ref="J18:P18"/>
    <mergeCell ref="Q18:W18"/>
    <mergeCell ref="X18:AD18"/>
    <mergeCell ref="AE18:AF18"/>
    <mergeCell ref="AG18:AI18"/>
    <mergeCell ref="AJ18:AL18"/>
    <mergeCell ref="AM18:AO18"/>
    <mergeCell ref="AP18:AR18"/>
    <mergeCell ref="AS18:AU18"/>
    <mergeCell ref="AV18:AX18"/>
    <mergeCell ref="AY18:BA18"/>
    <mergeCell ref="BB18:BD18"/>
    <mergeCell ref="BE18:BG18"/>
    <mergeCell ref="BH18:BJ18"/>
    <mergeCell ref="BK18:BQ18"/>
    <mergeCell ref="B19:D19"/>
    <mergeCell ref="E19:I19"/>
    <mergeCell ref="J19:P19"/>
    <mergeCell ref="Q19:W19"/>
    <mergeCell ref="X19:AD19"/>
    <mergeCell ref="AE19:AF19"/>
    <mergeCell ref="AG19:AI19"/>
    <mergeCell ref="AJ19:AL19"/>
    <mergeCell ref="AM19:AO19"/>
    <mergeCell ref="AP19:AR19"/>
    <mergeCell ref="AS19:AU19"/>
    <mergeCell ref="AV19:AX19"/>
    <mergeCell ref="AY19:BA19"/>
    <mergeCell ref="BB19:BD19"/>
    <mergeCell ref="BE19:BG19"/>
    <mergeCell ref="BH19:BJ19"/>
    <mergeCell ref="BK19:BQ19"/>
    <mergeCell ref="B20:D20"/>
    <mergeCell ref="E20:I20"/>
    <mergeCell ref="J20:P20"/>
    <mergeCell ref="Q20:W20"/>
    <mergeCell ref="X20:AD20"/>
    <mergeCell ref="AE20:AF20"/>
    <mergeCell ref="AG20:AI20"/>
    <mergeCell ref="AJ20:AL20"/>
    <mergeCell ref="AM20:AO20"/>
    <mergeCell ref="AP20:AR20"/>
    <mergeCell ref="AS20:AU20"/>
    <mergeCell ref="AV20:AX20"/>
    <mergeCell ref="AY20:BA20"/>
    <mergeCell ref="BB20:BD20"/>
    <mergeCell ref="BE20:BG20"/>
    <mergeCell ref="BH20:BJ20"/>
    <mergeCell ref="BK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A24:BQ24"/>
    <mergeCell ref="B25:D25"/>
    <mergeCell ref="E25:I25"/>
    <mergeCell ref="J25:P25"/>
    <mergeCell ref="Q25:W25"/>
    <mergeCell ref="X25:AD25"/>
    <mergeCell ref="AE25:AF25"/>
    <mergeCell ref="AG25:AI25"/>
    <mergeCell ref="AJ25:AL25"/>
    <mergeCell ref="AM25:AO25"/>
    <mergeCell ref="AP25:AR25"/>
    <mergeCell ref="AS25:AU25"/>
    <mergeCell ref="AV25:AX25"/>
    <mergeCell ref="AY25:BA25"/>
    <mergeCell ref="BB25:BD25"/>
    <mergeCell ref="BE25:BG25"/>
    <mergeCell ref="BH25:BJ25"/>
    <mergeCell ref="BK25:BQ25"/>
    <mergeCell ref="B26:D26"/>
    <mergeCell ref="E26:I26"/>
    <mergeCell ref="J26:P26"/>
    <mergeCell ref="Q26:W26"/>
    <mergeCell ref="X26:AD26"/>
    <mergeCell ref="AE26:AF26"/>
    <mergeCell ref="AG26:AI26"/>
    <mergeCell ref="AJ26:AL26"/>
    <mergeCell ref="AM26:AO26"/>
    <mergeCell ref="AP26:AR26"/>
    <mergeCell ref="AS26:AU26"/>
    <mergeCell ref="AV26:AX26"/>
    <mergeCell ref="AY26:BA26"/>
    <mergeCell ref="BB26:BD26"/>
    <mergeCell ref="BE26:BG26"/>
    <mergeCell ref="BH26:BJ26"/>
    <mergeCell ref="BK26:BQ26"/>
    <mergeCell ref="B27:D27"/>
    <mergeCell ref="E27:I27"/>
    <mergeCell ref="J27:P27"/>
    <mergeCell ref="Q27:W27"/>
    <mergeCell ref="X27:AD27"/>
    <mergeCell ref="AE27:AF27"/>
    <mergeCell ref="AG27:AI27"/>
    <mergeCell ref="AJ27:AL27"/>
    <mergeCell ref="AM27:AO27"/>
    <mergeCell ref="AP27:AR27"/>
    <mergeCell ref="AS27:AU27"/>
    <mergeCell ref="AV27:AX27"/>
    <mergeCell ref="AY27:BA27"/>
    <mergeCell ref="BB27:BD27"/>
    <mergeCell ref="BE27:BG27"/>
    <mergeCell ref="BH27:BJ27"/>
    <mergeCell ref="BK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B29:D29"/>
    <mergeCell ref="E29:I29"/>
    <mergeCell ref="J29:P29"/>
    <mergeCell ref="Q29:W29"/>
    <mergeCell ref="X29:AD29"/>
    <mergeCell ref="AE29:AF29"/>
    <mergeCell ref="AG29:AI29"/>
    <mergeCell ref="AJ29:AL29"/>
    <mergeCell ref="AM29:AO29"/>
    <mergeCell ref="AP29:AR29"/>
    <mergeCell ref="AS29:AU29"/>
    <mergeCell ref="AV29:AX29"/>
    <mergeCell ref="AY29:BA29"/>
    <mergeCell ref="BB29:BD29"/>
    <mergeCell ref="BE29:BG29"/>
    <mergeCell ref="BH29:BJ29"/>
    <mergeCell ref="BK29:BQ29"/>
    <mergeCell ref="B30:D30"/>
    <mergeCell ref="E30:I30"/>
    <mergeCell ref="J30:P30"/>
    <mergeCell ref="Q30:W30"/>
    <mergeCell ref="X30:AD30"/>
    <mergeCell ref="AE30:AF30"/>
    <mergeCell ref="AG30:AI30"/>
    <mergeCell ref="AJ30:AL30"/>
    <mergeCell ref="AM30:AO30"/>
    <mergeCell ref="AP30:AR30"/>
    <mergeCell ref="AS30:AU30"/>
    <mergeCell ref="AV30:AX30"/>
    <mergeCell ref="AY30:BA30"/>
    <mergeCell ref="BB30:BD30"/>
    <mergeCell ref="BE30:BG30"/>
    <mergeCell ref="BH30:BJ30"/>
    <mergeCell ref="BK30:BQ30"/>
    <mergeCell ref="B31:D31"/>
    <mergeCell ref="E31:I31"/>
    <mergeCell ref="J31:P31"/>
    <mergeCell ref="Q31:W31"/>
    <mergeCell ref="X31:AD31"/>
    <mergeCell ref="AE31:AF31"/>
    <mergeCell ref="AG31:AI31"/>
    <mergeCell ref="AJ31:AL31"/>
    <mergeCell ref="AM31:AO31"/>
    <mergeCell ref="AP31:AR31"/>
    <mergeCell ref="AS31:AU31"/>
    <mergeCell ref="AV31:AX31"/>
    <mergeCell ref="AY31:BA31"/>
    <mergeCell ref="BB31:BD31"/>
    <mergeCell ref="BE31:BG31"/>
    <mergeCell ref="BH31:BJ31"/>
    <mergeCell ref="BK31:BQ31"/>
    <mergeCell ref="A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B35:D35"/>
    <mergeCell ref="E35:I35"/>
    <mergeCell ref="J35:P35"/>
    <mergeCell ref="Q35:W35"/>
    <mergeCell ref="X35:AD35"/>
    <mergeCell ref="AE35:AF35"/>
    <mergeCell ref="AG35:AI35"/>
    <mergeCell ref="AJ35:AL35"/>
    <mergeCell ref="AM35:AO35"/>
    <mergeCell ref="AP35:AR35"/>
    <mergeCell ref="AS35:AU35"/>
    <mergeCell ref="AV35:AX35"/>
    <mergeCell ref="AY35:BA35"/>
    <mergeCell ref="BB35:BD35"/>
    <mergeCell ref="BE35:BG35"/>
    <mergeCell ref="BH35:BJ35"/>
    <mergeCell ref="BK35:BQ35"/>
    <mergeCell ref="A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B38:D38"/>
    <mergeCell ref="E38:I38"/>
    <mergeCell ref="J38:P38"/>
    <mergeCell ref="Q38:W38"/>
    <mergeCell ref="X38:AD38"/>
    <mergeCell ref="AE38:AF38"/>
    <mergeCell ref="AG38:AI38"/>
    <mergeCell ref="AJ38:AL38"/>
    <mergeCell ref="AM38:AO38"/>
    <mergeCell ref="AP38:AR38"/>
    <mergeCell ref="AS38:AU38"/>
    <mergeCell ref="AV38:AX38"/>
    <mergeCell ref="AY38:BA38"/>
    <mergeCell ref="BB38:BD38"/>
    <mergeCell ref="BE38:BG38"/>
    <mergeCell ref="BH38:BJ38"/>
    <mergeCell ref="BK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B40:D40"/>
    <mergeCell ref="E40:I40"/>
    <mergeCell ref="J40:P40"/>
    <mergeCell ref="Q40:W40"/>
    <mergeCell ref="X40:AD40"/>
    <mergeCell ref="AE40:AF40"/>
    <mergeCell ref="AG40:AI40"/>
    <mergeCell ref="AJ40:AL40"/>
    <mergeCell ref="AM40:AO40"/>
    <mergeCell ref="AP40:AR40"/>
    <mergeCell ref="AS40:AU40"/>
    <mergeCell ref="AV40:AX40"/>
    <mergeCell ref="AY40:BA40"/>
    <mergeCell ref="BB40:BD40"/>
    <mergeCell ref="BE40:BG40"/>
    <mergeCell ref="BH40:BJ40"/>
    <mergeCell ref="BK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B42:D42"/>
    <mergeCell ref="E42:I42"/>
    <mergeCell ref="J42:P42"/>
    <mergeCell ref="Q42:W42"/>
    <mergeCell ref="X42:AD42"/>
    <mergeCell ref="AE42:AF42"/>
    <mergeCell ref="AG42:AI42"/>
    <mergeCell ref="AJ42:AL42"/>
    <mergeCell ref="AM42:AO42"/>
    <mergeCell ref="AP42:AR42"/>
    <mergeCell ref="AS42:AU42"/>
    <mergeCell ref="AV42:AX42"/>
    <mergeCell ref="AY42:BA42"/>
    <mergeCell ref="BB42:BD42"/>
    <mergeCell ref="BE42:BG42"/>
    <mergeCell ref="BH42:BJ42"/>
    <mergeCell ref="BK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B44:D44"/>
    <mergeCell ref="E44:I44"/>
    <mergeCell ref="J44:P44"/>
    <mergeCell ref="Q44:W44"/>
    <mergeCell ref="X44:AD44"/>
    <mergeCell ref="AE44:AF44"/>
    <mergeCell ref="AG44:AI44"/>
    <mergeCell ref="AJ44:AL44"/>
    <mergeCell ref="AM44:AO44"/>
    <mergeCell ref="AP44:AR44"/>
    <mergeCell ref="AS44:AU44"/>
    <mergeCell ref="AV44:AX44"/>
    <mergeCell ref="AY44:BA44"/>
    <mergeCell ref="BB44:BD44"/>
    <mergeCell ref="BE44:BG44"/>
    <mergeCell ref="BH44:BJ44"/>
    <mergeCell ref="BK44:BQ44"/>
    <mergeCell ref="B45:D45"/>
    <mergeCell ref="E45:I45"/>
    <mergeCell ref="J45:P45"/>
    <mergeCell ref="Q45:W45"/>
    <mergeCell ref="X45:AD45"/>
    <mergeCell ref="AE45:AF45"/>
    <mergeCell ref="AG45:AI45"/>
    <mergeCell ref="AJ45:AL45"/>
    <mergeCell ref="AM45:AO45"/>
    <mergeCell ref="AP45:AR45"/>
    <mergeCell ref="AS45:AU45"/>
    <mergeCell ref="AV45:AX45"/>
    <mergeCell ref="AY45:BA45"/>
    <mergeCell ref="BB45:BD45"/>
    <mergeCell ref="BE45:BG45"/>
    <mergeCell ref="BH45:BJ45"/>
    <mergeCell ref="BK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B47:D47"/>
    <mergeCell ref="E47:I47"/>
    <mergeCell ref="J47:P47"/>
    <mergeCell ref="Q47:W47"/>
    <mergeCell ref="X47:AD47"/>
    <mergeCell ref="AE47:AF47"/>
    <mergeCell ref="AG47:AI47"/>
    <mergeCell ref="AJ47:AL47"/>
    <mergeCell ref="AM47:AO47"/>
    <mergeCell ref="AP47:AR47"/>
    <mergeCell ref="AS47:AU47"/>
    <mergeCell ref="AV47:AX47"/>
    <mergeCell ref="AY47:BA47"/>
    <mergeCell ref="BB47:BD47"/>
    <mergeCell ref="BE47:BG47"/>
    <mergeCell ref="BH47:BJ47"/>
    <mergeCell ref="BK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A49:BQ49"/>
    <mergeCell ref="B50:D50"/>
    <mergeCell ref="E50:I50"/>
    <mergeCell ref="J50:P50"/>
    <mergeCell ref="Q50:W50"/>
    <mergeCell ref="X50:AD50"/>
    <mergeCell ref="AE50:AF50"/>
    <mergeCell ref="AG50:AI50"/>
    <mergeCell ref="AJ50:AL50"/>
    <mergeCell ref="AM50:AO50"/>
    <mergeCell ref="AP50:AR50"/>
    <mergeCell ref="AS50:AU50"/>
    <mergeCell ref="AV50:AX50"/>
    <mergeCell ref="AY50:BA50"/>
    <mergeCell ref="BB50:BD50"/>
    <mergeCell ref="BE50:BG50"/>
    <mergeCell ref="BH50:BJ50"/>
    <mergeCell ref="BK50:BQ50"/>
    <mergeCell ref="B51:D51"/>
    <mergeCell ref="E51:I51"/>
    <mergeCell ref="J51:P51"/>
    <mergeCell ref="Q51:W51"/>
    <mergeCell ref="X51:AD51"/>
    <mergeCell ref="AE51:AF51"/>
    <mergeCell ref="AG51:AI51"/>
    <mergeCell ref="AJ51:AL51"/>
    <mergeCell ref="AM51:AO51"/>
    <mergeCell ref="AP51:AR51"/>
    <mergeCell ref="AS51:AU51"/>
    <mergeCell ref="AV51:AX51"/>
    <mergeCell ref="AY51:BA51"/>
    <mergeCell ref="BB51:BD51"/>
    <mergeCell ref="BE51:BG51"/>
    <mergeCell ref="BH51:BJ51"/>
    <mergeCell ref="BK51:BQ51"/>
    <mergeCell ref="B52:D52"/>
    <mergeCell ref="E52:I52"/>
    <mergeCell ref="J52:P52"/>
    <mergeCell ref="Q52:W52"/>
    <mergeCell ref="X52:AD52"/>
    <mergeCell ref="AE52:AF52"/>
    <mergeCell ref="AG52:AI52"/>
    <mergeCell ref="AJ52:AL52"/>
    <mergeCell ref="AM52:AO52"/>
    <mergeCell ref="AP52:AR52"/>
    <mergeCell ref="AS52:AU52"/>
    <mergeCell ref="AV52:AX52"/>
    <mergeCell ref="AY52:BA52"/>
    <mergeCell ref="BB52:BD52"/>
    <mergeCell ref="BE52:BG52"/>
    <mergeCell ref="BH52:BJ52"/>
    <mergeCell ref="BK52:BQ52"/>
    <mergeCell ref="B53:D53"/>
    <mergeCell ref="E53:I53"/>
    <mergeCell ref="J53:P53"/>
    <mergeCell ref="Q53:W53"/>
    <mergeCell ref="X53:AD53"/>
    <mergeCell ref="AE53:AF53"/>
    <mergeCell ref="AG53:AI53"/>
    <mergeCell ref="AJ53:AL53"/>
    <mergeCell ref="AM53:AO53"/>
    <mergeCell ref="AP53:AR53"/>
    <mergeCell ref="AS53:AU53"/>
    <mergeCell ref="AV53:AX53"/>
    <mergeCell ref="AY53:BA53"/>
    <mergeCell ref="BB53:BD53"/>
    <mergeCell ref="BE53:BG53"/>
    <mergeCell ref="BH53:BJ53"/>
    <mergeCell ref="BK53:BQ53"/>
    <mergeCell ref="B54:D54"/>
    <mergeCell ref="E54:I54"/>
    <mergeCell ref="J54:P54"/>
    <mergeCell ref="Q54:W54"/>
    <mergeCell ref="X54:AD54"/>
    <mergeCell ref="AE54:AF54"/>
    <mergeCell ref="AG54:AI54"/>
    <mergeCell ref="AJ54:AL54"/>
    <mergeCell ref="AM54:AO54"/>
    <mergeCell ref="AP54:AR54"/>
    <mergeCell ref="AS54:AU54"/>
    <mergeCell ref="AV54:AX54"/>
    <mergeCell ref="AY54:BA54"/>
    <mergeCell ref="BB54:BD54"/>
    <mergeCell ref="BE54:BG54"/>
    <mergeCell ref="BH54:BJ54"/>
    <mergeCell ref="BK54:BQ54"/>
    <mergeCell ref="B55:D55"/>
    <mergeCell ref="E55:I55"/>
    <mergeCell ref="J55:P55"/>
    <mergeCell ref="Q55:W55"/>
    <mergeCell ref="X55:AD55"/>
    <mergeCell ref="AE55:AF55"/>
    <mergeCell ref="AG55:AI55"/>
    <mergeCell ref="AJ55:AL55"/>
    <mergeCell ref="AM55:AO55"/>
    <mergeCell ref="AP55:AR55"/>
    <mergeCell ref="AS55:AU55"/>
    <mergeCell ref="AV55:AX55"/>
    <mergeCell ref="AY55:BA55"/>
    <mergeCell ref="BB55:BD55"/>
    <mergeCell ref="BE55:BG55"/>
    <mergeCell ref="BH55:BJ55"/>
    <mergeCell ref="BK55:BQ55"/>
    <mergeCell ref="B56:D56"/>
    <mergeCell ref="E56:I56"/>
    <mergeCell ref="J56:P56"/>
    <mergeCell ref="Q56:W56"/>
    <mergeCell ref="X56:AD56"/>
    <mergeCell ref="AE56:AF56"/>
    <mergeCell ref="AG56:AI56"/>
    <mergeCell ref="AJ56:AL56"/>
    <mergeCell ref="AM56:AO56"/>
    <mergeCell ref="AP56:AR56"/>
    <mergeCell ref="AS56:AU56"/>
    <mergeCell ref="AV56:AX56"/>
    <mergeCell ref="AY56:BA56"/>
    <mergeCell ref="BB56:BD56"/>
    <mergeCell ref="BE56:BG56"/>
    <mergeCell ref="BH56:BJ56"/>
    <mergeCell ref="BK56:BQ56"/>
    <mergeCell ref="B57:D57"/>
    <mergeCell ref="E57:I57"/>
    <mergeCell ref="J57:P57"/>
    <mergeCell ref="Q57:W57"/>
    <mergeCell ref="X57:AD57"/>
    <mergeCell ref="AE57:AF57"/>
    <mergeCell ref="AG57:AI57"/>
    <mergeCell ref="AJ57:AL57"/>
    <mergeCell ref="AM57:AO57"/>
    <mergeCell ref="AP57:AR57"/>
    <mergeCell ref="AS57:AU57"/>
    <mergeCell ref="AV57:AX57"/>
    <mergeCell ref="AY57:BA57"/>
    <mergeCell ref="BB57:BD57"/>
    <mergeCell ref="BE57:BG57"/>
    <mergeCell ref="BH57:BJ57"/>
    <mergeCell ref="BK57:BQ57"/>
    <mergeCell ref="B58:D58"/>
    <mergeCell ref="E58:I58"/>
    <mergeCell ref="J58:P58"/>
    <mergeCell ref="Q58:W58"/>
    <mergeCell ref="X58:AD58"/>
    <mergeCell ref="AE58:AF58"/>
    <mergeCell ref="AG58:AI58"/>
    <mergeCell ref="AJ58:AL58"/>
    <mergeCell ref="AM58:AO58"/>
    <mergeCell ref="AP58:AR58"/>
    <mergeCell ref="AS58:AU58"/>
    <mergeCell ref="AV58:AX58"/>
    <mergeCell ref="AY58:BA58"/>
    <mergeCell ref="BB58:BD58"/>
    <mergeCell ref="BE58:BG58"/>
    <mergeCell ref="BH58:BJ58"/>
    <mergeCell ref="BK58:BQ58"/>
    <mergeCell ref="B59:D59"/>
    <mergeCell ref="E59:I59"/>
    <mergeCell ref="J59:P59"/>
    <mergeCell ref="Q59:W59"/>
    <mergeCell ref="X59:AD59"/>
    <mergeCell ref="AE59:AF59"/>
    <mergeCell ref="AG59:AI59"/>
    <mergeCell ref="AJ59:AL59"/>
    <mergeCell ref="AM59:AO59"/>
    <mergeCell ref="AP59:AR59"/>
    <mergeCell ref="AS59:AU59"/>
    <mergeCell ref="AV59:AX59"/>
    <mergeCell ref="AY59:BA59"/>
    <mergeCell ref="BB59:BD59"/>
    <mergeCell ref="BE59:BG59"/>
    <mergeCell ref="BH59:BJ59"/>
    <mergeCell ref="BK59:BQ59"/>
    <mergeCell ref="B60:D60"/>
    <mergeCell ref="E60:I60"/>
    <mergeCell ref="J60:P60"/>
    <mergeCell ref="Q60:W60"/>
    <mergeCell ref="X60:AD60"/>
    <mergeCell ref="AE60:AF60"/>
    <mergeCell ref="AG60:AI60"/>
    <mergeCell ref="AJ60:AL60"/>
    <mergeCell ref="AM60:AO60"/>
    <mergeCell ref="AP60:AR60"/>
    <mergeCell ref="AS60:AU60"/>
    <mergeCell ref="AV60:AX60"/>
    <mergeCell ref="AY60:BA60"/>
    <mergeCell ref="BB60:BD60"/>
    <mergeCell ref="BE60:BG60"/>
    <mergeCell ref="BH60:BJ60"/>
    <mergeCell ref="BK60:BQ60"/>
    <mergeCell ref="B61:D61"/>
    <mergeCell ref="E61:I61"/>
    <mergeCell ref="J61:P61"/>
    <mergeCell ref="Q61:W61"/>
    <mergeCell ref="X61:AD61"/>
    <mergeCell ref="AE61:AF61"/>
    <mergeCell ref="AG61:AI61"/>
    <mergeCell ref="AJ61:AL61"/>
    <mergeCell ref="AM61:AO61"/>
    <mergeCell ref="AP61:AR61"/>
    <mergeCell ref="AS61:AU61"/>
    <mergeCell ref="AV61:AX61"/>
    <mergeCell ref="AY61:BA61"/>
    <mergeCell ref="BB61:BD61"/>
    <mergeCell ref="BE61:BG61"/>
    <mergeCell ref="BH61:BJ61"/>
    <mergeCell ref="BK61:BQ61"/>
    <mergeCell ref="B62:D62"/>
    <mergeCell ref="E62:I62"/>
    <mergeCell ref="J62:P62"/>
    <mergeCell ref="Q62:W62"/>
    <mergeCell ref="X62:AD62"/>
    <mergeCell ref="AE62:AF62"/>
    <mergeCell ref="AG62:AI62"/>
    <mergeCell ref="AJ62:AL62"/>
    <mergeCell ref="AM62:AO62"/>
    <mergeCell ref="AP62:AR62"/>
    <mergeCell ref="AS62:AU62"/>
    <mergeCell ref="AV62:AX62"/>
    <mergeCell ref="AY62:BA62"/>
    <mergeCell ref="BB62:BD62"/>
    <mergeCell ref="BE62:BG62"/>
    <mergeCell ref="BH62:BJ62"/>
    <mergeCell ref="BK62:BQ62"/>
    <mergeCell ref="B63:D63"/>
    <mergeCell ref="E63:I63"/>
    <mergeCell ref="J63:P63"/>
    <mergeCell ref="Q63:W63"/>
    <mergeCell ref="X63:AD63"/>
    <mergeCell ref="AE63:AF63"/>
    <mergeCell ref="AG63:AI63"/>
    <mergeCell ref="AJ63:AL63"/>
    <mergeCell ref="AM63:AO63"/>
    <mergeCell ref="AP63:AR63"/>
    <mergeCell ref="AS63:AU63"/>
    <mergeCell ref="AV63:AX63"/>
    <mergeCell ref="AY63:BA63"/>
    <mergeCell ref="BB63:BD63"/>
    <mergeCell ref="BE63:BG63"/>
    <mergeCell ref="BH63:BJ63"/>
    <mergeCell ref="BK63:BQ63"/>
    <mergeCell ref="A64:BQ64"/>
    <mergeCell ref="B65:D65"/>
    <mergeCell ref="E65:I65"/>
    <mergeCell ref="J65:P65"/>
    <mergeCell ref="Q65:W65"/>
    <mergeCell ref="X65:AD65"/>
    <mergeCell ref="AE65:AF65"/>
    <mergeCell ref="AG65:AI65"/>
    <mergeCell ref="AJ65:AL65"/>
    <mergeCell ref="AM65:AO65"/>
    <mergeCell ref="AP65:AR65"/>
    <mergeCell ref="AS65:AU65"/>
    <mergeCell ref="AV65:AX65"/>
    <mergeCell ref="AY65:BA65"/>
    <mergeCell ref="BB65:BD65"/>
    <mergeCell ref="BE65:BG65"/>
    <mergeCell ref="BH65:BJ65"/>
    <mergeCell ref="BK65:BQ65"/>
    <mergeCell ref="B66:D66"/>
    <mergeCell ref="E66:I66"/>
    <mergeCell ref="J66:P66"/>
    <mergeCell ref="Q66:W66"/>
    <mergeCell ref="X66:AD66"/>
    <mergeCell ref="AE66:AF66"/>
    <mergeCell ref="AG66:AI66"/>
    <mergeCell ref="AJ66:AL66"/>
    <mergeCell ref="AM66:AO66"/>
    <mergeCell ref="AP66:AR66"/>
    <mergeCell ref="AS66:AU66"/>
    <mergeCell ref="AV66:AX66"/>
    <mergeCell ref="AY66:BA66"/>
    <mergeCell ref="BB66:BD66"/>
    <mergeCell ref="BE66:BG66"/>
    <mergeCell ref="BH66:BJ66"/>
    <mergeCell ref="BK66:BQ66"/>
    <mergeCell ref="B67:D67"/>
    <mergeCell ref="E67:I67"/>
    <mergeCell ref="J67:P67"/>
    <mergeCell ref="Q67:W67"/>
    <mergeCell ref="X67:AD67"/>
    <mergeCell ref="AE67:AF67"/>
    <mergeCell ref="AG67:AI67"/>
    <mergeCell ref="AJ67:AL67"/>
    <mergeCell ref="AM67:AO67"/>
    <mergeCell ref="AP67:AR67"/>
    <mergeCell ref="AS67:AU67"/>
    <mergeCell ref="AV67:AX67"/>
    <mergeCell ref="AY67:BA67"/>
    <mergeCell ref="BB67:BD67"/>
    <mergeCell ref="BE67:BG67"/>
    <mergeCell ref="BH67:BJ67"/>
    <mergeCell ref="BK67:BQ67"/>
    <mergeCell ref="B68:D68"/>
    <mergeCell ref="E68:I68"/>
    <mergeCell ref="J68:P68"/>
    <mergeCell ref="Q68:W68"/>
    <mergeCell ref="X68:AD68"/>
    <mergeCell ref="AE68:AF68"/>
    <mergeCell ref="AG68:AI68"/>
    <mergeCell ref="AJ68:AL68"/>
    <mergeCell ref="AM68:AO68"/>
    <mergeCell ref="AP68:AR68"/>
    <mergeCell ref="AS68:AU68"/>
    <mergeCell ref="AV68:AX68"/>
    <mergeCell ref="AY68:BA68"/>
    <mergeCell ref="BB68:BD68"/>
    <mergeCell ref="BE68:BG68"/>
    <mergeCell ref="BH68:BJ68"/>
    <mergeCell ref="BK68:BQ68"/>
    <mergeCell ref="B69:D69"/>
    <mergeCell ref="E69:I69"/>
    <mergeCell ref="J69:P69"/>
    <mergeCell ref="Q69:W69"/>
    <mergeCell ref="X69:AD69"/>
    <mergeCell ref="AE69:AF69"/>
    <mergeCell ref="AG69:AI69"/>
    <mergeCell ref="AJ69:AL69"/>
    <mergeCell ref="AM69:AO69"/>
    <mergeCell ref="AP69:AR69"/>
    <mergeCell ref="AS69:AU69"/>
    <mergeCell ref="AV69:AX69"/>
    <mergeCell ref="AY69:BA69"/>
    <mergeCell ref="BB69:BD69"/>
    <mergeCell ref="BE69:BG69"/>
    <mergeCell ref="BH69:BJ69"/>
    <mergeCell ref="BK69:BQ69"/>
    <mergeCell ref="B70:D70"/>
    <mergeCell ref="E70:I70"/>
    <mergeCell ref="J70:P70"/>
    <mergeCell ref="Q70:W70"/>
    <mergeCell ref="X70:AD70"/>
    <mergeCell ref="AE70:AF70"/>
    <mergeCell ref="AG70:AI70"/>
    <mergeCell ref="AJ70:AL70"/>
    <mergeCell ref="AM70:AO70"/>
    <mergeCell ref="AP70:AR70"/>
    <mergeCell ref="AS70:AU70"/>
    <mergeCell ref="AV70:AX70"/>
    <mergeCell ref="AY70:BA70"/>
    <mergeCell ref="BB70:BD70"/>
    <mergeCell ref="BE70:BG70"/>
    <mergeCell ref="BH70:BJ70"/>
    <mergeCell ref="BK70:BQ70"/>
    <mergeCell ref="A71:BQ71"/>
    <mergeCell ref="B72:D72"/>
    <mergeCell ref="E72:I72"/>
    <mergeCell ref="J72:P72"/>
    <mergeCell ref="Q72:W72"/>
    <mergeCell ref="X72:AD72"/>
    <mergeCell ref="AE72:AF72"/>
    <mergeCell ref="AG72:AI72"/>
    <mergeCell ref="AJ72:AL72"/>
    <mergeCell ref="AM72:AO72"/>
    <mergeCell ref="AP72:AR72"/>
    <mergeCell ref="AS72:AU72"/>
    <mergeCell ref="AV72:AX72"/>
    <mergeCell ref="AY72:BA72"/>
    <mergeCell ref="BB72:BD72"/>
    <mergeCell ref="BE72:BG72"/>
    <mergeCell ref="BH72:BJ72"/>
    <mergeCell ref="BK72:BQ72"/>
    <mergeCell ref="B73:D73"/>
    <mergeCell ref="E73:I73"/>
    <mergeCell ref="J73:P73"/>
    <mergeCell ref="Q73:W73"/>
    <mergeCell ref="X73:AD73"/>
    <mergeCell ref="AE73:AF73"/>
    <mergeCell ref="AG73:AI73"/>
    <mergeCell ref="AJ73:AL73"/>
    <mergeCell ref="AM73:AO73"/>
    <mergeCell ref="AP73:AR73"/>
    <mergeCell ref="AS73:AU73"/>
    <mergeCell ref="AV73:AX73"/>
    <mergeCell ref="AY73:BA73"/>
    <mergeCell ref="BB73:BD73"/>
    <mergeCell ref="BE73:BG73"/>
    <mergeCell ref="BH73:BJ73"/>
    <mergeCell ref="BK73:BQ73"/>
    <mergeCell ref="B74:D74"/>
    <mergeCell ref="E74:I74"/>
    <mergeCell ref="J74:P74"/>
    <mergeCell ref="Q74:W74"/>
    <mergeCell ref="X74:AD74"/>
    <mergeCell ref="AE74:AF74"/>
    <mergeCell ref="AG74:AI74"/>
    <mergeCell ref="AJ74:AL74"/>
    <mergeCell ref="AM74:AO74"/>
    <mergeCell ref="AP74:AR74"/>
    <mergeCell ref="AS74:AU74"/>
    <mergeCell ref="AV74:AX74"/>
    <mergeCell ref="AY74:BA74"/>
    <mergeCell ref="BB74:BD74"/>
    <mergeCell ref="BE74:BG74"/>
    <mergeCell ref="BH74:BJ74"/>
    <mergeCell ref="BK74:BQ74"/>
    <mergeCell ref="B75:D75"/>
    <mergeCell ref="E75:I75"/>
    <mergeCell ref="J75:P75"/>
    <mergeCell ref="Q75:W75"/>
    <mergeCell ref="X75:AD75"/>
    <mergeCell ref="AE75:AF75"/>
    <mergeCell ref="AG75:AI75"/>
    <mergeCell ref="AJ75:AL75"/>
    <mergeCell ref="AM75:AO75"/>
    <mergeCell ref="AP75:AR75"/>
    <mergeCell ref="AS75:AU75"/>
    <mergeCell ref="AV75:AX75"/>
    <mergeCell ref="AY75:BA75"/>
    <mergeCell ref="BB75:BD75"/>
    <mergeCell ref="BE75:BG75"/>
    <mergeCell ref="BH75:BJ75"/>
    <mergeCell ref="BK75:BQ75"/>
    <mergeCell ref="B76:D76"/>
    <mergeCell ref="E76:I76"/>
    <mergeCell ref="J76:P76"/>
    <mergeCell ref="Q76:W76"/>
    <mergeCell ref="X76:AD76"/>
    <mergeCell ref="AE76:AF76"/>
    <mergeCell ref="AG76:AI76"/>
    <mergeCell ref="AJ76:AL76"/>
    <mergeCell ref="AM76:AO76"/>
    <mergeCell ref="AP76:AR76"/>
    <mergeCell ref="AS76:AU76"/>
    <mergeCell ref="AV76:AX76"/>
    <mergeCell ref="AY76:BA76"/>
    <mergeCell ref="BB76:BD76"/>
    <mergeCell ref="BE76:BG76"/>
    <mergeCell ref="BH76:BJ76"/>
    <mergeCell ref="BK76:BQ76"/>
    <mergeCell ref="B77:D77"/>
    <mergeCell ref="E77:I77"/>
    <mergeCell ref="J77:P77"/>
    <mergeCell ref="Q77:W77"/>
    <mergeCell ref="X77:AD77"/>
    <mergeCell ref="AE77:AF77"/>
    <mergeCell ref="AG77:AI77"/>
    <mergeCell ref="AJ77:AL77"/>
    <mergeCell ref="AM77:AO77"/>
    <mergeCell ref="AP77:AR77"/>
    <mergeCell ref="AS77:AU77"/>
    <mergeCell ref="AV77:AX77"/>
    <mergeCell ref="AY77:BA77"/>
    <mergeCell ref="BB77:BD77"/>
    <mergeCell ref="BE77:BG77"/>
    <mergeCell ref="BH77:BJ77"/>
    <mergeCell ref="BK77:BQ77"/>
    <mergeCell ref="B78:D78"/>
    <mergeCell ref="E78:I78"/>
    <mergeCell ref="J78:P78"/>
    <mergeCell ref="Q78:W78"/>
    <mergeCell ref="X78:AD78"/>
    <mergeCell ref="AE78:AF78"/>
    <mergeCell ref="AG78:AI78"/>
    <mergeCell ref="AJ78:AL78"/>
    <mergeCell ref="AM78:AO78"/>
    <mergeCell ref="AP78:AR78"/>
    <mergeCell ref="AS78:AU78"/>
    <mergeCell ref="AV78:AX78"/>
    <mergeCell ref="AY78:BA78"/>
    <mergeCell ref="BB78:BD78"/>
    <mergeCell ref="BE78:BG78"/>
    <mergeCell ref="BH78:BJ78"/>
    <mergeCell ref="BK78:BQ78"/>
    <mergeCell ref="B79:D79"/>
    <mergeCell ref="E79:I79"/>
    <mergeCell ref="J79:P79"/>
    <mergeCell ref="Q79:W79"/>
    <mergeCell ref="X79:AD79"/>
    <mergeCell ref="AE79:AF79"/>
    <mergeCell ref="AG79:AI79"/>
    <mergeCell ref="AJ79:AL79"/>
    <mergeCell ref="AM79:AO79"/>
    <mergeCell ref="AP79:AR79"/>
    <mergeCell ref="AS79:AU79"/>
    <mergeCell ref="AV79:AX79"/>
    <mergeCell ref="AY79:BA79"/>
    <mergeCell ref="BB79:BD79"/>
    <mergeCell ref="BE79:BG79"/>
    <mergeCell ref="BH79:BJ79"/>
    <mergeCell ref="BK79:BQ79"/>
    <mergeCell ref="B80:D80"/>
    <mergeCell ref="E80:I80"/>
    <mergeCell ref="J80:P80"/>
    <mergeCell ref="Q80:W80"/>
    <mergeCell ref="X80:AD80"/>
    <mergeCell ref="AE80:AF80"/>
    <mergeCell ref="AG80:AI80"/>
    <mergeCell ref="AJ80:AL80"/>
    <mergeCell ref="AM80:AO80"/>
    <mergeCell ref="AP80:AR80"/>
    <mergeCell ref="AS80:AU80"/>
    <mergeCell ref="AV80:AX80"/>
    <mergeCell ref="AY80:BA80"/>
    <mergeCell ref="BB80:BD80"/>
    <mergeCell ref="BE80:BG80"/>
    <mergeCell ref="BH80:BJ80"/>
    <mergeCell ref="BK80:BQ80"/>
    <mergeCell ref="B81:D81"/>
    <mergeCell ref="E81:I81"/>
    <mergeCell ref="J81:P81"/>
    <mergeCell ref="Q81:W81"/>
    <mergeCell ref="X81:AD81"/>
    <mergeCell ref="AE81:AF81"/>
    <mergeCell ref="AG81:AI81"/>
    <mergeCell ref="AJ81:AL81"/>
    <mergeCell ref="AM81:AO81"/>
    <mergeCell ref="AP81:AR81"/>
    <mergeCell ref="AS81:AU81"/>
    <mergeCell ref="AV81:AX81"/>
    <mergeCell ref="AY81:BA81"/>
    <mergeCell ref="BB81:BD81"/>
    <mergeCell ref="BE81:BG81"/>
    <mergeCell ref="BH81:BJ81"/>
    <mergeCell ref="BK81:BQ81"/>
    <mergeCell ref="B82:D82"/>
    <mergeCell ref="E82:I82"/>
    <mergeCell ref="J82:P82"/>
    <mergeCell ref="Q82:W82"/>
    <mergeCell ref="X82:AD82"/>
    <mergeCell ref="AE82:AF82"/>
    <mergeCell ref="AG82:AI82"/>
    <mergeCell ref="AJ82:AL82"/>
    <mergeCell ref="AM82:AO82"/>
    <mergeCell ref="AP82:AR82"/>
    <mergeCell ref="AS82:AU82"/>
    <mergeCell ref="AV82:AX82"/>
    <mergeCell ref="AY82:BA82"/>
    <mergeCell ref="BB82:BD82"/>
    <mergeCell ref="BE82:BG82"/>
    <mergeCell ref="BH82:BJ82"/>
    <mergeCell ref="BK82:BQ82"/>
    <mergeCell ref="B83:D83"/>
    <mergeCell ref="E83:I83"/>
    <mergeCell ref="J83:P83"/>
    <mergeCell ref="Q83:W83"/>
    <mergeCell ref="X83:AD83"/>
    <mergeCell ref="AE83:AF83"/>
    <mergeCell ref="AG83:AI83"/>
    <mergeCell ref="AJ83:AL83"/>
    <mergeCell ref="AM83:AO83"/>
    <mergeCell ref="AP83:AR83"/>
    <mergeCell ref="AS83:AU83"/>
    <mergeCell ref="AV83:AX83"/>
    <mergeCell ref="AY83:BA83"/>
    <mergeCell ref="BB83:BD83"/>
    <mergeCell ref="BE83:BG83"/>
    <mergeCell ref="BH83:BJ83"/>
    <mergeCell ref="BK83:BQ83"/>
    <mergeCell ref="B84:D84"/>
    <mergeCell ref="E84:I84"/>
    <mergeCell ref="J84:P84"/>
    <mergeCell ref="Q84:W84"/>
    <mergeCell ref="X84:AD84"/>
    <mergeCell ref="AE84:AF84"/>
    <mergeCell ref="AG84:AI84"/>
    <mergeCell ref="AJ84:AL84"/>
    <mergeCell ref="AM84:AO84"/>
    <mergeCell ref="AP84:AR84"/>
    <mergeCell ref="AS84:AU84"/>
    <mergeCell ref="AV84:AX84"/>
    <mergeCell ref="AY84:BA84"/>
    <mergeCell ref="BB84:BD84"/>
    <mergeCell ref="BE84:BG84"/>
    <mergeCell ref="BH84:BJ84"/>
    <mergeCell ref="BK84:BQ84"/>
    <mergeCell ref="B85:D85"/>
    <mergeCell ref="E85:I85"/>
    <mergeCell ref="J85:P85"/>
    <mergeCell ref="Q85:W85"/>
    <mergeCell ref="X85:AD85"/>
    <mergeCell ref="AE85:AF85"/>
    <mergeCell ref="AG85:AI85"/>
    <mergeCell ref="AJ85:AL85"/>
    <mergeCell ref="AM85:AO85"/>
    <mergeCell ref="AP85:AR85"/>
    <mergeCell ref="AS85:AU85"/>
    <mergeCell ref="AV85:AX85"/>
    <mergeCell ref="AY85:BA85"/>
    <mergeCell ref="BB85:BD85"/>
    <mergeCell ref="BE85:BG85"/>
    <mergeCell ref="BH85:BJ85"/>
    <mergeCell ref="BK85:BQ85"/>
    <mergeCell ref="B86:D86"/>
    <mergeCell ref="E86:I86"/>
    <mergeCell ref="J86:P86"/>
    <mergeCell ref="Q86:W86"/>
    <mergeCell ref="X86:AD86"/>
    <mergeCell ref="AE86:AF86"/>
    <mergeCell ref="AG86:AI86"/>
    <mergeCell ref="AJ86:AL86"/>
    <mergeCell ref="AM86:AO86"/>
    <mergeCell ref="AP86:AR86"/>
    <mergeCell ref="AS86:AU86"/>
    <mergeCell ref="AV86:AX86"/>
    <mergeCell ref="AY86:BA86"/>
    <mergeCell ref="BB86:BD86"/>
    <mergeCell ref="BE86:BG86"/>
    <mergeCell ref="BH86:BJ86"/>
    <mergeCell ref="BK86:BQ86"/>
    <mergeCell ref="B87:D87"/>
    <mergeCell ref="E87:I87"/>
    <mergeCell ref="J87:P87"/>
    <mergeCell ref="Q87:W87"/>
    <mergeCell ref="X87:AD87"/>
    <mergeCell ref="AE87:AF87"/>
    <mergeCell ref="AG87:AI87"/>
    <mergeCell ref="AJ87:AL87"/>
    <mergeCell ref="AM87:AO87"/>
    <mergeCell ref="AP87:AR87"/>
    <mergeCell ref="AS87:AU87"/>
    <mergeCell ref="AV87:AX87"/>
    <mergeCell ref="AY87:BA87"/>
    <mergeCell ref="BB87:BD87"/>
    <mergeCell ref="BE87:BG87"/>
    <mergeCell ref="BH87:BJ87"/>
    <mergeCell ref="BK87:BQ87"/>
    <mergeCell ref="B88:D88"/>
    <mergeCell ref="E88:I88"/>
    <mergeCell ref="J88:P88"/>
    <mergeCell ref="Q88:W88"/>
    <mergeCell ref="X88:AD88"/>
    <mergeCell ref="AE88:AF88"/>
    <mergeCell ref="AG88:AI88"/>
    <mergeCell ref="AJ88:AL88"/>
    <mergeCell ref="AM88:AO88"/>
    <mergeCell ref="AP88:AR88"/>
    <mergeCell ref="AS88:AU88"/>
    <mergeCell ref="AV88:AX88"/>
    <mergeCell ref="AY88:BA88"/>
    <mergeCell ref="BB88:BD88"/>
    <mergeCell ref="BE88:BG88"/>
    <mergeCell ref="BH88:BJ88"/>
    <mergeCell ref="BK88:BQ88"/>
    <mergeCell ref="B89:D89"/>
    <mergeCell ref="E89:I89"/>
    <mergeCell ref="J89:P89"/>
    <mergeCell ref="Q89:W89"/>
    <mergeCell ref="X89:AD89"/>
    <mergeCell ref="AE89:AF89"/>
    <mergeCell ref="AG89:AI89"/>
    <mergeCell ref="AJ89:AL89"/>
    <mergeCell ref="AM89:AO89"/>
    <mergeCell ref="AP89:AR89"/>
    <mergeCell ref="AS89:AU89"/>
    <mergeCell ref="AV89:AX89"/>
    <mergeCell ref="AY89:BA89"/>
    <mergeCell ref="BB89:BD89"/>
    <mergeCell ref="BE89:BG89"/>
    <mergeCell ref="BH89:BJ89"/>
    <mergeCell ref="BK89:BQ89"/>
    <mergeCell ref="A90:BQ90"/>
    <mergeCell ref="B91:D91"/>
    <mergeCell ref="E91:I91"/>
    <mergeCell ref="J91:P91"/>
    <mergeCell ref="Q91:W91"/>
    <mergeCell ref="X91:AD91"/>
    <mergeCell ref="AE91:AF91"/>
    <mergeCell ref="AG91:AI91"/>
    <mergeCell ref="AJ91:AL91"/>
    <mergeCell ref="AM91:AO91"/>
    <mergeCell ref="AP91:AR91"/>
    <mergeCell ref="AS91:AU91"/>
    <mergeCell ref="AV91:AX91"/>
    <mergeCell ref="AY91:BA91"/>
    <mergeCell ref="BB91:BD91"/>
    <mergeCell ref="BE91:BG91"/>
    <mergeCell ref="BH91:BJ91"/>
    <mergeCell ref="BK91:BQ91"/>
    <mergeCell ref="B92:D92"/>
    <mergeCell ref="E92:I92"/>
    <mergeCell ref="J92:P92"/>
    <mergeCell ref="Q92:W92"/>
    <mergeCell ref="X92:AD92"/>
    <mergeCell ref="AE92:AF92"/>
    <mergeCell ref="AG92:AI92"/>
    <mergeCell ref="AJ92:AL92"/>
    <mergeCell ref="AM92:AO92"/>
    <mergeCell ref="AP92:AR92"/>
    <mergeCell ref="AS92:AU92"/>
    <mergeCell ref="AV92:AX92"/>
    <mergeCell ref="AY92:BA92"/>
    <mergeCell ref="BB92:BD92"/>
    <mergeCell ref="BE92:BG92"/>
    <mergeCell ref="BH92:BJ92"/>
    <mergeCell ref="BK92:BQ92"/>
    <mergeCell ref="B93:D93"/>
    <mergeCell ref="E93:I93"/>
    <mergeCell ref="J93:P93"/>
    <mergeCell ref="Q93:W93"/>
    <mergeCell ref="X93:AD93"/>
    <mergeCell ref="AE93:AF93"/>
    <mergeCell ref="AG93:AI93"/>
    <mergeCell ref="AJ93:AL93"/>
    <mergeCell ref="AM93:AO93"/>
    <mergeCell ref="AP93:AR93"/>
    <mergeCell ref="AS93:AU93"/>
    <mergeCell ref="AV93:AX93"/>
    <mergeCell ref="AY93:BA93"/>
    <mergeCell ref="BB93:BD93"/>
    <mergeCell ref="BE93:BG93"/>
    <mergeCell ref="BH93:BJ93"/>
    <mergeCell ref="BK93:BQ93"/>
    <mergeCell ref="B94:D94"/>
    <mergeCell ref="E94:I94"/>
    <mergeCell ref="J94:P94"/>
    <mergeCell ref="Q94:W94"/>
    <mergeCell ref="X94:AD94"/>
    <mergeCell ref="AE94:AF94"/>
    <mergeCell ref="AG94:AI94"/>
    <mergeCell ref="AJ94:AL94"/>
    <mergeCell ref="AM94:AO94"/>
    <mergeCell ref="AP94:AR94"/>
    <mergeCell ref="AS94:AU94"/>
    <mergeCell ref="AV94:AX94"/>
    <mergeCell ref="AY94:BA94"/>
    <mergeCell ref="BB94:BD94"/>
    <mergeCell ref="BE94:BG94"/>
    <mergeCell ref="BH94:BJ94"/>
    <mergeCell ref="BK94:BQ94"/>
    <mergeCell ref="B95:D95"/>
    <mergeCell ref="E95:I95"/>
    <mergeCell ref="J95:P95"/>
    <mergeCell ref="Q95:W95"/>
    <mergeCell ref="X95:AD95"/>
    <mergeCell ref="AE95:AF95"/>
    <mergeCell ref="AG95:AI95"/>
    <mergeCell ref="AJ95:AL95"/>
    <mergeCell ref="AM95:AO95"/>
    <mergeCell ref="AP95:AR95"/>
    <mergeCell ref="AS95:AU95"/>
    <mergeCell ref="AV95:AX95"/>
    <mergeCell ref="AY95:BA95"/>
    <mergeCell ref="BB95:BD95"/>
    <mergeCell ref="BE95:BG95"/>
    <mergeCell ref="BH95:BJ95"/>
    <mergeCell ref="BK95:BQ95"/>
    <mergeCell ref="B96:D96"/>
    <mergeCell ref="E96:I96"/>
    <mergeCell ref="J96:P96"/>
    <mergeCell ref="Q96:W96"/>
    <mergeCell ref="X96:AD96"/>
    <mergeCell ref="AE96:AF96"/>
    <mergeCell ref="AG96:AI96"/>
    <mergeCell ref="AJ96:AL96"/>
    <mergeCell ref="AM96:AO96"/>
    <mergeCell ref="AP96:AR96"/>
    <mergeCell ref="AS96:AU96"/>
    <mergeCell ref="AV96:AX96"/>
    <mergeCell ref="AY96:BA96"/>
    <mergeCell ref="BB96:BD96"/>
    <mergeCell ref="BE96:BG96"/>
    <mergeCell ref="BH96:BJ96"/>
    <mergeCell ref="BK96:BQ96"/>
    <mergeCell ref="B97:D97"/>
    <mergeCell ref="E97:I97"/>
    <mergeCell ref="J97:P97"/>
    <mergeCell ref="Q97:W97"/>
    <mergeCell ref="X97:AD97"/>
    <mergeCell ref="AE97:AF97"/>
    <mergeCell ref="AG97:AI97"/>
    <mergeCell ref="AJ97:AL97"/>
    <mergeCell ref="AM97:AO97"/>
    <mergeCell ref="AP97:AR97"/>
    <mergeCell ref="AS97:AU97"/>
    <mergeCell ref="AV97:AX97"/>
    <mergeCell ref="AY97:BA97"/>
    <mergeCell ref="BB97:BD97"/>
    <mergeCell ref="BE97:BG97"/>
    <mergeCell ref="BH97:BJ97"/>
    <mergeCell ref="BK97:BQ97"/>
    <mergeCell ref="B98:D98"/>
    <mergeCell ref="E98:I98"/>
    <mergeCell ref="J98:P98"/>
    <mergeCell ref="Q98:W98"/>
    <mergeCell ref="X98:AD98"/>
    <mergeCell ref="AE98:AF98"/>
    <mergeCell ref="AG98:AI98"/>
    <mergeCell ref="AJ98:AL98"/>
    <mergeCell ref="AM98:AO98"/>
    <mergeCell ref="AP98:AR98"/>
    <mergeCell ref="AS98:AU98"/>
    <mergeCell ref="AV98:AX98"/>
    <mergeCell ref="AY98:BA98"/>
    <mergeCell ref="BB98:BD98"/>
    <mergeCell ref="BE98:BG98"/>
    <mergeCell ref="BH98:BJ98"/>
    <mergeCell ref="BK98:BQ98"/>
    <mergeCell ref="B99:D99"/>
    <mergeCell ref="E99:I99"/>
    <mergeCell ref="J99:P99"/>
    <mergeCell ref="Q99:W99"/>
    <mergeCell ref="X99:AD99"/>
    <mergeCell ref="AE99:AF99"/>
    <mergeCell ref="AG99:AI99"/>
    <mergeCell ref="AJ99:AL99"/>
    <mergeCell ref="AM99:AO99"/>
    <mergeCell ref="AP99:AR99"/>
    <mergeCell ref="AS99:AU99"/>
    <mergeCell ref="AV99:AX99"/>
    <mergeCell ref="AY99:BA99"/>
    <mergeCell ref="BB99:BD99"/>
    <mergeCell ref="BE99:BG99"/>
    <mergeCell ref="BH99:BJ99"/>
    <mergeCell ref="BK99:BQ99"/>
    <mergeCell ref="B100:D100"/>
    <mergeCell ref="E100:I100"/>
    <mergeCell ref="J100:P100"/>
    <mergeCell ref="Q100:W100"/>
    <mergeCell ref="X100:AD100"/>
    <mergeCell ref="AE100:AF100"/>
    <mergeCell ref="AG100:AI100"/>
    <mergeCell ref="AJ100:AL100"/>
    <mergeCell ref="AM100:AO100"/>
    <mergeCell ref="AP100:AR100"/>
    <mergeCell ref="AS100:AU100"/>
    <mergeCell ref="AV100:AX100"/>
    <mergeCell ref="AY100:BA100"/>
    <mergeCell ref="BB100:BD100"/>
    <mergeCell ref="BE100:BG100"/>
    <mergeCell ref="BH100:BJ100"/>
    <mergeCell ref="BK100:BQ100"/>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V86 AG13:AG23 AG25:AG31 AG33:AG35 AG37:AG48 AG50:AG63 AG65:AG70 AG72:AG89 AG91:AG100 AV13:AV23 AV25:AV31 AV33:AV35 AV37:AV48 AV50:AV63 AV65:AV70 AV72:AV85 AV87:AV89 AV91:AV100">
      <formula1>"合格,不合格,未テスト,N/A"</formula1>
    </dataValidation>
    <dataValidation type="list" allowBlank="1" sqref="AE13:AE23 AE25:AE31 AE33:AE35 AE37:AE48 AE50:AE63 AE65:AE70 AE72:AE89 AE91:AE100">
      <formula1>"N,A,B"</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2026-08-12T10:48:00Z</dcterms:created>
  <dcterms:modified xsi:type="dcterms:W3CDTF">2026-08-28T10:05:13Z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F915C6180B4F446D9C37C44D6D29F009_12</vt:lpwstr>
  </property>
  <property fmtid="{D5CDD505-2E9C-101B-9397-08002B2CF9AE}" pid="3" name="KSOProductBuildVer">
    <vt:lpwstr>1033-12.1.0.28032</vt:lpwstr>
  </property>
  <property fmtid="{D5CDD505-2E9C-101B-9397-08002B2CF9AE}" pid="4" name="CalculationRule">
    <vt:i4>0</vt:i4>
  </property>
</Properties>
</file>