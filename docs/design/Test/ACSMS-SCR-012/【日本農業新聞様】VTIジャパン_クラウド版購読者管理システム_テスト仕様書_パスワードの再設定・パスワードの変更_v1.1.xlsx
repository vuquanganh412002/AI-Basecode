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h1OEPE5Um1u1FHEB0tzuagbb/b9bjjd5Il8gHOC4Fng="/>
    </ext>
  </extLst>
</workbook>
</file>

<file path=xl/sharedStrings.xml><?xml version="1.0" encoding="utf-8"?>
<sst xmlns="http://schemas.openxmlformats.org/spreadsheetml/2006/main" count="939" uniqueCount="530">
  <si>
    <t>項番</t>
  </si>
  <si>
    <t>システム・アプリケーション名</t>
  </si>
  <si>
    <t>発行日</t>
  </si>
  <si>
    <t>バージョン</t>
  </si>
  <si>
    <t>&lt;単体/結合/システム&gt; テスト報告書</t>
  </si>
  <si>
    <t>ドキュメント</t>
  </si>
  <si>
    <t>担当者</t>
  </si>
  <si>
    <t>シート名</t>
  </si>
  <si>
    <t>変更内容</t>
  </si>
  <si>
    <t>作成日</t>
  </si>
  <si>
    <t>確認者</t>
  </si>
  <si>
    <t>作成者</t>
  </si>
  <si>
    <t>承認者</t>
  </si>
  <si>
    <t>更新日</t>
  </si>
  <si>
    <t>更新者</t>
  </si>
  <si>
    <t>2026-05-08</t>
  </si>
  <si>
    <t>クラウド版購読者管理システム</t>
  </si>
  <si>
    <t>1.0</t>
  </si>
  <si>
    <t>Kieu Thi Diem</t>
  </si>
  <si>
    <t>プロジェクト名</t>
  </si>
  <si>
    <t>テスト仕様書</t>
  </si>
  <si>
    <t>Tạo mới</t>
  </si>
  <si>
    <t>概要</t>
  </si>
  <si>
    <t>2026/05/08</t>
  </si>
  <si>
    <t>Nguyen Huy Dat</t>
  </si>
  <si>
    <t>Tran Duc Tuyen</t>
  </si>
  <si>
    <t>プロジェクトマネージャ</t>
  </si>
  <si>
    <t>2026-08-12</t>
  </si>
  <si>
    <t>パスワードの再設定・パスワードの変更</t>
  </si>
  <si>
    <t>1.1</t>
  </si>
  <si>
    <t>版1.1</t>
  </si>
  <si>
    <t>Cập nhật theo code thực tế: sửa TC-028/029/031/038 theo spec cặp login_id+email, thêm 2 testcase cho trường User ID (TC-049/050)</t>
  </si>
  <si>
    <t>-</t>
  </si>
  <si>
    <t>1.システム概要</t>
  </si>
  <si>
    <t>フォーマットコード</t>
  </si>
  <si>
    <t>Hệ thống này là hệ thống quản lý độc giả phiên bản cloud dành cho JA, cung cấp các chức năng quản lý thông tin độc giả, quản lý lịch sử đặt báo, quản lý dữ liệu chuyển khoản tự động, v.v.</t>
  </si>
  <si>
    <t>16-BM/PM/VTI</t>
  </si>
  <si>
    <t>Các chức năng chính bao gồm: đăng ký / cập nhật / tìm kiếm thông tin độc giả,</t>
  </si>
  <si>
    <t>quản lý lịch sử thay đổi nội dung đặt báo, tạo và quản lý dữ liệu chuyển khoản tự động,</t>
  </si>
  <si>
    <t>フォーマットバージョン</t>
  </si>
  <si>
    <t>chức năng tải lên / tải xuống file, quản lý thông báo hệ thống.</t>
  </si>
  <si>
    <t>Ngoài ra, hệ thống còn hỗ trợ các chức năng bảo mật / kiểm toán như quản lý đăng nhập của user,</t>
  </si>
  <si>
    <t>ghi lịch sử đăng nhập, ghi log thao tác của user.</t>
  </si>
  <si>
    <t>2.資料目的</t>
  </si>
  <si>
    <t>Tài liệu mô tả chi tiết test specification được tạo mới trên hệ thống tại màn hình "パスワードの再設定・パスワードの変更（ACSMS-SCR-012）".</t>
  </si>
  <si>
    <t>#</t>
  </si>
  <si>
    <t>機能名</t>
  </si>
  <si>
    <t>テストケース分類</t>
  </si>
  <si>
    <t>Tài liệu tham khảo ISTQB và IEEE 829, đáp ứng các tiêu chuẩn chất lượng sau:</t>
  </si>
  <si>
    <t>合計</t>
  </si>
  <si>
    <t>テスト結果</t>
  </si>
  <si>
    <t>正常</t>
  </si>
  <si>
    <t>- Mỗi testcase được tạo dựa trên một scenario duy nhất (single responsibility).</t>
  </si>
  <si>
    <t>異常</t>
  </si>
  <si>
    <t>境界</t>
  </si>
  <si>
    <t>合格</t>
  </si>
  <si>
    <t>不合格</t>
  </si>
  <si>
    <t>未テスト</t>
  </si>
  <si>
    <t>- Mô tả các bước với mức độ chi tiết có thể tái hiện, làm rõ test data sử dụng.</t>
  </si>
  <si>
    <t>N/A</t>
  </si>
  <si>
    <t>進捗（%）</t>
  </si>
  <si>
    <t>テスト1回目</t>
  </si>
  <si>
    <t>機能</t>
  </si>
  <si>
    <t>- Kết quả mong đợi phải đo lường được (nội dung message, kết quả query DB, HTTP status code, v.v.).</t>
  </si>
  <si>
    <t>- Thiết lập độ ưu tiên (P0: chặn release / P1: cao / P2: trung bình).</t>
  </si>
  <si>
    <t>3.関連資料</t>
  </si>
  <si>
    <t>No</t>
  </si>
  <si>
    <t>資料コード</t>
  </si>
  <si>
    <t>資料名</t>
  </si>
  <si>
    <t>ACSMS-SCR-012</t>
  </si>
  <si>
    <t>Tài liệu thiết kế màn hình đặt lại mật khẩu / thay đổi mật khẩu</t>
  </si>
  <si>
    <t>ACSMS-SCR-012-api</t>
  </si>
  <si>
    <t>Tài liệu thiết kế API màn hình đặt lại mật khẩu / thay đổi mật khẩu</t>
  </si>
  <si>
    <t>testcase-viewpoints</t>
  </si>
  <si>
    <t>Danh sách quan điểm test chung toàn hệ thống</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</si>
  <si>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</si>
  <si>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</si>
  <si>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</si>
  <si>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</si>
  <si>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</si>
  <si>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</si>
  <si>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</si>
  <si>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</si>
  <si>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</si>
  <si>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</si>
  <si>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</si>
  <si>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</si>
  <si>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</si>
  <si>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</si>
  <si>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</si>
  <si>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データ範囲（DataScope）</t>
  </si>
  <si>
    <t>約20一覧／詳細画面</t>
  </si>
  <si>
    <t>VP-A-03</t>
  </si>
  <si>
    <t>項目レベル制限（Field-level restriction）</t>
  </si>
  <si>
    <t>5マスタ</t>
  </si>
  <si>
    <t>VP-A-04</t>
  </si>
  <si>
    <t>URL直接アクセス攻撃</t>
  </si>
  <si>
    <t>VP-A-05</t>
  </si>
  <si>
    <t>セッション失効／401 ハンドリング</t>
  </si>
  <si>
    <t>全システム</t>
  </si>
  <si>
    <t>VP-A-06</t>
  </si>
  <si>
    <t>XSS／HTML 描画安全性</t>
  </si>
  <si>
    <t>テストレベル</t>
  </si>
  <si>
    <t>約20フォーム</t>
  </si>
  <si>
    <t>結合テスト</t>
  </si>
  <si>
    <t>VP-A-07</t>
  </si>
  <si>
    <t>機能／モジュール</t>
  </si>
  <si>
    <t>ACSMS-SCR-012_パスワードの再設定・パスワードの変更</t>
  </si>
  <si>
    <t>CSRF／Cookie セキュリティフラグ</t>
  </si>
  <si>
    <t>VP-A-08</t>
  </si>
  <si>
    <t>レート制限・Throttling</t>
  </si>
  <si>
    <t>中</t>
  </si>
  <si>
    <t>確認日</t>
  </si>
  <si>
    <t>全公開API＋認証エンドポイント</t>
  </si>
  <si>
    <t>テスト環境</t>
  </si>
  <si>
    <t>Windows 10/11, Chrome, Edge</t>
  </si>
  <si>
    <t>VP-A-09</t>
  </si>
  <si>
    <t>分類</t>
  </si>
  <si>
    <t>アカウントロック・解除運用</t>
  </si>
  <si>
    <t>SCR-001／002＋管理機能</t>
  </si>
  <si>
    <t>回目</t>
  </si>
  <si>
    <t>VP-A-10</t>
  </si>
  <si>
    <t>境界値</t>
  </si>
  <si>
    <t>SQL インジェクション</t>
  </si>
  <si>
    <t>合格 P</t>
  </si>
  <si>
    <t>不合格 F</t>
  </si>
  <si>
    <t>約20フォーム＋検索</t>
  </si>
  <si>
    <t>未テスト N</t>
  </si>
  <si>
    <t>VP-B-01</t>
  </si>
  <si>
    <t>B. データバリデーション</t>
  </si>
  <si>
    <t>1回目</t>
  </si>
  <si>
    <t>必須項目チェック</t>
  </si>
  <si>
    <t>約25フォーム</t>
  </si>
  <si>
    <t>VP-B-02</t>
  </si>
  <si>
    <t>最小／最大長境界</t>
  </si>
  <si>
    <t>VP-B-03</t>
  </si>
  <si>
    <t>形式正規表現（郵便／電話／コード）</t>
  </si>
  <si>
    <t>VP-B-04</t>
  </si>
  <si>
    <t>2回目</t>
  </si>
  <si>
    <t>半角／全角ハンドリング</t>
  </si>
  <si>
    <t>VP-B-05</t>
  </si>
  <si>
    <t>日付ロジック</t>
  </si>
  <si>
    <t>約10日付付きフォーム</t>
  </si>
  <si>
    <t>VP-B-06</t>
  </si>
  <si>
    <t>要件ID</t>
  </si>
  <si>
    <t>通貨／パーセント形式</t>
  </si>
  <si>
    <t>説明</t>
  </si>
  <si>
    <t>前提条件</t>
  </si>
  <si>
    <t>ステップ／手順</t>
  </si>
  <si>
    <t>2-3フォーム（単価）</t>
  </si>
  <si>
    <t>期待結果／アウトプット</t>
  </si>
  <si>
    <t>種類</t>
  </si>
  <si>
    <t>テスト1回目の結果</t>
  </si>
  <si>
    <t>VP-B-07</t>
  </si>
  <si>
    <t>マスタコード（m_code）参照</t>
  </si>
  <si>
    <t>テスト2回目の結果</t>
  </si>
  <si>
    <t>約15ドロップダウン付きフォーム</t>
  </si>
  <si>
    <t>備考</t>
  </si>
  <si>
    <t>VP-B-08</t>
  </si>
  <si>
    <t>キー重複（duplicate code）</t>
  </si>
  <si>
    <t>結果</t>
  </si>
  <si>
    <t>約10マスタ</t>
  </si>
  <si>
    <t>実績／
アウトプット</t>
  </si>
  <si>
    <t>VP-B-09</t>
  </si>
  <si>
    <t>確認日付
（MM/DD）</t>
  </si>
  <si>
    <t>バグID</t>
  </si>
  <si>
    <t>IME・全角入力・貼付ハンドリング</t>
  </si>
  <si>
    <t>全テキスト入力フォーム＋検索画面</t>
  </si>
  <si>
    <t>VP-C-01</t>
  </si>
  <si>
    <t>C. 業務ロジック</t>
  </si>
  <si>
    <t>CRUD 正常系 + DB 永続化</t>
  </si>
  <si>
    <t>Kiểm soát quyền truy cập (Access Control)</t>
  </si>
  <si>
    <t>VP-C-02</t>
  </si>
  <si>
    <t>同時編集競合</t>
  </si>
  <si>
    <t>ACSMS-TC-012-001</t>
  </si>
  <si>
    <t>NICHINO_ADMIN — Sử dụng được toàn bộ flow đặt lại mật khẩu</t>
  </si>
  <si>
    <t>約8編集画面</t>
  </si>
  <si>
    <t>・Test account role: NICHINO_ADMIN
・Đã set email hợp lệ
・Màn hình này không cần auth (cho user trước login sử dụng)</t>
  </si>
  <si>
    <r>
      <rPr>
        <rFont val="游ゴシック"/>
        <b/>
        <color rgb="FF000000"/>
        <sz val="10.0"/>
      </rPr>
      <t xml:space="preserve">ステップ1：
</t>
    </r>
    <r>
      <rPr>
        <rFont val="游ゴシック"/>
        <color rgb="FF000000"/>
        <sz val="10.0"/>
      </rPr>
      <t xml:space="preserve">Trên browser truy cập `/forgot-password`, nhập loginID, email → gửi
</t>
    </r>
    <r>
      <rPr>
        <rFont val="游ゴシック"/>
        <b/>
        <color rgb="FF000000"/>
        <sz val="10.0"/>
      </rPr>
      <t xml:space="preserve">ステップ2：
</t>
    </r>
    <r>
      <rPr>
        <rFont val="游ゴシック"/>
        <color rgb="FF000000"/>
        <sz val="10.0"/>
      </rPr>
      <t xml:space="preserve">Click link đặt lại từ mail nhận được, chuyển sang `/reset-password?token=xxx`
</t>
    </r>
    <r>
      <rPr>
        <rFont val="游ゴシック"/>
        <b/>
        <color rgb="FF000000"/>
        <sz val="10.0"/>
      </rPr>
      <t xml:space="preserve">ステップ3：
</t>
    </r>
    <r>
      <rPr>
        <rFont val="游ゴシック"/>
        <color rgb="FF000000"/>
        <sz val="10.0"/>
      </rPr>
      <t xml:space="preserve">Nhập password mới và confirm password → click nút「パスワードを更新する」
</t>
    </r>
    <r>
      <rPr>
        <rFont val="游ゴシック"/>
        <b/>
        <color rgb="FF000000"/>
        <sz val="10.0"/>
      </rPr>
      <t xml:space="preserve">ステップ4：
</t>
    </r>
    <r>
      <rPr>
        <rFont val="游ゴシック"/>
        <color rgb="FF000000"/>
        <sz val="10.0"/>
      </rPr>
      <t>Sau 3 giây, đăng nhập lại với password mới ở màn hình `/login`</t>
    </r>
  </si>
  <si>
    <r>
      <rPr>
        <rFont val="メイリオ"/>
        <b/>
        <color rgb="FF000000"/>
        <sz val="10.0"/>
      </rPr>
      <t xml:space="preserve">ステップ1：
</t>
    </r>
    <r>
      <rPr>
        <rFont val="メイリオ"/>
        <color rgb="FF000000"/>
        <sz val="10.0"/>
      </rPr>
      <t xml:space="preserve">HTTP status code: 200
</t>
    </r>
    <r>
      <rPr>
        <rFont val="メイリオ"/>
        <color rgb="FF000000"/>
        <sz val="10.0"/>
      </rPr>
      <t xml:space="preserve">Response: `message`「パスワード再設定用のメールを送信しました。メールを確認してください。」
</t>
    </r>
    <r>
      <rPr>
        <rFont val="メイリオ"/>
        <color rgb="FF000000"/>
        <sz val="10.0"/>
      </rPr>
      <t xml:space="preserve">Form ẩn, hiển thị message thành công
</t>
    </r>
    <r>
      <rPr>
        <rFont val="メイリオ"/>
        <b/>
        <color rgb="FF000000"/>
        <sz val="10.0"/>
      </rPr>
      <t xml:space="preserve">ステップ2：
</t>
    </r>
    <r>
      <rPr>
        <rFont val="メイリオ"/>
        <color rgb="FF000000"/>
        <sz val="10.0"/>
      </rPr>
      <t xml:space="preserve">Token verify thành công, form thay đổi password hiển thị
</t>
    </r>
    <r>
      <rPr>
        <rFont val="メイリオ"/>
        <b/>
        <color rgb="FF000000"/>
        <sz val="10.0"/>
      </rPr>
      <t xml:space="preserve">ステップ3：
</t>
    </r>
    <r>
      <rPr>
        <rFont val="メイリオ"/>
        <color rgb="FF000000"/>
        <sz val="10.0"/>
      </rPr>
      <t xml:space="preserve">HTTP status code: 200
</t>
    </r>
    <r>
      <rPr>
        <rFont val="メイリオ"/>
        <color rgb="FF000000"/>
        <sz val="10.0"/>
      </rPr>
      <t xml:space="preserve">Toast「パスワードを更新しました。ログイン画面に移動します。」hiển thị
</t>
    </r>
    <r>
      <rPr>
        <rFont val="メイリオ"/>
        <color rgb="FF000000"/>
        <sz val="10.0"/>
      </rPr>
      <t xml:space="preserve">Sau 3 giây tự động chuyển sang màn hình đăng nhập
</t>
    </r>
    <r>
      <rPr>
        <rFont val="メイリオ"/>
        <b/>
        <color rgb="FF000000"/>
        <sz val="10.0"/>
      </rPr>
      <t xml:space="preserve">ステップ4：
</t>
    </r>
    <r>
      <rPr>
        <rFont val="メイリオ"/>
        <color rgb="FF000000"/>
        <sz val="10.0"/>
      </rPr>
      <t xml:space="preserve">Đăng nhập thành công với password mới
</t>
    </r>
    <r>
      <rPr>
        <rFont val="メイリオ"/>
        <b/>
        <color rgb="FF000000"/>
        <sz val="10.0"/>
      </rPr>
      <t xml:space="preserve">補足：
</t>
    </r>
    <r>
      <rPr>
        <rFont val="メイリオ"/>
        <color rgb="FF000000"/>
        <sz val="10.0"/>
      </rPr>
      <t xml:space="preserve">・`m_account.password_hash` được cập nhật, `password_updated_at` là thời điểm hiện tại
</t>
    </r>
    <r>
      <rPr>
        <rFont val="メイリオ"/>
        <color rgb="FF000000"/>
        <sz val="10.0"/>
      </rPr>
      <t xml:space="preserve">・`t_mfa_otp.used_flg = true` (token được vô hiệu)
</t>
    </r>
    <r>
      <rPr>
        <rFont val="メイリオ"/>
        <color rgb="FF000000"/>
        <sz val="10.0"/>
      </rPr>
      <t xml:space="preserve">・`t_log` ghi log với operation='PASSWORD_RESET', result_status=1
</t>
    </r>
    <r>
      <rPr>
        <rFont val="メイリオ"/>
        <color rgb="FF000000"/>
        <sz val="10.0"/>
      </rPr>
      <t>・Implementation: sau khi cập nhật password thành công, xóa toàn bộ session Redis (`destroyAllForAccount`)</t>
    </r>
  </si>
  <si>
    <t>VP-C-03</t>
  </si>
  <si>
    <t>N</t>
  </si>
  <si>
    <t>論理削除 + FK 関連</t>
  </si>
  <si>
    <t>約6関連付きマスタ</t>
  </si>
  <si>
    <t>diem.kieuthi</t>
  </si>
  <si>
    <t>VP-C-04</t>
  </si>
  <si>
    <t>税込／税抜計算</t>
  </si>
  <si>
    <t>tuyen.tranduc</t>
  </si>
  <si>
    <t>単価マスタ</t>
  </si>
  <si>
    <t>VP-C-05</t>
  </si>
  <si>
    <t>ACSMS-TC-012-002</t>
  </si>
  <si>
    <t>NICHINO_STAFF — Sử dụng được toàn bộ flow đặt lại mật khẩu</t>
  </si>
  <si>
    <t>・Test account role: NICHINO_STAFF
・Đã set email hợp lệ</t>
  </si>
  <si>
    <t>購読者種別ルール（読み取り専用）</t>
  </si>
  <si>
    <r>
      <rPr>
        <rFont val="メイリオ"/>
        <b/>
        <color rgb="FF000000"/>
        <sz val="10.0"/>
      </rPr>
      <t xml:space="preserve">ステップ1：
</t>
    </r>
    <r>
      <rPr>
        <rFont val="メイリオ"/>
        <color rgb="FF000000"/>
        <sz val="10.0"/>
      </rPr>
      <t xml:space="preserve">Thực thi `/forgot-password` với email của NICHINO_STAFF
</t>
    </r>
    <r>
      <rPr>
        <rFont val="メイリオ"/>
        <b/>
        <color rgb="FF000000"/>
        <sz val="10.0"/>
      </rPr>
      <t xml:space="preserve">ステップ2：
</t>
    </r>
    <r>
      <rPr>
        <rFont val="メイリオ"/>
        <color rgb="FF000000"/>
        <sz val="10.0"/>
      </rPr>
      <t xml:space="preserve">Từ link đặt lại chuyển sang `/reset-password`, nhập password mới → cập nhật
</t>
    </r>
    <r>
      <rPr>
        <rFont val="メイリオ"/>
        <b/>
        <color rgb="FF000000"/>
        <sz val="10.0"/>
      </rPr>
      <t xml:space="preserve">ステップ3：
</t>
    </r>
    <r>
      <rPr>
        <rFont val="メイリオ"/>
        <color rgb="FF000000"/>
        <sz val="10.0"/>
      </rPr>
      <t>Đăng nhập lại với password mới ở `/login`</t>
    </r>
  </si>
  <si>
    <r>
      <rPr>
        <rFont val="メイリオ"/>
        <b/>
        <color rgb="FF000000"/>
        <sz val="10.0"/>
      </rPr>
      <t xml:space="preserve">ステップ1：
</t>
    </r>
    <r>
      <rPr>
        <rFont val="メイリオ"/>
        <color rgb="FF000000"/>
        <sz val="10.0"/>
      </rPr>
      <t xml:space="preserve">HTTP status code: 200, gửi mail thành công
</t>
    </r>
    <r>
      <rPr>
        <rFont val="メイリオ"/>
        <b/>
        <color rgb="FF000000"/>
        <sz val="10.0"/>
      </rPr>
      <t xml:space="preserve">ステップ2：
</t>
    </r>
    <r>
      <rPr>
        <rFont val="メイリオ"/>
        <color rgb="FF000000"/>
        <sz val="10.0"/>
      </rPr>
      <t xml:space="preserve">HTTP status code: 200, cập nhật password thành công
</t>
    </r>
    <r>
      <rPr>
        <rFont val="メイリオ"/>
        <b/>
        <color rgb="FF000000"/>
        <sz val="10.0"/>
      </rPr>
      <t xml:space="preserve">ステップ3：
</t>
    </r>
    <r>
      <rPr>
        <rFont val="メイリオ"/>
        <color rgb="FF000000"/>
        <sz val="10.0"/>
      </rPr>
      <t xml:space="preserve">Đăng nhập thành công, `data.user.role_code = 'NICHINO_STAFF'`
</t>
    </r>
    <r>
      <rPr>
        <rFont val="メイリオ"/>
        <b/>
        <color rgb="FF000000"/>
        <sz val="10.0"/>
      </rPr>
      <t xml:space="preserve">補足：
</t>
    </r>
    <r>
      <rPr>
        <rFont val="メイリオ"/>
        <color rgb="FF000000"/>
        <sz val="10.0"/>
      </rPr>
      <t xml:space="preserve">・Màn hình này là public flow, hoạt động cho mọi role
</t>
    </r>
    <r>
      <rPr>
        <rFont val="メイリオ"/>
        <color rgb="FF000000"/>
        <sz val="10.0"/>
      </rPr>
      <t>・Hành vi sau khi cập nhật password không phụ thuộc role</t>
    </r>
  </si>
  <si>
    <t>購読者マスタ</t>
  </si>
  <si>
    <t>VP-C-06</t>
  </si>
  <si>
    <t>Excel取込 部分成功</t>
  </si>
  <si>
    <t>2取込画面</t>
  </si>
  <si>
    <t>VP-C-07</t>
  </si>
  <si>
    <t>ACSMS-TC-012-003</t>
  </si>
  <si>
    <t>CHUOKAI — Vô hiệu toàn bộ session sau khi cập nhật password</t>
  </si>
  <si>
    <t>販売店一括置換</t>
  </si>
  <si>
    <t>・Test account role: CHUOKAI
・Đã đăng nhập trên nhiều browser (Browser A, Browser B)
・Có session hợp lệ trong cookie của cả hai</t>
  </si>
  <si>
    <r>
      <rPr>
        <rFont val="メイリオ"/>
        <b/>
        <color rgb="FF000000"/>
        <sz val="10.0"/>
      </rPr>
      <t xml:space="preserve">ステップ1：
</t>
    </r>
    <r>
      <rPr>
        <rFont val="メイリオ"/>
        <color rgb="FF000000"/>
        <sz val="10.0"/>
      </rPr>
      <t xml:space="preserve">Trên Browser C khác, thực hiện `/forgot-password` → link đặt lại → cập nhật password
</t>
    </r>
    <r>
      <rPr>
        <rFont val="メイリオ"/>
        <b/>
        <color rgb="FF000000"/>
        <sz val="10.0"/>
      </rPr>
      <t xml:space="preserve">ステップ2：
</t>
    </r>
    <r>
      <rPr>
        <rFont val="メイリオ"/>
        <color rgb="FF000000"/>
        <sz val="10.0"/>
      </rPr>
      <t xml:space="preserve">Trên Browser A và Browser B, gửi request API (ví dụ: GET `/api/v1/dokusya`)
</t>
    </r>
    <r>
      <rPr>
        <rFont val="メイリオ"/>
        <b/>
        <color rgb="FF000000"/>
        <sz val="10.0"/>
      </rPr>
      <t xml:space="preserve">ステップ3：
</t>
    </r>
    <r>
      <rPr>
        <rFont val="メイリオ"/>
        <color rgb="FF000000"/>
        <sz val="10.0"/>
      </rPr>
      <t xml:space="preserve">Kiểm tra session Redis:
</t>
    </r>
    <r>
      <rPr>
        <rFont val="メイリオ"/>
        <color rgb="FF000000"/>
        <sz val="10.0"/>
      </rPr>
      <t xml:space="preserve">```
</t>
    </r>
    <r>
      <rPr>
        <rFont val="メイリオ"/>
        <color rgb="FF000000"/>
        <sz val="10.0"/>
      </rPr>
      <t xml:space="preserve">KEYS session:*
</t>
    </r>
    <r>
      <rPr>
        <rFont val="メイリオ"/>
        <color rgb="FF000000"/>
        <sz val="10.0"/>
      </rPr>
      <t xml:space="preserve">SMEMBERS account_sessions:{account_id}
</t>
    </r>
    <r>
      <rPr>
        <rFont val="メイリオ"/>
        <color rgb="FF000000"/>
        <sz val="10.0"/>
      </rPr>
      <t>```</t>
    </r>
  </si>
  <si>
    <t>一括置換</t>
  </si>
  <si>
    <r>
      <rPr>
        <rFont val="メイリオ"/>
        <b/>
        <color rgb="FF000000"/>
        <sz val="10.0"/>
      </rPr>
      <t xml:space="preserve">ステップ1：
</t>
    </r>
    <r>
      <rPr>
        <rFont val="メイリオ"/>
        <color rgb="FF000000"/>
        <sz val="10.0"/>
      </rPr>
      <t xml:space="preserve">Cập nhật password thành công
</t>
    </r>
    <r>
      <rPr>
        <rFont val="メイリオ"/>
        <b/>
        <color rgb="FF000000"/>
        <sz val="10.0"/>
      </rPr>
      <t xml:space="preserve">ステップ2：
</t>
    </r>
    <r>
      <rPr>
        <rFont val="メイリオ"/>
        <color rgb="FF000000"/>
        <sz val="10.0"/>
      </rPr>
      <t xml:space="preserve">Cả hai đều HTTP status code: 401
</t>
    </r>
    <r>
      <rPr>
        <rFont val="メイリオ"/>
        <color rgb="FF000000"/>
        <sz val="10.0"/>
      </rPr>
      <t xml:space="preserve">error_code: UNAUTHORIZED
</t>
    </r>
    <r>
      <rPr>
        <rFont val="メイリオ"/>
        <color rgb="FF000000"/>
        <sz val="10.0"/>
      </rPr>
      <t xml:space="preserve">message:「セッションが切れました。再度ログインしてください。」
</t>
    </r>
    <r>
      <rPr>
        <rFont val="メイリオ"/>
        <color rgb="FF000000"/>
        <sz val="10.0"/>
      </rPr>
      <t xml:space="preserve">Phía FE tự động chuyển về `/login`
</t>
    </r>
    <r>
      <rPr>
        <rFont val="メイリオ"/>
        <b/>
        <color rgb="FF000000"/>
        <sz val="10.0"/>
      </rPr>
      <t xml:space="preserve">ステップ3：
</t>
    </r>
    <r>
      <rPr>
        <rFont val="メイリオ"/>
        <color rgb="FF000000"/>
        <sz val="10.0"/>
      </rPr>
      <t xml:space="preserve">Tất cả session liên kết với account_id đó đều bị xóa
</t>
    </r>
    <r>
      <rPr>
        <rFont val="メイリオ"/>
        <color rgb="FF000000"/>
        <sz val="10.0"/>
      </rPr>
      <t xml:space="preserve">`account_sessions:{account_id}` Set cũng bị xóa
</t>
    </r>
    <r>
      <rPr>
        <rFont val="メイリオ"/>
        <b/>
        <color rgb="FF000000"/>
        <sz val="10.0"/>
      </rPr>
      <t xml:space="preserve">補足：
</t>
    </r>
    <r>
      <rPr>
        <rFont val="メイリオ"/>
        <color rgb="FF000000"/>
        <sz val="10.0"/>
      </rPr>
      <t xml:space="preserve">・Implementation: gọi `destroyAllForAccount(accountId)` trong `AuthService.resetPassword`
</t>
    </r>
    <r>
      <rPr>
        <rFont val="メイリオ"/>
        <color rgb="FF000000"/>
        <sz val="10.0"/>
      </rPr>
      <t xml:space="preserve">・Thực thi ngoài transaction (để lỗi Redis không rollback việc cập nhật password)
</t>
    </r>
    <r>
      <rPr>
        <rFont val="メイリオ"/>
        <color rgb="FF000000"/>
        <sz val="10.0"/>
      </rPr>
      <t>・Thiết kế chống attacker tiếp tục sử dụng cookie bị đánh cắp</t>
    </r>
  </si>
  <si>
    <t>VP-C-08</t>
  </si>
  <si>
    <t>レポート集計の正確性</t>
  </si>
  <si>
    <t>3レポート</t>
  </si>
  <si>
    <t>VP-D-01</t>
  </si>
  <si>
    <t>D. 統合・システム</t>
  </si>
  <si>
    <t>Critical về security — Chức năng cốt lõi chống đánh cắp cookie.</t>
  </si>
  <si>
    <t>ログイン + MFA フロー</t>
  </si>
  <si>
    <t>SCR-001／002</t>
  </si>
  <si>
    <t>ACSMS-TC-012-004</t>
  </si>
  <si>
    <t>JA_HONTEN — Sử dụng được toàn bộ flow đặt lại mật khẩu</t>
  </si>
  <si>
    <t>・Test account role: JA_HONTEN
・Đã set email hợp lệ</t>
  </si>
  <si>
    <t>VP-D-02</t>
  </si>
  <si>
    <r>
      <rPr>
        <rFont val="メイリオ"/>
        <b/>
        <color rgb="FF000000"/>
        <sz val="10.0"/>
      </rPr>
      <t xml:space="preserve">ステップ1：
</t>
    </r>
    <r>
      <rPr>
        <rFont val="メイリオ"/>
        <color rgb="FF000000"/>
        <sz val="10.0"/>
      </rPr>
      <t xml:space="preserve">Thực thi `/forgot-password` với email của JA_HONTEN
</t>
    </r>
    <r>
      <rPr>
        <rFont val="メイリオ"/>
        <b/>
        <color rgb="FF000000"/>
        <sz val="10.0"/>
      </rPr>
      <t xml:space="preserve">ステップ2：
</t>
    </r>
    <r>
      <rPr>
        <rFont val="メイリオ"/>
        <color rgb="FF000000"/>
        <sz val="10.0"/>
      </rPr>
      <t xml:space="preserve">Từ link đặt lại chuyển sang `/reset-password`, nhập password mới → cập nhật
</t>
    </r>
    <r>
      <rPr>
        <rFont val="メイリオ"/>
        <b/>
        <color rgb="FF000000"/>
        <sz val="10.0"/>
      </rPr>
      <t xml:space="preserve">ステップ3：
</t>
    </r>
    <r>
      <rPr>
        <rFont val="メイリオ"/>
        <color rgb="FF000000"/>
        <sz val="10.0"/>
      </rPr>
      <t>Đăng nhập lại với password mới</t>
    </r>
  </si>
  <si>
    <t>セッションスライディング 24h</t>
  </si>
  <si>
    <r>
      <rPr>
        <rFont val="メイリオ"/>
        <b/>
        <color rgb="FF000000"/>
        <sz val="10.0"/>
      </rPr>
      <t xml:space="preserve">ステップ1：
</t>
    </r>
    <r>
      <rPr>
        <rFont val="メイリオ"/>
        <color rgb="FF000000"/>
        <sz val="10.0"/>
      </rPr>
      <t xml:space="preserve">HTTP status code: 200, gửi mail thành công
</t>
    </r>
    <r>
      <rPr>
        <rFont val="メイリオ"/>
        <b/>
        <color rgb="FF000000"/>
        <sz val="10.0"/>
      </rPr>
      <t xml:space="preserve">ステップ2：
</t>
    </r>
    <r>
      <rPr>
        <rFont val="メイリオ"/>
        <color rgb="FF000000"/>
        <sz val="10.0"/>
      </rPr>
      <t xml:space="preserve">HTTP status code: 200, cập nhật password thành công
</t>
    </r>
    <r>
      <rPr>
        <rFont val="メイリオ"/>
        <b/>
        <color rgb="FF000000"/>
        <sz val="10.0"/>
      </rPr>
      <t xml:space="preserve">ステップ3：
</t>
    </r>
    <r>
      <rPr>
        <rFont val="メイリオ"/>
        <color rgb="FF000000"/>
        <sz val="10.0"/>
      </rPr>
      <t xml:space="preserve">Đăng nhập thành công, `data.user.role_code = 'JA_HONTEN'`, `data.user.ja_id` đã set
</t>
    </r>
    <r>
      <rPr>
        <rFont val="メイリオ"/>
        <b/>
        <color rgb="FF000000"/>
        <sz val="10.0"/>
      </rPr>
      <t xml:space="preserve">補足：
</t>
    </r>
    <r>
      <rPr>
        <rFont val="メイリオ"/>
        <color rgb="FF000000"/>
        <sz val="10.0"/>
      </rPr>
      <t>・Màn hình này là public flow, hỗ trợ tất cả role</t>
    </r>
  </si>
  <si>
    <t>VP-D-03</t>
  </si>
  <si>
    <t>パスワード再発行フロー</t>
  </si>
  <si>
    <t>SCR-007</t>
  </si>
  <si>
    <t>VP-D-04</t>
  </si>
  <si>
    <t>監査ログの完全性</t>
  </si>
  <si>
    <t>ACSMS-TC-012-005</t>
  </si>
  <si>
    <t>JA_KANRI_SHITEN — Sử dụng được toàn bộ flow đặt lại mật khẩu</t>
  </si>
  <si>
    <t>・Test account role: JA_KANRI_SHITEN
・Đã set email hợp lệ</t>
  </si>
  <si>
    <r>
      <rPr>
        <rFont val="メイリオ"/>
        <b/>
        <color rgb="FF000000"/>
        <sz val="10.0"/>
      </rPr>
      <t xml:space="preserve">ステップ1：
</t>
    </r>
    <r>
      <rPr>
        <rFont val="メイリオ"/>
        <color rgb="FF000000"/>
        <sz val="10.0"/>
      </rPr>
      <t xml:space="preserve">Thực thi `/forgot-password` với email của JA_KANRI_SHITEN
</t>
    </r>
    <r>
      <rPr>
        <rFont val="メイリオ"/>
        <b/>
        <color rgb="FF000000"/>
        <sz val="10.0"/>
      </rPr>
      <t xml:space="preserve">ステップ2：
</t>
    </r>
    <r>
      <rPr>
        <rFont val="メイリオ"/>
        <color rgb="FF000000"/>
        <sz val="10.0"/>
      </rPr>
      <t xml:space="preserve">Từ link đặt lại chuyển sang `/reset-password`, nhập password mới → cập nhật
</t>
    </r>
    <r>
      <rPr>
        <rFont val="メイリオ"/>
        <b/>
        <color rgb="FF000000"/>
        <sz val="10.0"/>
      </rPr>
      <t xml:space="preserve">ステップ3：
</t>
    </r>
    <r>
      <rPr>
        <rFont val="メイリオ"/>
        <color rgb="FF000000"/>
        <sz val="10.0"/>
      </rPr>
      <t>Đăng nhập lại với password mới</t>
    </r>
  </si>
  <si>
    <t>VP-D-05</t>
  </si>
  <si>
    <t>ファイルアップロード S3</t>
  </si>
  <si>
    <t>SCR-022</t>
  </si>
  <si>
    <r>
      <rPr>
        <rFont val="メイリオ"/>
        <b/>
        <color rgb="FF000000"/>
        <sz val="10.0"/>
      </rPr>
      <t xml:space="preserve">ステップ1：
</t>
    </r>
    <r>
      <rPr>
        <rFont val="メイリオ"/>
        <color rgb="FF000000"/>
        <sz val="10.0"/>
      </rPr>
      <t xml:space="preserve">HTTP status code: 200, gửi mail thành công
</t>
    </r>
    <r>
      <rPr>
        <rFont val="メイリオ"/>
        <b/>
        <color rgb="FF000000"/>
        <sz val="10.0"/>
      </rPr>
      <t xml:space="preserve">ステップ2：
</t>
    </r>
    <r>
      <rPr>
        <rFont val="メイリオ"/>
        <color rgb="FF000000"/>
        <sz val="10.0"/>
      </rPr>
      <t xml:space="preserve">HTTP status code: 200, cập nhật password thành công
</t>
    </r>
    <r>
      <rPr>
        <rFont val="メイリオ"/>
        <b/>
        <color rgb="FF000000"/>
        <sz val="10.0"/>
      </rPr>
      <t xml:space="preserve">ステップ3：
</t>
    </r>
    <r>
      <rPr>
        <rFont val="メイリオ"/>
        <color rgb="FF000000"/>
        <sz val="10.0"/>
      </rPr>
      <t xml:space="preserve">Đăng nhập thành công, `data.user.role_code = 'JA_KANRI_SHITEN'`, `data.user.ja_id`・`kanri_shiten_id` đã set
</t>
    </r>
    <r>
      <rPr>
        <rFont val="メイリオ"/>
        <b/>
        <color rgb="FF000000"/>
        <sz val="10.0"/>
      </rPr>
      <t xml:space="preserve">補足：
</t>
    </r>
    <r>
      <rPr>
        <rFont val="メイリオ"/>
        <color rgb="FF000000"/>
        <sz val="10.0"/>
      </rPr>
      <t xml:space="preserve">・Màn hình này là public flow, hỗ trợ tất cả role
</t>
    </r>
    <r>
      <rPr>
        <rFont val="メイリオ"/>
        <color rgb="FF000000"/>
        <sz val="10.0"/>
      </rPr>
      <t>・Trạng thái khóa account (account_lock_flg=true) không được unlock bằng đặt lại password</t>
    </r>
  </si>
  <si>
    <t>VP-D-06</t>
  </si>
  <si>
    <t>メール通知</t>
  </si>
  <si>
    <t>SCR-001／007／お知らせ</t>
  </si>
  <si>
    <t>VP-D-07</t>
  </si>
  <si>
    <t>外部 CSV 形式準拠</t>
  </si>
  <si>
    <t>SCR-008／009</t>
  </si>
  <si>
    <t>(なし)
---</t>
  </si>
  <si>
    <t>Hiển thị màn hình &amp; Responsive (Layout &amp; Responsive)</t>
  </si>
  <si>
    <t>VP-D-08</t>
  </si>
  <si>
    <t>ネットワーク／500／タイムアウト</t>
  </si>
  <si>
    <t>VP-D-09</t>
  </si>
  <si>
    <t>ACSMS-TC-012-006</t>
  </si>
  <si>
    <t>Layout tổng thể màn hình đặt lại mật khẩu khớp với design spec</t>
  </si>
  <si>
    <t>パスワード再発行 旧token無効化＋クールダウン</t>
  </si>
  <si>
    <t>・Browser: Chrome (latest), độ phân giải 1920×1080</t>
  </si>
  <si>
    <r>
      <rPr>
        <rFont val="メイリオ"/>
        <b/>
        <color rgb="FF000000"/>
        <sz val="10.0"/>
      </rPr>
      <t xml:space="preserve">ステップ1：
</t>
    </r>
    <r>
      <rPr>
        <rFont val="メイリオ"/>
        <color rgb="FF000000"/>
        <sz val="10.0"/>
      </rPr>
      <t xml:space="preserve">Mở `/forgot-password`
</t>
    </r>
    <r>
      <rPr>
        <rFont val="メイリオ"/>
        <b/>
        <color rgb="FF000000"/>
        <sz val="10.0"/>
      </rPr>
      <t xml:space="preserve">ステップ2：
</t>
    </r>
    <r>
      <rPr>
        <rFont val="メイリオ"/>
        <color rgb="FF000000"/>
        <sz val="10.0"/>
      </rPr>
      <t xml:space="preserve">So sánh màn hình với design spec (screen-design.md / forgot-password.html) song song
</t>
    </r>
    <r>
      <rPr>
        <rFont val="メイリオ"/>
        <b/>
        <color rgb="FF000000"/>
        <sz val="10.0"/>
      </rPr>
      <t xml:space="preserve">ステップ3：
</t>
    </r>
    <r>
      <rPr>
        <rFont val="メイリオ"/>
        <color rgb="FF000000"/>
        <sz val="10.0"/>
      </rPr>
      <t>Kiểm tra bố cục: tiêu đề「日本農業新聞」/ phụ đề, heading「パスワードの再設定」, text mô tả, ô nhập email, nút gửi, link quay lại</t>
    </r>
  </si>
  <si>
    <t>VP-E-01</t>
  </si>
  <si>
    <r>
      <rPr>
        <rFont val="メイリオ"/>
        <b/>
        <color rgb="FF000000"/>
        <sz val="10.0"/>
      </rPr>
      <t xml:space="preserve">ステップ1：
</t>
    </r>
    <r>
      <rPr>
        <rFont val="メイリオ"/>
        <color rgb="FF000000"/>
        <sz val="10.0"/>
      </rPr>
      <t xml:space="preserve">Màn hình đặt lại mật khẩu hiển thị căn giữa
</t>
    </r>
    <r>
      <rPr>
        <rFont val="メイリオ"/>
        <b/>
        <color rgb="FF000000"/>
        <sz val="10.0"/>
      </rPr>
      <t xml:space="preserve">ステップ2：
</t>
    </r>
    <r>
      <rPr>
        <rFont val="メイリオ"/>
        <color rgb="FF000000"/>
        <sz val="10.0"/>
      </rPr>
      <t xml:space="preserve">Màu nền, font, padding/margin, màu button, style ô input đều khớp
</t>
    </r>
    <r>
      <rPr>
        <rFont val="メイリオ"/>
        <b/>
        <color rgb="FF000000"/>
        <sz val="10.0"/>
      </rPr>
      <t xml:space="preserve">ステップ3：
</t>
    </r>
    <r>
      <rPr>
        <rFont val="メイリオ"/>
        <color rgb="FF000000"/>
        <sz val="10.0"/>
      </rPr>
      <t xml:space="preserve">Card width max-w-[480px], hiển thị text mô tả「登録済みのメールアドレスを入力してください。パスワード再設定用のリンクをメールで送信します。」
</t>
    </r>
    <r>
      <rPr>
        <rFont val="メイリオ"/>
        <b/>
        <color rgb="FF000000"/>
        <sz val="10.0"/>
      </rPr>
      <t xml:space="preserve">補足：
</t>
    </r>
    <r>
      <rPr>
        <rFont val="メイリオ"/>
        <color rgb="FF000000"/>
        <sz val="10.0"/>
      </rPr>
      <t xml:space="preserve">・design tokens (`design-tokens.ts`) được áp dụng (không có hardcoded color)
</t>
    </r>
    <r>
      <rPr>
        <rFont val="メイリオ"/>
        <color rgb="FF000000"/>
        <sz val="10.0"/>
      </rPr>
      <t>・Component AuthLayout được sử dụng</t>
    </r>
  </si>
  <si>
    <t>E. 非機能・ユーザビリティ</t>
  </si>
  <si>
    <t>レイアウト／デザイントークン</t>
  </si>
  <si>
    <t>低</t>
  </si>
  <si>
    <t>全画面</t>
  </si>
  <si>
    <t>VP-E-02</t>
  </si>
  <si>
    <t>レスポンシブ（モバイル／タブレット）</t>
  </si>
  <si>
    <t>ACSMS-TC-012-007</t>
  </si>
  <si>
    <t>Layout tổng thể màn hình thay đổi mật khẩu + loading verify token</t>
  </si>
  <si>
    <t>・Đang giữ reset_token hợp lệ</t>
  </si>
  <si>
    <t>VP-E-03</t>
  </si>
  <si>
    <r>
      <rPr>
        <rFont val="メイリオ"/>
        <b/>
        <color rgb="FF000000"/>
        <sz val="10.0"/>
      </rPr>
      <t xml:space="preserve">ステップ1：
</t>
    </r>
    <r>
      <rPr>
        <rFont val="メイリオ"/>
        <color rgb="FF000000"/>
        <sz val="10.0"/>
      </rPr>
      <t xml:space="preserve">Mở `/reset-password?token=valid_token`
</t>
    </r>
    <r>
      <rPr>
        <rFont val="メイリオ"/>
        <b/>
        <color rgb="FF000000"/>
        <sz val="10.0"/>
      </rPr>
      <t xml:space="preserve">ステップ2：
</t>
    </r>
    <r>
      <rPr>
        <rFont val="メイリオ"/>
        <color rgb="FF000000"/>
        <sz val="10.0"/>
      </rPr>
      <t xml:space="preserve">Kiểm tra hiển thị ban đầu của màn hình (đang verify token)
</t>
    </r>
    <r>
      <rPr>
        <rFont val="メイリオ"/>
        <b/>
        <color rgb="FF000000"/>
        <sz val="10.0"/>
      </rPr>
      <t xml:space="preserve">ステップ3：
</t>
    </r>
    <r>
      <rPr>
        <rFont val="メイリオ"/>
        <color rgb="FF000000"/>
        <sz val="10.0"/>
      </rPr>
      <t xml:space="preserve">Kiểm tra hiển thị sau khi verify thành công
</t>
    </r>
    <r>
      <rPr>
        <rFont val="メイリオ"/>
        <b/>
        <color rgb="FF000000"/>
        <sz val="10.0"/>
      </rPr>
      <t xml:space="preserve">ステップ4：
</t>
    </r>
    <r>
      <rPr>
        <rFont val="メイリオ"/>
        <color rgb="FF000000"/>
        <sz val="10.0"/>
      </rPr>
      <t>Mở `/reset-password?token=invalid` với token không hợp lệ</t>
    </r>
  </si>
  <si>
    <t>キーボード操作</t>
  </si>
  <si>
    <r>
      <rPr>
        <rFont val="メイリオ"/>
        <b/>
        <color rgb="FF000000"/>
        <sz val="10.0"/>
      </rPr>
      <t xml:space="preserve">ステップ1：
</t>
    </r>
    <r>
      <rPr>
        <rFont val="メイリオ"/>
        <color rgb="FF000000"/>
        <sz val="10.0"/>
      </rPr>
      <t xml:space="preserve">Màn hình thay đổi password hiển thị
</t>
    </r>
    <r>
      <rPr>
        <rFont val="メイリオ"/>
        <b/>
        <color rgb="FF000000"/>
        <sz val="10.0"/>
      </rPr>
      <t xml:space="preserve">ステップ2：
</t>
    </r>
    <r>
      <rPr>
        <rFont val="メイリオ"/>
        <color rgb="FF000000"/>
        <sz val="10.0"/>
      </rPr>
      <t xml:space="preserve">Loading spinner (`&lt;a-spin&gt;`) và text「トークンを検証中...」hiển thị
</t>
    </r>
    <r>
      <rPr>
        <rFont val="メイリオ"/>
        <color rgb="FF000000"/>
        <sz val="10.0"/>
      </rPr>
      <t xml:space="preserve">Form ẩn
</t>
    </r>
    <r>
      <rPr>
        <rFont val="メイリオ"/>
        <b/>
        <color rgb="FF000000"/>
        <sz val="10.0"/>
      </rPr>
      <t xml:space="preserve">ステップ3：
</t>
    </r>
    <r>
      <rPr>
        <rFont val="メイリオ"/>
        <color rgb="FF000000"/>
        <sz val="10.0"/>
      </rPr>
      <t xml:space="preserve">Heading「パスワードの変更」, ô password mới, ô confirm password, nút「パスワードを更新する」, link「ログイン画面に戻る」hiển thị
</t>
    </r>
    <r>
      <rPr>
        <rFont val="メイリオ"/>
        <b/>
        <color rgb="FF000000"/>
        <sz val="10.0"/>
      </rPr>
      <t xml:space="preserve">ステップ4：
</t>
    </r>
    <r>
      <rPr>
        <rFont val="メイリオ"/>
        <color rgb="FF000000"/>
        <sz val="10.0"/>
      </rPr>
      <t xml:space="preserve">Hiển thị error message「無効なリンクです。」với màu text-error
</t>
    </r>
    <r>
      <rPr>
        <rFont val="メイリオ"/>
        <color rgb="FF000000"/>
        <sz val="10.0"/>
      </rPr>
      <t xml:space="preserve">Form ẩn, chỉ hiển thị link quay lại
</t>
    </r>
    <r>
      <rPr>
        <rFont val="メイリオ"/>
        <b/>
        <color rgb="FF000000"/>
        <sz val="10.0"/>
      </rPr>
      <t xml:space="preserve">補足：
</t>
    </r>
    <r>
      <rPr>
        <rFont val="メイリオ"/>
        <color rgb="FF000000"/>
        <sz val="10.0"/>
      </rPr>
      <t xml:space="preserve">・FE gọi POST `/api/v1/auth/reset-password/verify` ở onMounted
</t>
    </r>
    <r>
      <rPr>
        <rFont val="メイリオ"/>
        <color rgb="FF000000"/>
        <sz val="10.0"/>
      </rPr>
      <t>・State phase: 'verifying' → 'valid' / 'invalid' / 'expired' / 'done'</t>
    </r>
  </si>
  <si>
    <t>VP-E-04</t>
  </si>
  <si>
    <t>ブラウザ互換性</t>
  </si>
  <si>
    <t>ACSMS-TC-012-008</t>
  </si>
  <si>
    <t>Hoạt động responsive — breakpoint PC / Tablet / Mobile</t>
  </si>
  <si>
    <t>VP-E-05</t>
  </si>
  <si>
    <t>・Đang ở màn hình đặt lại hoặc thay đổi mật khẩu</t>
  </si>
  <si>
    <t>マルチタブセッション同期</t>
  </si>
  <si>
    <r>
      <rPr>
        <rFont val="メイリオ"/>
        <b/>
        <color rgb="FF000000"/>
        <sz val="10.0"/>
      </rPr>
      <t xml:space="preserve">ステップ1：
</t>
    </r>
    <r>
      <rPr>
        <rFont val="メイリオ"/>
        <color rgb="FF000000"/>
        <sz val="10.0"/>
      </rPr>
      <t xml:space="preserve">Đặt window size 1920×1080 (PC)
</t>
    </r>
    <r>
      <rPr>
        <rFont val="メイリオ"/>
        <b/>
        <color rgb="FF000000"/>
        <sz val="10.0"/>
      </rPr>
      <t xml:space="preserve">ステップ2：
</t>
    </r>
    <r>
      <rPr>
        <rFont val="メイリオ"/>
        <color rgb="FF000000"/>
        <sz val="10.0"/>
      </rPr>
      <t xml:space="preserve">Đổi sang 768×1024 (Tablet)
</t>
    </r>
    <r>
      <rPr>
        <rFont val="メイリオ"/>
        <b/>
        <color rgb="FF000000"/>
        <sz val="10.0"/>
      </rPr>
      <t xml:space="preserve">ステップ3：
</t>
    </r>
    <r>
      <rPr>
        <rFont val="メイリオ"/>
        <color rgb="FF000000"/>
        <sz val="10.0"/>
      </rPr>
      <t>Đổi sang 375×667 (Mobile)</t>
    </r>
  </si>
  <si>
    <r>
      <rPr>
        <rFont val="メイリオ"/>
        <b/>
        <color rgb="FF000000"/>
        <sz val="10.0"/>
      </rPr>
      <t xml:space="preserve">ステップ1：
</t>
    </r>
    <r>
      <rPr>
        <rFont val="メイリオ"/>
        <color rgb="FF000000"/>
        <sz val="10.0"/>
      </rPr>
      <t xml:space="preserve">Form căn giữa, card width 480px
</t>
    </r>
    <r>
      <rPr>
        <rFont val="メイリオ"/>
        <b/>
        <color rgb="FF000000"/>
        <sz val="10.0"/>
      </rPr>
      <t xml:space="preserve">ステップ2：
</t>
    </r>
    <r>
      <rPr>
        <rFont val="メイリオ"/>
        <color rgb="FF000000"/>
        <sz val="10.0"/>
      </rPr>
      <t xml:space="preserve">Layout được giữ nguyên
</t>
    </r>
    <r>
      <rPr>
        <rFont val="メイリオ"/>
        <b/>
        <color rgb="FF000000"/>
        <sz val="10.0"/>
      </rPr>
      <t xml:space="preserve">ステップ3：
</t>
    </r>
    <r>
      <rPr>
        <rFont val="メイリオ"/>
        <color rgb="FF000000"/>
        <sz val="10.0"/>
      </rPr>
      <t xml:space="preserve">Card width fit theo bề ngang màn hình, không có scroll ngang
</t>
    </r>
    <r>
      <rPr>
        <rFont val="メイリオ"/>
        <b/>
        <color rgb="FF000000"/>
        <sz val="10.0"/>
      </rPr>
      <t xml:space="preserve">補足：
</t>
    </r>
    <r>
      <rPr>
        <rFont val="メイリオ"/>
        <color rgb="FF000000"/>
        <sz val="10.0"/>
      </rPr>
      <t xml:space="preserve">・Không bị vỡ layout ở cả 3 breakpoint, không phát sinh scroll ngang
</t>
    </r>
    <r>
      <rPr>
        <rFont val="メイリオ"/>
        <color rgb="FF000000"/>
        <sz val="10.0"/>
      </rPr>
      <t>・Tất cả phần tử form đều có thể thao tác được</t>
    </r>
  </si>
  <si>
    <t>VP-E-07</t>
  </si>
  <si>
    <t>未保存変更ガード・ブラウザ離脱</t>
  </si>
  <si>
    <t>全 CRUD 編集フォーム</t>
  </si>
  <si>
    <t>VP-F-01</t>
  </si>
  <si>
    <t>ACSMS-TC-012-009</t>
  </si>
  <si>
    <t>F. 性能</t>
  </si>
  <si>
    <t>Hiển thị phần tử form — ô input / button / link đúng design spec</t>
  </si>
  <si>
    <t>・Đang ở màn hình đặt lại / thay đổi</t>
  </si>
  <si>
    <t>性能ベンチマーク</t>
  </si>
  <si>
    <r>
      <rPr>
        <rFont val="メイリオ"/>
        <b/>
        <color rgb="FF000000"/>
        <sz val="10.0"/>
      </rPr>
      <t xml:space="preserve">ステップ1：
</t>
    </r>
    <r>
      <rPr>
        <rFont val="メイリオ"/>
        <color rgb="FF000000"/>
        <sz val="10.0"/>
      </rPr>
      <t xml:space="preserve">Kiểm tra placeholder, autocomplete, maxlength của ô email ở màn hình đặt lại
</t>
    </r>
    <r>
      <rPr>
        <rFont val="メイリオ"/>
        <b/>
        <color rgb="FF000000"/>
        <sz val="10.0"/>
      </rPr>
      <t xml:space="preserve">ステップ2：
</t>
    </r>
    <r>
      <rPr>
        <rFont val="メイリオ"/>
        <color rgb="FF000000"/>
        <sz val="10.0"/>
      </rPr>
      <t xml:space="preserve">Kiểm tra placeholder, autocomplete, maxlength, hiển thị mask của ô password mới / confirm password ở màn hình thay đổi
</t>
    </r>
    <r>
      <rPr>
        <rFont val="メイリオ"/>
        <b/>
        <color rgb="FF000000"/>
        <sz val="10.0"/>
      </rPr>
      <t xml:space="preserve">ステップ3：
</t>
    </r>
    <r>
      <rPr>
        <rFont val="メイリオ"/>
        <color rgb="FF000000"/>
        <sz val="10.0"/>
      </rPr>
      <t xml:space="preserve">Kiểm tra label, size, color của nút「パスワード再設定メールを送信」và「パスワードを更新する」
</t>
    </r>
    <r>
      <rPr>
        <rFont val="メイリオ"/>
        <b/>
        <color rgb="FF000000"/>
        <sz val="10.0"/>
      </rPr>
      <t xml:space="preserve">ステップ4：
</t>
    </r>
    <r>
      <rPr>
        <rFont val="メイリオ"/>
        <color rgb="FF000000"/>
        <sz val="10.0"/>
      </rPr>
      <t>Kiểm tra hiển thị link「ログイン画面に戻る」</t>
    </r>
  </si>
  <si>
    <t>全画面パフォーマンス計測対象</t>
  </si>
  <si>
    <r>
      <rPr>
        <rFont val="メイリオ"/>
        <b/>
        <color rgb="FF000000"/>
        <sz val="10.0"/>
      </rPr>
      <t xml:space="preserve">ステップ1：
</t>
    </r>
    <r>
      <rPr>
        <rFont val="メイリオ"/>
        <color rgb="FF000000"/>
        <sz val="10.0"/>
      </rPr>
      <t xml:space="preserve">Placeholder「example@example.com」, autocomplete=email, maxlength=100
</t>
    </r>
    <r>
      <rPr>
        <rFont val="メイリオ"/>
        <b/>
        <color rgb="FF000000"/>
        <sz val="10.0"/>
      </rPr>
      <t xml:space="preserve">ステップ2：
</t>
    </r>
    <r>
      <rPr>
        <rFont val="メイリオ"/>
        <color rgb="FF000000"/>
        <sz val="10.0"/>
      </rPr>
      <t xml:space="preserve">Placeholder「******」, autocomplete=new-password, maxlength=32
</t>
    </r>
    <r>
      <rPr>
        <rFont val="メイリオ"/>
        <color rgb="FF000000"/>
        <sz val="10.0"/>
      </rPr>
      <t xml:space="preserve">Hiển thị mask ●●●● khi nhập
</t>
    </r>
    <r>
      <rPr>
        <rFont val="メイリオ"/>
        <b/>
        <color rgb="FF000000"/>
        <sz val="10.0"/>
      </rPr>
      <t xml:space="preserve">ステップ3：
</t>
    </r>
    <r>
      <rPr>
        <rFont val="メイリオ"/>
        <color rgb="FF000000"/>
        <sz val="10.0"/>
      </rPr>
      <t xml:space="preserve">Cả hai đều màu chính (xanh), size=large, hiển thị block
</t>
    </r>
    <r>
      <rPr>
        <rFont val="メイリオ"/>
        <color rgb="FF000000"/>
        <sz val="10.0"/>
      </rPr>
      <t xml:space="preserve">Chuỗi label đúng spec literal
</t>
    </r>
    <r>
      <rPr>
        <rFont val="メイリオ"/>
        <b/>
        <color rgb="FF000000"/>
        <sz val="10.0"/>
      </rPr>
      <t xml:space="preserve">ステップ4：
</t>
    </r>
    <r>
      <rPr>
        <rFont val="メイリオ"/>
        <color rgb="FF000000"/>
        <sz val="10.0"/>
      </rPr>
      <t xml:space="preserve">Icon mũi tên (arrow_back) +「ログイン画面に戻る」, màu chính
</t>
    </r>
    <r>
      <rPr>
        <rFont val="メイリオ"/>
        <b/>
        <color rgb="FF000000"/>
        <sz val="10.0"/>
      </rPr>
      <t xml:space="preserve">補足：
</t>
    </r>
    <r>
      <rPr>
        <rFont val="メイリオ"/>
        <color rgb="FF000000"/>
        <sz val="10.0"/>
      </rPr>
      <t xml:space="preserve">・Tất cả phần tử form khớp hoàn toàn với design spec
</t>
    </r>
    <r>
      <rPr>
        <rFont val="メイリオ"/>
        <color rgb="FF000000"/>
        <sz val="10.0"/>
      </rPr>
      <t>・Mục bắt buộc có dấu * đỏ</t>
    </r>
  </si>
  <si>
    <t>VP-F-02</t>
  </si>
  <si>
    <t>大量データ表示性能</t>
  </si>
  <si>
    <t>一覧／レポート画面</t>
  </si>
  <si>
    <t>ACSMS-TC-012-010</t>
  </si>
  <si>
    <t>Thứ tự Tab và thao tác bàn phím (Tab / Enter)</t>
  </si>
  <si>
    <r>
      <rPr>
        <rFont val="メイリオ"/>
        <b/>
        <color rgb="FF000000"/>
        <sz val="10.0"/>
      </rPr>
      <t xml:space="preserve">ステップ1：
</t>
    </r>
    <r>
      <rPr>
        <rFont val="メイリオ"/>
        <color rgb="FF000000"/>
        <sz val="10.0"/>
      </rPr>
      <t xml:space="preserve">Trên màn hình đặt lại, nhấn liên tục phím Tab, kiểm tra tiến trình focus
</t>
    </r>
    <r>
      <rPr>
        <rFont val="メイリオ"/>
        <b/>
        <color rgb="FF000000"/>
        <sz val="10.0"/>
      </rPr>
      <t xml:space="preserve">ステップ2：
</t>
    </r>
    <r>
      <rPr>
        <rFont val="メイリオ"/>
        <color rgb="FF000000"/>
        <sz val="10.0"/>
      </rPr>
      <t xml:space="preserve">Sau khi nhập email, nhấn phím Enter
</t>
    </r>
    <r>
      <rPr>
        <rFont val="メイリオ"/>
        <b/>
        <color rgb="FF000000"/>
        <sz val="10.0"/>
      </rPr>
      <t xml:space="preserve">ステップ3：
</t>
    </r>
    <r>
      <rPr>
        <rFont val="メイリオ"/>
        <color rgb="FF000000"/>
        <sz val="10.0"/>
      </rPr>
      <t>Trên màn hình thay đổi, nhấn liên tục phím Tab, kiểm tra tiến trình focus</t>
    </r>
  </si>
  <si>
    <r>
      <rPr>
        <rFont val="メイリオ"/>
        <b/>
        <color rgb="FF000000"/>
        <sz val="10.0"/>
      </rPr>
      <t xml:space="preserve">ステップ1：
</t>
    </r>
    <r>
      <rPr>
        <rFont val="メイリオ"/>
        <color rgb="FF000000"/>
        <sz val="10.0"/>
      </rPr>
      <t xml:space="preserve">Thứ tự Tab: Email → Nút gửi → ログイン画面に戻る
</t>
    </r>
    <r>
      <rPr>
        <rFont val="メイリオ"/>
        <b/>
        <color rgb="FF000000"/>
        <sz val="10.0"/>
      </rPr>
      <t xml:space="preserve">ステップ2：
</t>
    </r>
    <r>
      <rPr>
        <rFont val="メイリオ"/>
        <color rgb="FF000000"/>
        <sz val="10.0"/>
      </rPr>
      <t xml:space="preserve">Form được submit (@finish="onSubmit")
</t>
    </r>
    <r>
      <rPr>
        <rFont val="メイリオ"/>
        <b/>
        <color rgb="FF000000"/>
        <sz val="10.0"/>
      </rPr>
      <t xml:space="preserve">ステップ3：
</t>
    </r>
    <r>
      <rPr>
        <rFont val="メイリオ"/>
        <color rgb="FF000000"/>
        <sz val="10.0"/>
      </rPr>
      <t xml:space="preserve">Thứ tự Tab: Password mới → Confirm password → Nút cập nhật → ログイン画面に戻る
</t>
    </r>
    <r>
      <rPr>
        <rFont val="メイリオ"/>
        <b/>
        <color rgb="FF000000"/>
        <sz val="10.0"/>
      </rPr>
      <t xml:space="preserve">補足：
</t>
    </r>
    <r>
      <rPr>
        <rFont val="メイリオ"/>
        <color rgb="FF000000"/>
        <sz val="10.0"/>
      </rPr>
      <t xml:space="preserve">・Thứ tự Tab theo đúng design spec, có thể thao tác toàn bộ bằng bàn phím
</t>
    </r>
    <r>
      <rPr>
        <rFont val="メイリオ"/>
        <color rgb="FF000000"/>
        <sz val="10.0"/>
      </rPr>
      <t>・Ô password có autocomplete=new-password để liên kết password manager của browser</t>
    </r>
  </si>
  <si>
    <t>2. 観点ID 命名規約・グループ凡例</t>
  </si>
  <si>
    <t>グループ</t>
  </si>
  <si>
    <t>接頭辞</t>
  </si>
  <si>
    <t>名称</t>
  </si>
  <si>
    <t>観点数</t>
  </si>
  <si>
    <t>リスク傾向</t>
  </si>
  <si>
    <t>代表的なテスト観点</t>
  </si>
  <si>
    <t>A</t>
  </si>
  <si>
    <t>VP-A-NN</t>
  </si>
  <si>
    <t>セキュリティ・権限</t>
  </si>
  <si>
    <t>ACSMS-TC-012-011</t>
  </si>
  <si>
    <t>Độ tin cậy thao tác button (double-click / nhấn liên tục)</t>
  </si>
  <si>
    <t>・Đã nhập giá trị hợp lệ trên màn hình đặt lại hoặc thay đổi</t>
  </si>
  <si>
    <r>
      <rPr>
        <rFont val="メイリオ"/>
        <b/>
        <color rgb="FF000000"/>
        <sz val="10.0"/>
      </rPr>
      <t xml:space="preserve">ステップ1：
</t>
    </r>
    <r>
      <rPr>
        <rFont val="メイリオ"/>
        <color rgb="FF000000"/>
        <sz val="10.0"/>
      </rPr>
      <t xml:space="preserve">Double-click nút gửi (hoặc nút cập nhật) trong vòng 200ms
</t>
    </r>
    <r>
      <rPr>
        <rFont val="メイリオ"/>
        <b/>
        <color rgb="FF000000"/>
        <sz val="10.0"/>
      </rPr>
      <t xml:space="preserve">ステップ2：
</t>
    </r>
    <r>
      <rPr>
        <rFont val="メイリオ"/>
        <color rgb="FF000000"/>
        <sz val="10.0"/>
      </rPr>
      <t xml:space="preserve">Nhấn liên tục button trong 5 giây
</t>
    </r>
    <r>
      <rPr>
        <rFont val="メイリオ"/>
        <b/>
        <color rgb="FF000000"/>
        <sz val="10.0"/>
      </rPr>
      <t xml:space="preserve">ステップ3：
</t>
    </r>
    <r>
      <rPr>
        <rFont val="メイリオ"/>
        <color rgb="FF000000"/>
        <sz val="10.0"/>
      </rPr>
      <t>Kiểm tra số lượng record phát hành `t_mfa_otp` trên DB</t>
    </r>
  </si>
  <si>
    <r>
      <rPr>
        <rFont val="メイリオ"/>
        <b/>
        <color rgb="FF000000"/>
        <sz val="10.0"/>
      </rPr>
      <t xml:space="preserve">ステップ1：
</t>
    </r>
    <r>
      <rPr>
        <rFont val="メイリオ"/>
        <color rgb="FF000000"/>
        <sz val="10.0"/>
      </rPr>
      <t xml:space="preserve">Lần 1 bắt đầu gửi, lần 2 button bị vô hiệu nên bỏ qua
</t>
    </r>
    <r>
      <rPr>
        <rFont val="メイリオ"/>
        <b/>
        <color rgb="FF000000"/>
        <sz val="10.0"/>
      </rPr>
      <t xml:space="preserve">ステップ2：
</t>
    </r>
    <r>
      <rPr>
        <rFont val="メイリオ"/>
        <color rgb="FF000000"/>
        <sz val="10.0"/>
      </rPr>
      <t xml:space="preserve">Trong khi đang xử lý, button bị vô hiệu, không có request trùng
</t>
    </r>
    <r>
      <rPr>
        <rFont val="メイリオ"/>
        <b/>
        <color rgb="FF000000"/>
        <sz val="10.0"/>
      </rPr>
      <t xml:space="preserve">ステップ3：
</t>
    </r>
    <r>
      <rPr>
        <rFont val="メイリオ"/>
        <color rgb="FF000000"/>
        <sz val="10.0"/>
      </rPr>
      <t xml:space="preserve">Chỉ 1 row (không trùng)
</t>
    </r>
    <r>
      <rPr>
        <rFont val="メイリオ"/>
        <b/>
        <color rgb="FF000000"/>
        <sz val="10.0"/>
      </rPr>
      <t xml:space="preserve">補足：
</t>
    </r>
    <r>
      <rPr>
        <rFont val="メイリオ"/>
        <color rgb="FF000000"/>
        <sz val="10.0"/>
      </rPr>
      <t xml:space="preserve">・Implementation: phòng gửi trùng bằng flag submitting của useApiForm
</t>
    </r>
    <r>
      <rPr>
        <rFont val="メイリオ"/>
        <color rgb="FF000000"/>
        <sz val="10.0"/>
      </rPr>
      <t>・Trong khi đang xử lý, button hiển thị ở trạng thái loading</t>
    </r>
  </si>
  <si>
    <t>RBAC、DataScope、項目レベル制限、URL直接攻撃、セッション失効、XSS、CSRF、レート制限、アカウントロック、SQL注入</t>
  </si>
  <si>
    <t>B</t>
  </si>
  <si>
    <t>VP-B-NN</t>
  </si>
  <si>
    <t>データバリデーション</t>
  </si>
  <si>
    <t>必須／長さ／形式／半角全角／日付／通貨／m_code／重複キー／IME・貼付ハンドリング</t>
  </si>
  <si>
    <t>C</t>
  </si>
  <si>
    <t>Header &amp; Footer</t>
  </si>
  <si>
    <t>VP-C-NN</t>
  </si>
  <si>
    <t>業務ロジック</t>
  </si>
  <si>
    <t>CRUD 永続化、同時編集競合、論理削除＋FK、税計算、購読者ルール、Excel 取込、レポート集計</t>
  </si>
  <si>
    <t>D</t>
  </si>
  <si>
    <t>VP-D-NN</t>
  </si>
  <si>
    <t>統合・システム</t>
  </si>
  <si>
    <t>ログイン＋MFA、セッション管理、パスワード再発行、監査ログ、S3、メール、CSV 準拠、ネットワーク／500</t>
  </si>
  <si>
    <t>ACSMS-TC-012-012</t>
  </si>
  <si>
    <t>Hiển thị tiêu đề + heading</t>
  </si>
  <si>
    <t>・Đang ở màn hình đặt lại hoặc thay đổi</t>
  </si>
  <si>
    <t>E</t>
  </si>
  <si>
    <t>VP-E-NN</t>
  </si>
  <si>
    <r>
      <rPr>
        <rFont val="メイリオ"/>
        <b/>
        <color rgb="FF000000"/>
        <sz val="10.0"/>
      </rPr>
      <t xml:space="preserve">ステップ1：
</t>
    </r>
    <r>
      <rPr>
        <rFont val="メイリオ"/>
        <color rgb="FF000000"/>
        <sz val="10.0"/>
      </rPr>
      <t xml:space="preserve">Kiểm tra phần header
</t>
    </r>
    <r>
      <rPr>
        <rFont val="メイリオ"/>
        <b/>
        <color rgb="FF000000"/>
        <sz val="10.0"/>
      </rPr>
      <t xml:space="preserve">ステップ2：
</t>
    </r>
    <r>
      <rPr>
        <rFont val="メイリオ"/>
        <color rgb="FF000000"/>
        <sz val="10.0"/>
      </rPr>
      <t>Kiểm tra heading từng màn hình</t>
    </r>
  </si>
  <si>
    <t>非機能・ユーザビリティ</t>
  </si>
  <si>
    <r>
      <rPr>
        <rFont val="メイリオ"/>
        <b/>
        <color rgb="FF000000"/>
        <sz val="10.0"/>
      </rPr>
      <t xml:space="preserve">ステップ1：
</t>
    </r>
    <r>
      <rPr>
        <rFont val="メイリオ"/>
        <color rgb="FF000000"/>
        <sz val="10.0"/>
      </rPr>
      <t xml:space="preserve">Cả hai màn hình đều có「日本農業新聞」(h1, font đậm, text-2xl) +「クラウド版購読者管理システム」(text-sm, text-text-secondary)
</t>
    </r>
    <r>
      <rPr>
        <rFont val="メイリオ"/>
        <b/>
        <color rgb="FF000000"/>
        <sz val="10.0"/>
      </rPr>
      <t xml:space="preserve">ステップ2：
</t>
    </r>
    <r>
      <rPr>
        <rFont val="メイリオ"/>
        <color rgb="FF000000"/>
        <sz val="10.0"/>
      </rPr>
      <t xml:space="preserve">Màn hình đặt lại:「パスワードの再設定」(h2, căn giữa)
</t>
    </r>
    <r>
      <rPr>
        <rFont val="メイリオ"/>
        <color rgb="FF000000"/>
        <sz val="10.0"/>
      </rPr>
      <t xml:space="preserve">Màn hình thay đổi:「パスワードの変更」(h2, căn giữa)
</t>
    </r>
    <r>
      <rPr>
        <rFont val="メイリオ"/>
        <b/>
        <color rgb="FF000000"/>
        <sz val="10.0"/>
      </rPr>
      <t xml:space="preserve">補足：
</t>
    </r>
    <r>
      <rPr>
        <rFont val="メイリオ"/>
        <color rgb="FF000000"/>
        <sz val="10.0"/>
      </rPr>
      <t>・Chuỗi tiêu đề đúng theo spec literal</t>
    </r>
  </si>
  <si>
    <t>低〜中</t>
  </si>
  <si>
    <t>レイアウト、レスポンシブ、キーボード操作、ブラウザ互換、マルチタブ同期、未保存変更ガード</t>
  </si>
  <si>
    <t>F</t>
  </si>
  <si>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</si>
  <si>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</si>
  <si>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</si>
  <si>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</si>
  <si>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ACSMS-TC-012-013</t>
  </si>
  <si>
    <t>Hiển thị text mô tả</t>
  </si>
  <si>
    <t>・Đang ở màn hình đặt lại</t>
  </si>
  <si>
    <r>
      <rPr>
        <rFont val="メイリオ"/>
        <b/>
        <color rgb="FF000000"/>
        <sz val="10.0"/>
      </rPr>
      <t xml:space="preserve">ステップ1：
</t>
    </r>
    <r>
      <rPr>
        <rFont val="メイリオ"/>
        <color rgb="FF000000"/>
        <sz val="10.0"/>
      </rPr>
      <t>Kiểm tra text mô tả bên dưới heading</t>
    </r>
  </si>
  <si>
    <r>
      <rPr>
        <rFont val="メイリオ"/>
        <b/>
        <color rgb="FF000000"/>
        <sz val="10.0"/>
      </rPr>
      <t xml:space="preserve">ステップ1：
</t>
    </r>
    <r>
      <rPr>
        <rFont val="メイリオ"/>
        <color rgb="FF000000"/>
        <sz val="10.0"/>
      </rPr>
      <t xml:space="preserve">「登録済みのメールアドレスを入力してください。」「パスワード再設定用のリンクをメールで送信します。」(2 dòng, text-text-description, căn giữa) hiển thị
</t>
    </r>
    <r>
      <rPr>
        <rFont val="メイリオ"/>
        <b/>
        <color rgb="FF000000"/>
        <sz val="10.0"/>
      </rPr>
      <t xml:space="preserve">補足：
</t>
    </r>
    <r>
      <rPr>
        <rFont val="メイリオ"/>
        <color rgb="FF000000"/>
        <sz val="10.0"/>
      </rPr>
      <t>・Text mô tả đúng theo spec literal</t>
    </r>
  </si>
  <si>
    <t>ACSMS-TC-012-014</t>
  </si>
  <si>
    <t>Link quay lại màn hình đăng nhập</t>
  </si>
  <si>
    <t>・Đang nhập dở trên màn hình đặt lại hoặc thay đổi</t>
  </si>
  <si>
    <r>
      <rPr>
        <rFont val="メイリオ"/>
        <b/>
        <color rgb="FF000000"/>
        <sz val="10.0"/>
      </rPr>
      <t xml:space="preserve">ステップ1：
</t>
    </r>
    <r>
      <rPr>
        <rFont val="メイリオ"/>
        <color rgb="FF000000"/>
        <sz val="10.0"/>
      </rPr>
      <t xml:space="preserve">Trên màn hình đặt lại, click link「ログイン画面に戻る」
</t>
    </r>
    <r>
      <rPr>
        <rFont val="メイリオ"/>
        <b/>
        <color rgb="FF000000"/>
        <sz val="10.0"/>
      </rPr>
      <t xml:space="preserve">ステップ2：
</t>
    </r>
    <r>
      <rPr>
        <rFont val="メイリオ"/>
        <color rgb="FF000000"/>
        <sz val="10.0"/>
      </rPr>
      <t xml:space="preserve">Sau khi chuyển sang màn hình đăng nhập, dùng nút back của browser quay lại màn hình đặt lại
</t>
    </r>
    <r>
      <rPr>
        <rFont val="メイリオ"/>
        <b/>
        <color rgb="FF000000"/>
        <sz val="10.0"/>
      </rPr>
      <t xml:space="preserve">ステップ3：
</t>
    </r>
    <r>
      <rPr>
        <rFont val="メイリオ"/>
        <color rgb="FF000000"/>
        <sz val="10.0"/>
      </rPr>
      <t>Trên màn hình thay đổi, click link「ログイン画面に戻る」</t>
    </r>
  </si>
  <si>
    <r>
      <rPr>
        <rFont val="メイリオ"/>
        <b/>
        <color rgb="FF000000"/>
        <sz val="10.0"/>
      </rPr>
      <t xml:space="preserve">ステップ1：
</t>
    </r>
    <r>
      <rPr>
        <rFont val="メイリオ"/>
        <color rgb="FF000000"/>
        <sz val="10.0"/>
      </rPr>
      <t xml:space="preserve">Chuyển sang `/login`, email đã nhập bị clear
</t>
    </r>
    <r>
      <rPr>
        <rFont val="メイリオ"/>
        <b/>
        <color rgb="FF000000"/>
        <sz val="10.0"/>
      </rPr>
      <t xml:space="preserve">ステップ2：
</t>
    </r>
    <r>
      <rPr>
        <rFont val="メイリオ"/>
        <color rgb="FF000000"/>
        <sz val="10.0"/>
      </rPr>
      <t xml:space="preserve">Ô input rỗng (đã initialize bằng `form.email = ''`)
</t>
    </r>
    <r>
      <rPr>
        <rFont val="メイリオ"/>
        <b/>
        <color rgb="FF000000"/>
        <sz val="10.0"/>
      </rPr>
      <t xml:space="preserve">ステップ3：
</t>
    </r>
    <r>
      <rPr>
        <rFont val="メイリオ"/>
        <color rgb="FF000000"/>
        <sz val="10.0"/>
      </rPr>
      <t xml:space="preserve">Chuyển sang `/login`, cả 2 ô password đã nhập bị clear
</t>
    </r>
    <r>
      <rPr>
        <rFont val="メイリオ"/>
        <b/>
        <color rgb="FF000000"/>
        <sz val="10.0"/>
      </rPr>
      <t xml:space="preserve">補足：
</t>
    </r>
    <r>
      <rPr>
        <rFont val="メイリオ"/>
        <color rgb="FF000000"/>
        <sz val="10.0"/>
      </rPr>
      <t xml:space="preserve">・Implementation: `form.email = ''` / `form.new_password = '' / form.confirm_password = ''` trong hàm goLogin
</t>
    </r>
    <r>
      <rPr>
        <rFont val="メイリオ"/>
        <color rgb="FF000000"/>
        <sz val="10.0"/>
      </rPr>
      <t>・Tuân thủ spec §4.2 / §5.2「入力したデータがクリアされる」</t>
    </r>
  </si>
  <si>
    <t>ACSMS-TC-012-015</t>
  </si>
  <si>
    <t>Hiển thị message thành công (đặt lại / thay đổi)</t>
  </si>
  <si>
    <t>・Gửi mail thành công ở màn hình đặt lại
・Cập nhật password thành công ở màn hình thay đổi</t>
  </si>
  <si>
    <r>
      <rPr>
        <rFont val="メイリオ"/>
        <b/>
        <color rgb="FF000000"/>
        <sz val="10.0"/>
      </rPr>
      <t xml:space="preserve">ステップ1：
</t>
    </r>
    <r>
      <rPr>
        <rFont val="メイリオ"/>
        <color rgb="FF000000"/>
        <sz val="10.0"/>
      </rPr>
      <t xml:space="preserve">Kiểm tra màn hình khi gửi mail thành công ở màn hình đặt lại
</t>
    </r>
    <r>
      <rPr>
        <rFont val="メイリオ"/>
        <b/>
        <color rgb="FF000000"/>
        <sz val="10.0"/>
      </rPr>
      <t xml:space="preserve">ステップ2：
</t>
    </r>
    <r>
      <rPr>
        <rFont val="メイリオ"/>
        <color rgb="FF000000"/>
        <sz val="10.0"/>
      </rPr>
      <t>Kiểm tra màn hình khi cập nhật thành công ở màn hình thay đổi</t>
    </r>
  </si>
  <si>
    <r>
      <rPr>
        <rFont val="メイリオ"/>
        <b/>
        <color rgb="FF000000"/>
        <sz val="10.0"/>
      </rPr>
      <t xml:space="preserve">ステップ1：
</t>
    </r>
    <r>
      <rPr>
        <rFont val="メイリオ"/>
        <color rgb="FF000000"/>
        <sz val="10.0"/>
      </rPr>
      <t xml:space="preserve">Form ẩn, message thành công「パスワード再設定用のメールを送信しました。メールを確認してください。」hiển thị
</t>
    </r>
    <r>
      <rPr>
        <rFont val="メイリオ"/>
        <color rgb="FF000000"/>
        <sz val="10.0"/>
      </rPr>
      <t xml:space="preserve">Chỉ link「ログイン画面に戻る」hiển thị
</t>
    </r>
    <r>
      <rPr>
        <rFont val="メイリオ"/>
        <b/>
        <color rgb="FF000000"/>
        <sz val="10.0"/>
      </rPr>
      <t xml:space="preserve">ステップ2：
</t>
    </r>
    <r>
      <rPr>
        <rFont val="メイリオ"/>
        <color rgb="FF000000"/>
        <sz val="10.0"/>
      </rPr>
      <t xml:space="preserve">Form ẩn, message thành công「パスワードを更新しました。ログイン画面に移動します。」hiển thị
</t>
    </r>
    <r>
      <rPr>
        <rFont val="メイリオ"/>
        <color rgb="FF000000"/>
        <sz val="10.0"/>
      </rPr>
      <t xml:space="preserve">Sub-text「3秒後にログイン画面へ移動します...」hiển thị
</t>
    </r>
    <r>
      <rPr>
        <rFont val="メイリオ"/>
        <b/>
        <color rgb="FF000000"/>
        <sz val="10.0"/>
      </rPr>
      <t xml:space="preserve">補足：
</t>
    </r>
    <r>
      <rPr>
        <rFont val="メイリオ"/>
        <color rgb="FF000000"/>
        <sz val="10.0"/>
      </rPr>
      <t xml:space="preserve">・FE state phase: 'sent' (đặt lại) / 'done' (thay đổi)
</t>
    </r>
    <r>
      <rPr>
        <rFont val="メイリオ"/>
        <color rgb="FF000000"/>
        <sz val="10.0"/>
      </rPr>
      <t>・Tuân thủ spec §3.4 / §4.5</t>
    </r>
  </si>
  <si>
    <t>Kiểm tra đầu vào — Màn hình đặt lại / thay đổi</t>
  </si>
  <si>
    <t>ACSMS-TC-012-016</t>
  </si>
  <si>
    <t>Email — Kiểm tra bắt buộc (rỗng + ký tự khoảng trắng)</t>
  </si>
  <si>
    <t>・Màn hình đặt lại</t>
  </si>
  <si>
    <r>
      <rPr>
        <rFont val="メイリオ"/>
        <b/>
        <color rgb="FF000000"/>
        <sz val="10.0"/>
      </rPr>
      <t xml:space="preserve">ステップ1：
</t>
    </r>
    <r>
      <rPr>
        <rFont val="メイリオ"/>
        <color rgb="FF000000"/>
        <sz val="10.0"/>
      </rPr>
      <t xml:space="preserve">Để trống email, nhấn nút gửi
</t>
    </r>
    <r>
      <rPr>
        <rFont val="メイリオ"/>
        <b/>
        <color rgb="FF000000"/>
        <sz val="10.0"/>
      </rPr>
      <t xml:space="preserve">ステップ2：
</t>
    </r>
    <r>
      <rPr>
        <rFont val="メイリオ"/>
        <color rgb="FF000000"/>
        <sz val="10.0"/>
      </rPr>
      <t>Nhập 3 ký tự space half-width → nhấn nút gửi</t>
    </r>
  </si>
  <si>
    <r>
      <rPr>
        <rFont val="メイリオ"/>
        <b/>
        <color rgb="FF000000"/>
        <sz val="10.0"/>
      </rPr>
      <t xml:space="preserve">ステップ1：
</t>
    </r>
    <r>
      <rPr>
        <rFont val="メイリオ"/>
        <color rgb="FF000000"/>
        <sz val="10.0"/>
      </rPr>
      <t xml:space="preserve">Hiển thị「メールアドレスを入力してください。」ngay dưới mục
</t>
    </r>
    <r>
      <rPr>
        <rFont val="メイリオ"/>
        <color rgb="FF000000"/>
        <sz val="10.0"/>
      </rPr>
      <t xml:space="preserve">Phía FE chặn gửi (không gọi API)
</t>
    </r>
    <r>
      <rPr>
        <rFont val="メイリオ"/>
        <b/>
        <color rgb="FF000000"/>
        <sz val="10.0"/>
      </rPr>
      <t xml:space="preserve">ステップ2：
</t>
    </r>
    <r>
      <rPr>
        <rFont val="メイリオ"/>
        <color rgb="FF000000"/>
        <sz val="10.0"/>
      </rPr>
      <t xml:space="preserve">Phía FE `validateClient` loại bỏ space đầu cuối qua `trim()`, được nhận diện là rỗng
</t>
    </r>
    <r>
      <rPr>
        <rFont val="メイリオ"/>
        <color rgb="FF000000"/>
        <sz val="10.0"/>
      </rPr>
      <t xml:space="preserve">Hiển thị「メールアドレスを入力してください。」
</t>
    </r>
    <r>
      <rPr>
        <rFont val="メイリオ"/>
        <b/>
        <color rgb="FF000000"/>
        <sz val="10.0"/>
      </rPr>
      <t xml:space="preserve">補足：
</t>
    </r>
    <r>
      <rPr>
        <rFont val="メイリオ"/>
        <color rgb="FF000000"/>
        <sz val="10.0"/>
      </rPr>
      <t xml:space="preserve">・Rỗng / chỉ ký tự khoảng trắng đều bị xử lý là vi phạm bắt buộc
</t>
    </r>
    <r>
      <rPr>
        <rFont val="メイリオ"/>
        <color rgb="FF000000"/>
        <sz val="10.0"/>
      </rPr>
      <t xml:space="preserve">・Tương ứng ACSMS-SCR-012-001
</t>
    </r>
    <r>
      <rPr>
        <rFont val="メイリオ"/>
        <color rgb="FF000000"/>
        <sz val="10.0"/>
      </rPr>
      <t>・Implementation: check an toàn bằng `form.email?.trim()`</t>
    </r>
  </si>
  <si>
    <t>ACSMS-TC-012-017</t>
  </si>
  <si>
    <t>Email — Kiểm tra format</t>
  </si>
  <si>
    <r>
      <rPr>
        <rFont val="メイリオ"/>
        <b/>
        <color rgb="FF000000"/>
        <sz val="10.0"/>
      </rPr>
      <t xml:space="preserve">ステップ1：
</t>
    </r>
    <r>
      <rPr>
        <rFont val="メイリオ"/>
        <color rgb="FF000000"/>
        <sz val="10.0"/>
      </rPr>
      <t xml:space="preserve">Nhập `user@example.com` → gửi
</t>
    </r>
    <r>
      <rPr>
        <rFont val="メイリオ"/>
        <b/>
        <color rgb="FF000000"/>
        <sz val="10.0"/>
      </rPr>
      <t xml:space="preserve">ステップ2：
</t>
    </r>
    <r>
      <rPr>
        <rFont val="メイリオ"/>
        <color rgb="FF000000"/>
        <sz val="10.0"/>
      </rPr>
      <t xml:space="preserve">Nhập `invalid-email` (không có @) → gửi
</t>
    </r>
    <r>
      <rPr>
        <rFont val="メイリオ"/>
        <b/>
        <color rgb="FF000000"/>
        <sz val="10.0"/>
      </rPr>
      <t xml:space="preserve">ステップ3：
</t>
    </r>
    <r>
      <rPr>
        <rFont val="メイリオ"/>
        <color rgb="FF000000"/>
        <sz val="10.0"/>
      </rPr>
      <t xml:space="preserve">Nhập `abc@` (không có domain) → gửi
</t>
    </r>
    <r>
      <rPr>
        <rFont val="メイリオ"/>
        <b/>
        <color rgb="FF000000"/>
        <sz val="10.0"/>
      </rPr>
      <t xml:space="preserve">ステップ4：
</t>
    </r>
    <r>
      <rPr>
        <rFont val="メイリオ"/>
        <color rgb="FF000000"/>
        <sz val="10.0"/>
      </rPr>
      <t>Nhập `@example.com` (không có local part) → gửi</t>
    </r>
  </si>
  <si>
    <r>
      <rPr>
        <rFont val="メイリオ"/>
        <b/>
        <color rgb="FF000000"/>
        <sz val="10.0"/>
      </rPr>
      <t xml:space="preserve">ステップ1：
</t>
    </r>
    <r>
      <rPr>
        <rFont val="メイリオ"/>
        <color rgb="FF000000"/>
        <sz val="10.0"/>
      </rPr>
      <t xml:space="preserve">Tiếp nhận bình thường, qua kiểm tra format phía FE, gửi API
</t>
    </r>
    <r>
      <rPr>
        <rFont val="メイリオ"/>
        <b/>
        <color rgb="FF000000"/>
        <sz val="10.0"/>
      </rPr>
      <t xml:space="preserve">ステップ2：
</t>
    </r>
    <r>
      <rPr>
        <rFont val="メイリオ"/>
        <color rgb="FF000000"/>
        <sz val="10.0"/>
      </rPr>
      <t xml:space="preserve">Phía FE hiển thị「有効なメールアドレスを入力してください。」
</t>
    </r>
    <r>
      <rPr>
        <rFont val="メイリオ"/>
        <color rgb="FF000000"/>
        <sz val="10.0"/>
      </rPr>
      <t xml:space="preserve">Không gọi API
</t>
    </r>
    <r>
      <rPr>
        <rFont val="メイリオ"/>
        <b/>
        <color rgb="FF000000"/>
        <sz val="10.0"/>
      </rPr>
      <t xml:space="preserve">ステップ3：
</t>
    </r>
    <r>
      <rPr>
        <rFont val="メイリオ"/>
        <color rgb="FF000000"/>
        <sz val="10.0"/>
      </rPr>
      <t xml:space="preserve">Phía FE hiển thị「有効なメールアドレスを入力してください。」
</t>
    </r>
    <r>
      <rPr>
        <rFont val="メイリオ"/>
        <b/>
        <color rgb="FF000000"/>
        <sz val="10.0"/>
      </rPr>
      <t xml:space="preserve">ステップ4：
</t>
    </r>
    <r>
      <rPr>
        <rFont val="メイリオ"/>
        <color rgb="FF000000"/>
        <sz val="10.0"/>
      </rPr>
      <t xml:space="preserve">Phía FE hiển thị「有効なメールアドレスを入力してください。」
</t>
    </r>
    <r>
      <rPr>
        <rFont val="メイリオ"/>
        <b/>
        <color rgb="FF000000"/>
        <sz val="10.0"/>
      </rPr>
      <t xml:space="preserve">補足：
</t>
    </r>
    <r>
      <rPr>
        <rFont val="メイリオ"/>
        <color rgb="FF000000"/>
        <sz val="10.0"/>
      </rPr>
      <t xml:space="preserve">・Implementation: kiểm tra format bằng regex FE `/^[^\s@]+@[^\s@]+\.[^\s@]+$/`
</t>
    </r>
    <r>
      <rPr>
        <rFont val="メイリオ"/>
        <color rgb="FF000000"/>
        <sz val="10.0"/>
      </rPr>
      <t xml:space="preserve">・Verify lại bằng @IsEmail ở BE (chống DevTools trực tiếp)
</t>
    </r>
    <r>
      <rPr>
        <rFont val="メイリオ"/>
        <color rgb="FF000000"/>
        <sz val="10.0"/>
      </rPr>
      <t xml:space="preserve">・Tương ứng ACSMS-SCR-012-002
</t>
    </r>
    <r>
      <rPr>
        <rFont val="メイリオ"/>
        <color rgb="FF000000"/>
        <sz val="10.0"/>
      </rPr>
      <t>・Không sử dụng HTML5 `type="email"` (vue.md §「NEVER use HTML5 native input types for validation」)</t>
    </r>
  </si>
  <si>
    <t>ACSMS-TC-012-018</t>
  </si>
  <si>
    <t>Email — Giới hạn tối đa 100 ký tự (giá trị biên)</t>
  </si>
  <si>
    <r>
      <rPr>
        <rFont val="メイリオ"/>
        <b/>
        <color rgb="FF000000"/>
        <sz val="10.0"/>
      </rPr>
      <t xml:space="preserve">ステップ1：
</t>
    </r>
    <r>
      <rPr>
        <rFont val="メイリオ"/>
        <color rgb="FF000000"/>
        <sz val="10.0"/>
      </rPr>
      <t xml:space="preserve">Nhập email hợp lệ trong 100 ký tự → gửi
</t>
    </r>
    <r>
      <rPr>
        <rFont val="メイリオ"/>
        <b/>
        <color rgb="FF000000"/>
        <sz val="10.0"/>
      </rPr>
      <t xml:space="preserve">ステップ2：
</t>
    </r>
    <r>
      <rPr>
        <rFont val="メイリオ"/>
        <color rgb="FF000000"/>
        <sz val="10.0"/>
      </rPr>
      <t xml:space="preserve">Thử nhập ký tự thứ 101
</t>
    </r>
    <r>
      <rPr>
        <rFont val="メイリオ"/>
        <b/>
        <color rgb="FF000000"/>
        <sz val="10.0"/>
      </rPr>
      <t xml:space="preserve">ステップ3：
</t>
    </r>
    <r>
      <rPr>
        <rFont val="メイリオ"/>
        <color rgb="FF000000"/>
        <sz val="10.0"/>
      </rPr>
      <t>Trên DevTools, gửi request axios trực tiếp với email 102 ký tự</t>
    </r>
  </si>
  <si>
    <r>
      <rPr>
        <rFont val="メイリオ"/>
        <b/>
        <color rgb="FF000000"/>
        <sz val="10.0"/>
      </rPr>
      <t xml:space="preserve">ステップ1：
</t>
    </r>
    <r>
      <rPr>
        <rFont val="メイリオ"/>
        <color rgb="FF000000"/>
        <sz val="10.0"/>
      </rPr>
      <t xml:space="preserve">Tiếp nhận bình thường, gửi API
</t>
    </r>
    <r>
      <rPr>
        <rFont val="メイリオ"/>
        <b/>
        <color rgb="FF000000"/>
        <sz val="10.0"/>
      </rPr>
      <t xml:space="preserve">ステップ2：
</t>
    </r>
    <r>
      <rPr>
        <rFont val="メイリオ"/>
        <color rgb="FF000000"/>
        <sz val="10.0"/>
      </rPr>
      <t xml:space="preserve">input maxlength chặn ký tự thứ 101
</t>
    </r>
    <r>
      <rPr>
        <rFont val="メイリオ"/>
        <b/>
        <color rgb="FF000000"/>
        <sz val="10.0"/>
      </rPr>
      <t xml:space="preserve">ステップ3：
</t>
    </r>
    <r>
      <rPr>
        <rFont val="メイリオ"/>
        <color rgb="FF000000"/>
        <sz val="10.0"/>
      </rPr>
      <t xml:space="preserve">Phía BE @MaxLength(100) từ chối
</t>
    </r>
    <r>
      <rPr>
        <rFont val="メイリオ"/>
        <color rgb="FF000000"/>
        <sz val="10.0"/>
      </rPr>
      <t xml:space="preserve">HTTP status code: 400
</t>
    </r>
    <r>
      <rPr>
        <rFont val="メイリオ"/>
        <color rgb="FF000000"/>
        <sz val="10.0"/>
      </rPr>
      <t xml:space="preserve">errors[] chứa { field: "email", message: "メールアドレスは100文字以内で入力してください。" }
</t>
    </r>
    <r>
      <rPr>
        <rFont val="メイリオ"/>
        <b/>
        <color rgb="FF000000"/>
        <sz val="10.0"/>
      </rPr>
      <t xml:space="preserve">補足：
</t>
    </r>
    <r>
      <rPr>
        <rFont val="メイリオ"/>
        <color rgb="FF000000"/>
        <sz val="10.0"/>
      </rPr>
      <t>・Giới hạn 100 ký tự được enforce kép bằng input maxlength và validation BE</t>
    </r>
  </si>
  <si>
    <t>ACSMS-TC-012-019</t>
  </si>
  <si>
    <t>Email — Xử lý an toàn XSS / SQL injection</t>
  </si>
  <si>
    <r>
      <rPr>
        <rFont val="游ゴシック"/>
        <b/>
        <color rgb="FF000000"/>
        <sz val="10.0"/>
      </rPr>
      <t xml:space="preserve">ステップ1：
</t>
    </r>
    <r>
      <rPr>
        <rFont val="游ゴシック"/>
        <color rgb="FF000000"/>
        <sz val="10.0"/>
      </rPr>
      <t xml:space="preserve">Nhập HTML tag `&lt;script&gt;alert(1)&lt;/script&gt;` vào email → gửi
</t>
    </r>
    <r>
      <rPr>
        <rFont val="游ゴシック"/>
        <b/>
        <color rgb="FF000000"/>
        <sz val="10.0"/>
      </rPr>
      <t xml:space="preserve">ステップ2：
</t>
    </r>
    <r>
      <rPr>
        <rFont val="游ゴシック"/>
        <color rgb="FF000000"/>
        <sz val="10.0"/>
      </rPr>
      <t xml:space="preserve">Nhập SQL injection `admin'; DROP TABLE m_account; --@example.com` → gửi
</t>
    </r>
    <r>
      <rPr>
        <rFont val="游ゴシック"/>
        <b/>
        <color rgb="FF000000"/>
        <sz val="10.0"/>
      </rPr>
      <t xml:space="preserve">ステップ3：
</t>
    </r>
    <r>
      <rPr>
        <rFont val="游ゴシック"/>
        <color rgb="FF000000"/>
        <sz val="10.0"/>
      </rPr>
      <t>Kiểm tra bảng `m_account` không bị xóa trên DB</t>
    </r>
  </si>
  <si>
    <r>
      <rPr>
        <rFont val="メイリオ"/>
        <b/>
        <color rgb="FF000000"/>
        <sz val="10.0"/>
      </rPr>
      <t xml:space="preserve">ステップ1：
</t>
    </r>
    <r>
      <rPr>
        <rFont val="メイリオ"/>
        <color rgb="FF000000"/>
        <sz val="10.0"/>
      </rPr>
      <t xml:space="preserve">Phía FE từ chối qua kiểm tra format (`/^[^\s@]+@[^\s@]+\.[^\s@]+$/` không khớp)
</t>
    </r>
    <r>
      <rPr>
        <rFont val="メイリオ"/>
        <b/>
        <color rgb="FF000000"/>
        <sz val="10.0"/>
      </rPr>
      <t xml:space="preserve">ステップ2：
</t>
    </r>
    <r>
      <rPr>
        <rFont val="メイリオ"/>
        <color rgb="FF000000"/>
        <sz val="10.0"/>
      </rPr>
      <t xml:space="preserve">Phía FE hoặc BE từ chối format
</t>
    </r>
    <r>
      <rPr>
        <rFont val="メイリオ"/>
        <color rgb="FF000000"/>
        <sz val="10.0"/>
      </rPr>
      <t xml:space="preserve">Bảng `m_account` không bị xóa
</t>
    </r>
    <r>
      <rPr>
        <rFont val="メイリオ"/>
        <b/>
        <color rgb="FF000000"/>
        <sz val="10.0"/>
      </rPr>
      <t xml:space="preserve">ステップ3：
</t>
    </r>
    <r>
      <rPr>
        <rFont val="メイリオ"/>
        <color rgb="FF000000"/>
        <sz val="10.0"/>
      </rPr>
      <t xml:space="preserve">Bảng `m_account` tồn tại bình thường
</t>
    </r>
    <r>
      <rPr>
        <rFont val="メイリオ"/>
        <b/>
        <color rgb="FF000000"/>
        <sz val="10.0"/>
      </rPr>
      <t xml:space="preserve">補足：
</t>
    </r>
    <r>
      <rPr>
        <rFont val="メイリオ"/>
        <color rgb="FF000000"/>
        <sz val="10.0"/>
      </rPr>
      <t xml:space="preserve">・SQL injection không phát huy (parameterized query của TypeORM)
</t>
    </r>
    <r>
      <rPr>
        <rFont val="メイリオ"/>
        <color rgb="FF000000"/>
        <sz val="10.0"/>
      </rPr>
      <t>・XSS không phát huy (Vue auto-escape)</t>
    </r>
  </si>
  <si>
    <t>Critical về security — Nếu fail thì xử lý như incident.</t>
  </si>
  <si>
    <t>ACSMS-TC-012-020</t>
  </si>
  <si>
    <t>Password mới — Kiểm tra bắt buộc (rỗng)</t>
  </si>
  <si>
    <t>・Màn hình thay đổi, đã verify token thành công</t>
  </si>
  <si>
    <r>
      <rPr>
        <rFont val="メイリオ"/>
        <b/>
        <color rgb="FF000000"/>
        <sz val="10.0"/>
      </rPr>
      <t xml:space="preserve">ステップ1：
</t>
    </r>
    <r>
      <rPr>
        <rFont val="メイリオ"/>
        <color rgb="FF000000"/>
        <sz val="10.0"/>
      </rPr>
      <t xml:space="preserve">Để trống password mới, nhấn nút cập nhật
</t>
    </r>
    <r>
      <rPr>
        <rFont val="メイリオ"/>
        <b/>
        <color rgb="FF000000"/>
        <sz val="10.0"/>
      </rPr>
      <t xml:space="preserve">ステップ2：
</t>
    </r>
    <r>
      <rPr>
        <rFont val="メイリオ"/>
        <color rgb="FF000000"/>
        <sz val="10.0"/>
      </rPr>
      <t>Chỉ nhập 1 ký tự space half-width → cập nhật</t>
    </r>
  </si>
  <si>
    <r>
      <rPr>
        <rFont val="メイリオ"/>
        <b/>
        <color rgb="FF000000"/>
        <sz val="10.0"/>
      </rPr>
      <t xml:space="preserve">ステップ1：
</t>
    </r>
    <r>
      <rPr>
        <rFont val="メイリオ"/>
        <color rgb="FF000000"/>
        <sz val="10.0"/>
      </rPr>
      <t xml:space="preserve">Hiển thị「新しいパスワードを入力してください。」ngay dưới mục
</t>
    </r>
    <r>
      <rPr>
        <rFont val="メイリオ"/>
        <color rgb="FF000000"/>
        <sz val="10.0"/>
      </rPr>
      <t xml:space="preserve">Phía FE chặn gửi
</t>
    </r>
    <r>
      <rPr>
        <rFont val="メイリオ"/>
        <b/>
        <color rgb="FF000000"/>
        <sz val="10.0"/>
      </rPr>
      <t xml:space="preserve">ステップ2：
</t>
    </r>
    <r>
      <rPr>
        <rFont val="メイリオ"/>
        <color rgb="FF000000"/>
        <sz val="10.0"/>
      </rPr>
      <t xml:space="preserve">Phía FE `validateClient` nhận diện rỗng qua `trim()`
</t>
    </r>
    <r>
      <rPr>
        <rFont val="メイリオ"/>
        <color rgb="FF000000"/>
        <sz val="10.0"/>
      </rPr>
      <t xml:space="preserve">Hiển thị「新しいパスワードを入力してください。」
</t>
    </r>
    <r>
      <rPr>
        <rFont val="メイリオ"/>
        <b/>
        <color rgb="FF000000"/>
        <sz val="10.0"/>
      </rPr>
      <t xml:space="preserve">補足：
</t>
    </r>
    <r>
      <rPr>
        <rFont val="メイリオ"/>
        <color rgb="FF000000"/>
        <sz val="10.0"/>
      </rPr>
      <t xml:space="preserve">・Rỗng / chỉ ký tự khoảng trắng đều bị xử lý là vi phạm bắt buộc
</t>
    </r>
    <r>
      <rPr>
        <rFont val="メイリオ"/>
        <color rgb="FF000000"/>
        <sz val="10.0"/>
      </rPr>
      <t>・Tương ứng ACSMS-SCR-012-005</t>
    </r>
  </si>
  <si>
    <t>ACSMS-TC-012-021</t>
  </si>
  <si>
    <t>Password mới — Giới hạn 8〜32 ký tự (giá trị biên)</t>
  </si>
  <si>
    <t>・Màn hình thay đổi</t>
  </si>
  <si>
    <r>
      <rPr>
        <rFont val="游ゴシック"/>
        <b/>
        <color rgb="FF000000"/>
        <sz val="10.0"/>
      </rPr>
      <t xml:space="preserve">ステップ1：
</t>
    </r>
    <r>
      <rPr>
        <rFont val="游ゴシック"/>
        <color rgb="FF000000"/>
        <sz val="10.0"/>
      </rPr>
      <t xml:space="preserve">Nhập 8 ký tự (ví dụ: `Admin@01`) → cập nhật
</t>
    </r>
    <r>
      <rPr>
        <rFont val="游ゴシック"/>
        <b/>
        <color rgb="FF000000"/>
        <sz val="10.0"/>
      </rPr>
      <t xml:space="preserve">ステップ2：
</t>
    </r>
    <r>
      <rPr>
        <rFont val="游ゴシック"/>
        <color rgb="FF000000"/>
        <sz val="10.0"/>
      </rPr>
      <t xml:space="preserve">Nhập 7 ký tự (ví dụ: `Admin@1`) → cập nhật
</t>
    </r>
    <r>
      <rPr>
        <rFont val="游ゴシック"/>
        <b/>
        <color rgb="FF000000"/>
        <sz val="10.0"/>
      </rPr>
      <t xml:space="preserve">ステップ3：
</t>
    </r>
    <r>
      <rPr>
        <rFont val="游ゴシック"/>
        <color rgb="FF000000"/>
        <sz val="10.0"/>
      </rPr>
      <t xml:space="preserve">Nhập 32 ký tự → cập nhật
</t>
    </r>
    <r>
      <rPr>
        <rFont val="游ゴシック"/>
        <b/>
        <color rgb="FF000000"/>
        <sz val="10.0"/>
      </rPr>
      <t xml:space="preserve">ステップ4：
</t>
    </r>
    <r>
      <rPr>
        <rFont val="游ゴシック"/>
        <color rgb="FF000000"/>
        <sz val="10.0"/>
      </rPr>
      <t>Thử nhập ký tự thứ 33</t>
    </r>
  </si>
  <si>
    <r>
      <rPr>
        <rFont val="メイリオ"/>
        <b/>
        <color rgb="FF000000"/>
        <sz val="10.0"/>
      </rPr>
      <t xml:space="preserve">ステップ1：
</t>
    </r>
    <r>
      <rPr>
        <rFont val="メイリオ"/>
        <color rgb="FF000000"/>
        <sz val="10.0"/>
      </rPr>
      <t xml:space="preserve">Tiếp nhận bình thường (giá trị nhỏ nhất), nếu cũng qua format check thì cập nhật thành công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errors[] chứa { field: "new_password", message: "パスワードは8文字以上で入力してください。" }
</t>
    </r>
    <r>
      <rPr>
        <rFont val="メイリオ"/>
        <color rgb="FF000000"/>
        <sz val="10.0"/>
      </rPr>
      <t xml:space="preserve">(Phía FE cũng từ chối tương tự bằng `PASSWORD_FORMAT_RE`)
</t>
    </r>
    <r>
      <rPr>
        <rFont val="メイリオ"/>
        <b/>
        <color rgb="FF000000"/>
        <sz val="10.0"/>
      </rPr>
      <t xml:space="preserve">ステップ3：
</t>
    </r>
    <r>
      <rPr>
        <rFont val="メイリオ"/>
        <color rgb="FF000000"/>
        <sz val="10.0"/>
      </rPr>
      <t xml:space="preserve">Tiếp nhận bình thường (giá trị lớn nhất)
</t>
    </r>
    <r>
      <rPr>
        <rFont val="メイリオ"/>
        <b/>
        <color rgb="FF000000"/>
        <sz val="10.0"/>
      </rPr>
      <t xml:space="preserve">ステップ4：
</t>
    </r>
    <r>
      <rPr>
        <rFont val="メイリオ"/>
        <color rgb="FF000000"/>
        <sz val="10.0"/>
      </rPr>
      <t xml:space="preserve">input maxlength chặn ký tự thứ 33
</t>
    </r>
    <r>
      <rPr>
        <rFont val="メイリオ"/>
        <b/>
        <color rgb="FF000000"/>
        <sz val="10.0"/>
      </rPr>
      <t xml:space="preserve">補足：
</t>
    </r>
    <r>
      <rPr>
        <rFont val="メイリオ"/>
        <color rgb="FF000000"/>
        <sz val="10.0"/>
      </rPr>
      <t>・Giới hạn 8〜32 ký tự, enforce bằng @MinLength(8) và @MaxLength(32)</t>
    </r>
  </si>
  <si>
    <t>ACSMS-TC-012-022</t>
  </si>
  <si>
    <t>Password mới — Chỉ tiếp nhận half-width</t>
  </si>
  <si>
    <r>
      <rPr>
        <rFont val="メイリオ"/>
        <b/>
        <color rgb="FF000000"/>
        <sz val="10.0"/>
      </rPr>
      <t xml:space="preserve">ステップ1：
</t>
    </r>
    <r>
      <rPr>
        <rFont val="メイリオ"/>
        <color rgb="FF000000"/>
        <sz val="10.0"/>
      </rPr>
      <t xml:space="preserve">Nhập chữ-số-ký hiệu half-width `Admin@1234` → cập nhật
</t>
    </r>
    <r>
      <rPr>
        <rFont val="メイリオ"/>
        <b/>
        <color rgb="FF000000"/>
        <sz val="10.0"/>
      </rPr>
      <t xml:space="preserve">ステップ2：
</t>
    </r>
    <r>
      <rPr>
        <rFont val="メイリオ"/>
        <color rgb="FF000000"/>
        <sz val="10.0"/>
      </rPr>
      <t xml:space="preserve">Nhập chữ-số full-width `Ａｄｍｉｎ＠１２３４` → cập nhật
</t>
    </r>
    <r>
      <rPr>
        <rFont val="メイリオ"/>
        <b/>
        <color rgb="FF000000"/>
        <sz val="10.0"/>
      </rPr>
      <t xml:space="preserve">ステップ3：
</t>
    </r>
    <r>
      <rPr>
        <rFont val="メイリオ"/>
        <color rgb="FF000000"/>
        <sz val="10.0"/>
      </rPr>
      <t>Nhập ký tự tiếng Nhật `パスワード１２３` → cập nhật</t>
    </r>
  </si>
  <si>
    <r>
      <rPr>
        <rFont val="メイリオ"/>
        <b/>
        <color rgb="FF000000"/>
        <sz val="10.0"/>
      </rPr>
      <t xml:space="preserve">ステップ1：
</t>
    </r>
    <r>
      <rPr>
        <rFont val="メイリオ"/>
        <color rgb="FF000000"/>
        <sz val="10.0"/>
      </rPr>
      <t xml:space="preserve">Tiếp nhận bình thường, nếu qua format check thì cập nhật thành công
</t>
    </r>
    <r>
      <rPr>
        <rFont val="メイリオ"/>
        <b/>
        <color rgb="FF000000"/>
        <sz val="10.0"/>
      </rPr>
      <t xml:space="preserve">ステップ2：
</t>
    </r>
    <r>
      <rPr>
        <rFont val="メイリオ"/>
        <color rgb="FF000000"/>
        <sz val="10.0"/>
      </rPr>
      <t xml:space="preserve">Phía FE từ chối bằng `HALFWIDTH_RE`
</t>
    </r>
    <r>
      <rPr>
        <rFont val="メイリオ"/>
        <color rgb="FF000000"/>
        <sz val="10.0"/>
      </rPr>
      <t xml:space="preserve">Hiển thị「パスワードは半角文字のみで入力してください。」
</t>
    </r>
    <r>
      <rPr>
        <rFont val="メイリオ"/>
        <b/>
        <color rgb="FF000000"/>
        <sz val="10.0"/>
      </rPr>
      <t xml:space="preserve">ステップ3：
</t>
    </r>
    <r>
      <rPr>
        <rFont val="メイリオ"/>
        <color rgb="FF000000"/>
        <sz val="10.0"/>
      </rPr>
      <t xml:space="preserve">Phía FE từ chối bằng `HALFWIDTH_RE`
</t>
    </r>
    <r>
      <rPr>
        <rFont val="メイリオ"/>
        <color rgb="FF000000"/>
        <sz val="10.0"/>
      </rPr>
      <t xml:space="preserve">Hiển thị「パスワードは半角文字のみで入力してください。」
</t>
    </r>
    <r>
      <rPr>
        <rFont val="メイリオ"/>
        <b/>
        <color rgb="FF000000"/>
        <sz val="10.0"/>
      </rPr>
      <t xml:space="preserve">補足：
</t>
    </r>
    <r>
      <rPr>
        <rFont val="メイリオ"/>
        <color rgb="FF000000"/>
        <sz val="10.0"/>
      </rPr>
      <t xml:space="preserve">・Regex FE `/^[\x21-\x7E]+$/` chỉ cho phép half-width
</t>
    </r>
    <r>
      <rPr>
        <rFont val="メイリオ"/>
        <color rgb="FF000000"/>
        <sz val="10.0"/>
      </rPr>
      <t xml:space="preserve">・BE @Matches(HALFWIDTH_RE) verify lại
</t>
    </r>
    <r>
      <rPr>
        <rFont val="メイリオ"/>
        <color rgb="FF000000"/>
        <sz val="10.0"/>
      </rPr>
      <t>・FE thực hiện check half-width TRƯỚC check loại ký tự (UX: specific message &gt; combined message)</t>
    </r>
  </si>
  <si>
    <t>ACSMS-TC-012-023</t>
  </si>
  <si>
    <t>Password mới — Kiểm tra có ≥ 2 loại ký tự</t>
  </si>
  <si>
    <r>
      <rPr>
        <rFont val="メイリオ"/>
        <b/>
        <color rgb="FF000000"/>
        <sz val="10.0"/>
      </rPr>
      <t xml:space="preserve">ステップ1：
</t>
    </r>
    <r>
      <rPr>
        <rFont val="メイリオ"/>
        <color rgb="FF000000"/>
        <sz val="10.0"/>
      </rPr>
      <t xml:space="preserve">Nhập chữ + số `Admin1234` → cập nhật
</t>
    </r>
    <r>
      <rPr>
        <rFont val="メイリオ"/>
        <b/>
        <color rgb="FF000000"/>
        <sz val="10.0"/>
      </rPr>
      <t xml:space="preserve">ステップ2：
</t>
    </r>
    <r>
      <rPr>
        <rFont val="メイリオ"/>
        <color rgb="FF000000"/>
        <sz val="10.0"/>
      </rPr>
      <t xml:space="preserve">Nhập chữ + ký hiệu `Admin!@#$` → cập nhật
</t>
    </r>
    <r>
      <rPr>
        <rFont val="メイリオ"/>
        <b/>
        <color rgb="FF000000"/>
        <sz val="10.0"/>
      </rPr>
      <t xml:space="preserve">ステップ3：
</t>
    </r>
    <r>
      <rPr>
        <rFont val="メイリオ"/>
        <color rgb="FF000000"/>
        <sz val="10.0"/>
      </rPr>
      <t xml:space="preserve">Nhập số + ký hiệu `1234!@#$` → cập nhật
</t>
    </r>
    <r>
      <rPr>
        <rFont val="メイリオ"/>
        <b/>
        <color rgb="FF000000"/>
        <sz val="10.0"/>
      </rPr>
      <t xml:space="preserve">ステップ4：
</t>
    </r>
    <r>
      <rPr>
        <rFont val="メイリオ"/>
        <color rgb="FF000000"/>
        <sz val="10.0"/>
      </rPr>
      <t xml:space="preserve">Nhập chỉ chữ `AdminAdmin` → cập nhật
</t>
    </r>
    <r>
      <rPr>
        <rFont val="メイリオ"/>
        <b/>
        <color rgb="FF000000"/>
        <sz val="10.0"/>
      </rPr>
      <t xml:space="preserve">ステップ5：
</t>
    </r>
    <r>
      <rPr>
        <rFont val="メイリオ"/>
        <color rgb="FF000000"/>
        <sz val="10.0"/>
      </rPr>
      <t xml:space="preserve">Nhập chỉ số `12345678` → cập nhật
</t>
    </r>
    <r>
      <rPr>
        <rFont val="メイリオ"/>
        <b/>
        <color rgb="FF000000"/>
        <sz val="10.0"/>
      </rPr>
      <t xml:space="preserve">ステップ6：
</t>
    </r>
    <r>
      <rPr>
        <rFont val="メイリオ"/>
        <color rgb="FF000000"/>
        <sz val="10.0"/>
      </rPr>
      <t>Nhập chỉ ký hiệu `!@#$%^&amp;*` → cập nhật</t>
    </r>
  </si>
  <si>
    <r>
      <rPr>
        <rFont val="メイリオ"/>
        <b/>
        <color rgb="FF000000"/>
        <sz val="10.0"/>
      </rPr>
      <t xml:space="preserve">ステップ1：
</t>
    </r>
    <r>
      <rPr>
        <rFont val="メイリオ"/>
        <color rgb="FF000000"/>
        <sz val="10.0"/>
      </rPr>
      <t xml:space="preserve">Tiếp nhận bình thường (2 loại)
</t>
    </r>
    <r>
      <rPr>
        <rFont val="メイリオ"/>
        <b/>
        <color rgb="FF000000"/>
        <sz val="10.0"/>
      </rPr>
      <t xml:space="preserve">ステップ2：
</t>
    </r>
    <r>
      <rPr>
        <rFont val="メイリオ"/>
        <color rgb="FF000000"/>
        <sz val="10.0"/>
      </rPr>
      <t xml:space="preserve">Tiếp nhận bình thường (2 loại)
</t>
    </r>
    <r>
      <rPr>
        <rFont val="メイリオ"/>
        <b/>
        <color rgb="FF000000"/>
        <sz val="10.0"/>
      </rPr>
      <t xml:space="preserve">ステップ3：
</t>
    </r>
    <r>
      <rPr>
        <rFont val="メイリオ"/>
        <color rgb="FF000000"/>
        <sz val="10.0"/>
      </rPr>
      <t xml:space="preserve">Tiếp nhận bình thường (2 loại)
</t>
    </r>
    <r>
      <rPr>
        <rFont val="メイリオ"/>
        <b/>
        <color rgb="FF000000"/>
        <sz val="10.0"/>
      </rPr>
      <t xml:space="preserve">ステップ4：
</t>
    </r>
    <r>
      <rPr>
        <rFont val="メイリオ"/>
        <color rgb="FF000000"/>
        <sz val="10.0"/>
      </rPr>
      <t xml:space="preserve">HTTP status code: 400
</t>
    </r>
    <r>
      <rPr>
        <rFont val="メイリオ"/>
        <color rgb="FF000000"/>
        <sz val="10.0"/>
      </rPr>
      <t xml:space="preserve">errors[] chứa { field: "new_password", message: "パスワードは8~32文字で、半角英字・数字・記号の3種のうち2種以上を含めて入力してください。" }
</t>
    </r>
    <r>
      <rPr>
        <rFont val="メイリオ"/>
        <b/>
        <color rgb="FF000000"/>
        <sz val="10.0"/>
      </rPr>
      <t xml:space="preserve">ステップ5：
</t>
    </r>
    <r>
      <rPr>
        <rFont val="メイリオ"/>
        <color rgb="FF000000"/>
        <sz val="10.0"/>
      </rPr>
      <t xml:space="preserve">HTTP status code: 400
</t>
    </r>
    <r>
      <rPr>
        <rFont val="メイリオ"/>
        <color rgb="FF000000"/>
        <sz val="10.0"/>
      </rPr>
      <t xml:space="preserve">Cùng message như trên
</t>
    </r>
    <r>
      <rPr>
        <rFont val="メイリオ"/>
        <b/>
        <color rgb="FF000000"/>
        <sz val="10.0"/>
      </rPr>
      <t xml:space="preserve">ステップ6：
</t>
    </r>
    <r>
      <rPr>
        <rFont val="メイリオ"/>
        <color rgb="FF000000"/>
        <sz val="10.0"/>
      </rPr>
      <t xml:space="preserve">HTTP status code: 400
</t>
    </r>
    <r>
      <rPr>
        <rFont val="メイリオ"/>
        <color rgb="FF000000"/>
        <sz val="10.0"/>
      </rPr>
      <t xml:space="preserve">Cùng message như trên
</t>
    </r>
    <r>
      <rPr>
        <rFont val="メイリオ"/>
        <b/>
        <color rgb="FF000000"/>
        <sz val="10.0"/>
      </rPr>
      <t xml:space="preserve">補足：
</t>
    </r>
    <r>
      <rPr>
        <rFont val="メイリオ"/>
        <color rgb="FF000000"/>
        <sz val="10.0"/>
      </rPr>
      <t xml:space="preserve">・Implementation: regex FE `PASSWORD_FORMAT_RE` kiểm tra có ≥ 2 loại
</t>
    </r>
    <r>
      <rPr>
        <rFont val="メイリオ"/>
        <color rgb="FF000000"/>
        <sz val="10.0"/>
      </rPr>
      <t xml:space="preserve">・BE `AuthService.hasAtLeastTwoCategories` verify lại (bộ ký hiệu: `!@#$%^&amp;*()_+-=[]{}|;:,.&lt;&gt;?`)
</t>
    </r>
    <r>
      <rPr>
        <rFont val="メイリオ"/>
        <color rgb="FF000000"/>
        <sz val="10.0"/>
      </rPr>
      <t>・Tương ứng ACSMS-SCR-012-006</t>
    </r>
  </si>
  <si>
    <t>ACSMS-TC-012-024</t>
  </si>
  <si>
    <t>Password mới — Không được trùng login ID</t>
  </si>
  <si>
    <t>・Màn hình thay đổi, login_id của account đối tượng = `admin01`</t>
  </si>
  <si>
    <r>
      <rPr>
        <rFont val="メイリオ"/>
        <b/>
        <color rgb="FF000000"/>
        <sz val="10.0"/>
      </rPr>
      <t xml:space="preserve">ステップ1：
</t>
    </r>
    <r>
      <rPr>
        <rFont val="メイリオ"/>
        <color rgb="FF000000"/>
        <sz val="10.0"/>
      </rPr>
      <t xml:space="preserve">Nhập `admin01` (trùng hoàn toàn với login_id) vào password mới → cập nhật
</t>
    </r>
    <r>
      <rPr>
        <rFont val="メイリオ"/>
        <color rgb="FF000000"/>
        <sz val="10.0"/>
      </rPr>
      <t xml:space="preserve">(Lưu ý: thỏa mãn 8 ký tự + 2 loại nhưng trùng login_id)
</t>
    </r>
    <r>
      <rPr>
        <rFont val="メイリオ"/>
        <b/>
        <color rgb="FF000000"/>
        <sz val="10.0"/>
      </rPr>
      <t xml:space="preserve">ステップ2：
</t>
    </r>
    <r>
      <rPr>
        <rFont val="メイリオ"/>
        <color rgb="FF000000"/>
        <sz val="10.0"/>
      </rPr>
      <t>Kiểm tra response</t>
    </r>
  </si>
  <si>
    <r>
      <rPr>
        <rFont val="メイリオ"/>
        <b/>
        <color rgb="FF000000"/>
        <sz val="10.0"/>
      </rPr>
      <t xml:space="preserve">ステップ1：
</t>
    </r>
    <r>
      <rPr>
        <rFont val="メイリオ"/>
        <color rgb="FF000000"/>
        <sz val="10.0"/>
      </rPr>
      <t xml:space="preserve">Phía BE từ chối (kiểm tra trùng login ID)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error_code: VALIDATION_ERROR
</t>
    </r>
    <r>
      <rPr>
        <rFont val="メイリオ"/>
        <color rgb="FF000000"/>
        <sz val="10.0"/>
      </rPr>
      <t xml:space="preserve">errors[] chứa { field: "new_password", message: "新しいパスワードはログインIDと同じものに設定できません。" }
</t>
    </r>
    <r>
      <rPr>
        <rFont val="メイリオ"/>
        <b/>
        <color rgb="FF000000"/>
        <sz val="10.0"/>
      </rPr>
      <t xml:space="preserve">補足：
</t>
    </r>
    <r>
      <rPr>
        <rFont val="メイリオ"/>
        <color rgb="FF000000"/>
        <sz val="10.0"/>
      </rPr>
      <t xml:space="preserve">・Implementation: trong `AuthService.resetPassword` kiểm tra `dto.new_password === account.loginId`
</t>
    </r>
    <r>
      <rPr>
        <rFont val="メイリオ"/>
        <color rgb="FF000000"/>
        <sz val="10.0"/>
      </rPr>
      <t>・So sánh khớp hoàn toàn, có phân biệt hoa thường</t>
    </r>
  </si>
  <si>
    <t>ACSMS-TC-012-025</t>
  </si>
  <si>
    <t>Confirm password — Kiểm tra bắt buộc</t>
  </si>
  <si>
    <t>・Màn hình thay đổi, đã nhập giá trị hợp lệ ở password mới</t>
  </si>
  <si>
    <r>
      <rPr>
        <rFont val="メイリオ"/>
        <b/>
        <color rgb="FF000000"/>
        <sz val="10.0"/>
      </rPr>
      <t xml:space="preserve">ステップ1：
</t>
    </r>
    <r>
      <rPr>
        <rFont val="メイリオ"/>
        <color rgb="FF000000"/>
        <sz val="10.0"/>
      </rPr>
      <t xml:space="preserve">Để trống confirm password, nhấn nút cập nhật
</t>
    </r>
    <r>
      <rPr>
        <rFont val="メイリオ"/>
        <b/>
        <color rgb="FF000000"/>
        <sz val="10.0"/>
      </rPr>
      <t xml:space="preserve">ステップ2：
</t>
    </r>
    <r>
      <rPr>
        <rFont val="メイリオ"/>
        <color rgb="FF000000"/>
        <sz val="10.0"/>
      </rPr>
      <t>Chỉ nhập 1 ký tự space half-width → cập nhật</t>
    </r>
  </si>
  <si>
    <r>
      <rPr>
        <rFont val="メイリオ"/>
        <b/>
        <color rgb="FF000000"/>
        <sz val="10.0"/>
      </rPr>
      <t xml:space="preserve">ステップ1：
</t>
    </r>
    <r>
      <rPr>
        <rFont val="メイリオ"/>
        <color rgb="FF000000"/>
        <sz val="10.0"/>
      </rPr>
      <t xml:space="preserve">Hiển thị「確認用パスワードを入力してください。」ngay dưới mục
</t>
    </r>
    <r>
      <rPr>
        <rFont val="メイリオ"/>
        <color rgb="FF000000"/>
        <sz val="10.0"/>
      </rPr>
      <t xml:space="preserve">Phía FE chặn gửi
</t>
    </r>
    <r>
      <rPr>
        <rFont val="メイリオ"/>
        <b/>
        <color rgb="FF000000"/>
        <sz val="10.0"/>
      </rPr>
      <t xml:space="preserve">ステップ2：
</t>
    </r>
    <r>
      <rPr>
        <rFont val="メイリオ"/>
        <color rgb="FF000000"/>
        <sz val="10.0"/>
      </rPr>
      <t xml:space="preserve">Phía FE `trim()` nhận diện rỗng
</t>
    </r>
    <r>
      <rPr>
        <rFont val="メイリオ"/>
        <color rgb="FF000000"/>
        <sz val="10.0"/>
      </rPr>
      <t xml:space="preserve">Hiển thị「確認用パスワードを入力してください。」
</t>
    </r>
    <r>
      <rPr>
        <rFont val="メイリオ"/>
        <b/>
        <color rgb="FF000000"/>
        <sz val="10.0"/>
      </rPr>
      <t xml:space="preserve">補足：
</t>
    </r>
    <r>
      <rPr>
        <rFont val="メイリオ"/>
        <color rgb="FF000000"/>
        <sz val="10.0"/>
      </rPr>
      <t>・Tương ứng ACSMS-SCR-012-009</t>
    </r>
  </si>
  <si>
    <t>ACSMS-TC-012-026</t>
  </si>
  <si>
    <t>Confirm password — Kiểm tra trùng khớp</t>
  </si>
  <si>
    <r>
      <rPr>
        <rFont val="メイリオ"/>
        <b/>
        <color rgb="FF000000"/>
        <sz val="10.0"/>
      </rPr>
      <t xml:space="preserve">ステップ1：
</t>
    </r>
    <r>
      <rPr>
        <rFont val="メイリオ"/>
        <color rgb="FF000000"/>
        <sz val="10.0"/>
      </rPr>
      <t xml:space="preserve">Nhập password mới `NewPass123!`, confirm password `NewPass123!` (trùng) → cập nhật
</t>
    </r>
    <r>
      <rPr>
        <rFont val="メイリオ"/>
        <b/>
        <color rgb="FF000000"/>
        <sz val="10.0"/>
      </rPr>
      <t xml:space="preserve">ステップ2：
</t>
    </r>
    <r>
      <rPr>
        <rFont val="メイリオ"/>
        <color rgb="FF000000"/>
        <sz val="10.0"/>
      </rPr>
      <t xml:space="preserve">Nhập password mới `NewPass123!`, confirm password `NewPass456!` (không trùng) → cập nhật
</t>
    </r>
    <r>
      <rPr>
        <rFont val="メイリオ"/>
        <b/>
        <color rgb="FF000000"/>
        <sz val="10.0"/>
      </rPr>
      <t xml:space="preserve">ステップ3：
</t>
    </r>
    <r>
      <rPr>
        <rFont val="メイリオ"/>
        <color rgb="FF000000"/>
        <sz val="10.0"/>
      </rPr>
      <t>Trên DevTools, nhập với khác hoa thường `NewPass123!` vs `newpass123!` → cập nhật</t>
    </r>
  </si>
  <si>
    <r>
      <rPr>
        <rFont val="メイリオ"/>
        <b/>
        <color rgb="FF000000"/>
        <sz val="10.0"/>
      </rPr>
      <t xml:space="preserve">ステップ1：
</t>
    </r>
    <r>
      <rPr>
        <rFont val="メイリオ"/>
        <color rgb="FF000000"/>
        <sz val="10.0"/>
      </rPr>
      <t xml:space="preserve">Tiếp nhận bình thường, thực hiện xử lý cập nhật
</t>
    </r>
    <r>
      <rPr>
        <rFont val="メイリオ"/>
        <b/>
        <color rgb="FF000000"/>
        <sz val="10.0"/>
      </rPr>
      <t xml:space="preserve">ステップ2：
</t>
    </r>
    <r>
      <rPr>
        <rFont val="メイリオ"/>
        <color rgb="FF000000"/>
        <sz val="10.0"/>
      </rPr>
      <t xml:space="preserve">Phía FE hiển thị「新しいパスワードと一致していません。」
</t>
    </r>
    <r>
      <rPr>
        <rFont val="メイリオ"/>
        <color rgb="FF000000"/>
        <sz val="10.0"/>
      </rPr>
      <t xml:space="preserve">Không gọi API
</t>
    </r>
    <r>
      <rPr>
        <rFont val="メイリオ"/>
        <b/>
        <color rgb="FF000000"/>
        <sz val="10.0"/>
      </rPr>
      <t xml:space="preserve">ステップ3：
</t>
    </r>
    <r>
      <rPr>
        <rFont val="メイリオ"/>
        <color rgb="FF000000"/>
        <sz val="10.0"/>
      </rPr>
      <t xml:space="preserve">Phía FE hiển thị「新しいパスワードと一致していません。」
</t>
    </r>
    <r>
      <rPr>
        <rFont val="メイリオ"/>
        <color rgb="FF000000"/>
        <sz val="10.0"/>
      </rPr>
      <t xml:space="preserve">(Phân biệt hoa thường)
</t>
    </r>
    <r>
      <rPr>
        <rFont val="メイリオ"/>
        <b/>
        <color rgb="FF000000"/>
        <sz val="10.0"/>
      </rPr>
      <t xml:space="preserve">補足：
</t>
    </r>
    <r>
      <rPr>
        <rFont val="メイリオ"/>
        <color rgb="FF000000"/>
        <sz val="10.0"/>
      </rPr>
      <t xml:space="preserve">・Implementation: FE check `form.new_password !== form.confirm_password`
</t>
    </r>
    <r>
      <rPr>
        <rFont val="メイリオ"/>
        <color rgb="FF000000"/>
        <sz val="10.0"/>
      </rPr>
      <t xml:space="preserve">・BE `dto.confirm_password !== dto.new_password` verify lại
</t>
    </r>
    <r>
      <rPr>
        <rFont val="メイリオ"/>
        <color rgb="FF000000"/>
        <sz val="10.0"/>
      </rPr>
      <t>・Tương ứng ACSMS-SCR-012-010</t>
    </r>
  </si>
  <si>
    <t>ACSMS-TC-012-027</t>
  </si>
  <si>
    <t>Token — Kiểm tra format UUID</t>
  </si>
  <si>
    <r>
      <rPr>
        <rFont val="メイリオ"/>
        <b/>
        <color rgb="FF000000"/>
        <sz val="10.0"/>
      </rPr>
      <t xml:space="preserve">ステップ1：
</t>
    </r>
    <r>
      <rPr>
        <rFont val="メイリオ"/>
        <color rgb="FF000000"/>
        <sz val="10.0"/>
      </rPr>
      <t xml:space="preserve">Truy cập URL `/reset-password?token=550e8400-e29b-41d4-a716-446655440000` (UUID format hợp lệ)
</t>
    </r>
    <r>
      <rPr>
        <rFont val="メイリオ"/>
        <b/>
        <color rgb="FF000000"/>
        <sz val="10.0"/>
      </rPr>
      <t xml:space="preserve">ステップ2：
</t>
    </r>
    <r>
      <rPr>
        <rFont val="メイリオ"/>
        <color rgb="FF000000"/>
        <sz val="10.0"/>
      </rPr>
      <t xml:space="preserve">Truy cập URL `/reset-password?token=invalid-token` (35 ký tự, UUID không hợp lệ)
</t>
    </r>
    <r>
      <rPr>
        <rFont val="メイリオ"/>
        <b/>
        <color rgb="FF000000"/>
        <sz val="10.0"/>
      </rPr>
      <t xml:space="preserve">ステップ3：
</t>
    </r>
    <r>
      <rPr>
        <rFont val="メイリオ"/>
        <color rgb="FF000000"/>
        <sz val="10.0"/>
      </rPr>
      <t xml:space="preserve">Truy cập URL `/reset-password?token=` (không có token)
</t>
    </r>
    <r>
      <rPr>
        <rFont val="メイリオ"/>
        <b/>
        <color rgb="FF000000"/>
        <sz val="10.0"/>
      </rPr>
      <t xml:space="preserve">ステップ4：
</t>
    </r>
    <r>
      <rPr>
        <rFont val="メイリオ"/>
        <color rgb="FF000000"/>
        <sz val="10.0"/>
      </rPr>
      <t>Trên DevTools, gửi POST `/api/v1/auth/reset-password/verify` với `token: 'not-a-uuid-format'`</t>
    </r>
  </si>
  <si>
    <r>
      <rPr>
        <rFont val="メイリオ"/>
        <b/>
        <color rgb="FF000000"/>
        <sz val="10.0"/>
      </rPr>
      <t xml:space="preserve">ステップ1：
</t>
    </r>
    <r>
      <rPr>
        <rFont val="メイリオ"/>
        <color rgb="FF000000"/>
        <sz val="10.0"/>
      </rPr>
      <t xml:space="preserve">Gọi API verify token, kết quả phụ thuộc các bước verify sau
</t>
    </r>
    <r>
      <rPr>
        <rFont val="メイリオ"/>
        <b/>
        <color rgb="FF000000"/>
        <sz val="10.0"/>
      </rPr>
      <t xml:space="preserve">ステップ2：
</t>
    </r>
    <r>
      <rPr>
        <rFont val="メイリオ"/>
        <color rgb="FF000000"/>
        <sz val="10.0"/>
      </rPr>
      <t xml:space="preserve">Gọi API verify token, HTTP status code: 400
</t>
    </r>
    <r>
      <rPr>
        <rFont val="メイリオ"/>
        <color rgb="FF000000"/>
        <sz val="10.0"/>
      </rPr>
      <t xml:space="preserve">error_code: BAD_REQUEST hoặc VALIDATION_ERROR
</t>
    </r>
    <r>
      <rPr>
        <rFont val="メイリオ"/>
        <color rgb="FF000000"/>
        <sz val="10.0"/>
      </rPr>
      <t xml:space="preserve">errors[] chứa { field: "token", message: "リセットトークンの形式が不正です。" }
</t>
    </r>
    <r>
      <rPr>
        <rFont val="メイリオ"/>
        <b/>
        <color rgb="FF000000"/>
        <sz val="10.0"/>
      </rPr>
      <t xml:space="preserve">ステップ3：
</t>
    </r>
    <r>
      <rPr>
        <rFont val="メイリオ"/>
        <color rgb="FF000000"/>
        <sz val="10.0"/>
      </rPr>
      <t xml:space="preserve">FE đặt `phase = 'invalid'` ở onMounted (không gọi API)
</t>
    </r>
    <r>
      <rPr>
        <rFont val="メイリオ"/>
        <color rgb="FF000000"/>
        <sz val="10.0"/>
      </rPr>
      <t xml:space="preserve">Hiển thị「無効なリンクです。」trên màn hình
</t>
    </r>
    <r>
      <rPr>
        <rFont val="メイリオ"/>
        <b/>
        <color rgb="FF000000"/>
        <sz val="10.0"/>
      </rPr>
      <t xml:space="preserve">ステップ4：
</t>
    </r>
    <r>
      <rPr>
        <rFont val="メイリオ"/>
        <color rgb="FF000000"/>
        <sz val="10.0"/>
      </rPr>
      <t xml:space="preserve">HTTP status code: 400
</t>
    </r>
    <r>
      <rPr>
        <rFont val="メイリオ"/>
        <color rgb="FF000000"/>
        <sz val="10.0"/>
      </rPr>
      <t xml:space="preserve">errors[] chứa message format token không hợp lệ
</t>
    </r>
    <r>
      <rPr>
        <rFont val="メイリオ"/>
        <b/>
        <color rgb="FF000000"/>
        <sz val="10.0"/>
      </rPr>
      <t xml:space="preserve">補足：
</t>
    </r>
    <r>
      <rPr>
        <rFont val="メイリオ"/>
        <color rgb="FF000000"/>
        <sz val="10.0"/>
      </rPr>
      <t xml:space="preserve">・FE check rỗng bằng `if (typeof queryToken !== 'string' || !queryToken)`
</t>
    </r>
    <r>
      <rPr>
        <rFont val="メイリオ"/>
        <color rgb="FF000000"/>
        <sz val="10.0"/>
      </rPr>
      <t>・BE @IsUUID('all') + @Length(36, 36) enforce format UUID v1-v5</t>
    </r>
  </si>
  <si>
    <t>Logic nghiệp vụ — Yêu cầu đặt lại mật khẩu (Function — Forgot)</t>
  </si>
  <si>
    <t>ACSMS-TC-012-028</t>
  </si>
  <si>
    <t>Account tồn tại (login_id + email khớp) — 200 + gửi mail + lưu token</t>
  </si>
  <si>
    <t>・Account đã đăng ký (login_id = `admin01`, email = `user@example.com`, deleted_at IS NULL)
・Trong 5 phút gần đây không có request đặt lại password</t>
  </si>
  <si>
    <r>
      <rPr>
        <rFont val="メイリオ"/>
        <b/>
        <color rgb="FF000000"/>
        <sz val="10.0"/>
      </rPr>
      <t xml:space="preserve">ステップ1：
</t>
    </r>
    <r>
      <rPr>
        <rFont val="メイリオ"/>
        <color rgb="FF000000"/>
        <sz val="10.0"/>
      </rPr>
      <t xml:space="preserve">Trên `/forgot-password` nhập User ID `admin01`, email `user@example.com` → gửi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 xml:space="preserve">Kiểm tra `t_mfa_otp` trên DB:
</t>
    </r>
    <r>
      <rPr>
        <rFont val="メイリオ"/>
        <color rgb="FF000000"/>
        <sz val="10.0"/>
      </rPr>
      <t xml:space="preserve">```sql
</t>
    </r>
    <r>
      <rPr>
        <rFont val="メイリオ"/>
        <color rgb="FF000000"/>
        <sz val="10.0"/>
      </rPr>
      <t xml:space="preserve">SELECT otp_id, account_id, otp_type, expired_at, used_flg, created_at
</t>
    </r>
    <r>
      <rPr>
        <rFont val="メイリオ"/>
        <color rgb="FF000000"/>
        <sz val="10.0"/>
      </rPr>
      <t xml:space="preserve">FROM t_mfa_otp
</t>
    </r>
    <r>
      <rPr>
        <rFont val="メイリオ"/>
        <color rgb="FF000000"/>
        <sz val="10.0"/>
      </rPr>
      <t xml:space="preserve">WHERE account_id = (SELECT account_id FROM m_account WHERE login_id = 'admin01' AND email = 'user@example.com')
</t>
    </r>
    <r>
      <rPr>
        <rFont val="メイリオ"/>
        <color rgb="FF000000"/>
        <sz val="10.0"/>
      </rPr>
      <t xml:space="preserve">AND otp_type = 2
</t>
    </r>
    <r>
      <rPr>
        <rFont val="メイリオ"/>
        <color rgb="FF000000"/>
        <sz val="10.0"/>
      </rPr>
      <t xml:space="preserve">ORDER BY created_at DESC
</t>
    </r>
    <r>
      <rPr>
        <rFont val="メイリオ"/>
        <color rgb="FF000000"/>
        <sz val="10.0"/>
      </rPr>
      <t xml:space="preserve">LIMIT 1;
</t>
    </r>
    <r>
      <rPr>
        <rFont val="メイリオ"/>
        <color rgb="FF000000"/>
        <sz val="10.0"/>
      </rPr>
      <t xml:space="preserve">```
</t>
    </r>
    <r>
      <rPr>
        <rFont val="メイリオ"/>
        <b/>
        <color rgb="FF000000"/>
        <sz val="10.0"/>
      </rPr>
      <t xml:space="preserve">ステップ4：
</t>
    </r>
    <r>
      <rPr>
        <rFont val="メイリオ"/>
        <color rgb="FF000000"/>
        <sz val="10.0"/>
      </rPr>
      <t xml:space="preserve">Kiểm tra mail nhận được
</t>
    </r>
    <r>
      <rPr>
        <rFont val="メイリオ"/>
        <b/>
        <color rgb="FF000000"/>
        <sz val="10.0"/>
      </rPr>
      <t xml:space="preserve">ステップ5：
</t>
    </r>
    <r>
      <rPr>
        <rFont val="メイリオ"/>
        <color rgb="FF000000"/>
        <sz val="10.0"/>
      </rPr>
      <t xml:space="preserve">Kiểm tra `t_log` trên DB:
</t>
    </r>
    <r>
      <rPr>
        <rFont val="メイリオ"/>
        <color rgb="FF000000"/>
        <sz val="10.0"/>
      </rPr>
      <t xml:space="preserve">```sql
</t>
    </r>
    <r>
      <rPr>
        <rFont val="メイリオ"/>
        <color rgb="FF000000"/>
        <sz val="10.0"/>
      </rPr>
      <t xml:space="preserve">SELECT operation, result_status, target_table, after_value
</t>
    </r>
    <r>
      <rPr>
        <rFont val="メイリオ"/>
        <color rgb="FF000000"/>
        <sz val="10.0"/>
      </rPr>
      <t xml:space="preserve">FROM t_log
</t>
    </r>
    <r>
      <rPr>
        <rFont val="メイリオ"/>
        <color rgb="FF000000"/>
        <sz val="10.0"/>
      </rPr>
      <t xml:space="preserve">WHERE account_id = (SELECT account_id FROM m_account WHERE login_id = 'admin01' AND email = 'user@example.com')
</t>
    </r>
    <r>
      <rPr>
        <rFont val="メイリオ"/>
        <color rgb="FF000000"/>
        <sz val="10.0"/>
      </rPr>
      <t xml:space="preserve">AND operation = 'PASSWORD_RESET_REQUEST'
</t>
    </r>
    <r>
      <rPr>
        <rFont val="メイリオ"/>
        <color rgb="FF000000"/>
        <sz val="10.0"/>
      </rPr>
      <t xml:space="preserve">ORDER BY log_datetime DESC
</t>
    </r>
    <r>
      <rPr>
        <rFont val="メイリオ"/>
        <color rgb="FF000000"/>
        <sz val="10.0"/>
      </rPr>
      <t xml:space="preserve">LIMIT 1;
</t>
    </r>
    <r>
      <rPr>
        <rFont val="メイリオ"/>
        <color rgb="FF000000"/>
        <sz val="10.0"/>
      </rPr>
      <t>```</t>
    </r>
  </si>
  <si>
    <r>
      <rPr>
        <rFont val="メイリオ"/>
        <b/>
        <color rgb="FF000000"/>
        <sz val="10.0"/>
      </rPr>
      <t xml:space="preserve">ステップ1：
</t>
    </r>
    <r>
      <rPr>
        <rFont val="メイリオ"/>
        <color rgb="FF000000"/>
        <sz val="10.0"/>
      </rPr>
      <t xml:space="preserve">HTTP status code: 200
</t>
    </r>
    <r>
      <rPr>
        <rFont val="メイリオ"/>
        <b/>
        <color rgb="FF000000"/>
        <sz val="10.0"/>
      </rPr>
      <t xml:space="preserve">ステップ2：
</t>
    </r>
    <r>
      <rPr>
        <rFont val="メイリオ"/>
        <color rgb="FF000000"/>
        <sz val="10.0"/>
      </rPr>
      <t xml:space="preserve">Response: `{ message: "パスワード再設定用のメールを送信しました。メールを確認してください。" }`
</t>
    </r>
    <r>
      <rPr>
        <rFont val="メイリオ"/>
        <color rgb="FF000000"/>
        <sz val="10.0"/>
      </rPr>
      <t xml:space="preserve">Trên màn hình form ẩn, hiển thị message thành công
</t>
    </r>
    <r>
      <rPr>
        <rFont val="メイリオ"/>
        <b/>
        <color rgb="FF000000"/>
        <sz val="10.0"/>
      </rPr>
      <t xml:space="preserve">ステップ3：
</t>
    </r>
    <r>
      <rPr>
        <rFont val="メイリオ"/>
        <color rgb="FF000000"/>
        <sz val="10.0"/>
      </rPr>
      <t xml:space="preserve">1 row, `otp_type = 2` (PASSWORD_RESET), `expired_at = NOW() + 1 giờ`, `used_flg = false`, `otp_code_hash` là bcrypt hash
</t>
    </r>
    <r>
      <rPr>
        <rFont val="メイリオ"/>
        <b/>
        <color rgb="FF000000"/>
        <sz val="10.0"/>
      </rPr>
      <t xml:space="preserve">ステップ4：
</t>
    </r>
    <r>
      <rPr>
        <rFont val="メイリオ"/>
        <color rgb="FF000000"/>
        <sz val="10.0"/>
      </rPr>
      <t xml:space="preserve">Mail tiêu đề「【クラウド版購読者管理システム】パスワードリセット」, body chứa tên account nhận, link đặt lại `https://{FRONTEND_URL}/reset-password?token={uuid}`, hạn sử dụng (1 giờ), và dòng lưu ý "nếu không phải bạn yêu cầu thì bỏ qua email này"
</t>
    </r>
    <r>
      <rPr>
        <rFont val="メイリオ"/>
        <b/>
        <color rgb="FF000000"/>
        <sz val="10.0"/>
      </rPr>
      <t xml:space="preserve">ステップ5：
</t>
    </r>
    <r>
      <rPr>
        <rFont val="メイリオ"/>
        <color rgb="FF000000"/>
        <sz val="10.0"/>
      </rPr>
      <t xml:space="preserve">1 row, `operation = 'PASSWORD_RESET_REQUEST'`, `result_status = 1`, `target_table = 't_mfa_otp'`, `after_value` JSON chứa `{"event": "reset_token_issued"}`
</t>
    </r>
    <r>
      <rPr>
        <rFont val="メイリオ"/>
        <b/>
        <color rgb="FF000000"/>
        <sz val="10.0"/>
      </rPr>
      <t xml:space="preserve">補足：
</t>
    </r>
    <r>
      <rPr>
        <rFont val="メイリオ"/>
        <color rgb="FF000000"/>
        <sz val="10.0"/>
      </rPr>
      <t xml:space="preserve">・Implementation: tạo UUID token → bcrypt hash → lưu t_mfa_otp → log kiểm toán + gửi mail
</t>
    </r>
    <r>
      <rPr>
        <rFont val="メイリオ"/>
        <color rgb="FF000000"/>
        <sz val="10.0"/>
      </rPr>
      <t xml:space="preserve">・Main DML (lưu OTP) + log kiểm toán trong cùng 1 transaction
</t>
    </r>
    <r>
      <rPr>
        <rFont val="メイリオ"/>
        <color rgb="FF000000"/>
        <sz val="10.0"/>
      </rPr>
      <t xml:space="preserve">・Mail gửi sau commit (thiết kế chống mail còn lại khi rollback)
</t>
    </r>
    <r>
      <rPr>
        <rFont val="メイリオ"/>
        <color rgb="FF000000"/>
        <sz val="10.0"/>
      </rPr>
      <t>・Điều kiện tìm kiếm là login_id AND email (vì email không unique trong m_account — yêu cầu khách hàng 2026-08)</t>
    </r>
  </si>
  <si>
    <t>ACSMS-TC-012-029</t>
  </si>
  <si>
    <t>Email không tồn tại／login_id+email không khớp — 200 (chống liệt kê account)</t>
  </si>
  <si>
    <t>・Email không tồn tại `notexist@example.com`
・Account đã đăng ký (login_id = `admin01`, email = `user@example.com`)</t>
  </si>
  <si>
    <r>
      <rPr>
        <rFont val="メイリオ"/>
        <b/>
        <color rgb="FF000000"/>
        <sz val="10.0"/>
      </rPr>
      <t xml:space="preserve">ステップ1：
</t>
    </r>
    <r>
      <rPr>
        <rFont val="メイリオ"/>
        <color rgb="FF000000"/>
        <sz val="10.0"/>
      </rPr>
      <t xml:space="preserve">Trên `/forgot-password` nhập User ID `notexist`, email `notexist@example.com` (cả hai đều không tồn tại) → gửi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 xml:space="preserve">Kiểm tra `t_mfa_otp` trên DB
</t>
    </r>
    <r>
      <rPr>
        <rFont val="メイリオ"/>
        <b/>
        <color rgb="FF000000"/>
        <sz val="10.0"/>
      </rPr>
      <t xml:space="preserve">ステップ4：
</t>
    </r>
    <r>
      <rPr>
        <rFont val="メイリオ"/>
        <color rgb="FF000000"/>
        <sz val="10.0"/>
      </rPr>
      <t xml:space="preserve">Trên `/forgot-password` nhập User ID `admin01` (tồn tại), email `other@example.com` (không khớp với `admin01`) → gửi
</t>
    </r>
    <r>
      <rPr>
        <rFont val="メイリオ"/>
        <b/>
        <color rgb="FF000000"/>
        <sz val="10.0"/>
      </rPr>
      <t xml:space="preserve">ステップ5：
</t>
    </r>
    <r>
      <rPr>
        <rFont val="メイリオ"/>
        <color rgb="FF000000"/>
        <sz val="10.0"/>
      </rPr>
      <t xml:space="preserve">Kiểm tra response và `t_mfa_otp` của bước 4
</t>
    </r>
    <r>
      <rPr>
        <rFont val="メイリオ"/>
        <b/>
        <color rgb="FF000000"/>
        <sz val="10.0"/>
      </rPr>
      <t xml:space="preserve">ステップ6：
</t>
    </r>
    <r>
      <rPr>
        <rFont val="メイリオ"/>
        <color rgb="FF000000"/>
        <sz val="10.0"/>
      </rPr>
      <t>Kiểm tra thời gian response (verify timing attack)</t>
    </r>
  </si>
  <si>
    <r>
      <rPr>
        <rFont val="メイリオ"/>
        <color rgb="FF000000"/>
        <sz val="10.0"/>
      </rPr>
      <t xml:space="preserve">ステップ1〜3：
</t>
    </r>
    <r>
      <rPr>
        <rFont val="メイリオ"/>
        <color rgb="FF000000"/>
        <sz val="10.0"/>
      </rPr>
      <t xml:space="preserve">HTTP status code: 200 (giống trường hợp khớp)
</t>
    </r>
    <r>
      <rPr>
        <rFont val="メイリオ"/>
        <color rgb="FF000000"/>
        <sz val="10.0"/>
      </rPr>
      <t xml:space="preserve">Response: `{ message: "パスワード再設定用のメールを送信しました。メールを確認してください。" }`
</t>
    </r>
    <r>
      <rPr>
        <rFont val="メイリオ"/>
        <color rgb="FF000000"/>
        <sz val="10.0"/>
      </rPr>
      <t xml:space="preserve">Không có row mới, không INSERT vào `t_mfa_otp`
</t>
    </r>
    <r>
      <rPr>
        <rFont val="メイリオ"/>
        <color rgb="FF000000"/>
        <sz val="10.0"/>
      </rPr>
      <t xml:space="preserve">ステップ4〜5：
</t>
    </r>
    <r>
      <rPr>
        <rFont val="メイリオ"/>
        <color rgb="FF000000"/>
        <sz val="10.0"/>
      </rPr>
      <t xml:space="preserve">HTTP status code: 200 (login_id tồn tại nhưng email không khớp nên vẫn coi là "không xác định". Yêu cầu khách hàng 2026-08 — không lọc chỉ theo email)
</t>
    </r>
    <r>
      <rPr>
        <rFont val="メイリオ"/>
        <color rgb="FF000000"/>
        <sz val="10.0"/>
      </rPr>
      <t xml:space="preserve">Không có row mới, không INSERT vào `t_mfa_otp`
</t>
    </r>
    <r>
      <rPr>
        <rFont val="メイリオ"/>
        <b/>
        <color rgb="FF000000"/>
        <sz val="10.0"/>
      </rPr>
      <t xml:space="preserve">ステップ6：
</t>
    </r>
    <r>
      <rPr>
        <rFont val="メイリオ"/>
        <color rgb="FF000000"/>
        <sz val="10.0"/>
      </rPr>
      <t xml:space="preserve">Thời gian response gần tương đương trường hợp khớp (nhưng có thể hơi ngắn hơn do bcrypt không chạy, thiết kế chấp nhận)
</t>
    </r>
    <r>
      <rPr>
        <rFont val="メイリオ"/>
        <b/>
        <color rgb="FF000000"/>
        <sz val="10.0"/>
      </rPr>
      <t xml:space="preserve">補足：
</t>
    </r>
    <r>
      <rPr>
        <rFont val="メイリオ"/>
        <color rgb="FF000000"/>
        <sz val="10.0"/>
      </rPr>
      <t xml:space="preserve">・Security: chống tấn công liệt kê account. Chỉ cần login_id hoặc email không khớp là coi như "không xác định"
</t>
    </r>
    <r>
      <rPr>
        <rFont val="メイリオ"/>
        <color rgb="FF000000"/>
        <sz val="10.0"/>
      </rPr>
      <t xml:space="preserve">・Implementation: nếu kết quả `accountRepo.findOne({ where: { loginId, email, deletedAt: IsNull() } })` là null, chỉ log và trả successMessage
</t>
    </r>
    <r>
      <rPr>
        <rFont val="メイリオ"/>
        <color rgb="FF000000"/>
        <sz val="10.0"/>
      </rPr>
      <t>・Không gửi mail, không tạo token, không kiểm tra cooldown</t>
    </r>
  </si>
  <si>
    <t>Critical về security — Chức năng cốt lõi chống tấn công liệt kê account.</t>
  </si>
  <si>
    <t>ACSMS-TC-012-030</t>
  </si>
  <si>
    <t>Vô hiệu token cũ (khi yêu cầu lại)</t>
  </si>
  <si>
    <t>・Account đã đăng ký
・Đã có request đặt lại lần 1 hơn 10 phút trước (tồn tại row otp_type=2, used_flg=false trong `t_mfa_otp`, created_at trên 10 phút trước)</t>
  </si>
  <si>
    <r>
      <rPr>
        <rFont val="メイリオ"/>
        <b/>
        <color rgb="FF000000"/>
        <sz val="10.0"/>
      </rPr>
      <t xml:space="preserve">ステップ1：
</t>
    </r>
    <r>
      <rPr>
        <rFont val="メイリオ"/>
        <color rgb="FF000000"/>
        <sz val="10.0"/>
      </rPr>
      <t xml:space="preserve">Gửi request đặt lại password lần 2 (đã qua cooldown)
</t>
    </r>
    <r>
      <rPr>
        <rFont val="メイリオ"/>
        <b/>
        <color rgb="FF000000"/>
        <sz val="10.0"/>
      </rPr>
      <t xml:space="preserve">ステップ2：
</t>
    </r>
    <r>
      <rPr>
        <rFont val="メイリオ"/>
        <color rgb="FF000000"/>
        <sz val="10.0"/>
      </rPr>
      <t xml:space="preserve">Kiểm tra `t_mfa_otp` trên DB:
</t>
    </r>
    <r>
      <rPr>
        <rFont val="メイリオ"/>
        <color rgb="FF000000"/>
        <sz val="10.0"/>
      </rPr>
      <t xml:space="preserve">```sql
</t>
    </r>
    <r>
      <rPr>
        <rFont val="メイリオ"/>
        <color rgb="FF000000"/>
        <sz val="10.0"/>
      </rPr>
      <t xml:space="preserve">SELECT otp_id, used_flg, created_at
</t>
    </r>
    <r>
      <rPr>
        <rFont val="メイリオ"/>
        <color rgb="FF000000"/>
        <sz val="10.0"/>
      </rPr>
      <t xml:space="preserve">FROM t_mfa_otp
</t>
    </r>
    <r>
      <rPr>
        <rFont val="メイリオ"/>
        <color rgb="FF000000"/>
        <sz val="10.0"/>
      </rPr>
      <t xml:space="preserve">WHERE account_id = :account_id
</t>
    </r>
    <r>
      <rPr>
        <rFont val="メイリオ"/>
        <color rgb="FF000000"/>
        <sz val="10.0"/>
      </rPr>
      <t xml:space="preserve">AND otp_type = 2
</t>
    </r>
    <r>
      <rPr>
        <rFont val="メイリオ"/>
        <color rgb="FF000000"/>
        <sz val="10.0"/>
      </rPr>
      <t xml:space="preserve">ORDER BY created_at ASC;
</t>
    </r>
    <r>
      <rPr>
        <rFont val="メイリオ"/>
        <color rgb="FF000000"/>
        <sz val="10.0"/>
      </rPr>
      <t xml:space="preserve">```
</t>
    </r>
    <r>
      <rPr>
        <rFont val="メイリオ"/>
        <b/>
        <color rgb="FF000000"/>
        <sz val="10.0"/>
      </rPr>
      <t xml:space="preserve">ステップ3：
</t>
    </r>
    <r>
      <rPr>
        <rFont val="メイリオ"/>
        <color rgb="FF000000"/>
        <sz val="10.0"/>
      </rPr>
      <t>Thử truy cập với link đặt lại của token cũ</t>
    </r>
  </si>
  <si>
    <r>
      <rPr>
        <rFont val="メイリオ"/>
        <b/>
        <color rgb="FF000000"/>
        <sz val="10.0"/>
      </rPr>
      <t xml:space="preserve">ステップ1：
</t>
    </r>
    <r>
      <rPr>
        <rFont val="メイリオ"/>
        <color rgb="FF000000"/>
        <sz val="10.0"/>
      </rPr>
      <t xml:space="preserve">HTTP status code: 200, phát hành token mới thành công
</t>
    </r>
    <r>
      <rPr>
        <rFont val="メイリオ"/>
        <b/>
        <color rgb="FF000000"/>
        <sz val="10.0"/>
      </rPr>
      <t xml:space="preserve">ステップ2：
</t>
    </r>
    <r>
      <rPr>
        <rFont val="メイリオ"/>
        <color rgb="FF000000"/>
        <sz val="10.0"/>
      </rPr>
      <t xml:space="preserve">Row cũ: `used_flg = true` (đã vô hiệu)
</t>
    </r>
    <r>
      <rPr>
        <rFont val="メイリオ"/>
        <color rgb="FF000000"/>
        <sz val="10.0"/>
      </rPr>
      <t xml:space="preserve">Row mới: `used_flg = false`, `otp_code_hash` khác, `expired_at = NOW() + 1 giờ`
</t>
    </r>
    <r>
      <rPr>
        <rFont val="メイリオ"/>
        <b/>
        <color rgb="FF000000"/>
        <sz val="10.0"/>
      </rPr>
      <t xml:space="preserve">ステップ3：
</t>
    </r>
    <r>
      <rPr>
        <rFont val="メイリオ"/>
        <color rgb="FF000000"/>
        <sz val="10.0"/>
      </rPr>
      <t xml:space="preserve">Truy cập với token cũ → HTTP status code: 400
</t>
    </r>
    <r>
      <rPr>
        <rFont val="メイリオ"/>
        <color rgb="FF000000"/>
        <sz val="10.0"/>
      </rPr>
      <t xml:space="preserve">error_code: INVALID_RESET_TOKEN
</t>
    </r>
    <r>
      <rPr>
        <rFont val="メイリオ"/>
        <color rgb="FF000000"/>
        <sz val="10.0"/>
      </rPr>
      <t xml:space="preserve">message:「無効なリンクです。」
</t>
    </r>
    <r>
      <rPr>
        <rFont val="メイリオ"/>
        <b/>
        <color rgb="FF000000"/>
        <sz val="10.0"/>
      </rPr>
      <t xml:space="preserve">補足：
</t>
    </r>
    <r>
      <rPr>
        <rFont val="メイリオ"/>
        <color rgb="FF000000"/>
        <sz val="10.0"/>
      </rPr>
      <t xml:space="preserve">・Implementation: trong `AuthService.forgotPassword`, `manager.update(MfaOtp, { accountId, otpType: 2, usedFlg: false }, { usedFlg: true })`
</t>
    </r>
    <r>
      <rPr>
        <rFont val="メイリオ"/>
        <color rgb="FF000000"/>
        <sz val="10.0"/>
      </rPr>
      <t>・Đảm bảo 1 account chỉ có 1 token hợp lệ (yêu cầu lại sẽ vô hiệu link cũ ngay lập tức)</t>
    </r>
  </si>
  <si>
    <t>ACSMS-TC-012-031</t>
  </si>
  <si>
    <t>Cooldown 5 phút — Account tồn tại</t>
  </si>
  <si>
    <t>・Account đã đăng ký
・Đã gửi request đặt lại password trong 1 phút gần đây</t>
  </si>
  <si>
    <r>
      <rPr>
        <rFont val="メイリオ"/>
        <b/>
        <color rgb="FF000000"/>
        <sz val="10.0"/>
      </rPr>
      <t xml:space="preserve">ステップ1：
</t>
    </r>
    <r>
      <rPr>
        <rFont val="メイリオ"/>
        <color rgb="FF000000"/>
        <sz val="10.0"/>
      </rPr>
      <t xml:space="preserve">Sau 1 phút, gửi request lần 2 với cùng cặp User ID + email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 xml:space="preserve">Kiểm tra `t_mfa_otp` trên DB
</t>
    </r>
    <r>
      <rPr>
        <rFont val="メイリオ"/>
        <b/>
        <color rgb="FF000000"/>
        <sz val="10.0"/>
      </rPr>
      <t xml:space="preserve">ステップ4：
</t>
    </r>
    <r>
      <rPr>
        <rFont val="メイリオ"/>
        <color rgb="FF000000"/>
        <sz val="10.0"/>
      </rPr>
      <t>Sau 6 phút, gửi lại request (đã qua cooldown)</t>
    </r>
  </si>
  <si>
    <r>
      <rPr>
        <rFont val="メイリオ"/>
        <b/>
        <color rgb="FF000000"/>
        <sz val="10.0"/>
      </rPr>
      <t xml:space="preserve">ステップ1：
</t>
    </r>
    <r>
      <rPr>
        <rFont val="メイリオ"/>
        <color rgb="FF000000"/>
        <sz val="10.0"/>
      </rPr>
      <t xml:space="preserve">HTTP status code: 429
</t>
    </r>
    <r>
      <rPr>
        <rFont val="メイリオ"/>
        <color rgb="FF000000"/>
        <sz val="10.0"/>
      </rPr>
      <t xml:space="preserve">error_code: PASSWORD_RESET_RATE_LIMIT
</t>
    </r>
    <r>
      <rPr>
        <rFont val="メイリオ"/>
        <color rgb="FF000000"/>
        <sz val="10.0"/>
      </rPr>
      <t xml:space="preserve">message:「再送信は5分後に可能です。時間をおいてから再度お試しください。」
</t>
    </r>
    <r>
      <rPr>
        <rFont val="メイリオ"/>
        <b/>
        <color rgb="FF000000"/>
        <sz val="10.0"/>
      </rPr>
      <t xml:space="preserve">ステップ2：
</t>
    </r>
    <r>
      <rPr>
        <rFont val="メイリオ"/>
        <color rgb="FF000000"/>
        <sz val="10.0"/>
      </rPr>
      <t xml:space="preserve">Hiển thị error trên màn hình (qua axios interceptor)
</t>
    </r>
    <r>
      <rPr>
        <rFont val="メイリオ"/>
        <b/>
        <color rgb="FF000000"/>
        <sz val="10.0"/>
      </rPr>
      <t xml:space="preserve">ステップ3：
</t>
    </r>
    <r>
      <rPr>
        <rFont val="メイリオ"/>
        <color rgb="FF000000"/>
        <sz val="10.0"/>
      </rPr>
      <t xml:space="preserve">Không có row mới (chỉ row cũ), check 5 phút theo created_at
</t>
    </r>
    <r>
      <rPr>
        <rFont val="メイリオ"/>
        <b/>
        <color rgb="FF000000"/>
        <sz val="10.0"/>
      </rPr>
      <t xml:space="preserve">ステップ4：
</t>
    </r>
    <r>
      <rPr>
        <rFont val="メイリオ"/>
        <color rgb="FF000000"/>
        <sz val="10.0"/>
      </rPr>
      <t xml:space="preserve">HTTP status code: 200, phát hành token mới thành công, vô hiệu token cũ
</t>
    </r>
    <r>
      <rPr>
        <rFont val="メイリオ"/>
        <b/>
        <color rgb="FF000000"/>
        <sz val="10.0"/>
      </rPr>
      <t xml:space="preserve">補足：
</t>
    </r>
    <r>
      <rPr>
        <rFont val="メイリオ"/>
        <color rgb="FF000000"/>
        <sz val="10.0"/>
      </rPr>
      <t xml:space="preserve">・Implementation: `PASSWORD_RESET_COOLDOWN_MINUTES = 5`
</t>
    </r>
    <r>
      <rPr>
        <rFont val="メイリオ"/>
        <color rgb="FF000000"/>
        <sz val="10.0"/>
      </rPr>
      <t xml:space="preserve">・Đếm theo `t_mfa_otp.created_at` (bao gồm cả row đã vô hiệu)
</t>
    </r>
    <r>
      <rPr>
        <rFont val="メイリオ"/>
        <color rgb="FF000000"/>
        <sz val="10.0"/>
      </rPr>
      <t xml:space="preserve">・Thiết kế「cooldown không reset sau khi vô hiệu」
</t>
    </r>
    <r>
      <rPr>
        <rFont val="メイリオ"/>
        <color rgb="FF000000"/>
        <sz val="10.0"/>
      </rPr>
      <t>・Khác với controller throttle (@Throttle 3 req/hour) (cái đó theo account)</t>
    </r>
  </si>
  <si>
    <t>ACSMS-TC-012-032</t>
  </si>
  <si>
    <t>Hủy bằng link quay lại</t>
  </si>
  <si>
    <t>・Đã nhập `user@example.com` ở màn hình đặt lại</t>
  </si>
  <si>
    <r>
      <rPr>
        <rFont val="メイリオ"/>
        <b/>
        <color rgb="FF000000"/>
        <sz val="10.0"/>
      </rPr>
      <t xml:space="preserve">ステップ1：
</t>
    </r>
    <r>
      <rPr>
        <rFont val="メイリオ"/>
        <color rgb="FF000000"/>
        <sz val="10.0"/>
      </rPr>
      <t xml:space="preserve">Click link「ログイン画面に戻る」
</t>
    </r>
    <r>
      <rPr>
        <rFont val="メイリオ"/>
        <b/>
        <color rgb="FF000000"/>
        <sz val="10.0"/>
      </rPr>
      <t xml:space="preserve">ステップ2：
</t>
    </r>
    <r>
      <rPr>
        <rFont val="メイリオ"/>
        <color rgb="FF000000"/>
        <sz val="10.0"/>
      </rPr>
      <t xml:space="preserve">Quay lại màn hình đặt lại bằng nút back của browser
</t>
    </r>
    <r>
      <rPr>
        <rFont val="メイリオ"/>
        <b/>
        <color rgb="FF000000"/>
        <sz val="10.0"/>
      </rPr>
      <t xml:space="preserve">ステップ3：
</t>
    </r>
    <r>
      <rPr>
        <rFont val="メイリオ"/>
        <color rgb="FF000000"/>
        <sz val="10.0"/>
      </rPr>
      <t>Kiểm tra `t_mfa_otp` trên DB</t>
    </r>
  </si>
  <si>
    <r>
      <rPr>
        <rFont val="メイリオ"/>
        <b/>
        <color rgb="FF000000"/>
        <sz val="10.0"/>
      </rPr>
      <t xml:space="preserve">ステップ1：
</t>
    </r>
    <r>
      <rPr>
        <rFont val="メイリオ"/>
        <color rgb="FF000000"/>
        <sz val="10.0"/>
      </rPr>
      <t xml:space="preserve">Chuyển sang `/login`, email đã nhập bị clear
</t>
    </r>
    <r>
      <rPr>
        <rFont val="メイリオ"/>
        <b/>
        <color rgb="FF000000"/>
        <sz val="10.0"/>
      </rPr>
      <t xml:space="preserve">ステップ2：
</t>
    </r>
    <r>
      <rPr>
        <rFont val="メイリオ"/>
        <color rgb="FF000000"/>
        <sz val="10.0"/>
      </rPr>
      <t xml:space="preserve">Ô input rỗng (form.email = '')
</t>
    </r>
    <r>
      <rPr>
        <rFont val="メイリオ"/>
        <b/>
        <color rgb="FF000000"/>
        <sz val="10.0"/>
      </rPr>
      <t xml:space="preserve">ステップ3：
</t>
    </r>
    <r>
      <rPr>
        <rFont val="メイリオ"/>
        <color rgb="FF000000"/>
        <sz val="10.0"/>
      </rPr>
      <t xml:space="preserve">Không phát hành token mới (vì chưa gửi API)
</t>
    </r>
    <r>
      <rPr>
        <rFont val="メイリオ"/>
        <b/>
        <color rgb="FF000000"/>
        <sz val="10.0"/>
      </rPr>
      <t xml:space="preserve">補足：
</t>
    </r>
    <r>
      <rPr>
        <rFont val="メイリオ"/>
        <color rgb="FF000000"/>
        <sz val="10.0"/>
      </rPr>
      <t xml:space="preserve">・Implementation: trong hàm goLogin `form.email = ''` rồi router.push
</t>
    </r>
    <r>
      <rPr>
        <rFont val="メイリオ"/>
        <color rgb="FF000000"/>
        <sz val="10.0"/>
      </rPr>
      <t>・Hủy không thay đổi DB</t>
    </r>
  </si>
  <si>
    <t>ACSMS-TC-012-033</t>
  </si>
  <si>
    <t>Controller throttle (3 lần/giờ)</t>
  </si>
  <si>
    <t>・Script test gửi 4 request POST `/api/v1/auth/forgot-password` trong 1 giờ</t>
  </si>
  <si>
    <r>
      <rPr>
        <rFont val="メイリオ"/>
        <b/>
        <color rgb="FF000000"/>
        <sz val="10.0"/>
      </rPr>
      <t xml:space="preserve">ステップ1：
</t>
    </r>
    <r>
      <rPr>
        <rFont val="メイリオ"/>
        <color rgb="FF000000"/>
        <sz val="10.0"/>
      </rPr>
      <t xml:space="preserve">Script gửi request 1〜3 (cùng IP)
</t>
    </r>
    <r>
      <rPr>
        <rFont val="メイリオ"/>
        <b/>
        <color rgb="FF000000"/>
        <sz val="10.0"/>
      </rPr>
      <t xml:space="preserve">ステップ2：
</t>
    </r>
    <r>
      <rPr>
        <rFont val="メイリオ"/>
        <color rgb="FF000000"/>
        <sz val="10.0"/>
      </rPr>
      <t>Gửi request thứ 4</t>
    </r>
  </si>
  <si>
    <r>
      <rPr>
        <rFont val="メイリオ"/>
        <b/>
        <color rgb="FF000000"/>
        <sz val="10.0"/>
      </rPr>
      <t xml:space="preserve">ステップ1：
</t>
    </r>
    <r>
      <rPr>
        <rFont val="メイリオ"/>
        <color rgb="FF000000"/>
        <sz val="10.0"/>
      </rPr>
      <t xml:space="preserve">Mỗi request 200 phản hồi bình thường
</t>
    </r>
    <r>
      <rPr>
        <rFont val="メイリオ"/>
        <b/>
        <color rgb="FF000000"/>
        <sz val="10.0"/>
      </rPr>
      <t xml:space="preserve">ステップ2：
</t>
    </r>
    <r>
      <rPr>
        <rFont val="メイリオ"/>
        <color rgb="FF000000"/>
        <sz val="10.0"/>
      </rPr>
      <t xml:space="preserve">HTTP status code: 429
</t>
    </r>
    <r>
      <rPr>
        <rFont val="メイリオ"/>
        <color rgb="FF000000"/>
        <sz val="10.0"/>
      </rPr>
      <t xml:space="preserve">error_code: TOO_MANY_REQUESTS
</t>
    </r>
    <r>
      <rPr>
        <rFont val="メイリオ"/>
        <color rgb="FF000000"/>
        <sz val="10.0"/>
      </rPr>
      <t xml:space="preserve">message:「リクエスト回数が上限を超えました。しばらくしてから再度お試しください。」
</t>
    </r>
    <r>
      <rPr>
        <rFont val="メイリオ"/>
        <b/>
        <color rgb="FF000000"/>
        <sz val="10.0"/>
      </rPr>
      <t xml:space="preserve">補足：
</t>
    </r>
    <r>
      <rPr>
        <rFont val="メイリオ"/>
        <color rgb="FF000000"/>
        <sz val="10.0"/>
      </rPr>
      <t xml:space="preserve">・Implementation: `@Throttle({ default: { ttl: 60 * 60 * 1000, limit: 3 } })` on forgot-password endpoint
</t>
    </r>
    <r>
      <rPr>
        <rFont val="メイリオ"/>
        <color rgb="FF000000"/>
        <sz val="10.0"/>
      </rPr>
      <t xml:space="preserve">・Throttle theo IP (chống gửi lượng lớn từ cùng IP)
</t>
    </r>
    <r>
      <rPr>
        <rFont val="メイリオ"/>
        <color rgb="FF000000"/>
        <sz val="10.0"/>
      </rPr>
      <t>・Khác với cooldown 5 phút (theo account)</t>
    </r>
  </si>
  <si>
    <t>Logic nghiệp vụ — Cập nhật mật khẩu (Function — Reset)</t>
  </si>
  <si>
    <t>ACSMS-TC-012-034</t>
  </si>
  <si>
    <t>Verify token thành công → hiển thị form</t>
  </si>
  <si>
    <t>・Đang giữ reset_token hợp lệ (`t_mfa_otp.otp_type=2`, `used_flg=false`, `expired_at &gt; NOW()`)</t>
  </si>
  <si>
    <r>
      <rPr>
        <rFont val="メイリオ"/>
        <b/>
        <color rgb="FF000000"/>
        <sz val="10.0"/>
      </rPr>
      <t xml:space="preserve">ステップ1：
</t>
    </r>
    <r>
      <rPr>
        <rFont val="メイリオ"/>
        <color rgb="FF000000"/>
        <sz val="10.0"/>
      </rPr>
      <t xml:space="preserve">Mở `/reset-password?token=valid_uuid`
</t>
    </r>
    <r>
      <rPr>
        <rFont val="メイリオ"/>
        <b/>
        <color rgb="FF000000"/>
        <sz val="10.0"/>
      </rPr>
      <t xml:space="preserve">ステップ2：
</t>
    </r>
    <r>
      <rPr>
        <rFont val="メイリオ"/>
        <color rgb="FF000000"/>
        <sz val="10.0"/>
      </rPr>
      <t>Kiểm tra response và UI state</t>
    </r>
  </si>
  <si>
    <r>
      <rPr>
        <rFont val="メイリオ"/>
        <b/>
        <color rgb="FF000000"/>
        <sz val="10.0"/>
      </rPr>
      <t xml:space="preserve">ステップ1：
</t>
    </r>
    <r>
      <rPr>
        <rFont val="メイリオ"/>
        <color rgb="FF000000"/>
        <sz val="10.0"/>
      </rPr>
      <t xml:space="preserve">FE gọi POST `/api/v1/auth/reset-password/verify` ở onMounted
</t>
    </r>
    <r>
      <rPr>
        <rFont val="メイリオ"/>
        <color rgb="FF000000"/>
        <sz val="10.0"/>
      </rPr>
      <t xml:space="preserve">phase = 'verifying' → 'valid'
</t>
    </r>
    <r>
      <rPr>
        <rFont val="メイリオ"/>
        <b/>
        <color rgb="FF000000"/>
        <sz val="10.0"/>
      </rPr>
      <t xml:space="preserve">ステップ2：
</t>
    </r>
    <r>
      <rPr>
        <rFont val="メイリオ"/>
        <color rgb="FF000000"/>
        <sz val="10.0"/>
      </rPr>
      <t xml:space="preserve">HTTP status code: 200
</t>
    </r>
    <r>
      <rPr>
        <rFont val="メイリオ"/>
        <color rgb="FF000000"/>
        <sz val="10.0"/>
      </rPr>
      <t xml:space="preserve">Response: `{ data: { valid: true } }`
</t>
    </r>
    <r>
      <rPr>
        <rFont val="メイリオ"/>
        <color rgb="FF000000"/>
        <sz val="10.0"/>
      </rPr>
      <t xml:space="preserve">Form thay đổi password hiển thị
</t>
    </r>
    <r>
      <rPr>
        <rFont val="メイリオ"/>
        <b/>
        <color rgb="FF000000"/>
        <sz val="10.0"/>
      </rPr>
      <t xml:space="preserve">補足：
</t>
    </r>
    <r>
      <rPr>
        <rFont val="メイリオ"/>
        <color rgb="FF000000"/>
        <sz val="10.0"/>
      </rPr>
      <t xml:space="preserve">・Implementation: BE `findResetTokenOtp` iterate bcrypt để tìm row otp tương ứng
</t>
    </r>
    <r>
      <rPr>
        <rFont val="メイリオ"/>
        <color rgb="FF000000"/>
        <sz val="10.0"/>
      </rPr>
      <t>・Verify token không consume (used_flg không cập nhật, `AuthService.verifyResetToken` là read-only)</t>
    </r>
  </si>
  <si>
    <t>ACSMS-TC-012-035</t>
  </si>
  <si>
    <t>Token không hợp lệ → INVALID_RESET_TOKEN</t>
  </si>
  <si>
    <t>・Token định dạng UUID nhưng không tồn tại</t>
  </si>
  <si>
    <r>
      <rPr>
        <rFont val="メイリオ"/>
        <b/>
        <color rgb="FF000000"/>
        <sz val="10.0"/>
      </rPr>
      <t xml:space="preserve">ステップ1：
</t>
    </r>
    <r>
      <rPr>
        <rFont val="メイリオ"/>
        <color rgb="FF000000"/>
        <sz val="10.0"/>
      </rPr>
      <t xml:space="preserve">Mở `/reset-password?token=00000000-0000-0000-0000-000000000000`
</t>
    </r>
    <r>
      <rPr>
        <rFont val="メイリオ"/>
        <b/>
        <color rgb="FF000000"/>
        <sz val="10.0"/>
      </rPr>
      <t xml:space="preserve">ステップ2：
</t>
    </r>
    <r>
      <rPr>
        <rFont val="メイリオ"/>
        <color rgb="FF000000"/>
        <sz val="10.0"/>
      </rPr>
      <t>Kiểm tra response và UI state</t>
    </r>
  </si>
  <si>
    <r>
      <rPr>
        <rFont val="メイリオ"/>
        <b/>
        <color rgb="FF000000"/>
        <sz val="10.0"/>
      </rPr>
      <t xml:space="preserve">ステップ1：
</t>
    </r>
    <r>
      <rPr>
        <rFont val="メイリオ"/>
        <color rgb="FF000000"/>
        <sz val="10.0"/>
      </rPr>
      <t xml:space="preserve">FE gọi API verify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error_code: INVALID_RESET_TOKEN
</t>
    </r>
    <r>
      <rPr>
        <rFont val="メイリオ"/>
        <color rgb="FF000000"/>
        <sz val="10.0"/>
      </rPr>
      <t xml:space="preserve">message:「無効なリンクです。」
</t>
    </r>
    <r>
      <rPr>
        <rFont val="メイリオ"/>
        <color rgb="FF000000"/>
        <sz val="10.0"/>
      </rPr>
      <t xml:space="preserve">phase = 'invalid', hiển thị error message màu đỏ trên màn hình
</t>
    </r>
    <r>
      <rPr>
        <rFont val="メイリオ"/>
        <color rgb="FF000000"/>
        <sz val="10.0"/>
      </rPr>
      <t xml:space="preserve">Form ẩn, chỉ hiển thị link quay lại
</t>
    </r>
    <r>
      <rPr>
        <rFont val="メイリオ"/>
        <b/>
        <color rgb="FF000000"/>
        <sz val="10.0"/>
      </rPr>
      <t xml:space="preserve">補足：
</t>
    </r>
    <r>
      <rPr>
        <rFont val="メイリオ"/>
        <color rgb="FF000000"/>
        <sz val="10.0"/>
      </rPr>
      <t xml:space="preserve">・Tương ứng ACSMS-SCR-012-008
</t>
    </r>
    <r>
      <rPr>
        <rFont val="メイリオ"/>
        <color rgb="FF000000"/>
        <sz val="10.0"/>
      </rPr>
      <t>・Implementation: nếu kết quả `findResetTokenOtp` là null → InvalidResetTokenException</t>
    </r>
  </si>
  <si>
    <t>ACSMS-TC-012-036</t>
  </si>
  <si>
    <t>Token hết hạn → EXPIRED_RESET_TOKEN</t>
  </si>
  <si>
    <t>・Token đã phát hành hơn 1 giờ trước (`expired_at &lt; NOW()`)</t>
  </si>
  <si>
    <r>
      <rPr>
        <rFont val="メイリオ"/>
        <b/>
        <color rgb="FF000000"/>
        <sz val="10.0"/>
      </rPr>
      <t xml:space="preserve">ステップ1：
</t>
    </r>
    <r>
      <rPr>
        <rFont val="メイリオ"/>
        <color rgb="FF000000"/>
        <sz val="10.0"/>
      </rPr>
      <t xml:space="preserve">Mở `/reset-password?token=expired_uuid`
</t>
    </r>
    <r>
      <rPr>
        <rFont val="メイリオ"/>
        <b/>
        <color rgb="FF000000"/>
        <sz val="10.0"/>
      </rPr>
      <t xml:space="preserve">ステップ2：
</t>
    </r>
    <r>
      <rPr>
        <rFont val="メイリオ"/>
        <color rgb="FF000000"/>
        <sz val="10.0"/>
      </rPr>
      <t>Kiểm tra response và UI state</t>
    </r>
  </si>
  <si>
    <r>
      <rPr>
        <rFont val="メイリオ"/>
        <b/>
        <color rgb="FF000000"/>
        <sz val="10.0"/>
      </rPr>
      <t xml:space="preserve">ステップ1：
</t>
    </r>
    <r>
      <rPr>
        <rFont val="メイリオ"/>
        <color rgb="FF000000"/>
        <sz val="10.0"/>
      </rPr>
      <t xml:space="preserve">FE gọi API verify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error_code: EXPIRED_RESET_TOKEN
</t>
    </r>
    <r>
      <rPr>
        <rFont val="メイリオ"/>
        <color rgb="FF000000"/>
        <sz val="10.0"/>
      </rPr>
      <t xml:space="preserve">message:「リンクの有効期限が切れています。再度パスワード再設定をお試しください。」
</t>
    </r>
    <r>
      <rPr>
        <rFont val="メイリオ"/>
        <color rgb="FF000000"/>
        <sz val="10.0"/>
      </rPr>
      <t xml:space="preserve">phase = 'expired', hiển thị error message màu đỏ trên màn hình
</t>
    </r>
    <r>
      <rPr>
        <rFont val="メイリオ"/>
        <b/>
        <color rgb="FF000000"/>
        <sz val="10.0"/>
      </rPr>
      <t xml:space="preserve">補足：
</t>
    </r>
    <r>
      <rPr>
        <rFont val="メイリオ"/>
        <color rgb="FF000000"/>
        <sz val="10.0"/>
      </rPr>
      <t xml:space="preserve">・Tương ứng ACSMS-SCR-012-007
</t>
    </r>
    <r>
      <rPr>
        <rFont val="メイリオ"/>
        <color rgb="FF000000"/>
        <sz val="10.0"/>
      </rPr>
      <t>・Implementation: `matched.expiredAt.getTime() &lt; Date.now()` → ExpiredResetTokenException</t>
    </r>
  </si>
  <si>
    <t>ACSMS-TC-012-037</t>
  </si>
  <si>
    <t>Token đã sử dụng → INVALID_RESET_TOKEN (chống tái sử dụng)</t>
  </si>
  <si>
    <t>・Token đã được sử dụng cho việc cập nhật password 1 lần (`t_mfa_otp.used_flg = true`)</t>
  </si>
  <si>
    <r>
      <rPr>
        <rFont val="メイリオ"/>
        <b/>
        <color rgb="FF000000"/>
        <sz val="10.0"/>
      </rPr>
      <t xml:space="preserve">ステップ1：
</t>
    </r>
    <r>
      <rPr>
        <rFont val="メイリオ"/>
        <color rgb="FF000000"/>
        <sz val="10.0"/>
      </rPr>
      <t xml:space="preserve">Mở `/reset-password?token=used_uuid` với token đã sử dụng
</t>
    </r>
    <r>
      <rPr>
        <rFont val="メイリオ"/>
        <b/>
        <color rgb="FF000000"/>
        <sz val="10.0"/>
      </rPr>
      <t xml:space="preserve">ステップ2：
</t>
    </r>
    <r>
      <rPr>
        <rFont val="メイリオ"/>
        <color rgb="FF000000"/>
        <sz val="10.0"/>
      </rPr>
      <t>Kiểm tra response và UI state</t>
    </r>
  </si>
  <si>
    <r>
      <rPr>
        <rFont val="メイリオ"/>
        <b/>
        <color rgb="FF000000"/>
        <sz val="10.0"/>
      </rPr>
      <t xml:space="preserve">ステップ1：
</t>
    </r>
    <r>
      <rPr>
        <rFont val="メイリオ"/>
        <color rgb="FF000000"/>
        <sz val="10.0"/>
      </rPr>
      <t xml:space="preserve">FE gọi API verify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error_code: INVALID_RESET_TOKEN
</t>
    </r>
    <r>
      <rPr>
        <rFont val="メイリオ"/>
        <color rgb="FF000000"/>
        <sz val="10.0"/>
      </rPr>
      <t xml:space="preserve">message:「無効なリンクです。」
</t>
    </r>
    <r>
      <rPr>
        <rFont val="メイリオ"/>
        <color rgb="FF000000"/>
        <sz val="10.0"/>
      </rPr>
      <t xml:space="preserve">phase = 'invalid'
</t>
    </r>
    <r>
      <rPr>
        <rFont val="メイリオ"/>
        <b/>
        <color rgb="FF000000"/>
        <sz val="10.0"/>
      </rPr>
      <t xml:space="preserve">補足：
</t>
    </r>
    <r>
      <rPr>
        <rFont val="メイリオ"/>
        <color rgb="FF000000"/>
        <sz val="10.0"/>
      </rPr>
      <t xml:space="preserve">・Implementation: `if (matched.usedFlg) throw new InvalidResetTokenException()`
</t>
    </r>
    <r>
      <rPr>
        <rFont val="メイリオ"/>
        <color rgb="FF000000"/>
        <sz val="10.0"/>
      </rPr>
      <t>・Đảm bảo token sử dụng đơn lẻ</t>
    </r>
  </si>
  <si>
    <t>ACSMS-TC-012-038</t>
  </si>
  <si>
    <t>Cập nhật password thành công — DB + log kiểm toán + hủy session cũ</t>
  </si>
  <si>
    <t>・Đang giữ reset_token hợp lệ
・Account đối tượng có ≥ 2 session active (đã đăng nhập trên nhiều browser)</t>
  </si>
  <si>
    <r>
      <rPr>
        <rFont val="メイリオ"/>
        <b/>
        <color rgb="FF000000"/>
        <sz val="10.0"/>
      </rPr>
      <t xml:space="preserve">ステップ1：
</t>
    </r>
    <r>
      <rPr>
        <rFont val="メイリオ"/>
        <color rgb="FF000000"/>
        <sz val="10.0"/>
      </rPr>
      <t xml:space="preserve">Trên màn hình thay đổi nhập password mới `NewPass123!` → cập nhật
</t>
    </r>
    <r>
      <rPr>
        <rFont val="メイリオ"/>
        <b/>
        <color rgb="FF000000"/>
        <sz val="10.0"/>
      </rPr>
      <t xml:space="preserve">ステップ2：
</t>
    </r>
    <r>
      <rPr>
        <rFont val="メイリオ"/>
        <color rgb="FF000000"/>
        <sz val="10.0"/>
      </rPr>
      <t xml:space="preserve">Kiểm tra `m_account` trên DB:
</t>
    </r>
    <r>
      <rPr>
        <rFont val="メイリオ"/>
        <color rgb="FF000000"/>
        <sz val="10.0"/>
      </rPr>
      <t xml:space="preserve">```sql
</t>
    </r>
    <r>
      <rPr>
        <rFont val="メイリオ"/>
        <color rgb="FF000000"/>
        <sz val="10.0"/>
      </rPr>
      <t xml:space="preserve">SELECT password_hash, password_updated_at, updated_at, updated_by
</t>
    </r>
    <r>
      <rPr>
        <rFont val="メイリオ"/>
        <color rgb="FF000000"/>
        <sz val="10.0"/>
      </rPr>
      <t xml:space="preserve">FROM m_account
</t>
    </r>
    <r>
      <rPr>
        <rFont val="メイリオ"/>
        <color rgb="FF000000"/>
        <sz val="10.0"/>
      </rPr>
      <t xml:space="preserve">WHERE account_id = :account_id;
</t>
    </r>
    <r>
      <rPr>
        <rFont val="メイリオ"/>
        <color rgb="FF000000"/>
        <sz val="10.0"/>
      </rPr>
      <t xml:space="preserve">```
</t>
    </r>
    <r>
      <rPr>
        <rFont val="メイリオ"/>
        <b/>
        <color rgb="FF000000"/>
        <sz val="10.0"/>
      </rPr>
      <t xml:space="preserve">ステップ3：
</t>
    </r>
    <r>
      <rPr>
        <rFont val="メイリオ"/>
        <color rgb="FF000000"/>
        <sz val="10.0"/>
      </rPr>
      <t xml:space="preserve">Kiểm tra `t_mfa_otp` trên DB
</t>
    </r>
    <r>
      <rPr>
        <rFont val="メイリオ"/>
        <b/>
        <color rgb="FF000000"/>
        <sz val="10.0"/>
      </rPr>
      <t xml:space="preserve">ステップ4：
</t>
    </r>
    <r>
      <rPr>
        <rFont val="メイリオ"/>
        <color rgb="FF000000"/>
        <sz val="10.0"/>
      </rPr>
      <t xml:space="preserve">Kiểm tra `t_log` trên DB:
</t>
    </r>
    <r>
      <rPr>
        <rFont val="メイリオ"/>
        <color rgb="FF000000"/>
        <sz val="10.0"/>
      </rPr>
      <t xml:space="preserve">```sql
</t>
    </r>
    <r>
      <rPr>
        <rFont val="メイリオ"/>
        <color rgb="FF000000"/>
        <sz val="10.0"/>
      </rPr>
      <t xml:space="preserve">SELECT operation, result_status, target_table, target_id, after_value
</t>
    </r>
    <r>
      <rPr>
        <rFont val="メイリオ"/>
        <color rgb="FF000000"/>
        <sz val="10.0"/>
      </rPr>
      <t xml:space="preserve">FROM t_log
</t>
    </r>
    <r>
      <rPr>
        <rFont val="メイリオ"/>
        <color rgb="FF000000"/>
        <sz val="10.0"/>
      </rPr>
      <t xml:space="preserve">WHERE account_id = :account_id
</t>
    </r>
    <r>
      <rPr>
        <rFont val="メイリオ"/>
        <color rgb="FF000000"/>
        <sz val="10.0"/>
      </rPr>
      <t xml:space="preserve">AND operation = 'PASSWORD_RESET'
</t>
    </r>
    <r>
      <rPr>
        <rFont val="メイリオ"/>
        <color rgb="FF000000"/>
        <sz val="10.0"/>
      </rPr>
      <t xml:space="preserve">ORDER BY log_datetime DESC
</t>
    </r>
    <r>
      <rPr>
        <rFont val="メイリオ"/>
        <color rgb="FF000000"/>
        <sz val="10.0"/>
      </rPr>
      <t xml:space="preserve">LIMIT 1;
</t>
    </r>
    <r>
      <rPr>
        <rFont val="メイリオ"/>
        <color rgb="FF000000"/>
        <sz val="10.0"/>
      </rPr>
      <t xml:space="preserve">```
</t>
    </r>
    <r>
      <rPr>
        <rFont val="メイリオ"/>
        <b/>
        <color rgb="FF000000"/>
        <sz val="10.0"/>
      </rPr>
      <t xml:space="preserve">ステップ5：
</t>
    </r>
    <r>
      <rPr>
        <rFont val="メイリオ"/>
        <color rgb="FF000000"/>
        <sz val="10.0"/>
      </rPr>
      <t>Kiểm tra session của account đối tượng trên Redis</t>
    </r>
  </si>
  <si>
    <r>
      <rPr>
        <rFont val="メイリオ"/>
        <b/>
        <color rgb="FF000000"/>
        <sz val="10.0"/>
      </rPr>
      <t xml:space="preserve">ステップ1：
</t>
    </r>
    <r>
      <rPr>
        <rFont val="メイリオ"/>
        <color rgb="FF000000"/>
        <sz val="10.0"/>
      </rPr>
      <t xml:space="preserve">HTTP status code: 200
</t>
    </r>
    <r>
      <rPr>
        <rFont val="メイリオ"/>
        <color rgb="FF000000"/>
        <sz val="10.0"/>
      </rPr>
      <t xml:space="preserve">Response: `{ message: "パスワードを更新しました。ログイン画面に移動します。" }`
</t>
    </r>
    <r>
      <rPr>
        <rFont val="メイリオ"/>
        <color rgb="FF000000"/>
        <sz val="10.0"/>
      </rPr>
      <t xml:space="preserve">Trên màn hình toast hiển thị, sau 3 giây tự động chuyển `/login`
</t>
    </r>
    <r>
      <rPr>
        <rFont val="メイリオ"/>
        <b/>
        <color rgb="FF000000"/>
        <sz val="10.0"/>
      </rPr>
      <t xml:space="preserve">ステップ2：
</t>
    </r>
    <r>
      <rPr>
        <rFont val="メイリオ"/>
        <color rgb="FF000000"/>
        <sz val="10.0"/>
      </rPr>
      <t xml:space="preserve">`password_hash` cập nhật sang bcrypt hash mới
</t>
    </r>
    <r>
      <rPr>
        <rFont val="メイリオ"/>
        <color rgb="FF000000"/>
        <sz val="10.0"/>
      </rPr>
      <t xml:space="preserve">`password_updated_at = thời điểm hiện tại`
</t>
    </r>
    <r>
      <rPr>
        <rFont val="メイリオ"/>
        <color rgb="FF000000"/>
        <sz val="10.0"/>
      </rPr>
      <t xml:space="preserve">`updated_at = thời điểm hiện tại`
</t>
    </r>
    <r>
      <rPr>
        <rFont val="メイリオ"/>
        <color rgb="FF000000"/>
        <sz val="10.0"/>
      </rPr>
      <t xml:space="preserve">`updated_by = giá trị account_id được chuyển thành chuỗi` (chính account đã được xác thực qua token, không phải chuỗi cố định `'SYSTEM'`)
</t>
    </r>
    <r>
      <rPr>
        <rFont val="メイリオ"/>
        <b/>
        <color rgb="FF000000"/>
        <sz val="10.0"/>
      </rPr>
      <t xml:space="preserve">ステップ3：
</t>
    </r>
    <r>
      <rPr>
        <rFont val="メイリオ"/>
        <color rgb="FF000000"/>
        <sz val="10.0"/>
      </rPr>
      <t xml:space="preserve">`used_flg = true` của `otp_id` tương ứng
</t>
    </r>
    <r>
      <rPr>
        <rFont val="メイリオ"/>
        <b/>
        <color rgb="FF000000"/>
        <sz val="10.0"/>
      </rPr>
      <t xml:space="preserve">ステップ4：
</t>
    </r>
    <r>
      <rPr>
        <rFont val="メイリオ"/>
        <color rgb="FF000000"/>
        <sz val="10.0"/>
      </rPr>
      <t xml:space="preserve">1 row, `operation = 'PASSWORD_RESET'`, `result_status = 1`, `target_table = 'm_account'`, `target_id = :account_id`, `after_value` JSON chứa `{"event": "password_reset"}`
</t>
    </r>
    <r>
      <rPr>
        <rFont val="メイリオ"/>
        <b/>
        <color rgb="FF000000"/>
        <sz val="10.0"/>
      </rPr>
      <t xml:space="preserve">ステップ5：
</t>
    </r>
    <r>
      <rPr>
        <rFont val="メイリオ"/>
        <color rgb="FF000000"/>
        <sz val="10.0"/>
      </rPr>
      <t xml:space="preserve">Tất cả session liên kết với account_id đó đều bị xóa
</t>
    </r>
    <r>
      <rPr>
        <rFont val="メイリオ"/>
        <color rgb="FF000000"/>
        <sz val="10.0"/>
      </rPr>
      <t xml:space="preserve">`account_sessions:{account_id}` Set cũng bị xóa
</t>
    </r>
    <r>
      <rPr>
        <rFont val="メイリオ"/>
        <b/>
        <color rgb="FF000000"/>
        <sz val="10.0"/>
      </rPr>
      <t xml:space="preserve">補足：
</t>
    </r>
    <r>
      <rPr>
        <rFont val="メイリオ"/>
        <color rgb="FF000000"/>
        <sz val="10.0"/>
      </rPr>
      <t xml:space="preserve">・Implementation: trong dataSource.transaction cập nhật password + vô hiệu token + ghi log kiểm toán
</t>
    </r>
    <r>
      <rPr>
        <rFont val="メイリオ"/>
        <color rgb="FF000000"/>
        <sz val="10.0"/>
      </rPr>
      <t xml:space="preserve">・Gọi `destroyAllForAccount(accountId)` ngoài transaction
</t>
    </r>
    <r>
      <rPr>
        <rFont val="メイリオ"/>
        <color rgb="FF000000"/>
        <sz val="10.0"/>
      </rPr>
      <t>・Tương ứng ACSMS-SCR-012-011</t>
    </r>
  </si>
  <si>
    <t>ACSMS-TC-012-039</t>
  </si>
  <si>
    <t>Token hết hạn trong khi cập nhật password</t>
  </si>
  <si>
    <t>・Đã hiển thị màn hình thay đổi (verify token thành công)
・Đã nhập password hợp lệ</t>
  </si>
  <si>
    <r>
      <rPr>
        <rFont val="メイリオ"/>
        <b/>
        <color rgb="FF000000"/>
        <sz val="10.0"/>
      </rPr>
      <t xml:space="preserve">ステップ1：
</t>
    </r>
    <r>
      <rPr>
        <rFont val="メイリオ"/>
        <color rgb="FF000000"/>
        <sz val="10.0"/>
      </rPr>
      <t xml:space="preserve">Trong khi đang nhập, token hết hạn (ví dụ: cập nhật thủ công `t_mfa_otp.expired_at` về thời điểm quá khứ)
</t>
    </r>
    <r>
      <rPr>
        <rFont val="メイリオ"/>
        <b/>
        <color rgb="FF000000"/>
        <sz val="10.0"/>
      </rPr>
      <t xml:space="preserve">ステップ2：
</t>
    </r>
    <r>
      <rPr>
        <rFont val="メイリオ"/>
        <color rgb="FF000000"/>
        <sz val="10.0"/>
      </rPr>
      <t xml:space="preserve">Nhấn nút cập nhật
</t>
    </r>
    <r>
      <rPr>
        <rFont val="メイリオ"/>
        <b/>
        <color rgb="FF000000"/>
        <sz val="10.0"/>
      </rPr>
      <t xml:space="preserve">ステップ3：
</t>
    </r>
    <r>
      <rPr>
        <rFont val="メイリオ"/>
        <color rgb="FF000000"/>
        <sz val="10.0"/>
      </rPr>
      <t>Kiểm tra response và UI state</t>
    </r>
  </si>
  <si>
    <r>
      <rPr>
        <rFont val="メイリオ"/>
        <b/>
        <color rgb="FF000000"/>
        <sz val="10.0"/>
      </rPr>
      <t xml:space="preserve">ステップ1：
</t>
    </r>
    <r>
      <rPr>
        <rFont val="メイリオ"/>
        <color rgb="FF000000"/>
        <sz val="10.0"/>
      </rPr>
      <t xml:space="preserve">(Chuẩn bị làm precondition)
</t>
    </r>
    <r>
      <rPr>
        <rFont val="メイリオ"/>
        <b/>
        <color rgb="FF000000"/>
        <sz val="10.0"/>
      </rPr>
      <t xml:space="preserve">ステップ2：
</t>
    </r>
    <r>
      <rPr>
        <rFont val="メイリオ"/>
        <color rgb="FF000000"/>
        <sz val="10.0"/>
      </rPr>
      <t xml:space="preserve">Phía BE check token hết hạn
</t>
    </r>
    <r>
      <rPr>
        <rFont val="メイリオ"/>
        <b/>
        <color rgb="FF000000"/>
        <sz val="10.0"/>
      </rPr>
      <t xml:space="preserve">ステップ3：
</t>
    </r>
    <r>
      <rPr>
        <rFont val="メイリオ"/>
        <color rgb="FF000000"/>
        <sz val="10.0"/>
      </rPr>
      <t xml:space="preserve">HTTP status code: 400
</t>
    </r>
    <r>
      <rPr>
        <rFont val="メイリオ"/>
        <color rgb="FF000000"/>
        <sz val="10.0"/>
      </rPr>
      <t xml:space="preserve">error_code: EXPIRED_RESET_TOKEN
</t>
    </r>
    <r>
      <rPr>
        <rFont val="メイリオ"/>
        <color rgb="FF000000"/>
        <sz val="10.0"/>
      </rPr>
      <t xml:space="preserve">message:「リンクの有効期限が切れています。再度パスワード再設定をお試しください。」
</t>
    </r>
    <r>
      <rPr>
        <rFont val="メイリオ"/>
        <color rgb="FF000000"/>
        <sz val="10.0"/>
      </rPr>
      <t xml:space="preserve">FE detect 'expired' bằng `matchTokenError(err)` → phase = 'expired'
</t>
    </r>
    <r>
      <rPr>
        <rFont val="メイリオ"/>
        <color rgb="FF000000"/>
        <sz val="10.0"/>
      </rPr>
      <t xml:space="preserve">Form ẩn, hiển thị error message
</t>
    </r>
    <r>
      <rPr>
        <rFont val="メイリオ"/>
        <b/>
        <color rgb="FF000000"/>
        <sz val="10.0"/>
      </rPr>
      <t xml:space="preserve">補足：
</t>
    </r>
    <r>
      <rPr>
        <rFont val="メイリオ"/>
        <color rgb="FF000000"/>
        <sz val="10.0"/>
      </rPr>
      <t xml:space="preserve">・Implementation: hàm `matchTokenError` của FE chuyển phase theo error_code
</t>
    </r>
    <r>
      <rPr>
        <rFont val="メイリオ"/>
        <color rgb="FF000000"/>
        <sz val="10.0"/>
      </rPr>
      <t xml:space="preserve">・VALIDATION_ERROR và INTERNAL_SERVER_ERROR throw để qua useApiForm + axios interceptor
</t>
    </r>
    <r>
      <rPr>
        <rFont val="メイリオ"/>
        <color rgb="FF000000"/>
        <sz val="10.0"/>
      </rPr>
      <t>・Chỉ token error mới ẩn form (tuân thủ spec §4.4)</t>
    </r>
  </si>
  <si>
    <t>ACSMS-TC-012-040</t>
  </si>
  <si>
    <t>Sau khi cập nhật password tự động chuyển /login sau 3 giây</t>
  </si>
  <si>
    <t>・reset_token hợp lệ, đã nhập giá trị hợp lệ</t>
  </si>
  <si>
    <r>
      <rPr>
        <rFont val="メイリオ"/>
        <b/>
        <color rgb="FF000000"/>
        <sz val="10.0"/>
      </rPr>
      <t xml:space="preserve">ステップ1：
</t>
    </r>
    <r>
      <rPr>
        <rFont val="メイリオ"/>
        <color rgb="FF000000"/>
        <sz val="10.0"/>
      </rPr>
      <t xml:space="preserve">Nhấn nút cập nhật
</t>
    </r>
    <r>
      <rPr>
        <rFont val="メイリオ"/>
        <b/>
        <color rgb="FF000000"/>
        <sz val="10.0"/>
      </rPr>
      <t xml:space="preserve">ステップ2：
</t>
    </r>
    <r>
      <rPr>
        <rFont val="メイリオ"/>
        <color rgb="FF000000"/>
        <sz val="10.0"/>
      </rPr>
      <t xml:space="preserve">Sau khi message thành công hiển thị, kiểm tra việc tự động chuyển trang (đo thời gian)
</t>
    </r>
    <r>
      <rPr>
        <rFont val="メイリオ"/>
        <b/>
        <color rgb="FF000000"/>
        <sz val="10.0"/>
      </rPr>
      <t xml:space="preserve">ステップ3：
</t>
    </r>
    <r>
      <rPr>
        <rFont val="メイリオ"/>
        <color rgb="FF000000"/>
        <sz val="10.0"/>
      </rPr>
      <t>Đóng browser hoặc chuyển sang màn hình khác trước khi 3 giây trôi qua</t>
    </r>
  </si>
  <si>
    <r>
      <rPr>
        <rFont val="メイリオ"/>
        <b/>
        <color rgb="FF000000"/>
        <sz val="10.0"/>
      </rPr>
      <t xml:space="preserve">ステップ1：
</t>
    </r>
    <r>
      <rPr>
        <rFont val="メイリオ"/>
        <color rgb="FF000000"/>
        <sz val="10.0"/>
      </rPr>
      <t xml:space="preserve">HTTP status code: 200, toast hiển thị
</t>
    </r>
    <r>
      <rPr>
        <rFont val="メイリオ"/>
        <color rgb="FF000000"/>
        <sz val="10.0"/>
      </rPr>
      <t xml:space="preserve">phase = 'done', sub-text「3秒後にログイン画面へ移動します...」hiển thị
</t>
    </r>
    <r>
      <rPr>
        <rFont val="メイリオ"/>
        <b/>
        <color rgb="FF000000"/>
        <sz val="10.0"/>
      </rPr>
      <t xml:space="preserve">ステップ2：
</t>
    </r>
    <r>
      <rPr>
        <rFont val="メイリオ"/>
        <color rgb="FF000000"/>
        <sz val="10.0"/>
      </rPr>
      <t xml:space="preserve">Tự động chuyển `/login` sau 3 giây (±100ms)
</t>
    </r>
    <r>
      <rPr>
        <rFont val="メイリオ"/>
        <b/>
        <color rgb="FF000000"/>
        <sz val="10.0"/>
      </rPr>
      <t xml:space="preserve">ステップ3：
</t>
    </r>
    <r>
      <rPr>
        <rFont val="メイリオ"/>
        <color rgb="FF000000"/>
        <sz val="10.0"/>
      </rPr>
      <t xml:space="preserve">Timer được giải phóng bằng `clearTimeout(redirectTimer)` ở onUnmounted
</t>
    </r>
    <r>
      <rPr>
        <rFont val="メイリオ"/>
        <color rgb="FF000000"/>
        <sz val="10.0"/>
      </rPr>
      <t xml:space="preserve">Hành vi meaningful trên màn hình khác (timer không tiếp tục)
</t>
    </r>
    <r>
      <rPr>
        <rFont val="メイリオ"/>
        <b/>
        <color rgb="FF000000"/>
        <sz val="10.0"/>
      </rPr>
      <t xml:space="preserve">補足：
</t>
    </r>
    <r>
      <rPr>
        <rFont val="メイリオ"/>
        <color rgb="FF000000"/>
        <sz val="10.0"/>
      </rPr>
      <t xml:space="preserve">・Implementation: `window.setTimeout(() =&gt; router.push({ name: 'Login' }), 3000)`
</t>
    </r>
    <r>
      <rPr>
        <rFont val="メイリオ"/>
        <color rgb="FF000000"/>
        <sz val="10.0"/>
      </rPr>
      <t>・clearTimeout ở onUnmounted bắt buộc (chống memory leak)</t>
    </r>
  </si>
  <si>
    <t>ACSMS-TC-012-041</t>
  </si>
  <si>
    <t>Trạng thái DB và log khi cập nhật password thất bại (chống commit không hợp lệ)</t>
  </si>
  <si>
    <t>・Cấu hình mock cho INSERT log kiểm toán phía BE thất bại trong test environment
・reset_token hợp lệ, đã nhập giá trị hợp lệ</t>
  </si>
  <si>
    <r>
      <rPr>
        <rFont val="メイリオ"/>
        <b/>
        <color rgb="FF000000"/>
        <sz val="10.0"/>
      </rPr>
      <t xml:space="preserve">ステップ1：
</t>
    </r>
    <r>
      <rPr>
        <rFont val="メイリオ"/>
        <color rgb="FF000000"/>
        <sz val="10.0"/>
      </rPr>
      <t xml:space="preserve">Nhấn nút cập nhật
</t>
    </r>
    <r>
      <rPr>
        <rFont val="メイリオ"/>
        <b/>
        <color rgb="FF000000"/>
        <sz val="10.0"/>
      </rPr>
      <t xml:space="preserve">ステップ2：
</t>
    </r>
    <r>
      <rPr>
        <rFont val="メイリオ"/>
        <color rgb="FF000000"/>
        <sz val="10.0"/>
      </rPr>
      <t xml:space="preserve">Kiểm tra `m_account` trên DB
</t>
    </r>
    <r>
      <rPr>
        <rFont val="メイリオ"/>
        <b/>
        <color rgb="FF000000"/>
        <sz val="10.0"/>
      </rPr>
      <t xml:space="preserve">ステップ3：
</t>
    </r>
    <r>
      <rPr>
        <rFont val="メイリオ"/>
        <color rgb="FF000000"/>
        <sz val="10.0"/>
      </rPr>
      <t xml:space="preserve">Kiểm tra `t_mfa_otp` trên DB
</t>
    </r>
    <r>
      <rPr>
        <rFont val="メイリオ"/>
        <b/>
        <color rgb="FF000000"/>
        <sz val="10.0"/>
      </rPr>
      <t xml:space="preserve">ステップ4：
</t>
    </r>
    <r>
      <rPr>
        <rFont val="メイリオ"/>
        <color rgb="FF000000"/>
        <sz val="10.0"/>
      </rPr>
      <t>Kiểm tra `t_log` trên DB</t>
    </r>
  </si>
  <si>
    <r>
      <rPr>
        <rFont val="メイリオ"/>
        <b/>
        <color rgb="FF000000"/>
        <sz val="10.0"/>
      </rPr>
      <t xml:space="preserve">ステップ1：
</t>
    </r>
    <r>
      <rPr>
        <rFont val="メイリオ"/>
        <color rgb="FF000000"/>
        <sz val="10.0"/>
      </rPr>
      <t xml:space="preserve">INSERT log kiểm toán sau main DML thất bại → transaction rollback
</t>
    </r>
    <r>
      <rPr>
        <rFont val="メイリオ"/>
        <b/>
        <color rgb="FF000000"/>
        <sz val="10.0"/>
      </rPr>
      <t xml:space="preserve">ステップ2：
</t>
    </r>
    <r>
      <rPr>
        <rFont val="メイリオ"/>
        <color rgb="FF000000"/>
        <sz val="10.0"/>
      </rPr>
      <t xml:space="preserve">`password_hash` không thay đổi (giữ nguyên giá trị cũ)
</t>
    </r>
    <r>
      <rPr>
        <rFont val="メイリオ"/>
        <color rgb="FF000000"/>
        <sz val="10.0"/>
      </rPr>
      <t xml:space="preserve">`password_updated_at` không thay đổi
</t>
    </r>
    <r>
      <rPr>
        <rFont val="メイリオ"/>
        <b/>
        <color rgb="FF000000"/>
        <sz val="10.0"/>
      </rPr>
      <t xml:space="preserve">ステップ3：
</t>
    </r>
    <r>
      <rPr>
        <rFont val="メイリオ"/>
        <color rgb="FF000000"/>
        <sz val="10.0"/>
      </rPr>
      <t xml:space="preserve">`used_flg` không thay đổi (vẫn là false)
</t>
    </r>
    <r>
      <rPr>
        <rFont val="メイリオ"/>
        <b/>
        <color rgb="FF000000"/>
        <sz val="10.0"/>
      </rPr>
      <t xml:space="preserve">ステップ4：
</t>
    </r>
    <r>
      <rPr>
        <rFont val="メイリオ"/>
        <color rgb="FF000000"/>
        <sz val="10.0"/>
      </rPr>
      <t xml:space="preserve">Không có log thành công, nhưng có log lỗi (catch ngoài, log_type=3)
</t>
    </r>
    <r>
      <rPr>
        <rFont val="メイリオ"/>
        <b/>
        <color rgb="FF000000"/>
        <sz val="10.0"/>
      </rPr>
      <t xml:space="preserve">補足：
</t>
    </r>
    <r>
      <rPr>
        <rFont val="メイリオ"/>
        <color rgb="FF000000"/>
        <sz val="10.0"/>
      </rPr>
      <t xml:space="preserve">・Implementation: tất cả DML trong dataSource.transaction(async (manager) =&gt; {...}) đều rollback
</t>
    </r>
    <r>
      <rPr>
        <rFont val="メイリオ"/>
        <color rgb="FF000000"/>
        <sz val="10.0"/>
      </rPr>
      <t xml:space="preserve">・Trong catch block gọi `auditLogService.logError(...)` ngoài transaction
</t>
    </r>
    <r>
      <rPr>
        <rFont val="メイリオ"/>
        <color rgb="FF000000"/>
        <sz val="10.0"/>
      </rPr>
      <t>・Tuân thủ quy tắc `nestjs.md §I/O &amp; External Services / Transaction`</t>
    </r>
  </si>
  <si>
    <t>Test critical đảm bảo tính toàn vẹn giữa log kiểm toán và DB state.
---</t>
  </si>
  <si>
    <t>Xử lý lỗi chung (Common Error Handling)</t>
  </si>
  <si>
    <t>ACSMS-TC-012-042</t>
  </si>
  <si>
    <t>Lỗi chung — BAD_REQUEST — Request parameter không hợp lệ</t>
  </si>
  <si>
    <t>・Màn hình đặt lại, đã mở DevTools browser</t>
  </si>
  <si>
    <r>
      <rPr>
        <rFont val="メイリオ"/>
        <b/>
        <color rgb="FF000000"/>
        <sz val="10.0"/>
      </rPr>
      <t xml:space="preserve">ステップ1：
</t>
    </r>
    <r>
      <rPr>
        <rFont val="メイリオ"/>
        <color rgb="FF000000"/>
        <sz val="10.0"/>
      </rPr>
      <t xml:space="preserve">Trên DevTools Console chạy POST `/api/v1/auth/forgot-password` với JSON không hợp lệ
</t>
    </r>
    <r>
      <rPr>
        <rFont val="メイリオ"/>
        <color rgb="FF000000"/>
        <sz val="10.0"/>
      </rPr>
      <t xml:space="preserve">```js
</t>
    </r>
    <r>
      <rPr>
        <rFont val="メイリオ"/>
        <color rgb="FF000000"/>
        <sz val="10.0"/>
      </rPr>
      <t xml:space="preserve">fetch('/api/v1/auth/forgot-password', {
</t>
    </r>
    <r>
      <rPr>
        <rFont val="メイリオ"/>
        <color rgb="FF000000"/>
        <sz val="10.0"/>
      </rPr>
      <t xml:space="preserve">method: 'POST',
</t>
    </r>
    <r>
      <rPr>
        <rFont val="メイリオ"/>
        <color rgb="FF000000"/>
        <sz val="10.0"/>
      </rPr>
      <t xml:space="preserve">body: '{invalid json',
</t>
    </r>
    <r>
      <rPr>
        <rFont val="メイリオ"/>
        <color rgb="FF000000"/>
        <sz val="10.0"/>
      </rPr>
      <t xml:space="preserve">headers: { 'Content-Type': 'application/json' }
</t>
    </r>
    <r>
      <rPr>
        <rFont val="メイリオ"/>
        <color rgb="FF000000"/>
        <sz val="10.0"/>
      </rPr>
      <t xml:space="preserve">});
</t>
    </r>
    <r>
      <rPr>
        <rFont val="メイリオ"/>
        <color rgb="FF000000"/>
        <sz val="10.0"/>
      </rPr>
      <t xml:space="preserve">```
</t>
    </r>
    <r>
      <rPr>
        <rFont val="メイリオ"/>
        <b/>
        <color rgb="FF000000"/>
        <sz val="10.0"/>
      </rPr>
      <t xml:space="preserve">ステップ2：
</t>
    </r>
    <r>
      <rPr>
        <rFont val="メイリオ"/>
        <color rgb="FF000000"/>
        <sz val="10.0"/>
      </rPr>
      <t>Kiểm tra response</t>
    </r>
  </si>
  <si>
    <r>
      <rPr>
        <rFont val="メイリオ"/>
        <b/>
        <color rgb="FF000000"/>
        <sz val="10.0"/>
      </rPr>
      <t xml:space="preserve">ステップ1：
</t>
    </r>
    <r>
      <rPr>
        <rFont val="メイリオ"/>
        <color rgb="FF000000"/>
        <sz val="10.0"/>
      </rPr>
      <t xml:space="preserve">Request bị body parser phía BE từ chối
</t>
    </r>
    <r>
      <rPr>
        <rFont val="メイリオ"/>
        <b/>
        <color rgb="FF000000"/>
        <sz val="10.0"/>
      </rPr>
      <t xml:space="preserve">ステップ2：
</t>
    </r>
    <r>
      <rPr>
        <rFont val="メイリオ"/>
        <color rgb="FF000000"/>
        <sz val="10.0"/>
      </rPr>
      <t xml:space="preserve">HTTP status code: 400
</t>
    </r>
    <r>
      <rPr>
        <rFont val="メイリオ"/>
        <color rgb="FF000000"/>
        <sz val="10.0"/>
      </rPr>
      <t xml:space="preserve">error_code: BAD_REQUEST
</t>
    </r>
    <r>
      <rPr>
        <rFont val="メイリオ"/>
        <color rgb="FF000000"/>
        <sz val="10.0"/>
      </rPr>
      <t xml:space="preserve">message:「リクエストパラメータが不正です。」
</t>
    </r>
    <r>
      <rPr>
        <rFont val="メイリオ"/>
        <b/>
        <color rgb="FF000000"/>
        <sz val="10.0"/>
      </rPr>
      <t xml:space="preserve">補足：
</t>
    </r>
    <r>
      <rPr>
        <rFont val="メイリオ"/>
        <color rgb="FF000000"/>
        <sz val="10.0"/>
      </rPr>
      <t>・JSON parse error, Content-Type không hợp lệ, parameter không xác định v.v. tất cả đều map về BAD_REQUEST</t>
    </r>
  </si>
  <si>
    <t>ACSMS-TC-012-043</t>
  </si>
  <si>
    <t>Lỗi chung — VALIDATION_ERROR — Kiểm tra hình dáng array errors[]</t>
  </si>
  <si>
    <t>・Màn hình thay đổi, nhập giá trị không hợp lệ ở nhiều field (new_password=`abc`, confirm_password=`xyz`)</t>
  </si>
  <si>
    <r>
      <rPr>
        <rFont val="メイリオ"/>
        <b/>
        <color rgb="FF000000"/>
        <sz val="10.0"/>
      </rPr>
      <t xml:space="preserve">ステップ1：
</t>
    </r>
    <r>
      <rPr>
        <rFont val="メイリオ"/>
        <color rgb="FF000000"/>
        <sz val="10.0"/>
      </rPr>
      <t xml:space="preserve">Nhấn nút cập nhật
</t>
    </r>
    <r>
      <rPr>
        <rFont val="メイリオ"/>
        <b/>
        <color rgb="FF000000"/>
        <sz val="10.0"/>
      </rPr>
      <t xml:space="preserve">ステップ2：
</t>
    </r>
    <r>
      <rPr>
        <rFont val="メイリオ"/>
        <color rgb="FF000000"/>
        <sz val="10.0"/>
      </rPr>
      <t xml:space="preserve">Kiểm tra hình dáng array `errors` của response body
</t>
    </r>
    <r>
      <rPr>
        <rFont val="メイリオ"/>
        <b/>
        <color rgb="FF000000"/>
        <sz val="10.0"/>
      </rPr>
      <t xml:space="preserve">ステップ3：
</t>
    </r>
    <r>
      <rPr>
        <rFont val="メイリオ"/>
        <color rgb="FF000000"/>
        <sz val="10.0"/>
      </rPr>
      <t>Kiểm tra hiển thị error message ngay dưới mỗi mục phía màn hình</t>
    </r>
  </si>
  <si>
    <r>
      <rPr>
        <rFont val="メイリオ"/>
        <b/>
        <color rgb="FF000000"/>
        <sz val="10.0"/>
      </rPr>
      <t xml:space="preserve">ステップ1：
</t>
    </r>
    <r>
      <rPr>
        <rFont val="メイリオ"/>
        <color rgb="FF000000"/>
        <sz val="10.0"/>
      </rPr>
      <t xml:space="preserve">HTTP status code: 400
</t>
    </r>
    <r>
      <rPr>
        <rFont val="メイリオ"/>
        <color rgb="FF000000"/>
        <sz val="10.0"/>
      </rPr>
      <t xml:space="preserve">error_code: VALIDATION_ERROR
</t>
    </r>
    <r>
      <rPr>
        <rFont val="メイリオ"/>
        <color rgb="FF000000"/>
        <sz val="10.0"/>
      </rPr>
      <t xml:space="preserve">message:「入力値が不正です。詳細はerrorsフィールドを確認してください。」
</t>
    </r>
    <r>
      <rPr>
        <rFont val="メイリオ"/>
        <b/>
        <color rgb="FF000000"/>
        <sz val="10.0"/>
      </rPr>
      <t xml:space="preserve">ステップ2：
</t>
    </r>
    <r>
      <rPr>
        <rFont val="メイリオ"/>
        <color rgb="FF000000"/>
        <sz val="10.0"/>
      </rPr>
      <t xml:space="preserve">Array `errors` chứa nhiều entry:
</t>
    </r>
    <r>
      <rPr>
        <rFont val="メイリオ"/>
        <color rgb="FF000000"/>
        <sz val="10.0"/>
      </rPr>
      <t xml:space="preserve">・{ field: "new_password", message: "パスワードは8文字以上で入力してください。" }
</t>
    </r>
    <r>
      <rPr>
        <rFont val="メイリオ"/>
        <color rgb="FF000000"/>
        <sz val="10.0"/>
      </rPr>
      <t xml:space="preserve">・(Việc không trùng confirm_password được detect ở tầng service nên có thể là error riêng)
</t>
    </r>
    <r>
      <rPr>
        <rFont val="メイリオ"/>
        <b/>
        <color rgb="FF000000"/>
        <sz val="10.0"/>
      </rPr>
      <t xml:space="preserve">ステップ3：
</t>
    </r>
    <r>
      <rPr>
        <rFont val="メイリオ"/>
        <color rgb="FF000000"/>
        <sz val="10.0"/>
      </rPr>
      <t xml:space="preserve">Mỗi mục hiển thị error message tương ứng ngay dưới (bind vào `&lt;a-form-item :help&gt;` qua `useApiForm`)
</t>
    </r>
    <r>
      <rPr>
        <rFont val="メイリオ"/>
        <b/>
        <color rgb="FF000000"/>
        <sz val="10.0"/>
      </rPr>
      <t xml:space="preserve">補足：
</t>
    </r>
    <r>
      <rPr>
        <rFont val="メイリオ"/>
        <color rgb="FF000000"/>
        <sz val="10.0"/>
      </rPr>
      <t xml:space="preserve">・Trả về vi phạm của nhiều field cùng lúc trong 1 request
</t>
    </r>
    <r>
      <rPr>
        <rFont val="メイリオ"/>
        <color rgb="FF000000"/>
        <sz val="10.0"/>
      </rPr>
      <t>・Implementation: FE `useApiForm` chuyển `errors[]` sang `fieldErrors`, hiển thị vào `:help` của từng `&lt;a-form-item&gt;`</t>
    </r>
  </si>
  <si>
    <t>ACSMS-TC-012-044</t>
  </si>
  <si>
    <t>Lỗi chung — INTERNAL_SERVER_ERROR — Mô phỏng server crash</t>
  </si>
  <si>
    <t>・Màn hình đặt lại, đã nhập giá trị hợp lệ
・Cố ý ngắt kết nối DB phía BE (test environment)</t>
  </si>
  <si>
    <r>
      <rPr>
        <rFont val="メイリオ"/>
        <b/>
        <color rgb="FF000000"/>
        <sz val="10.0"/>
      </rPr>
      <t xml:space="preserve">ステップ1：
</t>
    </r>
    <r>
      <rPr>
        <rFont val="メイリオ"/>
        <color rgb="FF000000"/>
        <sz val="10.0"/>
      </rPr>
      <t xml:space="preserve">Nhấn nút gửi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 xml:space="preserve">Kiểm tra trạng thái màn hình
</t>
    </r>
    <r>
      <rPr>
        <rFont val="メイリオ"/>
        <b/>
        <color rgb="FF000000"/>
        <sz val="10.0"/>
      </rPr>
      <t xml:space="preserve">ステップ4：
</t>
    </r>
    <r>
      <rPr>
        <rFont val="メイリオ"/>
        <color rgb="FF000000"/>
        <sz val="10.0"/>
      </rPr>
      <t>Kiểm tra log lỗi</t>
    </r>
  </si>
  <si>
    <r>
      <rPr>
        <rFont val="メイリオ"/>
        <b/>
        <color rgb="FF000000"/>
        <sz val="10.0"/>
      </rPr>
      <t xml:space="preserve">ステップ1：
</t>
    </r>
    <r>
      <rPr>
        <rFont val="メイリオ"/>
        <color rgb="FF000000"/>
        <sz val="10.0"/>
      </rPr>
      <t xml:space="preserve">Phía BE phát sinh exception, xử lý exception ở catch block ngoài
</t>
    </r>
    <r>
      <rPr>
        <rFont val="メイリオ"/>
        <b/>
        <color rgb="FF000000"/>
        <sz val="10.0"/>
      </rPr>
      <t xml:space="preserve">ステップ2：
</t>
    </r>
    <r>
      <rPr>
        <rFont val="メイリオ"/>
        <color rgb="FF000000"/>
        <sz val="10.0"/>
      </rPr>
      <t xml:space="preserve">HTTP status code: 500
</t>
    </r>
    <r>
      <rPr>
        <rFont val="メイリオ"/>
        <color rgb="FF000000"/>
        <sz val="10.0"/>
      </rPr>
      <t xml:space="preserve">error_code: INTERNAL_SERVER_ERROR
</t>
    </r>
    <r>
      <rPr>
        <rFont val="メイリオ"/>
        <color rgb="FF000000"/>
        <sz val="10.0"/>
      </rPr>
      <t xml:space="preserve">message:「システムエラーが発生しました。しばらくしてから再度お試しください。」
</t>
    </r>
    <r>
      <rPr>
        <rFont val="メイリオ"/>
        <b/>
        <color rgb="FF000000"/>
        <sz val="10.0"/>
      </rPr>
      <t xml:space="preserve">ステップ3：
</t>
    </r>
    <r>
      <rPr>
        <rFont val="メイリオ"/>
        <color rgb="FF000000"/>
        <sz val="10.0"/>
      </rPr>
      <t xml:space="preserve">Vẫn ở màn hình đặt lại, toast hiển thị, giữ nguyên giá trị input
</t>
    </r>
    <r>
      <rPr>
        <rFont val="メイリオ"/>
        <b/>
        <color rgb="FF000000"/>
        <sz val="10.0"/>
      </rPr>
      <t xml:space="preserve">ステップ4：
</t>
    </r>
    <r>
      <rPr>
        <rFont val="メイリオ"/>
        <color rgb="FF000000"/>
        <sz val="10.0"/>
      </rPr>
      <t xml:space="preserve">`t_log` có log với log_type=3 được ghi
</t>
    </r>
    <r>
      <rPr>
        <rFont val="メイリオ"/>
        <b/>
        <color rgb="FF000000"/>
        <sz val="10.0"/>
      </rPr>
      <t xml:space="preserve">補足：
</t>
    </r>
    <r>
      <rPr>
        <rFont val="メイリオ"/>
        <color rgb="FF000000"/>
        <sz val="10.0"/>
      </rPr>
      <t xml:space="preserve">・Không lộ thông tin nội bộ như stack trace ra phía user
</t>
    </r>
    <r>
      <rPr>
        <rFont val="メイリオ"/>
        <color rgb="FF000000"/>
        <sz val="10.0"/>
      </rPr>
      <t>・Tương ứng ACSMS-SCR-012-004</t>
    </r>
  </si>
  <si>
    <t>ACSMS-TC-012-045</t>
  </si>
  <si>
    <t>Lỗi chung — NOT_FOUND — Truy cập màn hình không có token</t>
  </si>
  <si>
    <t>・Không có token trong URL</t>
  </si>
  <si>
    <r>
      <rPr>
        <rFont val="メイリオ"/>
        <b/>
        <color rgb="FF000000"/>
        <sz val="10.0"/>
      </rPr>
      <t xml:space="preserve">ステップ1：
</t>
    </r>
    <r>
      <rPr>
        <rFont val="メイリオ"/>
        <color rgb="FF000000"/>
        <sz val="10.0"/>
      </rPr>
      <t xml:space="preserve">Mở `/reset-password` (không có query parameter)
</t>
    </r>
    <r>
      <rPr>
        <rFont val="メイリオ"/>
        <b/>
        <color rgb="FF000000"/>
        <sz val="10.0"/>
      </rPr>
      <t xml:space="preserve">ステップ2：
</t>
    </r>
    <r>
      <rPr>
        <rFont val="メイリオ"/>
        <color rgb="FF000000"/>
        <sz val="10.0"/>
      </rPr>
      <t>Kiểm tra trạng thái màn hình</t>
    </r>
  </si>
  <si>
    <r>
      <rPr>
        <rFont val="メイリオ"/>
        <b/>
        <color rgb="FF000000"/>
        <sz val="10.0"/>
      </rPr>
      <t xml:space="preserve">ステップ1：
</t>
    </r>
    <r>
      <rPr>
        <rFont val="メイリオ"/>
        <color rgb="FF000000"/>
        <sz val="10.0"/>
      </rPr>
      <t xml:space="preserve">FE check ở onMounted bằng `if (typeof queryToken !== 'string' || !queryToken)`
</t>
    </r>
    <r>
      <rPr>
        <rFont val="メイリオ"/>
        <b/>
        <color rgb="FF000000"/>
        <sz val="10.0"/>
      </rPr>
      <t xml:space="preserve">ステップ2：
</t>
    </r>
    <r>
      <rPr>
        <rFont val="メイリオ"/>
        <color rgb="FF000000"/>
        <sz val="10.0"/>
      </rPr>
      <t xml:space="preserve">phase = 'invalid', không gọi API verify
</t>
    </r>
    <r>
      <rPr>
        <rFont val="メイリオ"/>
        <color rgb="FF000000"/>
        <sz val="10.0"/>
      </rPr>
      <t xml:space="preserve">Hiển thị「無効なリンクです。」trên màn hình
</t>
    </r>
    <r>
      <rPr>
        <rFont val="メイリオ"/>
        <color rgb="FF000000"/>
        <sz val="10.0"/>
      </rPr>
      <t xml:space="preserve">Chỉ hiển thị link「ログイン画面に戻る」
</t>
    </r>
    <r>
      <rPr>
        <rFont val="メイリオ"/>
        <b/>
        <color rgb="FF000000"/>
        <sz val="10.0"/>
      </rPr>
      <t xml:space="preserve">補足：
</t>
    </r>
    <r>
      <rPr>
        <rFont val="メイリオ"/>
        <color rgb="FF000000"/>
        <sz val="10.0"/>
      </rPr>
      <t xml:space="preserve">・Phía FE return sớm, tránh gọi API vô ích
</t>
    </r>
    <r>
      <rPr>
        <rFont val="メイリオ"/>
        <color rgb="FF000000"/>
        <sz val="10.0"/>
      </rPr>
      <t>・Tuân thủ spec §1.2「トークンが無い場合 → ACSMS-SCR-012-008を表示」</t>
    </r>
  </si>
  <si>
    <t>ACSMS-TC-012-046</t>
  </si>
  <si>
    <t>Lỗi chung — TOO_MANY_REQUESTS — reset-password throttle (5/phút)</t>
  </si>
  <si>
    <t>・Script test gửi 6 request POST `/api/v1/auth/reset-password` trong 1 phút</t>
  </si>
  <si>
    <r>
      <rPr>
        <rFont val="メイリオ"/>
        <b/>
        <color rgb="FF000000"/>
        <sz val="10.0"/>
      </rPr>
      <t xml:space="preserve">ステップ1：
</t>
    </r>
    <r>
      <rPr>
        <rFont val="メイリオ"/>
        <color rgb="FF000000"/>
        <sz val="10.0"/>
      </rPr>
      <t xml:space="preserve">Script gửi request 1〜5
</t>
    </r>
    <r>
      <rPr>
        <rFont val="メイリオ"/>
        <b/>
        <color rgb="FF000000"/>
        <sz val="10.0"/>
      </rPr>
      <t xml:space="preserve">ステップ2：
</t>
    </r>
    <r>
      <rPr>
        <rFont val="メイリオ"/>
        <color rgb="FF000000"/>
        <sz val="10.0"/>
      </rPr>
      <t>Gửi request thứ 6</t>
    </r>
  </si>
  <si>
    <r>
      <rPr>
        <rFont val="メイリオ"/>
        <b/>
        <color rgb="FF000000"/>
        <sz val="10.0"/>
      </rPr>
      <t xml:space="preserve">ステップ1：
</t>
    </r>
    <r>
      <rPr>
        <rFont val="メイリオ"/>
        <color rgb="FF000000"/>
        <sz val="10.0"/>
      </rPr>
      <t xml:space="preserve">Mỗi request 200 hoặc 400 (lỗi token) phản hồi
</t>
    </r>
    <r>
      <rPr>
        <rFont val="メイリオ"/>
        <b/>
        <color rgb="FF000000"/>
        <sz val="10.0"/>
      </rPr>
      <t xml:space="preserve">ステップ2：
</t>
    </r>
    <r>
      <rPr>
        <rFont val="メイリオ"/>
        <color rgb="FF000000"/>
        <sz val="10.0"/>
      </rPr>
      <t xml:space="preserve">HTTP status code: 429
</t>
    </r>
    <r>
      <rPr>
        <rFont val="メイリオ"/>
        <color rgb="FF000000"/>
        <sz val="10.0"/>
      </rPr>
      <t xml:space="preserve">error_code: TOO_MANY_REQUESTS
</t>
    </r>
    <r>
      <rPr>
        <rFont val="メイリオ"/>
        <b/>
        <color rgb="FF000000"/>
        <sz val="10.0"/>
      </rPr>
      <t xml:space="preserve">補足：
</t>
    </r>
    <r>
      <rPr>
        <rFont val="メイリオ"/>
        <color rgb="FF000000"/>
        <sz val="10.0"/>
      </rPr>
      <t xml:space="preserve">・Implementation: `@Throttle({ default: { ttl: 60_000, limit: 5 } })` on reset-password endpoint
</t>
    </r>
    <r>
      <rPr>
        <rFont val="メイリオ"/>
        <color rgb="FF000000"/>
        <sz val="10.0"/>
      </rPr>
      <t>・Phòng tấn công brute force (chống thử lượng lớn cho cùng token)</t>
    </r>
  </si>
  <si>
    <t>ACSMS-TC-012-047</t>
  </si>
  <si>
    <t>Lỗi chung — Xử lý khi gửi mail thất bại</t>
  </si>
  <si>
    <t>・Account đã đăng ký
・Cố ý làm thất bại MailService.sendPasswordReset (test environment)</t>
  </si>
  <si>
    <r>
      <rPr>
        <rFont val="メイリオ"/>
        <b/>
        <color rgb="FF000000"/>
        <sz val="10.0"/>
      </rPr>
      <t xml:space="preserve">ステップ1：
</t>
    </r>
    <r>
      <rPr>
        <rFont val="メイリオ"/>
        <color rgb="FF000000"/>
        <sz val="10.0"/>
      </rPr>
      <t xml:space="preserve">Trên `/forgot-password` nhập email hợp lệ → gửi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Kiểm tra `t_mfa_otp` trên DB</t>
    </r>
  </si>
  <si>
    <r>
      <rPr>
        <rFont val="メイリオ"/>
        <b/>
        <color rgb="FF000000"/>
        <sz val="10.0"/>
      </rPr>
      <t xml:space="preserve">ステップ1：
</t>
    </r>
    <r>
      <rPr>
        <rFont val="メイリオ"/>
        <color rgb="FF000000"/>
        <sz val="10.0"/>
      </rPr>
      <t xml:space="preserve">Phía BE phát sinh lỗi gửi mail
</t>
    </r>
    <r>
      <rPr>
        <rFont val="メイリオ"/>
        <b/>
        <color rgb="FF000000"/>
        <sz val="10.0"/>
      </rPr>
      <t xml:space="preserve">ステップ2：
</t>
    </r>
    <r>
      <rPr>
        <rFont val="メイリオ"/>
        <color rgb="FF000000"/>
        <sz val="10.0"/>
      </rPr>
      <t xml:space="preserve">HTTP status code: 500
</t>
    </r>
    <r>
      <rPr>
        <rFont val="メイリオ"/>
        <color rgb="FF000000"/>
        <sz val="10.0"/>
      </rPr>
      <t xml:space="preserve">error_code: INTERNAL_SERVER_ERROR
</t>
    </r>
    <r>
      <rPr>
        <rFont val="メイリオ"/>
        <color rgb="FF000000"/>
        <sz val="10.0"/>
      </rPr>
      <t xml:space="preserve">message:「システムエラーが発生しました。しばらくしてから再度お試しください。」
</t>
    </r>
    <r>
      <rPr>
        <rFont val="メイリオ"/>
        <b/>
        <color rgb="FF000000"/>
        <sz val="10.0"/>
      </rPr>
      <t xml:space="preserve">ステップ3：
</t>
    </r>
    <r>
      <rPr>
        <rFont val="メイリオ"/>
        <color rgb="FF000000"/>
        <sz val="10.0"/>
      </rPr>
      <t xml:space="preserve">(Phụ thuộc implementation) transaction đã commit nên token có thể đã được lưu, hoặc bị rollback xóa
</t>
    </r>
    <r>
      <rPr>
        <rFont val="メイリオ"/>
        <color rgb="FF000000"/>
        <sz val="10.0"/>
      </rPr>
      <t xml:space="preserve">※ Cần xác nhận ở giai đoạn thiết kế
</t>
    </r>
    <r>
      <rPr>
        <rFont val="メイリオ"/>
        <b/>
        <color rgb="FF000000"/>
        <sz val="10.0"/>
      </rPr>
      <t xml:space="preserve">補足：
</t>
    </r>
    <r>
      <rPr>
        <rFont val="メイリオ"/>
        <color rgb="FF000000"/>
        <sz val="10.0"/>
      </rPr>
      <t xml:space="preserve">・spec §4.6「メール送信に失敗した場合：HTTP 500 を返す（トークンは削除）」
</t>
    </r>
    <r>
      <rPr>
        <rFont val="メイリオ"/>
        <color rgb="FF000000"/>
        <sz val="10.0"/>
      </rPr>
      <t xml:space="preserve">・Trong implementation, mail gửi sau commit, nên thiết kế là token còn lại khi mail thất bại
</t>
    </r>
    <r>
      <rPr>
        <rFont val="メイリオ"/>
        <color rgb="FF000000"/>
        <sz val="10.0"/>
      </rPr>
      <t>・TBD: việc xóa token phụ thuộc implementation, QA cần xác nhận trên thực tế</t>
    </r>
  </si>
  <si>
    <t>Có lệch giữa thiết kế và implementation về xử lý token khi gửi mail thất bại, QA cần xác nhận thực tế.</t>
  </si>
  <si>
    <t>ACSMS-TC-012-048</t>
  </si>
  <si>
    <t>Lỗi chung — Hiển thị toast FE khi mất kết nối mạng</t>
  </si>
  <si>
    <t>・Màn hình đặt lại / thay đổi, đã nhập giá trị hợp lệ
・Chuyển Network tab DevTools sang chế độ mất kết nối mạng</t>
  </si>
  <si>
    <r>
      <rPr>
        <rFont val="メイリオ"/>
        <b/>
        <color rgb="FF000000"/>
        <sz val="10.0"/>
      </rPr>
      <t xml:space="preserve">ステップ1：
</t>
    </r>
    <r>
      <rPr>
        <rFont val="メイリオ"/>
        <color rgb="FF000000"/>
        <sz val="10.0"/>
      </rPr>
      <t xml:space="preserve">Nhấn nút gửi (hoặc nút cập nhật)
</t>
    </r>
    <r>
      <rPr>
        <rFont val="メイリオ"/>
        <b/>
        <color rgb="FF000000"/>
        <sz val="10.0"/>
      </rPr>
      <t xml:space="preserve">ステップ2：
</t>
    </r>
    <r>
      <rPr>
        <rFont val="メイリオ"/>
        <color rgb="FF000000"/>
        <sz val="10.0"/>
      </rPr>
      <t xml:space="preserve">Kiểm tra trạng thái màn hình
</t>
    </r>
    <r>
      <rPr>
        <rFont val="メイリオ"/>
        <b/>
        <color rgb="FF000000"/>
        <sz val="10.0"/>
      </rPr>
      <t xml:space="preserve">ステップ3：
</t>
    </r>
    <r>
      <rPr>
        <rFont val="メイリオ"/>
        <color rgb="FF000000"/>
        <sz val="10.0"/>
      </rPr>
      <t>Sau khi mạng được phục hồi, nhấn lại button</t>
    </r>
  </si>
  <si>
    <r>
      <rPr>
        <rFont val="メイリオ"/>
        <b/>
        <color rgb="FF000000"/>
        <sz val="10.0"/>
      </rPr>
      <t xml:space="preserve">ステップ1：
</t>
    </r>
    <r>
      <rPr>
        <rFont val="メイリオ"/>
        <color rgb="FF000000"/>
        <sz val="10.0"/>
      </rPr>
      <t xml:space="preserve">Toast「ネットワークエラーが発生しました。接続をご確認ください。」hiển thị
</t>
    </r>
    <r>
      <rPr>
        <rFont val="メイリオ"/>
        <b/>
        <color rgb="FF000000"/>
        <sz val="10.0"/>
      </rPr>
      <t xml:space="preserve">ステップ2：
</t>
    </r>
    <r>
      <rPr>
        <rFont val="メイリオ"/>
        <color rgb="FF000000"/>
        <sz val="10.0"/>
      </rPr>
      <t xml:space="preserve">Vẫn ở màn hình, giữ nguyên giá trị input
</t>
    </r>
    <r>
      <rPr>
        <rFont val="メイリオ"/>
        <b/>
        <color rgb="FF000000"/>
        <sz val="10.0"/>
      </rPr>
      <t xml:space="preserve">ステップ3：
</t>
    </r>
    <r>
      <rPr>
        <rFont val="メイリオ"/>
        <color rgb="FF000000"/>
        <sz val="10.0"/>
      </rPr>
      <t xml:space="preserve">Thành công bình thường, HTTP status code: 200
</t>
    </r>
    <r>
      <rPr>
        <rFont val="メイリオ"/>
        <b/>
        <color rgb="FF000000"/>
        <sz val="10.0"/>
      </rPr>
      <t xml:space="preserve">補足：
</t>
    </r>
    <r>
      <rPr>
        <rFont val="メイリオ"/>
        <color rgb="FF000000"/>
        <sz val="10.0"/>
      </rPr>
      <t xml:space="preserve">・Phát hiện network error → thông báo cho user
</t>
    </r>
    <r>
      <rPr>
        <rFont val="メイリオ"/>
        <color rgb="FF000000"/>
        <sz val="10.0"/>
      </rPr>
      <t xml:space="preserve">・Giá trị input được giữ, có thể gửi lại
</t>
    </r>
    <r>
      <rPr>
        <rFont val="メイリオ"/>
        <color rgb="FF000000"/>
        <sz val="10.0"/>
      </rPr>
      <t>・axios interceptor xử lý Network Error tập trung</t>
    </r>
  </si>
  <si>
    <t>ACSMS-TC-012-049</t>
  </si>
  <si>
    <t>User ID — Kiểm tra bắt buộc (rỗng + ký tự khoảng trắng)</t>
  </si>
  <si>
    <t>・Màn hình đặt lại mật khẩu</t>
  </si>
  <si>
    <r>
      <rPr>
        <rFont val="メイリオ"/>
        <b/>
        <color rgb="FF000000"/>
        <sz val="10.0"/>
      </rPr>
      <t xml:space="preserve">ステップ1：
</t>
    </r>
    <r>
      <rPr>
        <rFont val="メイリオ"/>
        <color rgb="FF000000"/>
        <sz val="10.0"/>
      </rPr>
      <t xml:space="preserve">Để trống User ID, chỉ nhập email → nhấn nút gửi
</t>
    </r>
    <r>
      <rPr>
        <rFont val="メイリオ"/>
        <b/>
        <color rgb="FF000000"/>
        <sz val="10.0"/>
      </rPr>
      <t xml:space="preserve">ステップ2：
</t>
    </r>
    <r>
      <rPr>
        <rFont val="メイリオ"/>
        <color rgb="FF000000"/>
        <sz val="10.0"/>
      </rPr>
      <t>Nhập 3 ký tự khoảng trắng (半角) → nhấn nút gửi</t>
    </r>
  </si>
  <si>
    <r>
      <rPr>
        <rFont val="メイリオ"/>
        <b/>
        <color rgb="FF000000"/>
        <sz val="10.0"/>
      </rPr>
      <t xml:space="preserve">ステップ1：
</t>
    </r>
    <r>
      <rPr>
        <rFont val="メイリオ"/>
        <color rgb="FF000000"/>
        <sz val="10.0"/>
      </rPr>
      <t xml:space="preserve">Hiển thị "ユーザーIDを入力してください。" ngay dưới ô nhập
</t>
    </r>
    <r>
      <rPr>
        <rFont val="メイリオ"/>
        <color rgb="FF000000"/>
        <sz val="10.0"/>
      </rPr>
      <t xml:space="preserve">FE chặn gửi request (không gọi API)
</t>
    </r>
    <r>
      <rPr>
        <rFont val="メイリオ"/>
        <b/>
        <color rgb="FF000000"/>
        <sz val="10.0"/>
      </rPr>
      <t xml:space="preserve">ステップ2：
</t>
    </r>
    <r>
      <rPr>
        <rFont val="メイリオ"/>
        <color rgb="FF000000"/>
        <sz val="10.0"/>
      </rPr>
      <t xml:space="preserve">`validateClient` phía FE dùng `trim()` để loại bỏ khoảng trắng đầu/cuối, coi là rỗng
</t>
    </r>
    <r>
      <rPr>
        <rFont val="メイリオ"/>
        <color rgb="FF000000"/>
        <sz val="10.0"/>
      </rPr>
      <t xml:space="preserve">Hiển thị "ユーザーIDを入力してください。"
</t>
    </r>
    <r>
      <rPr>
        <rFont val="メイリオ"/>
        <b/>
        <color rgb="FF000000"/>
        <sz val="10.0"/>
      </rPr>
      <t xml:space="preserve">補足：
</t>
    </r>
    <r>
      <rPr>
        <rFont val="メイリオ"/>
        <color rgb="FF000000"/>
        <sz val="10.0"/>
      </rPr>
      <t xml:space="preserve">・Cả trường hợp để trống lẫn chỉ nhập khoảng trắng đều bị coi là vi phạm bắt buộc
</t>
    </r>
    <r>
      <rPr>
        <rFont val="メイリオ"/>
        <color rgb="FF000000"/>
        <sz val="10.0"/>
      </rPr>
      <t xml:space="preserve">・Mã message là ACSMS-MSG-001-001 (dùng chung với màn hình đăng nhập. SCR-012 không có mã riêng)
</t>
    </r>
    <r>
      <rPr>
        <rFont val="メイリオ"/>
        <color rgb="FF000000"/>
        <sz val="10.0"/>
      </rPr>
      <t xml:space="preserve">・Implementation: dùng `form.login_id?.trim()` để kiểm tra an toàn (`ForgotPasswordView.vue`)
</t>
    </r>
    <r>
      <rPr>
        <rFont val="メイリオ"/>
        <color rgb="FF000000"/>
        <sz val="10.0"/>
      </rPr>
      <t>・Phía BE (`ForgotPasswordDto.login_id`) cũng validate lại bằng `@IsNotEmpty` + `@Matches(/^[\x21-\x7E]+$/)` (chỉ ký tự half-width) + `@MaxLength(20)`</t>
    </r>
  </si>
  <si>
    <t>ACSMS-TC-012-050</t>
  </si>
  <si>
    <t>User ID khớp nhưng email không khớp — 200 (chống liệt kê account)</t>
  </si>
  <si>
    <t>・Account đã đăng ký (login_id = `admin01`, email = `user@example.com`)</t>
  </si>
  <si>
    <r>
      <rPr>
        <rFont val="メイリオ"/>
        <b/>
        <color rgb="FF000000"/>
        <sz val="10.0"/>
      </rPr>
      <t xml:space="preserve">ステップ1：
</t>
    </r>
    <r>
      <rPr>
        <rFont val="メイリオ"/>
        <color rgb="FF000000"/>
        <sz val="10.0"/>
      </rPr>
      <t xml:space="preserve">Trên `/forgot-password` nhập User ID `admin01` (tồn tại), email `wrong@example.com` (không khớp email đã đăng ký) → gửi
</t>
    </r>
    <r>
      <rPr>
        <rFont val="メイリオ"/>
        <b/>
        <color rgb="FF000000"/>
        <sz val="10.0"/>
      </rPr>
      <t xml:space="preserve">ステップ2：
</t>
    </r>
    <r>
      <rPr>
        <rFont val="メイリオ"/>
        <color rgb="FF000000"/>
        <sz val="10.0"/>
      </rPr>
      <t xml:space="preserve">Kiểm tra response
</t>
    </r>
    <r>
      <rPr>
        <rFont val="メイリオ"/>
        <b/>
        <color rgb="FF000000"/>
        <sz val="10.0"/>
      </rPr>
      <t xml:space="preserve">ステップ3：
</t>
    </r>
    <r>
      <rPr>
        <rFont val="メイリオ"/>
        <color rgb="FF000000"/>
        <sz val="10.0"/>
      </rPr>
      <t>Kiểm tra `t_mfa_otp` trên DB</t>
    </r>
  </si>
  <si>
    <r>
      <rPr>
        <rFont val="メイリオ"/>
        <color rgb="FF000000"/>
        <sz val="10.0"/>
      </rPr>
      <t xml:space="preserve">ステップ1〜3：
</t>
    </r>
    <r>
      <rPr>
        <rFont val="メイリオ"/>
        <color rgb="FF000000"/>
        <sz val="10.0"/>
      </rPr>
      <t xml:space="preserve">HTTP status code: 200 (giống response khi cặp thông tin khớp)
</t>
    </r>
    <r>
      <rPr>
        <rFont val="メイリオ"/>
        <color rgb="FF000000"/>
        <sz val="10.0"/>
      </rPr>
      <t xml:space="preserve">Response: `{ message: "パスワード再設定用のメールを送信しました。メールを確認してください。" }`
</t>
    </r>
    <r>
      <rPr>
        <rFont val="メイリオ"/>
        <color rgb="FF000000"/>
        <sz val="10.0"/>
      </rPr>
      <t xml:space="preserve">Không INSERT vào `t_mfa_otp`, không gửi mail
</t>
    </r>
    <r>
      <rPr>
        <rFont val="メイリオ"/>
        <b/>
        <color rgb="FF000000"/>
        <sz val="10.0"/>
      </rPr>
      <t xml:space="preserve">補足：
</t>
    </r>
    <r>
      <rPr>
        <rFont val="メイリオ"/>
        <color rgb="FF000000"/>
        <sz val="10.0"/>
      </rPr>
      <t xml:space="preserve">・`email` không unique trong `m_account` (là email nhận thông báo, ※cho phép chuỗi rỗng), nên nếu chỉ xét riêng email có thể vô tình khớp nhầm với account khác. Dù User ID tồn tại, nếu email không khớp vẫn coi là "account không xác định" (yêu cầu khách hàng 2026-08)
</t>
    </r>
    <r>
      <rPr>
        <rFont val="メイリオ"/>
        <color rgb="FF000000"/>
        <sz val="10.0"/>
      </rPr>
      <t>・Implementation: `accountRepo.findOne({ where: { loginId, email, deletedAt: IsNull() } })` (điều kiện AND)</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</si>
</sst>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2">
    <font>
      <sz val="11.0"/>
      <color theme="1"/>
      <name val="Calibri"/>
      <scheme val="minor"/>
    </font>
    <font>
      <b/>
      <sz val="11.0"/>
      <color rgb="FF000000"/>
      <name val="游ゴシック"/>
    </font>
    <font/>
    <font>
      <sz val="11.0"/>
      <color theme="1"/>
      <name val="Calibri"/>
    </font>
    <font>
      <b/>
      <sz val="14.0"/>
      <color rgb="FF000000"/>
      <name val="游ゴシック"/>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sz val="11.0"/>
      <color theme="1"/>
      <name val="Arial"/>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D9E2F3"/>
        <bgColor rgb="FFD9E2F3"/>
      </patternFill>
    </fill>
    <fill>
      <patternFill patternType="solid">
        <fgColor rgb="FFFFFF99"/>
        <bgColor rgb="FFFFFF99"/>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top/>
      <bottom/>
    </border>
    <border>
      <top/>
      <bottom/>
    </border>
    <border>
      <left style="thin">
        <color rgb="FF000000"/>
      </left>
      <right style="thin">
        <color rgb="FF000000"/>
      </right>
      <top style="thin">
        <color rgb="FF000000"/>
      </top>
    </border>
    <border>
      <right/>
      <top/>
      <bottom/>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3" numFmtId="0" xfId="0" applyBorder="1" applyFont="1"/>
    <xf borderId="2" fillId="2" fontId="4" numFmtId="0" xfId="0" applyAlignment="1" applyBorder="1" applyFont="1">
      <alignment horizontal="center" shrinkToFit="0" vertical="center" wrapText="1"/>
    </xf>
    <xf borderId="6" fillId="0" fontId="3" numFmtId="0" xfId="0" applyBorder="1" applyFont="1"/>
    <xf borderId="1" fillId="0" fontId="5"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6" fillId="0" fontId="2" numFmtId="0" xfId="0" applyBorder="1" applyFont="1"/>
    <xf borderId="7" fillId="0" fontId="3" numFmtId="0" xfId="0" applyBorder="1" applyFont="1"/>
    <xf borderId="7" fillId="0" fontId="2" numFmtId="0" xfId="0" applyBorder="1" applyFont="1"/>
    <xf borderId="8" fillId="0" fontId="3" numFmtId="0" xfId="0" applyBorder="1" applyFont="1"/>
    <xf borderId="2" fillId="3" fontId="1" numFmtId="0" xfId="0" applyAlignment="1" applyBorder="1" applyFill="1" applyFont="1">
      <alignment horizontal="left" shrinkToFit="0" vertical="center" wrapText="1"/>
    </xf>
    <xf borderId="9" fillId="0" fontId="3" numFmtId="0" xfId="0" applyBorder="1" applyFont="1"/>
    <xf borderId="2" fillId="0" fontId="5" numFmtId="0" xfId="0" applyAlignment="1" applyBorder="1" applyFont="1">
      <alignment horizontal="left" shrinkToFit="0" vertical="center" wrapText="1"/>
    </xf>
    <xf borderId="5" fillId="0" fontId="5" numFmtId="49" xfId="0" applyAlignment="1" applyBorder="1" applyFont="1" applyNumberFormat="1">
      <alignment horizontal="center" shrinkToFit="0" vertical="center" wrapText="1"/>
    </xf>
    <xf borderId="8" fillId="0" fontId="6" numFmtId="0" xfId="0" applyAlignment="1" applyBorder="1" applyFont="1">
      <alignment horizontal="center" shrinkToFit="0" vertical="center" wrapText="1"/>
    </xf>
    <xf borderId="10" fillId="0" fontId="2" numFmtId="0" xfId="0" applyBorder="1" applyFont="1"/>
    <xf borderId="9" fillId="0" fontId="2" numFmtId="0" xfId="0" applyBorder="1" applyFont="1"/>
    <xf borderId="11" fillId="0" fontId="2" numFmtId="0" xfId="0" applyBorder="1" applyFont="1"/>
    <xf borderId="8" fillId="0" fontId="7" numFmtId="0" xfId="0" applyAlignment="1" applyBorder="1" applyFont="1">
      <alignment horizontal="center" shrinkToFit="0" vertical="center" wrapText="1"/>
    </xf>
    <xf borderId="12" fillId="0" fontId="2" numFmtId="0" xfId="0" applyBorder="1" applyFont="1"/>
    <xf borderId="8" fillId="0" fontId="8" numFmtId="0" xfId="0" applyAlignment="1" applyBorder="1" applyFont="1">
      <alignment horizontal="center" shrinkToFit="0" vertical="center" wrapText="1"/>
    </xf>
    <xf borderId="0" fillId="0" fontId="1" numFmtId="0" xfId="0" applyAlignment="1" applyFont="1">
      <alignment horizontal="left" shrinkToFit="0" vertical="center" wrapText="1"/>
    </xf>
    <xf borderId="2" fillId="4" fontId="9" numFmtId="0" xfId="0" applyAlignment="1" applyBorder="1" applyFill="1" applyFont="1">
      <alignment horizontal="center" shrinkToFit="0" vertical="center" wrapText="1"/>
    </xf>
    <xf borderId="0" fillId="0" fontId="5" numFmtId="0" xfId="0" applyAlignment="1" applyFont="1">
      <alignment horizontal="left" shrinkToFit="0" vertical="center" wrapText="1"/>
    </xf>
    <xf borderId="2" fillId="0" fontId="5" numFmtId="49" xfId="0" applyAlignment="1" applyBorder="1" applyFont="1" applyNumberFormat="1">
      <alignment horizontal="left" shrinkToFit="0" vertical="center" wrapText="1"/>
    </xf>
    <xf borderId="2" fillId="4" fontId="9" numFmtId="49" xfId="0" applyAlignment="1" applyBorder="1" applyFont="1" applyNumberFormat="1">
      <alignment horizontal="center" shrinkToFit="0" vertical="center" wrapText="1"/>
    </xf>
    <xf borderId="13" fillId="5" fontId="1" numFmtId="0" xfId="0" applyAlignment="1" applyBorder="1" applyFill="1" applyFont="1">
      <alignment horizontal="left" shrinkToFit="0" vertical="center" wrapText="1"/>
    </xf>
    <xf borderId="14" fillId="0" fontId="2" numFmtId="0" xfId="0" applyBorder="1" applyFont="1"/>
    <xf borderId="15" fillId="3" fontId="1" numFmtId="0" xfId="0" applyAlignment="1" applyBorder="1" applyFont="1">
      <alignment horizontal="center" shrinkToFit="0" vertical="center" wrapText="1"/>
    </xf>
    <xf borderId="5" fillId="3" fontId="1" numFmtId="0" xfId="0" applyAlignment="1" applyBorder="1" applyFont="1">
      <alignment horizontal="center" shrinkToFit="0" vertical="center" wrapText="1"/>
    </xf>
    <xf borderId="2" fillId="3" fontId="1" numFmtId="0" xfId="0" applyAlignment="1" applyBorder="1" applyFont="1">
      <alignment horizontal="center" shrinkToFit="0" vertical="center" wrapText="1"/>
    </xf>
    <xf borderId="16" fillId="0" fontId="2" numFmtId="0" xfId="0" applyBorder="1" applyFont="1"/>
    <xf borderId="10" fillId="0" fontId="3" numFmtId="0" xfId="0" applyBorder="1" applyFont="1"/>
    <xf borderId="11" fillId="0" fontId="3" numFmtId="0" xfId="0" applyBorder="1" applyFont="1"/>
    <xf borderId="17" fillId="0" fontId="2" numFmtId="0" xfId="0" applyBorder="1" applyFont="1"/>
    <xf borderId="12" fillId="0" fontId="3" numFmtId="0" xfId="0" applyBorder="1" applyFont="1"/>
    <xf borderId="1" fillId="6" fontId="1" numFmtId="0" xfId="0" applyAlignment="1" applyBorder="1" applyFill="1" applyFont="1">
      <alignment horizontal="left" shrinkToFit="0" vertical="center" wrapText="1"/>
    </xf>
    <xf borderId="2" fillId="0" fontId="5" numFmtId="164" xfId="0" applyAlignment="1" applyBorder="1" applyFont="1" applyNumberFormat="1">
      <alignment horizontal="center" shrinkToFit="0" vertical="center" wrapText="1"/>
    </xf>
    <xf borderId="2" fillId="0" fontId="1" numFmtId="0" xfId="0" applyAlignment="1" applyBorder="1" applyFont="1">
      <alignment horizontal="center" shrinkToFit="0" vertical="center" wrapText="1"/>
    </xf>
    <xf borderId="2" fillId="0" fontId="1" numFmtId="164" xfId="0" applyAlignment="1" applyBorder="1" applyFont="1" applyNumberFormat="1">
      <alignment horizontal="center" shrinkToFit="0" vertical="center" wrapText="1"/>
    </xf>
    <xf borderId="1" fillId="6" fontId="1" numFmtId="0" xfId="0" applyAlignment="1" applyBorder="1" applyFont="1">
      <alignment horizontal="center" shrinkToFit="0" vertical="center" wrapText="1"/>
    </xf>
    <xf borderId="2" fillId="6" fontId="1" numFmtId="0" xfId="0" applyAlignment="1" applyBorder="1" applyFont="1">
      <alignment horizontal="center" shrinkToFit="0" vertical="center" wrapText="1"/>
    </xf>
    <xf borderId="1" fillId="0" fontId="5" numFmtId="0" xfId="0" applyAlignment="1" applyBorder="1" applyFont="1">
      <alignment horizontal="center" shrinkToFit="0" vertical="top" wrapText="1"/>
    </xf>
    <xf borderId="2" fillId="0" fontId="5" numFmtId="0" xfId="0" applyAlignment="1" applyBorder="1" applyFont="1">
      <alignment horizontal="center" shrinkToFit="0" vertical="top" wrapText="1"/>
    </xf>
    <xf borderId="2" fillId="0" fontId="5" numFmtId="0" xfId="0" applyAlignment="1" applyBorder="1" applyFont="1">
      <alignment horizontal="left" shrinkToFit="0" vertical="top" wrapText="1"/>
    </xf>
    <xf borderId="2" fillId="7" fontId="1" numFmtId="0" xfId="0" applyAlignment="1" applyBorder="1" applyFill="1" applyFont="1">
      <alignment horizontal="center" shrinkToFit="0" vertical="top" wrapText="1"/>
    </xf>
    <xf borderId="2" fillId="8" fontId="1" numFmtId="0" xfId="0" applyAlignment="1" applyBorder="1" applyFill="1" applyFont="1">
      <alignment horizontal="center" shrinkToFit="0" vertical="top" wrapText="1"/>
    </xf>
    <xf borderId="2" fillId="6" fontId="1" numFmtId="0" xfId="0" applyAlignment="1" applyBorder="1" applyFont="1">
      <alignment horizontal="center" readingOrder="0" shrinkToFit="0" vertical="center" wrapText="1"/>
    </xf>
    <xf borderId="15" fillId="6" fontId="1" numFmtId="0" xfId="0" applyAlignment="1" applyBorder="1" applyFont="1">
      <alignment horizontal="center" shrinkToFit="0" vertical="center" wrapText="1"/>
    </xf>
    <xf borderId="5" fillId="6" fontId="1" numFmtId="0" xfId="0" applyAlignment="1" applyBorder="1" applyFont="1">
      <alignment horizontal="center" shrinkToFit="0" vertical="center" wrapText="1"/>
    </xf>
    <xf borderId="2" fillId="0" fontId="5" numFmtId="0" xfId="0" applyAlignment="1" applyBorder="1" applyFont="1">
      <alignment horizontal="left" readingOrder="0" shrinkToFit="0" vertical="top" wrapText="1"/>
    </xf>
    <xf borderId="2" fillId="0" fontId="5" numFmtId="0" xfId="0" applyAlignment="1" applyBorder="1" applyFont="1">
      <alignment horizontal="center" readingOrder="0" shrinkToFit="0" vertical="top" wrapText="1"/>
    </xf>
    <xf borderId="2" fillId="0" fontId="10" numFmtId="0" xfId="0" applyAlignment="1" applyBorder="1" applyFont="1">
      <alignment horizontal="center" shrinkToFit="0" vertical="top" wrapText="1"/>
    </xf>
    <xf borderId="2" fillId="0" fontId="10" numFmtId="165" xfId="0" applyAlignment="1" applyBorder="1" applyFont="1" applyNumberFormat="1">
      <alignment horizontal="center" shrinkToFit="0" vertical="top" wrapText="1"/>
    </xf>
    <xf borderId="2" fillId="0" fontId="10" numFmtId="0" xfId="0" applyAlignment="1" applyBorder="1" applyFont="1">
      <alignment horizontal="center" readingOrder="0" shrinkToFit="0" vertical="top" wrapText="1"/>
    </xf>
    <xf borderId="2" fillId="0" fontId="10" numFmtId="165" xfId="0" applyAlignment="1" applyBorder="1" applyFont="1" applyNumberFormat="1">
      <alignment horizontal="center" readingOrder="0" shrinkToFit="0" vertical="top" wrapText="1"/>
    </xf>
    <xf borderId="2" fillId="9" fontId="1" numFmtId="0" xfId="0" applyAlignment="1" applyBorder="1" applyFill="1" applyFont="1">
      <alignment horizontal="center" shrinkToFit="0" vertical="top" wrapText="1"/>
    </xf>
    <xf borderId="2" fillId="3" fontId="1" numFmtId="0" xfId="0" applyAlignment="1" applyBorder="1" applyFont="1">
      <alignment horizontal="right" shrinkToFit="0" vertical="center" wrapText="1"/>
    </xf>
    <xf borderId="2" fillId="0" fontId="1" numFmtId="0" xfId="0" applyAlignment="1" applyBorder="1" applyFont="1">
      <alignment horizontal="center" shrinkToFit="0" vertical="top" wrapText="1"/>
    </xf>
    <xf borderId="2" fillId="0" fontId="1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5"/>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12"/>
    </row>
    <row r="3" ht="12.75" customHeight="1">
      <c r="B3" s="14"/>
      <c r="AK3" s="16"/>
    </row>
    <row r="4" ht="12.75" customHeight="1">
      <c r="B4" s="14"/>
      <c r="AK4" s="16"/>
    </row>
    <row r="5" ht="12.75" customHeight="1">
      <c r="B5" s="14"/>
      <c r="AK5" s="16"/>
    </row>
    <row r="6" ht="12.75" customHeight="1">
      <c r="B6" s="14"/>
      <c r="AK6" s="16"/>
    </row>
    <row r="7" ht="12.75" customHeight="1">
      <c r="B7" s="14"/>
      <c r="AK7" s="16"/>
    </row>
    <row r="8" ht="12.75" customHeight="1">
      <c r="B8" s="14"/>
      <c r="AK8" s="16"/>
    </row>
    <row r="9" ht="12.75" customHeight="1">
      <c r="B9" s="14"/>
      <c r="AK9" s="16"/>
    </row>
    <row r="10" ht="29.25" customHeight="1">
      <c r="B10" s="19" t="s">
        <v>16</v>
      </c>
      <c r="AK10" s="21"/>
    </row>
    <row r="11" ht="12.75" customHeight="1">
      <c r="B11" s="14"/>
      <c r="AK11" s="16"/>
    </row>
    <row r="12" ht="39.0" customHeight="1">
      <c r="B12" s="23" t="s">
        <v>28</v>
      </c>
      <c r="AK12" s="21"/>
    </row>
    <row r="13" ht="12.75" customHeight="1">
      <c r="B13" s="14"/>
      <c r="AK13" s="16"/>
    </row>
    <row r="14" ht="12.75" customHeight="1">
      <c r="B14" s="14"/>
      <c r="AK14" s="16"/>
    </row>
    <row r="15" ht="12.75" customHeight="1">
      <c r="B15" s="25" t="s">
        <v>30</v>
      </c>
      <c r="AK15" s="21"/>
    </row>
    <row r="16" ht="12.75" customHeight="1">
      <c r="B16" s="14"/>
      <c r="AK16" s="16"/>
    </row>
    <row r="17" ht="12.75" customHeight="1">
      <c r="B17" s="14"/>
      <c r="AK17" s="16"/>
    </row>
    <row r="18" ht="12.75" customHeight="1">
      <c r="B18" s="14"/>
      <c r="N18" s="27" t="s">
        <v>34</v>
      </c>
      <c r="O18" s="3"/>
      <c r="P18" s="3"/>
      <c r="Q18" s="3"/>
      <c r="R18" s="4"/>
      <c r="S18" s="27" t="s">
        <v>36</v>
      </c>
      <c r="T18" s="3"/>
      <c r="U18" s="3"/>
      <c r="V18" s="3"/>
      <c r="W18" s="4"/>
      <c r="AK18" s="16"/>
    </row>
    <row r="19" ht="12.75" customHeight="1">
      <c r="B19" s="14"/>
      <c r="N19" s="27" t="s">
        <v>39</v>
      </c>
      <c r="O19" s="3"/>
      <c r="P19" s="3"/>
      <c r="Q19" s="3"/>
      <c r="R19" s="4"/>
      <c r="S19" s="27" t="s">
        <v>29</v>
      </c>
      <c r="T19" s="3"/>
      <c r="U19" s="3"/>
      <c r="V19" s="3"/>
      <c r="W19" s="4"/>
      <c r="AK19" s="16"/>
    </row>
    <row r="20" ht="12.75" customHeight="1">
      <c r="B20" s="14"/>
      <c r="N20" s="27" t="s">
        <v>2</v>
      </c>
      <c r="O20" s="3"/>
      <c r="P20" s="3"/>
      <c r="Q20" s="3"/>
      <c r="R20" s="4"/>
      <c r="S20" s="30" t="s">
        <v>23</v>
      </c>
      <c r="T20" s="3"/>
      <c r="U20" s="3"/>
      <c r="V20" s="3"/>
      <c r="W20" s="4"/>
      <c r="AK20" s="16"/>
    </row>
    <row r="21" ht="12.75" customHeight="1">
      <c r="B21" s="14"/>
      <c r="AK21" s="16"/>
    </row>
    <row r="22" ht="12.75" customHeight="1">
      <c r="B22" s="14"/>
      <c r="AK22" s="16"/>
    </row>
    <row r="23" ht="12.75" customHeight="1">
      <c r="B23" s="14"/>
      <c r="AK23" s="16"/>
    </row>
    <row r="24" ht="12.75" customHeight="1">
      <c r="B24" s="14"/>
      <c r="AK24" s="16"/>
    </row>
    <row r="25" ht="12.75" customHeight="1">
      <c r="B25" s="14"/>
      <c r="AK25" s="16"/>
    </row>
    <row r="26" ht="12.75" customHeight="1">
      <c r="B26" s="14"/>
      <c r="AK26" s="16"/>
    </row>
    <row r="27" ht="12.75" customHeight="1">
      <c r="B27" s="14"/>
      <c r="AK27" s="16"/>
    </row>
    <row r="28" ht="12.75" customHeight="1">
      <c r="B28" s="14"/>
      <c r="AK28" s="16"/>
    </row>
    <row r="29" ht="12.75" customHeight="1">
      <c r="B29" s="14"/>
      <c r="AK29" s="16"/>
    </row>
    <row r="30" ht="12.75" customHeight="1">
      <c r="B30" s="14"/>
      <c r="AK30" s="16"/>
    </row>
    <row r="31" ht="12.75" customHeight="1">
      <c r="B31" s="14"/>
      <c r="AK31" s="16"/>
    </row>
    <row r="32" ht="12.75" customHeight="1">
      <c r="B32" s="14"/>
      <c r="AK32" s="16"/>
    </row>
    <row r="33" ht="12.75" customHeight="1">
      <c r="B33" s="14"/>
      <c r="AK33" s="16"/>
    </row>
    <row r="34" ht="12.75" customHeight="1">
      <c r="B34" s="37"/>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40"/>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1" t="s">
        <v>0</v>
      </c>
      <c r="B1" s="2" t="s">
        <v>2</v>
      </c>
      <c r="C1" s="3"/>
      <c r="D1" s="3"/>
      <c r="E1" s="4"/>
      <c r="F1" s="2" t="s">
        <v>3</v>
      </c>
      <c r="G1" s="3"/>
      <c r="H1" s="4"/>
      <c r="I1" s="2" t="s">
        <v>6</v>
      </c>
      <c r="J1" s="3"/>
      <c r="K1" s="3"/>
      <c r="L1" s="3"/>
      <c r="M1" s="3"/>
      <c r="N1" s="4"/>
      <c r="O1" s="2" t="s">
        <v>8</v>
      </c>
      <c r="P1" s="3"/>
      <c r="Q1" s="3"/>
      <c r="R1" s="3"/>
      <c r="S1" s="3"/>
      <c r="T1" s="3"/>
      <c r="U1" s="3"/>
      <c r="V1" s="4"/>
      <c r="W1" s="2" t="s">
        <v>10</v>
      </c>
      <c r="X1" s="3"/>
      <c r="Y1" s="3"/>
      <c r="Z1" s="3"/>
      <c r="AA1" s="3"/>
      <c r="AB1" s="4"/>
      <c r="AC1" s="2" t="s">
        <v>12</v>
      </c>
      <c r="AD1" s="3"/>
      <c r="AE1" s="3"/>
      <c r="AF1" s="3"/>
      <c r="AG1" s="3"/>
      <c r="AH1" s="4"/>
    </row>
    <row r="2" ht="22.5" customHeight="1">
      <c r="A2" s="8">
        <v>1.0</v>
      </c>
      <c r="B2" s="9" t="s">
        <v>15</v>
      </c>
      <c r="C2" s="3"/>
      <c r="D2" s="3"/>
      <c r="E2" s="4"/>
      <c r="F2" s="9" t="s">
        <v>17</v>
      </c>
      <c r="G2" s="3"/>
      <c r="H2" s="4"/>
      <c r="I2" s="9" t="s">
        <v>18</v>
      </c>
      <c r="J2" s="3"/>
      <c r="K2" s="3"/>
      <c r="L2" s="3"/>
      <c r="M2" s="3"/>
      <c r="N2" s="4"/>
      <c r="O2" s="17" t="s">
        <v>21</v>
      </c>
      <c r="P2" s="3"/>
      <c r="Q2" s="3"/>
      <c r="R2" s="3"/>
      <c r="S2" s="3"/>
      <c r="T2" s="3"/>
      <c r="U2" s="3"/>
      <c r="V2" s="4"/>
      <c r="W2" s="9" t="s">
        <v>24</v>
      </c>
      <c r="X2" s="3"/>
      <c r="Y2" s="3"/>
      <c r="Z2" s="3"/>
      <c r="AA2" s="3"/>
      <c r="AB2" s="4"/>
      <c r="AC2" s="9"/>
      <c r="AD2" s="3"/>
      <c r="AE2" s="3"/>
      <c r="AF2" s="3"/>
      <c r="AG2" s="3"/>
      <c r="AH2" s="4"/>
    </row>
    <row r="3" ht="22.5" customHeight="1">
      <c r="A3" s="8">
        <v>2.0</v>
      </c>
      <c r="B3" s="9" t="s">
        <v>27</v>
      </c>
      <c r="C3" s="3"/>
      <c r="D3" s="3"/>
      <c r="E3" s="4"/>
      <c r="F3" s="9" t="s">
        <v>29</v>
      </c>
      <c r="G3" s="3"/>
      <c r="H3" s="4"/>
      <c r="I3" s="9" t="s">
        <v>25</v>
      </c>
      <c r="J3" s="3"/>
      <c r="K3" s="3"/>
      <c r="L3" s="3"/>
      <c r="M3" s="3"/>
      <c r="N3" s="4"/>
      <c r="O3" s="17" t="s">
        <v>31</v>
      </c>
      <c r="P3" s="3"/>
      <c r="Q3" s="3"/>
      <c r="R3" s="3"/>
      <c r="S3" s="3"/>
      <c r="T3" s="3"/>
      <c r="U3" s="3"/>
      <c r="V3" s="4"/>
      <c r="W3" s="9" t="s">
        <v>32</v>
      </c>
      <c r="X3" s="3"/>
      <c r="Y3" s="3"/>
      <c r="Z3" s="3"/>
      <c r="AA3" s="3"/>
      <c r="AB3" s="4"/>
      <c r="AC3" s="9"/>
      <c r="AD3" s="3"/>
      <c r="AE3" s="3"/>
      <c r="AF3" s="3"/>
      <c r="AG3" s="3"/>
      <c r="AH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F2:H2"/>
    <mergeCell ref="I2:N2"/>
    <mergeCell ref="B3:E3"/>
    <mergeCell ref="F3:H3"/>
    <mergeCell ref="I3:N3"/>
    <mergeCell ref="O2:V2"/>
    <mergeCell ref="W2:AB2"/>
    <mergeCell ref="O3:V3"/>
    <mergeCell ref="W3:AB3"/>
    <mergeCell ref="AC3:AH3"/>
    <mergeCell ref="B1:E1"/>
    <mergeCell ref="F1:H1"/>
    <mergeCell ref="I1:N1"/>
    <mergeCell ref="O1:V1"/>
    <mergeCell ref="W1:AB1"/>
    <mergeCell ref="AC1:AH1"/>
    <mergeCell ref="B2:E2"/>
    <mergeCell ref="AC2:AH2"/>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2" t="s">
        <v>1</v>
      </c>
      <c r="B1" s="3"/>
      <c r="C1" s="3"/>
      <c r="D1" s="3"/>
      <c r="E1" s="3"/>
      <c r="F1" s="3"/>
      <c r="G1" s="3"/>
      <c r="H1" s="3"/>
      <c r="I1" s="4"/>
      <c r="J1" s="2" t="s">
        <v>5</v>
      </c>
      <c r="K1" s="3"/>
      <c r="L1" s="3"/>
      <c r="M1" s="3"/>
      <c r="N1" s="3"/>
      <c r="O1" s="3"/>
      <c r="P1" s="4"/>
      <c r="Q1" s="2" t="s">
        <v>7</v>
      </c>
      <c r="R1" s="3"/>
      <c r="S1" s="3"/>
      <c r="T1" s="3"/>
      <c r="U1" s="4"/>
      <c r="V1" s="2" t="s">
        <v>9</v>
      </c>
      <c r="W1" s="3"/>
      <c r="X1" s="3"/>
      <c r="Y1" s="4"/>
      <c r="Z1" s="2" t="s">
        <v>11</v>
      </c>
      <c r="AA1" s="3"/>
      <c r="AB1" s="3"/>
      <c r="AC1" s="4"/>
      <c r="AD1" s="2" t="s">
        <v>13</v>
      </c>
      <c r="AE1" s="3"/>
      <c r="AF1" s="3"/>
      <c r="AG1" s="4"/>
      <c r="AH1" s="2" t="s">
        <v>14</v>
      </c>
      <c r="AI1" s="3"/>
      <c r="AJ1" s="3"/>
      <c r="AK1" s="4"/>
    </row>
    <row r="2" ht="19.5" customHeight="1">
      <c r="A2" s="10" t="s">
        <v>16</v>
      </c>
      <c r="B2" s="11"/>
      <c r="C2" s="11"/>
      <c r="D2" s="11"/>
      <c r="E2" s="11"/>
      <c r="F2" s="11"/>
      <c r="G2" s="11"/>
      <c r="H2" s="11"/>
      <c r="I2" s="13"/>
      <c r="J2" s="10" t="s">
        <v>20</v>
      </c>
      <c r="K2" s="11"/>
      <c r="L2" s="11"/>
      <c r="M2" s="11"/>
      <c r="N2" s="11"/>
      <c r="O2" s="11"/>
      <c r="P2" s="13"/>
      <c r="Q2" s="10" t="s">
        <v>22</v>
      </c>
      <c r="R2" s="11"/>
      <c r="S2" s="11"/>
      <c r="T2" s="11"/>
      <c r="U2" s="13"/>
      <c r="V2" s="18" t="s">
        <v>23</v>
      </c>
      <c r="W2" s="11"/>
      <c r="X2" s="11"/>
      <c r="Y2" s="13"/>
      <c r="Z2" s="10" t="s">
        <v>25</v>
      </c>
      <c r="AA2" s="11"/>
      <c r="AB2" s="11"/>
      <c r="AC2" s="13"/>
      <c r="AD2" s="18" t="s">
        <v>23</v>
      </c>
      <c r="AE2" s="11"/>
      <c r="AF2" s="11"/>
      <c r="AG2" s="13"/>
      <c r="AH2" s="10" t="s">
        <v>25</v>
      </c>
      <c r="AI2" s="11"/>
      <c r="AJ2" s="11"/>
      <c r="AK2" s="13"/>
    </row>
    <row r="3" ht="19.5" customHeight="1">
      <c r="A3" s="20"/>
      <c r="B3" s="22"/>
      <c r="C3" s="22"/>
      <c r="D3" s="22"/>
      <c r="E3" s="22"/>
      <c r="F3" s="22"/>
      <c r="G3" s="22"/>
      <c r="H3" s="22"/>
      <c r="I3" s="24"/>
      <c r="J3" s="20"/>
      <c r="K3" s="22"/>
      <c r="L3" s="22"/>
      <c r="M3" s="22"/>
      <c r="N3" s="22"/>
      <c r="O3" s="22"/>
      <c r="P3" s="24"/>
      <c r="Q3" s="20"/>
      <c r="R3" s="22"/>
      <c r="S3" s="22"/>
      <c r="T3" s="22"/>
      <c r="U3" s="24"/>
      <c r="V3" s="20"/>
      <c r="W3" s="22"/>
      <c r="X3" s="22"/>
      <c r="Y3" s="24"/>
      <c r="Z3" s="20"/>
      <c r="AA3" s="22"/>
      <c r="AB3" s="22"/>
      <c r="AC3" s="24"/>
      <c r="AD3" s="20"/>
      <c r="AE3" s="22"/>
      <c r="AF3" s="22"/>
      <c r="AG3" s="24"/>
      <c r="AH3" s="20"/>
      <c r="AI3" s="22"/>
      <c r="AJ3" s="22"/>
      <c r="AK3" s="24"/>
    </row>
    <row r="4" ht="15.0" customHeight="1"/>
    <row r="5" ht="19.5" customHeight="1">
      <c r="B5" s="26" t="s">
        <v>33</v>
      </c>
    </row>
    <row r="6" ht="19.5" customHeight="1">
      <c r="C6" s="28" t="s">
        <v>35</v>
      </c>
    </row>
    <row r="7" ht="19.5" customHeight="1">
      <c r="C7" s="28" t="s">
        <v>37</v>
      </c>
    </row>
    <row r="8" ht="19.5" customHeight="1">
      <c r="C8" s="28" t="s">
        <v>38</v>
      </c>
    </row>
    <row r="9" ht="19.5" customHeight="1">
      <c r="C9" s="28" t="s">
        <v>40</v>
      </c>
    </row>
    <row r="10" ht="19.5" customHeight="1">
      <c r="C10" s="28" t="s">
        <v>41</v>
      </c>
    </row>
    <row r="11" ht="19.5" customHeight="1">
      <c r="C11" s="28" t="s">
        <v>42</v>
      </c>
    </row>
    <row r="12" ht="15.0" customHeight="1"/>
    <row r="13" ht="19.5" customHeight="1">
      <c r="B13" s="26" t="s">
        <v>43</v>
      </c>
    </row>
    <row r="14" ht="19.5" customHeight="1">
      <c r="C14" s="31" t="s">
        <v>44</v>
      </c>
      <c r="D14" s="32"/>
      <c r="E14" s="32"/>
      <c r="F14" s="32"/>
      <c r="G14" s="32"/>
      <c r="H14" s="32"/>
      <c r="I14" s="32"/>
      <c r="J14" s="32"/>
      <c r="K14" s="32"/>
      <c r="L14" s="32"/>
      <c r="M14" s="32"/>
      <c r="N14" s="32"/>
      <c r="O14" s="32"/>
      <c r="P14" s="32"/>
      <c r="Q14" s="32"/>
      <c r="R14" s="32"/>
      <c r="S14" s="32"/>
      <c r="T14" s="32"/>
      <c r="U14" s="32"/>
      <c r="V14" s="32"/>
      <c r="W14" s="32"/>
      <c r="X14" s="32"/>
      <c r="Y14" s="32"/>
      <c r="Z14" s="32"/>
      <c r="AA14" s="32"/>
      <c r="AB14" s="32"/>
      <c r="AC14" s="32"/>
      <c r="AD14" s="32"/>
      <c r="AE14" s="32"/>
      <c r="AF14" s="32"/>
      <c r="AG14" s="32"/>
      <c r="AH14" s="32"/>
      <c r="AI14" s="32"/>
      <c r="AJ14" s="32"/>
      <c r="AK14" s="36"/>
    </row>
    <row r="15" ht="19.5" customHeight="1">
      <c r="C15" s="31" t="s">
        <v>48</v>
      </c>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6"/>
    </row>
    <row r="16" ht="19.5" customHeight="1">
      <c r="C16" s="31" t="s">
        <v>52</v>
      </c>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6"/>
    </row>
    <row r="17" ht="19.5" customHeight="1">
      <c r="C17" s="31" t="s">
        <v>58</v>
      </c>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32"/>
      <c r="AH17" s="32"/>
      <c r="AI17" s="32"/>
      <c r="AJ17" s="32"/>
      <c r="AK17" s="36"/>
    </row>
    <row r="18" ht="19.5" customHeight="1">
      <c r="C18" s="31" t="s">
        <v>63</v>
      </c>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6"/>
    </row>
    <row r="19" ht="19.5" customHeight="1">
      <c r="C19" s="31" t="s">
        <v>64</v>
      </c>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6"/>
    </row>
    <row r="20" ht="15.0" customHeight="1"/>
    <row r="21" ht="19.5" customHeight="1">
      <c r="B21" s="26" t="s">
        <v>65</v>
      </c>
    </row>
    <row r="22" ht="15.0" customHeight="1"/>
    <row r="23" ht="22.5" customHeight="1">
      <c r="C23" s="1" t="s">
        <v>66</v>
      </c>
      <c r="D23" s="2" t="s">
        <v>67</v>
      </c>
      <c r="E23" s="3"/>
      <c r="F23" s="3"/>
      <c r="G23" s="3"/>
      <c r="H23" s="3"/>
      <c r="I23" s="3"/>
      <c r="J23" s="3"/>
      <c r="K23" s="3"/>
      <c r="L23" s="3"/>
      <c r="M23" s="3"/>
      <c r="N23" s="4"/>
      <c r="O23" s="2" t="s">
        <v>68</v>
      </c>
      <c r="P23" s="3"/>
      <c r="Q23" s="3"/>
      <c r="R23" s="3"/>
      <c r="S23" s="3"/>
      <c r="T23" s="3"/>
      <c r="U23" s="3"/>
      <c r="V23" s="3"/>
      <c r="W23" s="3"/>
      <c r="X23" s="3"/>
      <c r="Y23" s="3"/>
      <c r="Z23" s="3"/>
      <c r="AA23" s="3"/>
      <c r="AB23" s="3"/>
      <c r="AC23" s="3"/>
      <c r="AD23" s="3"/>
      <c r="AE23" s="3"/>
      <c r="AF23" s="3"/>
      <c r="AG23" s="4"/>
    </row>
    <row r="24" ht="22.5" customHeight="1">
      <c r="C24" s="8">
        <v>1.0</v>
      </c>
      <c r="D24" s="17" t="s">
        <v>69</v>
      </c>
      <c r="E24" s="3"/>
      <c r="F24" s="3"/>
      <c r="G24" s="3"/>
      <c r="H24" s="3"/>
      <c r="I24" s="3"/>
      <c r="J24" s="3"/>
      <c r="K24" s="3"/>
      <c r="L24" s="3"/>
      <c r="M24" s="3"/>
      <c r="N24" s="4"/>
      <c r="O24" s="17" t="s">
        <v>70</v>
      </c>
      <c r="P24" s="3"/>
      <c r="Q24" s="3"/>
      <c r="R24" s="3"/>
      <c r="S24" s="3"/>
      <c r="T24" s="3"/>
      <c r="U24" s="3"/>
      <c r="V24" s="3"/>
      <c r="W24" s="3"/>
      <c r="X24" s="3"/>
      <c r="Y24" s="3"/>
      <c r="Z24" s="3"/>
      <c r="AA24" s="3"/>
      <c r="AB24" s="3"/>
      <c r="AC24" s="3"/>
      <c r="AD24" s="3"/>
      <c r="AE24" s="3"/>
      <c r="AF24" s="3"/>
      <c r="AG24" s="4"/>
    </row>
    <row r="25" ht="22.5" customHeight="1">
      <c r="C25" s="8">
        <v>2.0</v>
      </c>
      <c r="D25" s="17" t="s">
        <v>71</v>
      </c>
      <c r="E25" s="3"/>
      <c r="F25" s="3"/>
      <c r="G25" s="3"/>
      <c r="H25" s="3"/>
      <c r="I25" s="3"/>
      <c r="J25" s="3"/>
      <c r="K25" s="3"/>
      <c r="L25" s="3"/>
      <c r="M25" s="3"/>
      <c r="N25" s="4"/>
      <c r="O25" s="17" t="s">
        <v>72</v>
      </c>
      <c r="P25" s="3"/>
      <c r="Q25" s="3"/>
      <c r="R25" s="3"/>
      <c r="S25" s="3"/>
      <c r="T25" s="3"/>
      <c r="U25" s="3"/>
      <c r="V25" s="3"/>
      <c r="W25" s="3"/>
      <c r="X25" s="3"/>
      <c r="Y25" s="3"/>
      <c r="Z25" s="3"/>
      <c r="AA25" s="3"/>
      <c r="AB25" s="3"/>
      <c r="AC25" s="3"/>
      <c r="AD25" s="3"/>
      <c r="AE25" s="3"/>
      <c r="AF25" s="3"/>
      <c r="AG25" s="4"/>
    </row>
    <row r="26" ht="22.5" customHeight="1">
      <c r="C26" s="8">
        <v>3.0</v>
      </c>
      <c r="D26" s="17" t="s">
        <v>73</v>
      </c>
      <c r="E26" s="3"/>
      <c r="F26" s="3"/>
      <c r="G26" s="3"/>
      <c r="H26" s="3"/>
      <c r="I26" s="3"/>
      <c r="J26" s="3"/>
      <c r="K26" s="3"/>
      <c r="L26" s="3"/>
      <c r="M26" s="3"/>
      <c r="N26" s="4"/>
      <c r="O26" s="17" t="s">
        <v>74</v>
      </c>
      <c r="P26" s="3"/>
      <c r="Q26" s="3"/>
      <c r="R26" s="3"/>
      <c r="S26" s="3"/>
      <c r="T26" s="3"/>
      <c r="U26" s="3"/>
      <c r="V26" s="3"/>
      <c r="W26" s="3"/>
      <c r="X26" s="3"/>
      <c r="Y26" s="3"/>
      <c r="Z26" s="3"/>
      <c r="AA26" s="3"/>
      <c r="AB26" s="3"/>
      <c r="AC26" s="3"/>
      <c r="AD26" s="3"/>
      <c r="AE26" s="3"/>
      <c r="AF26" s="3"/>
      <c r="AG26" s="4"/>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C7:AK7"/>
    <mergeCell ref="C8:AK8"/>
    <mergeCell ref="C9:AK9"/>
    <mergeCell ref="C10:AK10"/>
    <mergeCell ref="C11:AK11"/>
    <mergeCell ref="B13:AK13"/>
    <mergeCell ref="C14:AK14"/>
    <mergeCell ref="C15:AK15"/>
    <mergeCell ref="C16:AK16"/>
    <mergeCell ref="C17:AK17"/>
    <mergeCell ref="C18:AK18"/>
    <mergeCell ref="C19:AK19"/>
    <mergeCell ref="D26:N26"/>
    <mergeCell ref="O26:AG26"/>
    <mergeCell ref="B21:AK21"/>
    <mergeCell ref="D23:N23"/>
    <mergeCell ref="O23:AG23"/>
    <mergeCell ref="D24:N24"/>
    <mergeCell ref="O24:AG24"/>
    <mergeCell ref="D25:N25"/>
    <mergeCell ref="O25:AG25"/>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6" t="s">
        <v>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row>
    <row r="3" ht="22.5" customHeight="1">
      <c r="A3" s="15" t="s">
        <v>19</v>
      </c>
      <c r="B3" s="3"/>
      <c r="C3" s="3"/>
      <c r="D3" s="3"/>
      <c r="E3" s="3"/>
      <c r="F3" s="4"/>
      <c r="G3" s="17" t="s">
        <v>16</v>
      </c>
      <c r="H3" s="3"/>
      <c r="I3" s="3"/>
      <c r="J3" s="3"/>
      <c r="K3" s="3"/>
      <c r="L3" s="3"/>
      <c r="M3" s="3"/>
      <c r="N3" s="3"/>
      <c r="O3" s="4"/>
      <c r="P3" s="15" t="s">
        <v>26</v>
      </c>
      <c r="Q3" s="3"/>
      <c r="R3" s="3"/>
      <c r="S3" s="3"/>
      <c r="T3" s="3"/>
      <c r="U3" s="3"/>
      <c r="V3" s="3"/>
      <c r="W3" s="4"/>
      <c r="X3" s="17" t="s">
        <v>24</v>
      </c>
      <c r="Y3" s="3"/>
      <c r="Z3" s="3"/>
      <c r="AA3" s="3"/>
      <c r="AB3" s="3"/>
      <c r="AC3" s="3"/>
      <c r="AD3" s="3"/>
      <c r="AE3" s="3"/>
      <c r="AF3" s="3"/>
      <c r="AG3" s="3"/>
      <c r="AH3" s="4"/>
    </row>
    <row r="4" ht="22.5" customHeight="1">
      <c r="A4" s="15" t="s">
        <v>6</v>
      </c>
      <c r="B4" s="3"/>
      <c r="C4" s="3"/>
      <c r="D4" s="3"/>
      <c r="E4" s="3"/>
      <c r="F4" s="4"/>
      <c r="G4" s="17" t="s">
        <v>25</v>
      </c>
      <c r="H4" s="3"/>
      <c r="I4" s="3"/>
      <c r="J4" s="3"/>
      <c r="K4" s="3"/>
      <c r="L4" s="3"/>
      <c r="M4" s="3"/>
      <c r="N4" s="3"/>
      <c r="O4" s="4"/>
      <c r="P4" s="15" t="s">
        <v>9</v>
      </c>
      <c r="Q4" s="3"/>
      <c r="R4" s="3"/>
      <c r="S4" s="3"/>
      <c r="T4" s="3"/>
      <c r="U4" s="3"/>
      <c r="V4" s="3"/>
      <c r="W4" s="4"/>
      <c r="X4" s="29" t="s">
        <v>23</v>
      </c>
      <c r="Y4" s="3"/>
      <c r="Z4" s="3"/>
      <c r="AA4" s="3"/>
      <c r="AB4" s="3"/>
      <c r="AC4" s="3"/>
      <c r="AD4" s="3"/>
      <c r="AE4" s="3"/>
      <c r="AF4" s="3"/>
      <c r="AG4" s="3"/>
      <c r="AH4" s="4"/>
    </row>
    <row r="6" ht="22.5" customHeight="1">
      <c r="A6" s="33" t="s">
        <v>45</v>
      </c>
      <c r="B6" s="34" t="s">
        <v>46</v>
      </c>
      <c r="C6" s="11"/>
      <c r="D6" s="11"/>
      <c r="E6" s="11"/>
      <c r="F6" s="11"/>
      <c r="G6" s="13"/>
      <c r="H6" s="35" t="s">
        <v>47</v>
      </c>
      <c r="I6" s="3"/>
      <c r="J6" s="3"/>
      <c r="K6" s="3"/>
      <c r="L6" s="3"/>
      <c r="M6" s="3"/>
      <c r="N6" s="3"/>
      <c r="O6" s="3"/>
      <c r="P6" s="4"/>
      <c r="Q6" s="34" t="s">
        <v>49</v>
      </c>
      <c r="R6" s="11"/>
      <c r="S6" s="13"/>
      <c r="T6" s="35" t="s">
        <v>50</v>
      </c>
      <c r="U6" s="3"/>
      <c r="V6" s="3"/>
      <c r="W6" s="3"/>
      <c r="X6" s="3"/>
      <c r="Y6" s="3"/>
      <c r="Z6" s="3"/>
      <c r="AA6" s="3"/>
      <c r="AB6" s="3"/>
      <c r="AC6" s="3"/>
      <c r="AD6" s="3"/>
      <c r="AE6" s="3"/>
      <c r="AF6" s="3"/>
      <c r="AG6" s="3"/>
      <c r="AH6" s="4"/>
    </row>
    <row r="7" ht="22.5" customHeight="1">
      <c r="A7" s="39"/>
      <c r="B7" s="20"/>
      <c r="C7" s="22"/>
      <c r="D7" s="22"/>
      <c r="E7" s="22"/>
      <c r="F7" s="22"/>
      <c r="G7" s="24"/>
      <c r="H7" s="35" t="s">
        <v>51</v>
      </c>
      <c r="I7" s="3"/>
      <c r="J7" s="4"/>
      <c r="K7" s="35" t="s">
        <v>53</v>
      </c>
      <c r="L7" s="3"/>
      <c r="M7" s="4"/>
      <c r="N7" s="35" t="s">
        <v>54</v>
      </c>
      <c r="O7" s="3"/>
      <c r="P7" s="4"/>
      <c r="Q7" s="20"/>
      <c r="R7" s="22"/>
      <c r="S7" s="24"/>
      <c r="T7" s="35" t="s">
        <v>55</v>
      </c>
      <c r="U7" s="3"/>
      <c r="V7" s="4"/>
      <c r="W7" s="35" t="s">
        <v>56</v>
      </c>
      <c r="X7" s="3"/>
      <c r="Y7" s="4"/>
      <c r="Z7" s="35" t="s">
        <v>57</v>
      </c>
      <c r="AA7" s="3"/>
      <c r="AB7" s="4"/>
      <c r="AC7" s="35" t="s">
        <v>59</v>
      </c>
      <c r="AD7" s="3"/>
      <c r="AE7" s="4"/>
      <c r="AF7" s="35" t="s">
        <v>60</v>
      </c>
      <c r="AG7" s="3"/>
      <c r="AH7" s="4"/>
    </row>
    <row r="8" ht="22.5" customHeight="1">
      <c r="A8" s="41" t="s">
        <v>61</v>
      </c>
    </row>
    <row r="9" ht="22.5" customHeight="1">
      <c r="A9" s="8">
        <v>1.0</v>
      </c>
      <c r="B9" s="17" t="s">
        <v>62</v>
      </c>
      <c r="C9" s="3"/>
      <c r="D9" s="3"/>
      <c r="E9" s="3"/>
      <c r="F9" s="3"/>
      <c r="G9" s="4"/>
      <c r="H9" s="9">
        <f t="array" ref="H9">INDIRECT("'"&amp;$B9&amp;"'!H7",TRUE)</f>
        <v>21</v>
      </c>
      <c r="I9" s="3"/>
      <c r="J9" s="4"/>
      <c r="K9" s="9">
        <f t="array" ref="K9">INDIRECT("'"&amp;$B9&amp;"'!K7",TRUE)</f>
        <v>27</v>
      </c>
      <c r="L9" s="3"/>
      <c r="M9" s="4"/>
      <c r="N9" s="9">
        <f t="array" ref="N9">INDIRECT("'"&amp;$B9&amp;"'!N7",TRUE)</f>
        <v>2</v>
      </c>
      <c r="O9" s="3"/>
      <c r="P9" s="4"/>
      <c r="Q9" s="9">
        <f t="array" ref="Q9">INDIRECT("'"&amp;$B9&amp;"'!Q7",TRUE)</f>
        <v>50</v>
      </c>
      <c r="R9" s="3"/>
      <c r="S9" s="4"/>
      <c r="T9" s="9">
        <f t="array" ref="T9">INDIRECT("'"&amp;$B9&amp;"'!T7",TRUE)</f>
        <v>0</v>
      </c>
      <c r="U9" s="3"/>
      <c r="V9" s="4"/>
      <c r="W9" s="9">
        <f t="array" ref="W9">INDIRECT("'"&amp;$B9&amp;"'!W7",TRUE)</f>
        <v>0</v>
      </c>
      <c r="X9" s="3"/>
      <c r="Y9" s="4"/>
      <c r="Z9" s="9">
        <f t="array" ref="Z9">INDIRECT("'"&amp;$B9&amp;"'!Z7",TRUE)</f>
        <v>0</v>
      </c>
      <c r="AA9" s="3"/>
      <c r="AB9" s="4"/>
      <c r="AC9" s="9">
        <f t="array" ref="AC9">INDIRECT("'"&amp;$B9&amp;"'!AC7",TRUE)</f>
        <v>3</v>
      </c>
      <c r="AD9" s="3"/>
      <c r="AE9" s="4"/>
      <c r="AF9" s="42">
        <f>IFERROR((T9+W9+AC9)/Q9,0)</f>
        <v>0.06</v>
      </c>
      <c r="AG9" s="3"/>
      <c r="AH9" s="4"/>
    </row>
    <row r="10" ht="22.5" customHeight="1">
      <c r="A10" s="8">
        <v>2.0</v>
      </c>
      <c r="B10" s="17"/>
      <c r="C10" s="3"/>
      <c r="D10" s="3"/>
      <c r="E10" s="3"/>
      <c r="F10" s="3"/>
      <c r="G10" s="4"/>
      <c r="H10" s="9"/>
      <c r="I10" s="3"/>
      <c r="J10" s="4"/>
      <c r="K10" s="9"/>
      <c r="L10" s="3"/>
      <c r="M10" s="4"/>
      <c r="N10" s="9"/>
      <c r="O10" s="3"/>
      <c r="P10" s="4"/>
      <c r="Q10" s="9"/>
      <c r="R10" s="3"/>
      <c r="S10" s="4"/>
      <c r="T10" s="9"/>
      <c r="U10" s="3"/>
      <c r="V10" s="4"/>
      <c r="W10" s="9"/>
      <c r="X10" s="3"/>
      <c r="Y10" s="4"/>
      <c r="Z10" s="9"/>
      <c r="AA10" s="3"/>
      <c r="AB10" s="4"/>
      <c r="AC10" s="9"/>
      <c r="AD10" s="3"/>
      <c r="AE10" s="4"/>
      <c r="AF10" s="42"/>
      <c r="AG10" s="3"/>
      <c r="AH10" s="4"/>
    </row>
    <row r="11" ht="22.5" customHeight="1">
      <c r="A11" s="8"/>
      <c r="B11" s="35" t="s">
        <v>49</v>
      </c>
      <c r="C11" s="3"/>
      <c r="D11" s="3"/>
      <c r="E11" s="3"/>
      <c r="F11" s="3"/>
      <c r="G11" s="4"/>
      <c r="H11" s="43">
        <f>SUM(H9:J10)</f>
        <v>21</v>
      </c>
      <c r="I11" s="3"/>
      <c r="J11" s="4"/>
      <c r="K11" s="43">
        <f>SUM(K9:M10)</f>
        <v>27</v>
      </c>
      <c r="L11" s="3"/>
      <c r="M11" s="4"/>
      <c r="N11" s="43">
        <f>SUM(N9:P10)</f>
        <v>2</v>
      </c>
      <c r="O11" s="3"/>
      <c r="P11" s="4"/>
      <c r="Q11" s="43">
        <f>SUM(Q9:S10)</f>
        <v>50</v>
      </c>
      <c r="R11" s="3"/>
      <c r="S11" s="4"/>
      <c r="T11" s="43">
        <f>SUM(T9:V10)</f>
        <v>0</v>
      </c>
      <c r="U11" s="3"/>
      <c r="V11" s="4"/>
      <c r="W11" s="43">
        <f>SUM(W9:Y10)</f>
        <v>0</v>
      </c>
      <c r="X11" s="3"/>
      <c r="Y11" s="4"/>
      <c r="Z11" s="43">
        <f>SUM(Z9:AB10)</f>
        <v>0</v>
      </c>
      <c r="AA11" s="3"/>
      <c r="AB11" s="4"/>
      <c r="AC11" s="43">
        <f>SUM(AC9:AE10)</f>
        <v>3</v>
      </c>
      <c r="AD11" s="3"/>
      <c r="AE11" s="4"/>
      <c r="AF11" s="44">
        <f>IFERROR((T11+W11+AC11)/Q11,0)</f>
        <v>0.06</v>
      </c>
      <c r="AG11" s="3"/>
      <c r="AH11" s="4"/>
    </row>
    <row r="12" ht="22.5" customHeight="1">
      <c r="A12" s="41" t="s">
        <v>75</v>
      </c>
    </row>
    <row r="13" ht="22.5" customHeight="1">
      <c r="A13" s="8">
        <v>1.0</v>
      </c>
      <c r="B13" s="17" t="s">
        <v>62</v>
      </c>
      <c r="C13" s="3"/>
      <c r="D13" s="3"/>
      <c r="E13" s="3"/>
      <c r="F13" s="3"/>
      <c r="G13" s="4"/>
      <c r="H13" s="9">
        <f t="array" ref="H13">INDIRECT("'"&amp;$B13&amp;"'!H8",TRUE)</f>
        <v>21</v>
      </c>
      <c r="I13" s="3"/>
      <c r="J13" s="4"/>
      <c r="K13" s="9">
        <f t="array" ref="K13">INDIRECT("'"&amp;$B13&amp;"'!K8",TRUE)</f>
        <v>27</v>
      </c>
      <c r="L13" s="3"/>
      <c r="M13" s="4"/>
      <c r="N13" s="9">
        <f t="array" ref="N13">INDIRECT("'"&amp;$B13&amp;"'!N8",TRUE)</f>
        <v>2</v>
      </c>
      <c r="O13" s="3"/>
      <c r="P13" s="4"/>
      <c r="Q13" s="9">
        <f t="array" ref="Q13">INDIRECT("'"&amp;$B13&amp;"'!Q8",TRUE)</f>
        <v>50</v>
      </c>
      <c r="R13" s="3"/>
      <c r="S13" s="4"/>
      <c r="T13" s="9">
        <f t="array" ref="T13">INDIRECT("'"&amp;$B13&amp;"'!T8",TRUE)</f>
        <v>0</v>
      </c>
      <c r="U13" s="3"/>
      <c r="V13" s="4"/>
      <c r="W13" s="9">
        <f t="array" ref="W13">INDIRECT("'"&amp;$B13&amp;"'!W8",TRUE)</f>
        <v>0</v>
      </c>
      <c r="X13" s="3"/>
      <c r="Y13" s="4"/>
      <c r="Z13" s="9">
        <f t="array" ref="Z13">INDIRECT("'"&amp;$B13&amp;"'!Z8",TRUE)</f>
        <v>0</v>
      </c>
      <c r="AA13" s="3"/>
      <c r="AB13" s="4"/>
      <c r="AC13" s="9">
        <f t="array" ref="AC13">INDIRECT("'"&amp;$B13&amp;"'!AC8",TRUE)</f>
        <v>0</v>
      </c>
      <c r="AD13" s="3"/>
      <c r="AE13" s="4"/>
      <c r="AF13" s="42">
        <f>IFERROR((T13+W13+AC13)/Q13,0)</f>
        <v>0</v>
      </c>
      <c r="AG13" s="3"/>
      <c r="AH13" s="4"/>
    </row>
    <row r="14" ht="22.5" customHeight="1">
      <c r="A14" s="8">
        <v>2.0</v>
      </c>
      <c r="B14" s="17"/>
      <c r="C14" s="3"/>
      <c r="D14" s="3"/>
      <c r="E14" s="3"/>
      <c r="F14" s="3"/>
      <c r="G14" s="4"/>
      <c r="H14" s="9"/>
      <c r="I14" s="3"/>
      <c r="J14" s="4"/>
      <c r="K14" s="9"/>
      <c r="L14" s="3"/>
      <c r="M14" s="4"/>
      <c r="N14" s="9"/>
      <c r="O14" s="3"/>
      <c r="P14" s="4"/>
      <c r="Q14" s="9"/>
      <c r="R14" s="3"/>
      <c r="S14" s="4"/>
      <c r="T14" s="9"/>
      <c r="U14" s="3"/>
      <c r="V14" s="4"/>
      <c r="W14" s="9"/>
      <c r="X14" s="3"/>
      <c r="Y14" s="4"/>
      <c r="Z14" s="9"/>
      <c r="AA14" s="3"/>
      <c r="AB14" s="4"/>
      <c r="AC14" s="9"/>
      <c r="AD14" s="3"/>
      <c r="AE14" s="4"/>
      <c r="AF14" s="42"/>
      <c r="AG14" s="3"/>
      <c r="AH14" s="4"/>
    </row>
    <row r="15" ht="22.5" customHeight="1">
      <c r="A15" s="8"/>
      <c r="B15" s="35" t="s">
        <v>49</v>
      </c>
      <c r="C15" s="3"/>
      <c r="D15" s="3"/>
      <c r="E15" s="3"/>
      <c r="F15" s="3"/>
      <c r="G15" s="4"/>
      <c r="H15" s="43">
        <f>SUM(H13:J14)</f>
        <v>21</v>
      </c>
      <c r="I15" s="3"/>
      <c r="J15" s="4"/>
      <c r="K15" s="43">
        <f>SUM(K13:M14)</f>
        <v>27</v>
      </c>
      <c r="L15" s="3"/>
      <c r="M15" s="4"/>
      <c r="N15" s="43">
        <f>SUM(N13:P14)</f>
        <v>2</v>
      </c>
      <c r="O15" s="3"/>
      <c r="P15" s="4"/>
      <c r="Q15" s="43">
        <f>SUM(Q13:S14)</f>
        <v>50</v>
      </c>
      <c r="R15" s="3"/>
      <c r="S15" s="4"/>
      <c r="T15" s="43">
        <f>SUM(T13:V14)</f>
        <v>0</v>
      </c>
      <c r="U15" s="3"/>
      <c r="V15" s="4"/>
      <c r="W15" s="43">
        <f>SUM(W13:Y14)</f>
        <v>0</v>
      </c>
      <c r="X15" s="3"/>
      <c r="Y15" s="4"/>
      <c r="Z15" s="43">
        <f>SUM(Z13:AB14)</f>
        <v>0</v>
      </c>
      <c r="AA15" s="3"/>
      <c r="AB15" s="4"/>
      <c r="AC15" s="43">
        <f>SUM(AC13:AE14)</f>
        <v>0</v>
      </c>
      <c r="AD15" s="3"/>
      <c r="AE15" s="4"/>
      <c r="AF15" s="44">
        <f>IFERROR((T15+W15+AC15)/Q15,0)</f>
        <v>0</v>
      </c>
      <c r="AG15" s="3"/>
      <c r="AH1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2" t="s">
        <v>1</v>
      </c>
      <c r="B1" s="3"/>
      <c r="C1" s="3"/>
      <c r="D1" s="3"/>
      <c r="E1" s="3"/>
      <c r="F1" s="3"/>
      <c r="G1" s="3"/>
      <c r="H1" s="3"/>
      <c r="I1" s="4"/>
      <c r="J1" s="2" t="s">
        <v>5</v>
      </c>
      <c r="K1" s="3"/>
      <c r="L1" s="3"/>
      <c r="M1" s="3"/>
      <c r="N1" s="3"/>
      <c r="O1" s="3"/>
      <c r="P1" s="4"/>
      <c r="Q1" s="2" t="s">
        <v>7</v>
      </c>
      <c r="R1" s="3"/>
      <c r="S1" s="3"/>
      <c r="T1" s="3"/>
      <c r="U1" s="4"/>
      <c r="V1" s="2" t="s">
        <v>9</v>
      </c>
      <c r="W1" s="3"/>
      <c r="X1" s="3"/>
      <c r="Y1" s="4"/>
      <c r="Z1" s="2" t="s">
        <v>11</v>
      </c>
      <c r="AA1" s="3"/>
      <c r="AB1" s="3"/>
      <c r="AC1" s="4"/>
      <c r="AD1" s="2" t="s">
        <v>13</v>
      </c>
      <c r="AE1" s="3"/>
      <c r="AF1" s="3"/>
      <c r="AG1" s="4"/>
      <c r="AH1" s="2" t="s">
        <v>14</v>
      </c>
      <c r="AI1" s="3"/>
      <c r="AJ1" s="3"/>
      <c r="AK1" s="4"/>
    </row>
    <row r="2" ht="19.5" customHeight="1">
      <c r="A2" s="10" t="s">
        <v>16</v>
      </c>
      <c r="B2" s="11"/>
      <c r="C2" s="11"/>
      <c r="D2" s="11"/>
      <c r="E2" s="11"/>
      <c r="F2" s="11"/>
      <c r="G2" s="11"/>
      <c r="H2" s="11"/>
      <c r="I2" s="13"/>
      <c r="J2" s="10" t="s">
        <v>20</v>
      </c>
      <c r="K2" s="11"/>
      <c r="L2" s="11"/>
      <c r="M2" s="11"/>
      <c r="N2" s="11"/>
      <c r="O2" s="11"/>
      <c r="P2" s="13"/>
      <c r="Q2" s="10" t="s">
        <v>76</v>
      </c>
      <c r="R2" s="11"/>
      <c r="S2" s="11"/>
      <c r="T2" s="11"/>
      <c r="U2" s="13"/>
      <c r="V2" s="18" t="s">
        <v>23</v>
      </c>
      <c r="W2" s="11"/>
      <c r="X2" s="11"/>
      <c r="Y2" s="13"/>
      <c r="Z2" s="10" t="s">
        <v>25</v>
      </c>
      <c r="AA2" s="11"/>
      <c r="AB2" s="11"/>
      <c r="AC2" s="13"/>
      <c r="AD2" s="18" t="s">
        <v>23</v>
      </c>
      <c r="AE2" s="11"/>
      <c r="AF2" s="11"/>
      <c r="AG2" s="13"/>
      <c r="AH2" s="10" t="s">
        <v>25</v>
      </c>
      <c r="AI2" s="11"/>
      <c r="AJ2" s="11"/>
      <c r="AK2" s="13"/>
    </row>
    <row r="3" ht="19.5" customHeight="1">
      <c r="A3" s="20"/>
      <c r="B3" s="22"/>
      <c r="C3" s="22"/>
      <c r="D3" s="22"/>
      <c r="E3" s="22"/>
      <c r="F3" s="22"/>
      <c r="G3" s="22"/>
      <c r="H3" s="22"/>
      <c r="I3" s="24"/>
      <c r="J3" s="20"/>
      <c r="K3" s="22"/>
      <c r="L3" s="22"/>
      <c r="M3" s="22"/>
      <c r="N3" s="22"/>
      <c r="O3" s="22"/>
      <c r="P3" s="24"/>
      <c r="Q3" s="20"/>
      <c r="R3" s="22"/>
      <c r="S3" s="22"/>
      <c r="T3" s="22"/>
      <c r="U3" s="24"/>
      <c r="V3" s="20"/>
      <c r="W3" s="22"/>
      <c r="X3" s="22"/>
      <c r="Y3" s="24"/>
      <c r="Z3" s="20"/>
      <c r="AA3" s="22"/>
      <c r="AB3" s="22"/>
      <c r="AC3" s="24"/>
      <c r="AD3" s="20"/>
      <c r="AE3" s="22"/>
      <c r="AF3" s="22"/>
      <c r="AG3" s="24"/>
      <c r="AH3" s="20"/>
      <c r="AI3" s="22"/>
      <c r="AJ3" s="22"/>
      <c r="AK3" s="24"/>
    </row>
    <row r="5" ht="19.5" customHeight="1">
      <c r="B5" s="26" t="s">
        <v>77</v>
      </c>
    </row>
    <row r="7" ht="28.5" customHeight="1">
      <c r="B7" s="45" t="s">
        <v>45</v>
      </c>
      <c r="C7" s="46" t="s">
        <v>78</v>
      </c>
      <c r="D7" s="3"/>
      <c r="E7" s="4"/>
      <c r="F7" s="46" t="s">
        <v>79</v>
      </c>
      <c r="G7" s="3"/>
      <c r="H7" s="3"/>
      <c r="I7" s="3"/>
      <c r="J7" s="3"/>
      <c r="K7" s="3"/>
      <c r="L7" s="4"/>
      <c r="M7" s="46" t="s">
        <v>80</v>
      </c>
      <c r="N7" s="3"/>
      <c r="O7" s="3"/>
      <c r="P7" s="3"/>
      <c r="Q7" s="3"/>
      <c r="R7" s="3"/>
      <c r="S7" s="3"/>
      <c r="T7" s="4"/>
      <c r="U7" s="46" t="s">
        <v>81</v>
      </c>
      <c r="V7" s="4"/>
      <c r="W7" s="46" t="s">
        <v>82</v>
      </c>
      <c r="X7" s="3"/>
      <c r="Y7" s="3"/>
      <c r="Z7" s="3"/>
      <c r="AA7" s="3"/>
      <c r="AB7" s="3"/>
      <c r="AC7" s="4"/>
      <c r="AD7" s="46" t="s">
        <v>83</v>
      </c>
      <c r="AE7" s="3"/>
      <c r="AF7" s="4"/>
    </row>
    <row r="8" ht="30.0" customHeight="1">
      <c r="B8" s="47">
        <v>1.0</v>
      </c>
      <c r="C8" s="48" t="s">
        <v>84</v>
      </c>
      <c r="D8" s="3"/>
      <c r="E8" s="4"/>
      <c r="F8" s="49" t="s">
        <v>85</v>
      </c>
      <c r="G8" s="3"/>
      <c r="H8" s="3"/>
      <c r="I8" s="3"/>
      <c r="J8" s="3"/>
      <c r="K8" s="3"/>
      <c r="L8" s="4"/>
      <c r="M8" s="49" t="s">
        <v>86</v>
      </c>
      <c r="N8" s="3"/>
      <c r="O8" s="3"/>
      <c r="P8" s="3"/>
      <c r="Q8" s="3"/>
      <c r="R8" s="3"/>
      <c r="S8" s="3"/>
      <c r="T8" s="4"/>
      <c r="U8" s="50" t="s">
        <v>87</v>
      </c>
      <c r="V8" s="4"/>
      <c r="W8" s="49" t="s">
        <v>88</v>
      </c>
      <c r="X8" s="3"/>
      <c r="Y8" s="3"/>
      <c r="Z8" s="3"/>
      <c r="AA8" s="3"/>
      <c r="AB8" s="3"/>
      <c r="AC8" s="4"/>
      <c r="AD8" s="48">
        <v>265.0</v>
      </c>
      <c r="AE8" s="3"/>
      <c r="AF8" s="4"/>
    </row>
    <row r="9" ht="30.0" customHeight="1">
      <c r="B9" s="47">
        <v>2.0</v>
      </c>
      <c r="C9" s="48" t="s">
        <v>89</v>
      </c>
      <c r="D9" s="3"/>
      <c r="E9" s="4"/>
      <c r="F9" s="49" t="s">
        <v>85</v>
      </c>
      <c r="G9" s="3"/>
      <c r="H9" s="3"/>
      <c r="I9" s="3"/>
      <c r="J9" s="3"/>
      <c r="K9" s="3"/>
      <c r="L9" s="4"/>
      <c r="M9" s="49" t="s">
        <v>90</v>
      </c>
      <c r="N9" s="3"/>
      <c r="O9" s="3"/>
      <c r="P9" s="3"/>
      <c r="Q9" s="3"/>
      <c r="R9" s="3"/>
      <c r="S9" s="3"/>
      <c r="T9" s="4"/>
      <c r="U9" s="50" t="s">
        <v>87</v>
      </c>
      <c r="V9" s="4"/>
      <c r="W9" s="49" t="s">
        <v>91</v>
      </c>
      <c r="X9" s="3"/>
      <c r="Y9" s="3"/>
      <c r="Z9" s="3"/>
      <c r="AA9" s="3"/>
      <c r="AB9" s="3"/>
      <c r="AC9" s="4"/>
      <c r="AD9" s="48">
        <v>200.0</v>
      </c>
      <c r="AE9" s="3"/>
      <c r="AF9" s="4"/>
    </row>
    <row r="10" ht="36.0" customHeight="1">
      <c r="B10" s="47">
        <v>3.0</v>
      </c>
      <c r="C10" s="48" t="s">
        <v>92</v>
      </c>
      <c r="D10" s="3"/>
      <c r="E10" s="4"/>
      <c r="F10" s="49" t="s">
        <v>85</v>
      </c>
      <c r="G10" s="3"/>
      <c r="H10" s="3"/>
      <c r="I10" s="3"/>
      <c r="J10" s="3"/>
      <c r="K10" s="3"/>
      <c r="L10" s="4"/>
      <c r="M10" s="49" t="s">
        <v>93</v>
      </c>
      <c r="N10" s="3"/>
      <c r="O10" s="3"/>
      <c r="P10" s="3"/>
      <c r="Q10" s="3"/>
      <c r="R10" s="3"/>
      <c r="S10" s="3"/>
      <c r="T10" s="4"/>
      <c r="U10" s="50" t="s">
        <v>87</v>
      </c>
      <c r="V10" s="4"/>
      <c r="W10" s="49" t="s">
        <v>94</v>
      </c>
      <c r="X10" s="3"/>
      <c r="Y10" s="3"/>
      <c r="Z10" s="3"/>
      <c r="AA10" s="3"/>
      <c r="AB10" s="3"/>
      <c r="AC10" s="4"/>
      <c r="AD10" s="48">
        <v>50.0</v>
      </c>
      <c r="AE10" s="3"/>
      <c r="AF10" s="4"/>
    </row>
    <row r="11" ht="30.0" customHeight="1">
      <c r="B11" s="47">
        <v>4.0</v>
      </c>
      <c r="C11" s="48" t="s">
        <v>95</v>
      </c>
      <c r="D11" s="3"/>
      <c r="E11" s="4"/>
      <c r="F11" s="49" t="s">
        <v>85</v>
      </c>
      <c r="G11" s="3"/>
      <c r="H11" s="3"/>
      <c r="I11" s="3"/>
      <c r="J11" s="3"/>
      <c r="K11" s="3"/>
      <c r="L11" s="4"/>
      <c r="M11" s="49" t="s">
        <v>96</v>
      </c>
      <c r="N11" s="3"/>
      <c r="O11" s="3"/>
      <c r="P11" s="3"/>
      <c r="Q11" s="3"/>
      <c r="R11" s="3"/>
      <c r="S11" s="3"/>
      <c r="T11" s="4"/>
      <c r="U11" s="50" t="s">
        <v>87</v>
      </c>
      <c r="V11" s="4"/>
      <c r="W11" s="49" t="s">
        <v>88</v>
      </c>
      <c r="X11" s="3"/>
      <c r="Y11" s="3"/>
      <c r="Z11" s="3"/>
      <c r="AA11" s="3"/>
      <c r="AB11" s="3"/>
      <c r="AC11" s="4"/>
      <c r="AD11" s="48">
        <v>75.0</v>
      </c>
      <c r="AE11" s="3"/>
      <c r="AF11" s="4"/>
    </row>
    <row r="12" ht="30.0" customHeight="1">
      <c r="B12" s="47">
        <v>5.0</v>
      </c>
      <c r="C12" s="48" t="s">
        <v>97</v>
      </c>
      <c r="D12" s="3"/>
      <c r="E12" s="4"/>
      <c r="F12" s="49" t="s">
        <v>85</v>
      </c>
      <c r="G12" s="3"/>
      <c r="H12" s="3"/>
      <c r="I12" s="3"/>
      <c r="J12" s="3"/>
      <c r="K12" s="3"/>
      <c r="L12" s="4"/>
      <c r="M12" s="49" t="s">
        <v>98</v>
      </c>
      <c r="N12" s="3"/>
      <c r="O12" s="3"/>
      <c r="P12" s="3"/>
      <c r="Q12" s="3"/>
      <c r="R12" s="3"/>
      <c r="S12" s="3"/>
      <c r="T12" s="4"/>
      <c r="U12" s="50" t="s">
        <v>87</v>
      </c>
      <c r="V12" s="4"/>
      <c r="W12" s="49" t="s">
        <v>99</v>
      </c>
      <c r="X12" s="3"/>
      <c r="Y12" s="3"/>
      <c r="Z12" s="3"/>
      <c r="AA12" s="3"/>
      <c r="AB12" s="3"/>
      <c r="AC12" s="4"/>
      <c r="AD12" s="48">
        <v>30.0</v>
      </c>
      <c r="AE12" s="3"/>
      <c r="AF12" s="4"/>
    </row>
    <row r="13" ht="30.0" customHeight="1">
      <c r="B13" s="47">
        <v>6.0</v>
      </c>
      <c r="C13" s="48" t="s">
        <v>100</v>
      </c>
      <c r="D13" s="3"/>
      <c r="E13" s="4"/>
      <c r="F13" s="49" t="s">
        <v>85</v>
      </c>
      <c r="G13" s="3"/>
      <c r="H13" s="3"/>
      <c r="I13" s="3"/>
      <c r="J13" s="3"/>
      <c r="K13" s="3"/>
      <c r="L13" s="4"/>
      <c r="M13" s="49" t="s">
        <v>101</v>
      </c>
      <c r="N13" s="3"/>
      <c r="O13" s="3"/>
      <c r="P13" s="3"/>
      <c r="Q13" s="3"/>
      <c r="R13" s="3"/>
      <c r="S13" s="3"/>
      <c r="T13" s="4"/>
      <c r="U13" s="50" t="s">
        <v>87</v>
      </c>
      <c r="V13" s="4"/>
      <c r="W13" s="49" t="s">
        <v>103</v>
      </c>
      <c r="X13" s="3"/>
      <c r="Y13" s="3"/>
      <c r="Z13" s="3"/>
      <c r="AA13" s="3"/>
      <c r="AB13" s="3"/>
      <c r="AC13" s="4"/>
      <c r="AD13" s="48">
        <v>50.0</v>
      </c>
      <c r="AE13" s="3"/>
      <c r="AF13" s="4"/>
    </row>
    <row r="14" ht="30.0" customHeight="1">
      <c r="B14" s="47">
        <v>7.0</v>
      </c>
      <c r="C14" s="48" t="s">
        <v>105</v>
      </c>
      <c r="D14" s="3"/>
      <c r="E14" s="4"/>
      <c r="F14" s="49" t="s">
        <v>85</v>
      </c>
      <c r="G14" s="3"/>
      <c r="H14" s="3"/>
      <c r="I14" s="3"/>
      <c r="J14" s="3"/>
      <c r="K14" s="3"/>
      <c r="L14" s="4"/>
      <c r="M14" s="49" t="s">
        <v>108</v>
      </c>
      <c r="N14" s="3"/>
      <c r="O14" s="3"/>
      <c r="P14" s="3"/>
      <c r="Q14" s="3"/>
      <c r="R14" s="3"/>
      <c r="S14" s="3"/>
      <c r="T14" s="4"/>
      <c r="U14" s="50" t="s">
        <v>87</v>
      </c>
      <c r="V14" s="4"/>
      <c r="W14" s="49" t="s">
        <v>99</v>
      </c>
      <c r="X14" s="3"/>
      <c r="Y14" s="3"/>
      <c r="Z14" s="3"/>
      <c r="AA14" s="3"/>
      <c r="AB14" s="3"/>
      <c r="AC14" s="4"/>
      <c r="AD14" s="48">
        <v>10.0</v>
      </c>
      <c r="AE14" s="3"/>
      <c r="AF14" s="4"/>
    </row>
    <row r="15" ht="30.0" customHeight="1">
      <c r="B15" s="47">
        <v>8.0</v>
      </c>
      <c r="C15" s="48" t="s">
        <v>109</v>
      </c>
      <c r="D15" s="3"/>
      <c r="E15" s="4"/>
      <c r="F15" s="49" t="s">
        <v>85</v>
      </c>
      <c r="G15" s="3"/>
      <c r="H15" s="3"/>
      <c r="I15" s="3"/>
      <c r="J15" s="3"/>
      <c r="K15" s="3"/>
      <c r="L15" s="4"/>
      <c r="M15" s="49" t="s">
        <v>110</v>
      </c>
      <c r="N15" s="3"/>
      <c r="O15" s="3"/>
      <c r="P15" s="3"/>
      <c r="Q15" s="3"/>
      <c r="R15" s="3"/>
      <c r="S15" s="3"/>
      <c r="T15" s="4"/>
      <c r="U15" s="51" t="s">
        <v>111</v>
      </c>
      <c r="V15" s="4"/>
      <c r="W15" s="49" t="s">
        <v>113</v>
      </c>
      <c r="X15" s="3"/>
      <c r="Y15" s="3"/>
      <c r="Z15" s="3"/>
      <c r="AA15" s="3"/>
      <c r="AB15" s="3"/>
      <c r="AC15" s="4"/>
      <c r="AD15" s="48">
        <v>20.0</v>
      </c>
      <c r="AE15" s="3"/>
      <c r="AF15" s="4"/>
    </row>
    <row r="16" ht="30.0" customHeight="1">
      <c r="B16" s="47">
        <v>9.0</v>
      </c>
      <c r="C16" s="48" t="s">
        <v>116</v>
      </c>
      <c r="D16" s="3"/>
      <c r="E16" s="4"/>
      <c r="F16" s="49" t="s">
        <v>85</v>
      </c>
      <c r="G16" s="3"/>
      <c r="H16" s="3"/>
      <c r="I16" s="3"/>
      <c r="J16" s="3"/>
      <c r="K16" s="3"/>
      <c r="L16" s="4"/>
      <c r="M16" s="49" t="s">
        <v>118</v>
      </c>
      <c r="N16" s="3"/>
      <c r="O16" s="3"/>
      <c r="P16" s="3"/>
      <c r="Q16" s="3"/>
      <c r="R16" s="3"/>
      <c r="S16" s="3"/>
      <c r="T16" s="4"/>
      <c r="U16" s="50" t="s">
        <v>87</v>
      </c>
      <c r="V16" s="4"/>
      <c r="W16" s="49" t="s">
        <v>119</v>
      </c>
      <c r="X16" s="3"/>
      <c r="Y16" s="3"/>
      <c r="Z16" s="3"/>
      <c r="AA16" s="3"/>
      <c r="AB16" s="3"/>
      <c r="AC16" s="4"/>
      <c r="AD16" s="48">
        <v>8.0</v>
      </c>
      <c r="AE16" s="3"/>
      <c r="AF16" s="4"/>
    </row>
    <row r="17" ht="30.0" customHeight="1">
      <c r="B17" s="47">
        <v>10.0</v>
      </c>
      <c r="C17" s="48" t="s">
        <v>121</v>
      </c>
      <c r="D17" s="3"/>
      <c r="E17" s="4"/>
      <c r="F17" s="49" t="s">
        <v>85</v>
      </c>
      <c r="G17" s="3"/>
      <c r="H17" s="3"/>
      <c r="I17" s="3"/>
      <c r="J17" s="3"/>
      <c r="K17" s="3"/>
      <c r="L17" s="4"/>
      <c r="M17" s="49" t="s">
        <v>123</v>
      </c>
      <c r="N17" s="3"/>
      <c r="O17" s="3"/>
      <c r="P17" s="3"/>
      <c r="Q17" s="3"/>
      <c r="R17" s="3"/>
      <c r="S17" s="3"/>
      <c r="T17" s="4"/>
      <c r="U17" s="50" t="s">
        <v>87</v>
      </c>
      <c r="V17" s="4"/>
      <c r="W17" s="49" t="s">
        <v>126</v>
      </c>
      <c r="X17" s="3"/>
      <c r="Y17" s="3"/>
      <c r="Z17" s="3"/>
      <c r="AA17" s="3"/>
      <c r="AB17" s="3"/>
      <c r="AC17" s="4"/>
      <c r="AD17" s="48">
        <v>30.0</v>
      </c>
      <c r="AE17" s="3"/>
      <c r="AF17" s="4"/>
    </row>
    <row r="18" ht="30.0" customHeight="1">
      <c r="B18" s="47">
        <v>11.0</v>
      </c>
      <c r="C18" s="48" t="s">
        <v>128</v>
      </c>
      <c r="D18" s="3"/>
      <c r="E18" s="4"/>
      <c r="F18" s="49" t="s">
        <v>129</v>
      </c>
      <c r="G18" s="3"/>
      <c r="H18" s="3"/>
      <c r="I18" s="3"/>
      <c r="J18" s="3"/>
      <c r="K18" s="3"/>
      <c r="L18" s="4"/>
      <c r="M18" s="49" t="s">
        <v>131</v>
      </c>
      <c r="N18" s="3"/>
      <c r="O18" s="3"/>
      <c r="P18" s="3"/>
      <c r="Q18" s="3"/>
      <c r="R18" s="3"/>
      <c r="S18" s="3"/>
      <c r="T18" s="4"/>
      <c r="U18" s="51" t="s">
        <v>111</v>
      </c>
      <c r="V18" s="4"/>
      <c r="W18" s="49" t="s">
        <v>132</v>
      </c>
      <c r="X18" s="3"/>
      <c r="Y18" s="3"/>
      <c r="Z18" s="3"/>
      <c r="AA18" s="3"/>
      <c r="AB18" s="3"/>
      <c r="AC18" s="4"/>
      <c r="AD18" s="48">
        <v>100.0</v>
      </c>
      <c r="AE18" s="3"/>
      <c r="AF18" s="4"/>
    </row>
    <row r="19" ht="30.0" customHeight="1">
      <c r="B19" s="47">
        <v>12.0</v>
      </c>
      <c r="C19" s="48" t="s">
        <v>133</v>
      </c>
      <c r="D19" s="3"/>
      <c r="E19" s="4"/>
      <c r="F19" s="49" t="s">
        <v>129</v>
      </c>
      <c r="G19" s="3"/>
      <c r="H19" s="3"/>
      <c r="I19" s="3"/>
      <c r="J19" s="3"/>
      <c r="K19" s="3"/>
      <c r="L19" s="4"/>
      <c r="M19" s="49" t="s">
        <v>134</v>
      </c>
      <c r="N19" s="3"/>
      <c r="O19" s="3"/>
      <c r="P19" s="3"/>
      <c r="Q19" s="3"/>
      <c r="R19" s="3"/>
      <c r="S19" s="3"/>
      <c r="T19" s="4"/>
      <c r="U19" s="51" t="s">
        <v>111</v>
      </c>
      <c r="V19" s="4"/>
      <c r="W19" s="49" t="s">
        <v>132</v>
      </c>
      <c r="X19" s="3"/>
      <c r="Y19" s="3"/>
      <c r="Z19" s="3"/>
      <c r="AA19" s="3"/>
      <c r="AB19" s="3"/>
      <c r="AC19" s="4"/>
      <c r="AD19" s="48">
        <v>80.0</v>
      </c>
      <c r="AE19" s="3"/>
      <c r="AF19" s="4"/>
    </row>
    <row r="20" ht="30.0" customHeight="1">
      <c r="B20" s="47">
        <v>13.0</v>
      </c>
      <c r="C20" s="48" t="s">
        <v>135</v>
      </c>
      <c r="D20" s="3"/>
      <c r="E20" s="4"/>
      <c r="F20" s="49" t="s">
        <v>129</v>
      </c>
      <c r="G20" s="3"/>
      <c r="H20" s="3"/>
      <c r="I20" s="3"/>
      <c r="J20" s="3"/>
      <c r="K20" s="3"/>
      <c r="L20" s="4"/>
      <c r="M20" s="49" t="s">
        <v>136</v>
      </c>
      <c r="N20" s="3"/>
      <c r="O20" s="3"/>
      <c r="P20" s="3"/>
      <c r="Q20" s="3"/>
      <c r="R20" s="3"/>
      <c r="S20" s="3"/>
      <c r="T20" s="4"/>
      <c r="U20" s="51" t="s">
        <v>111</v>
      </c>
      <c r="V20" s="4"/>
      <c r="W20" s="49" t="s">
        <v>103</v>
      </c>
      <c r="X20" s="3"/>
      <c r="Y20" s="3"/>
      <c r="Z20" s="3"/>
      <c r="AA20" s="3"/>
      <c r="AB20" s="3"/>
      <c r="AC20" s="4"/>
      <c r="AD20" s="48">
        <v>60.0</v>
      </c>
      <c r="AE20" s="3"/>
      <c r="AF20" s="4"/>
    </row>
    <row r="21" ht="30.0" customHeight="1">
      <c r="B21" s="47">
        <v>14.0</v>
      </c>
      <c r="C21" s="48" t="s">
        <v>137</v>
      </c>
      <c r="D21" s="3"/>
      <c r="E21" s="4"/>
      <c r="F21" s="49" t="s">
        <v>129</v>
      </c>
      <c r="G21" s="3"/>
      <c r="H21" s="3"/>
      <c r="I21" s="3"/>
      <c r="J21" s="3"/>
      <c r="K21" s="3"/>
      <c r="L21" s="4"/>
      <c r="M21" s="49" t="s">
        <v>139</v>
      </c>
      <c r="N21" s="3"/>
      <c r="O21" s="3"/>
      <c r="P21" s="3"/>
      <c r="Q21" s="3"/>
      <c r="R21" s="3"/>
      <c r="S21" s="3"/>
      <c r="T21" s="4"/>
      <c r="U21" s="51" t="s">
        <v>111</v>
      </c>
      <c r="V21" s="4"/>
      <c r="W21" s="49" t="s">
        <v>132</v>
      </c>
      <c r="X21" s="3"/>
      <c r="Y21" s="3"/>
      <c r="Z21" s="3"/>
      <c r="AA21" s="3"/>
      <c r="AB21" s="3"/>
      <c r="AC21" s="4"/>
      <c r="AD21" s="48">
        <v>50.0</v>
      </c>
      <c r="AE21" s="3"/>
      <c r="AF21" s="4"/>
    </row>
    <row r="22" ht="30.0" customHeight="1">
      <c r="B22" s="47">
        <v>15.0</v>
      </c>
      <c r="C22" s="48" t="s">
        <v>140</v>
      </c>
      <c r="D22" s="3"/>
      <c r="E22" s="4"/>
      <c r="F22" s="49" t="s">
        <v>129</v>
      </c>
      <c r="G22" s="3"/>
      <c r="H22" s="3"/>
      <c r="I22" s="3"/>
      <c r="J22" s="3"/>
      <c r="K22" s="3"/>
      <c r="L22" s="4"/>
      <c r="M22" s="49" t="s">
        <v>141</v>
      </c>
      <c r="N22" s="3"/>
      <c r="O22" s="3"/>
      <c r="P22" s="3"/>
      <c r="Q22" s="3"/>
      <c r="R22" s="3"/>
      <c r="S22" s="3"/>
      <c r="T22" s="4"/>
      <c r="U22" s="51" t="s">
        <v>111</v>
      </c>
      <c r="V22" s="4"/>
      <c r="W22" s="49" t="s">
        <v>142</v>
      </c>
      <c r="X22" s="3"/>
      <c r="Y22" s="3"/>
      <c r="Z22" s="3"/>
      <c r="AA22" s="3"/>
      <c r="AB22" s="3"/>
      <c r="AC22" s="4"/>
      <c r="AD22" s="48">
        <v>30.0</v>
      </c>
      <c r="AE22" s="3"/>
      <c r="AF22" s="4"/>
    </row>
    <row r="23" ht="30.0" customHeight="1">
      <c r="B23" s="47">
        <v>16.0</v>
      </c>
      <c r="C23" s="48" t="s">
        <v>143</v>
      </c>
      <c r="D23" s="3"/>
      <c r="E23" s="4"/>
      <c r="F23" s="49" t="s">
        <v>129</v>
      </c>
      <c r="G23" s="3"/>
      <c r="H23" s="3"/>
      <c r="I23" s="3"/>
      <c r="J23" s="3"/>
      <c r="K23" s="3"/>
      <c r="L23" s="4"/>
      <c r="M23" s="49" t="s">
        <v>145</v>
      </c>
      <c r="N23" s="3"/>
      <c r="O23" s="3"/>
      <c r="P23" s="3"/>
      <c r="Q23" s="3"/>
      <c r="R23" s="3"/>
      <c r="S23" s="3"/>
      <c r="T23" s="4"/>
      <c r="U23" s="50" t="s">
        <v>87</v>
      </c>
      <c r="V23" s="4"/>
      <c r="W23" s="49" t="s">
        <v>149</v>
      </c>
      <c r="X23" s="3"/>
      <c r="Y23" s="3"/>
      <c r="Z23" s="3"/>
      <c r="AA23" s="3"/>
      <c r="AB23" s="3"/>
      <c r="AC23" s="4"/>
      <c r="AD23" s="48">
        <v>15.0</v>
      </c>
      <c r="AE23" s="3"/>
      <c r="AF23" s="4"/>
    </row>
    <row r="24" ht="36.0" customHeight="1">
      <c r="B24" s="47">
        <v>17.0</v>
      </c>
      <c r="C24" s="48" t="s">
        <v>153</v>
      </c>
      <c r="D24" s="3"/>
      <c r="E24" s="4"/>
      <c r="F24" s="49" t="s">
        <v>129</v>
      </c>
      <c r="G24" s="3"/>
      <c r="H24" s="3"/>
      <c r="I24" s="3"/>
      <c r="J24" s="3"/>
      <c r="K24" s="3"/>
      <c r="L24" s="4"/>
      <c r="M24" s="49" t="s">
        <v>154</v>
      </c>
      <c r="N24" s="3"/>
      <c r="O24" s="3"/>
      <c r="P24" s="3"/>
      <c r="Q24" s="3"/>
      <c r="R24" s="3"/>
      <c r="S24" s="3"/>
      <c r="T24" s="4"/>
      <c r="U24" s="51" t="s">
        <v>111</v>
      </c>
      <c r="V24" s="4"/>
      <c r="W24" s="49" t="s">
        <v>156</v>
      </c>
      <c r="X24" s="3"/>
      <c r="Y24" s="3"/>
      <c r="Z24" s="3"/>
      <c r="AA24" s="3"/>
      <c r="AB24" s="3"/>
      <c r="AC24" s="4"/>
      <c r="AD24" s="48">
        <v>45.0</v>
      </c>
      <c r="AE24" s="3"/>
      <c r="AF24" s="4"/>
    </row>
    <row r="25" ht="30.0" customHeight="1">
      <c r="B25" s="47">
        <v>18.0</v>
      </c>
      <c r="C25" s="48" t="s">
        <v>158</v>
      </c>
      <c r="D25" s="3"/>
      <c r="E25" s="4"/>
      <c r="F25" s="49" t="s">
        <v>129</v>
      </c>
      <c r="G25" s="3"/>
      <c r="H25" s="3"/>
      <c r="I25" s="3"/>
      <c r="J25" s="3"/>
      <c r="K25" s="3"/>
      <c r="L25" s="4"/>
      <c r="M25" s="49" t="s">
        <v>159</v>
      </c>
      <c r="N25" s="3"/>
      <c r="O25" s="3"/>
      <c r="P25" s="3"/>
      <c r="Q25" s="3"/>
      <c r="R25" s="3"/>
      <c r="S25" s="3"/>
      <c r="T25" s="4"/>
      <c r="U25" s="51" t="s">
        <v>111</v>
      </c>
      <c r="V25" s="4"/>
      <c r="W25" s="49" t="s">
        <v>161</v>
      </c>
      <c r="X25" s="3"/>
      <c r="Y25" s="3"/>
      <c r="Z25" s="3"/>
      <c r="AA25" s="3"/>
      <c r="AB25" s="3"/>
      <c r="AC25" s="4"/>
      <c r="AD25" s="48">
        <v>30.0</v>
      </c>
      <c r="AE25" s="3"/>
      <c r="AF25" s="4"/>
    </row>
    <row r="26" ht="36.0" customHeight="1">
      <c r="B26" s="47">
        <v>19.0</v>
      </c>
      <c r="C26" s="48" t="s">
        <v>163</v>
      </c>
      <c r="D26" s="3"/>
      <c r="E26" s="4"/>
      <c r="F26" s="49" t="s">
        <v>129</v>
      </c>
      <c r="G26" s="3"/>
      <c r="H26" s="3"/>
      <c r="I26" s="3"/>
      <c r="J26" s="3"/>
      <c r="K26" s="3"/>
      <c r="L26" s="4"/>
      <c r="M26" s="49" t="s">
        <v>166</v>
      </c>
      <c r="N26" s="3"/>
      <c r="O26" s="3"/>
      <c r="P26" s="3"/>
      <c r="Q26" s="3"/>
      <c r="R26" s="3"/>
      <c r="S26" s="3"/>
      <c r="T26" s="4"/>
      <c r="U26" s="51" t="s">
        <v>111</v>
      </c>
      <c r="V26" s="4"/>
      <c r="W26" s="49" t="s">
        <v>167</v>
      </c>
      <c r="X26" s="3"/>
      <c r="Y26" s="3"/>
      <c r="Z26" s="3"/>
      <c r="AA26" s="3"/>
      <c r="AB26" s="3"/>
      <c r="AC26" s="4"/>
      <c r="AD26" s="48">
        <v>25.0</v>
      </c>
      <c r="AE26" s="3"/>
      <c r="AF26" s="4"/>
    </row>
    <row r="27" ht="30.0" customHeight="1">
      <c r="B27" s="47">
        <v>20.0</v>
      </c>
      <c r="C27" s="48" t="s">
        <v>168</v>
      </c>
      <c r="D27" s="3"/>
      <c r="E27" s="4"/>
      <c r="F27" s="49" t="s">
        <v>169</v>
      </c>
      <c r="G27" s="3"/>
      <c r="H27" s="3"/>
      <c r="I27" s="3"/>
      <c r="J27" s="3"/>
      <c r="K27" s="3"/>
      <c r="L27" s="4"/>
      <c r="M27" s="49" t="s">
        <v>170</v>
      </c>
      <c r="N27" s="3"/>
      <c r="O27" s="3"/>
      <c r="P27" s="3"/>
      <c r="Q27" s="3"/>
      <c r="R27" s="3"/>
      <c r="S27" s="3"/>
      <c r="T27" s="4"/>
      <c r="U27" s="50" t="s">
        <v>87</v>
      </c>
      <c r="V27" s="4"/>
      <c r="W27" s="49" t="s">
        <v>161</v>
      </c>
      <c r="X27" s="3"/>
      <c r="Y27" s="3"/>
      <c r="Z27" s="3"/>
      <c r="AA27" s="3"/>
      <c r="AB27" s="3"/>
      <c r="AC27" s="4"/>
      <c r="AD27" s="48">
        <v>60.0</v>
      </c>
      <c r="AE27" s="3"/>
      <c r="AF27" s="4"/>
    </row>
    <row r="28" ht="30.0" customHeight="1">
      <c r="B28" s="47">
        <v>21.0</v>
      </c>
      <c r="C28" s="48" t="s">
        <v>172</v>
      </c>
      <c r="D28" s="3"/>
      <c r="E28" s="4"/>
      <c r="F28" s="49" t="s">
        <v>169</v>
      </c>
      <c r="G28" s="3"/>
      <c r="H28" s="3"/>
      <c r="I28" s="3"/>
      <c r="J28" s="3"/>
      <c r="K28" s="3"/>
      <c r="L28" s="4"/>
      <c r="M28" s="49" t="s">
        <v>173</v>
      </c>
      <c r="N28" s="3"/>
      <c r="O28" s="3"/>
      <c r="P28" s="3"/>
      <c r="Q28" s="3"/>
      <c r="R28" s="3"/>
      <c r="S28" s="3"/>
      <c r="T28" s="4"/>
      <c r="U28" s="51" t="s">
        <v>111</v>
      </c>
      <c r="V28" s="4"/>
      <c r="W28" s="49" t="s">
        <v>176</v>
      </c>
      <c r="X28" s="3"/>
      <c r="Y28" s="3"/>
      <c r="Z28" s="3"/>
      <c r="AA28" s="3"/>
      <c r="AB28" s="3"/>
      <c r="AC28" s="4"/>
      <c r="AD28" s="48">
        <v>16.0</v>
      </c>
      <c r="AE28" s="3"/>
      <c r="AF28" s="4"/>
    </row>
    <row r="29" ht="30.0" customHeight="1">
      <c r="B29" s="47">
        <v>22.0</v>
      </c>
      <c r="C29" s="48" t="s">
        <v>180</v>
      </c>
      <c r="D29" s="3"/>
      <c r="E29" s="4"/>
      <c r="F29" s="49" t="s">
        <v>169</v>
      </c>
      <c r="G29" s="3"/>
      <c r="H29" s="3"/>
      <c r="I29" s="3"/>
      <c r="J29" s="3"/>
      <c r="K29" s="3"/>
      <c r="L29" s="4"/>
      <c r="M29" s="49" t="s">
        <v>182</v>
      </c>
      <c r="N29" s="3"/>
      <c r="O29" s="3"/>
      <c r="P29" s="3"/>
      <c r="Q29" s="3"/>
      <c r="R29" s="3"/>
      <c r="S29" s="3"/>
      <c r="T29" s="4"/>
      <c r="U29" s="50" t="s">
        <v>87</v>
      </c>
      <c r="V29" s="4"/>
      <c r="W29" s="49" t="s">
        <v>183</v>
      </c>
      <c r="X29" s="3"/>
      <c r="Y29" s="3"/>
      <c r="Z29" s="3"/>
      <c r="AA29" s="3"/>
      <c r="AB29" s="3"/>
      <c r="AC29" s="4"/>
      <c r="AD29" s="48">
        <v>18.0</v>
      </c>
      <c r="AE29" s="3"/>
      <c r="AF29" s="4"/>
    </row>
    <row r="30" ht="30.0" customHeight="1">
      <c r="B30" s="47">
        <v>23.0</v>
      </c>
      <c r="C30" s="48" t="s">
        <v>185</v>
      </c>
      <c r="D30" s="3"/>
      <c r="E30" s="4"/>
      <c r="F30" s="49" t="s">
        <v>169</v>
      </c>
      <c r="G30" s="3"/>
      <c r="H30" s="3"/>
      <c r="I30" s="3"/>
      <c r="J30" s="3"/>
      <c r="K30" s="3"/>
      <c r="L30" s="4"/>
      <c r="M30" s="49" t="s">
        <v>186</v>
      </c>
      <c r="N30" s="3"/>
      <c r="O30" s="3"/>
      <c r="P30" s="3"/>
      <c r="Q30" s="3"/>
      <c r="R30" s="3"/>
      <c r="S30" s="3"/>
      <c r="T30" s="4"/>
      <c r="U30" s="51" t="s">
        <v>111</v>
      </c>
      <c r="V30" s="4"/>
      <c r="W30" s="49" t="s">
        <v>188</v>
      </c>
      <c r="X30" s="3"/>
      <c r="Y30" s="3"/>
      <c r="Z30" s="3"/>
      <c r="AA30" s="3"/>
      <c r="AB30" s="3"/>
      <c r="AC30" s="4"/>
      <c r="AD30" s="48">
        <v>8.0</v>
      </c>
      <c r="AE30" s="3"/>
      <c r="AF30" s="4"/>
    </row>
    <row r="31" ht="30.0" customHeight="1">
      <c r="B31" s="47">
        <v>24.0</v>
      </c>
      <c r="C31" s="48" t="s">
        <v>189</v>
      </c>
      <c r="D31" s="3"/>
      <c r="E31" s="4"/>
      <c r="F31" s="49" t="s">
        <v>169</v>
      </c>
      <c r="G31" s="3"/>
      <c r="H31" s="3"/>
      <c r="I31" s="3"/>
      <c r="J31" s="3"/>
      <c r="K31" s="3"/>
      <c r="L31" s="4"/>
      <c r="M31" s="49" t="s">
        <v>193</v>
      </c>
      <c r="N31" s="3"/>
      <c r="O31" s="3"/>
      <c r="P31" s="3"/>
      <c r="Q31" s="3"/>
      <c r="R31" s="3"/>
      <c r="S31" s="3"/>
      <c r="T31" s="4"/>
      <c r="U31" s="50" t="s">
        <v>87</v>
      </c>
      <c r="V31" s="4"/>
      <c r="W31" s="49" t="s">
        <v>196</v>
      </c>
      <c r="X31" s="3"/>
      <c r="Y31" s="3"/>
      <c r="Z31" s="3"/>
      <c r="AA31" s="3"/>
      <c r="AB31" s="3"/>
      <c r="AC31" s="4"/>
      <c r="AD31" s="48">
        <v>10.0</v>
      </c>
      <c r="AE31" s="3"/>
      <c r="AF31" s="4"/>
    </row>
    <row r="32" ht="30.0" customHeight="1">
      <c r="B32" s="47">
        <v>25.0</v>
      </c>
      <c r="C32" s="48" t="s">
        <v>197</v>
      </c>
      <c r="D32" s="3"/>
      <c r="E32" s="4"/>
      <c r="F32" s="49" t="s">
        <v>169</v>
      </c>
      <c r="G32" s="3"/>
      <c r="H32" s="3"/>
      <c r="I32" s="3"/>
      <c r="J32" s="3"/>
      <c r="K32" s="3"/>
      <c r="L32" s="4"/>
      <c r="M32" s="49" t="s">
        <v>198</v>
      </c>
      <c r="N32" s="3"/>
      <c r="O32" s="3"/>
      <c r="P32" s="3"/>
      <c r="Q32" s="3"/>
      <c r="R32" s="3"/>
      <c r="S32" s="3"/>
      <c r="T32" s="4"/>
      <c r="U32" s="51" t="s">
        <v>111</v>
      </c>
      <c r="V32" s="4"/>
      <c r="W32" s="49" t="s">
        <v>199</v>
      </c>
      <c r="X32" s="3"/>
      <c r="Y32" s="3"/>
      <c r="Z32" s="3"/>
      <c r="AA32" s="3"/>
      <c r="AB32" s="3"/>
      <c r="AC32" s="4"/>
      <c r="AD32" s="48">
        <v>30.0</v>
      </c>
      <c r="AE32" s="3"/>
      <c r="AF32" s="4"/>
    </row>
    <row r="33" ht="30.0" customHeight="1">
      <c r="B33" s="47">
        <v>26.0</v>
      </c>
      <c r="C33" s="48" t="s">
        <v>200</v>
      </c>
      <c r="D33" s="3"/>
      <c r="E33" s="4"/>
      <c r="F33" s="49" t="s">
        <v>169</v>
      </c>
      <c r="G33" s="3"/>
      <c r="H33" s="3"/>
      <c r="I33" s="3"/>
      <c r="J33" s="3"/>
      <c r="K33" s="3"/>
      <c r="L33" s="4"/>
      <c r="M33" s="49" t="s">
        <v>203</v>
      </c>
      <c r="N33" s="3"/>
      <c r="O33" s="3"/>
      <c r="P33" s="3"/>
      <c r="Q33" s="3"/>
      <c r="R33" s="3"/>
      <c r="S33" s="3"/>
      <c r="T33" s="4"/>
      <c r="U33" s="50" t="s">
        <v>87</v>
      </c>
      <c r="V33" s="4"/>
      <c r="W33" s="49" t="s">
        <v>206</v>
      </c>
      <c r="X33" s="3"/>
      <c r="Y33" s="3"/>
      <c r="Z33" s="3"/>
      <c r="AA33" s="3"/>
      <c r="AB33" s="3"/>
      <c r="AC33" s="4"/>
      <c r="AD33" s="48">
        <v>15.0</v>
      </c>
      <c r="AE33" s="3"/>
      <c r="AF33" s="4"/>
    </row>
    <row r="34" ht="30.0" customHeight="1">
      <c r="B34" s="47">
        <v>27.0</v>
      </c>
      <c r="C34" s="48" t="s">
        <v>208</v>
      </c>
      <c r="D34" s="3"/>
      <c r="E34" s="4"/>
      <c r="F34" s="49" t="s">
        <v>169</v>
      </c>
      <c r="G34" s="3"/>
      <c r="H34" s="3"/>
      <c r="I34" s="3"/>
      <c r="J34" s="3"/>
      <c r="K34" s="3"/>
      <c r="L34" s="4"/>
      <c r="M34" s="49" t="s">
        <v>209</v>
      </c>
      <c r="N34" s="3"/>
      <c r="O34" s="3"/>
      <c r="P34" s="3"/>
      <c r="Q34" s="3"/>
      <c r="R34" s="3"/>
      <c r="S34" s="3"/>
      <c r="T34" s="4"/>
      <c r="U34" s="50" t="s">
        <v>87</v>
      </c>
      <c r="V34" s="4"/>
      <c r="W34" s="49" t="s">
        <v>210</v>
      </c>
      <c r="X34" s="3"/>
      <c r="Y34" s="3"/>
      <c r="Z34" s="3"/>
      <c r="AA34" s="3"/>
      <c r="AB34" s="3"/>
      <c r="AC34" s="4"/>
      <c r="AD34" s="48">
        <v>18.0</v>
      </c>
      <c r="AE34" s="3"/>
      <c r="AF34" s="4"/>
    </row>
    <row r="35" ht="30.0" customHeight="1">
      <c r="B35" s="47">
        <v>28.0</v>
      </c>
      <c r="C35" s="48" t="s">
        <v>211</v>
      </c>
      <c r="D35" s="3"/>
      <c r="E35" s="4"/>
      <c r="F35" s="49" t="s">
        <v>212</v>
      </c>
      <c r="G35" s="3"/>
      <c r="H35" s="3"/>
      <c r="I35" s="3"/>
      <c r="J35" s="3"/>
      <c r="K35" s="3"/>
      <c r="L35" s="4"/>
      <c r="M35" s="49" t="s">
        <v>214</v>
      </c>
      <c r="N35" s="3"/>
      <c r="O35" s="3"/>
      <c r="P35" s="3"/>
      <c r="Q35" s="3"/>
      <c r="R35" s="3"/>
      <c r="S35" s="3"/>
      <c r="T35" s="4"/>
      <c r="U35" s="50" t="s">
        <v>87</v>
      </c>
      <c r="V35" s="4"/>
      <c r="W35" s="49" t="s">
        <v>215</v>
      </c>
      <c r="X35" s="3"/>
      <c r="Y35" s="3"/>
      <c r="Z35" s="3"/>
      <c r="AA35" s="3"/>
      <c r="AB35" s="3"/>
      <c r="AC35" s="4"/>
      <c r="AD35" s="48">
        <v>25.0</v>
      </c>
      <c r="AE35" s="3"/>
      <c r="AF35" s="4"/>
    </row>
    <row r="36" ht="30.0" customHeight="1">
      <c r="B36" s="47">
        <v>29.0</v>
      </c>
      <c r="C36" s="48" t="s">
        <v>219</v>
      </c>
      <c r="D36" s="3"/>
      <c r="E36" s="4"/>
      <c r="F36" s="49" t="s">
        <v>212</v>
      </c>
      <c r="G36" s="3"/>
      <c r="H36" s="3"/>
      <c r="I36" s="3"/>
      <c r="J36" s="3"/>
      <c r="K36" s="3"/>
      <c r="L36" s="4"/>
      <c r="M36" s="49" t="s">
        <v>221</v>
      </c>
      <c r="N36" s="3"/>
      <c r="O36" s="3"/>
      <c r="P36" s="3"/>
      <c r="Q36" s="3"/>
      <c r="R36" s="3"/>
      <c r="S36" s="3"/>
      <c r="T36" s="4"/>
      <c r="U36" s="50" t="s">
        <v>87</v>
      </c>
      <c r="V36" s="4"/>
      <c r="W36" s="49" t="s">
        <v>99</v>
      </c>
      <c r="X36" s="3"/>
      <c r="Y36" s="3"/>
      <c r="Z36" s="3"/>
      <c r="AA36" s="3"/>
      <c r="AB36" s="3"/>
      <c r="AC36" s="4"/>
      <c r="AD36" s="48">
        <v>8.0</v>
      </c>
      <c r="AE36" s="3"/>
      <c r="AF36" s="4"/>
    </row>
    <row r="37" ht="30.0" customHeight="1">
      <c r="B37" s="47">
        <v>30.0</v>
      </c>
      <c r="C37" s="48" t="s">
        <v>223</v>
      </c>
      <c r="D37" s="3"/>
      <c r="E37" s="4"/>
      <c r="F37" s="49" t="s">
        <v>212</v>
      </c>
      <c r="G37" s="3"/>
      <c r="H37" s="3"/>
      <c r="I37" s="3"/>
      <c r="J37" s="3"/>
      <c r="K37" s="3"/>
      <c r="L37" s="4"/>
      <c r="M37" s="49" t="s">
        <v>224</v>
      </c>
      <c r="N37" s="3"/>
      <c r="O37" s="3"/>
      <c r="P37" s="3"/>
      <c r="Q37" s="3"/>
      <c r="R37" s="3"/>
      <c r="S37" s="3"/>
      <c r="T37" s="4"/>
      <c r="U37" s="50" t="s">
        <v>87</v>
      </c>
      <c r="V37" s="4"/>
      <c r="W37" s="49" t="s">
        <v>225</v>
      </c>
      <c r="X37" s="3"/>
      <c r="Y37" s="3"/>
      <c r="Z37" s="3"/>
      <c r="AA37" s="3"/>
      <c r="AB37" s="3"/>
      <c r="AC37" s="4"/>
      <c r="AD37" s="48">
        <v>15.0</v>
      </c>
      <c r="AE37" s="3"/>
      <c r="AF37" s="4"/>
    </row>
    <row r="38" ht="30.0" customHeight="1">
      <c r="B38" s="47">
        <v>31.0</v>
      </c>
      <c r="C38" s="48" t="s">
        <v>226</v>
      </c>
      <c r="D38" s="3"/>
      <c r="E38" s="4"/>
      <c r="F38" s="49" t="s">
        <v>212</v>
      </c>
      <c r="G38" s="3"/>
      <c r="H38" s="3"/>
      <c r="I38" s="3"/>
      <c r="J38" s="3"/>
      <c r="K38" s="3"/>
      <c r="L38" s="4"/>
      <c r="M38" s="49" t="s">
        <v>227</v>
      </c>
      <c r="N38" s="3"/>
      <c r="O38" s="3"/>
      <c r="P38" s="3"/>
      <c r="Q38" s="3"/>
      <c r="R38" s="3"/>
      <c r="S38" s="3"/>
      <c r="T38" s="4"/>
      <c r="U38" s="50" t="s">
        <v>87</v>
      </c>
      <c r="V38" s="4"/>
      <c r="W38" s="49" t="s">
        <v>99</v>
      </c>
      <c r="X38" s="3"/>
      <c r="Y38" s="3"/>
      <c r="Z38" s="3"/>
      <c r="AA38" s="3"/>
      <c r="AB38" s="3"/>
      <c r="AC38" s="4"/>
      <c r="AD38" s="48">
        <v>40.0</v>
      </c>
      <c r="AE38" s="3"/>
      <c r="AF38" s="4"/>
    </row>
    <row r="39" ht="30.0" customHeight="1">
      <c r="B39" s="47">
        <v>32.0</v>
      </c>
      <c r="C39" s="48" t="s">
        <v>232</v>
      </c>
      <c r="D39" s="3"/>
      <c r="E39" s="4"/>
      <c r="F39" s="49" t="s">
        <v>212</v>
      </c>
      <c r="G39" s="3"/>
      <c r="H39" s="3"/>
      <c r="I39" s="3"/>
      <c r="J39" s="3"/>
      <c r="K39" s="3"/>
      <c r="L39" s="4"/>
      <c r="M39" s="49" t="s">
        <v>233</v>
      </c>
      <c r="N39" s="3"/>
      <c r="O39" s="3"/>
      <c r="P39" s="3"/>
      <c r="Q39" s="3"/>
      <c r="R39" s="3"/>
      <c r="S39" s="3"/>
      <c r="T39" s="4"/>
      <c r="U39" s="51" t="s">
        <v>111</v>
      </c>
      <c r="V39" s="4"/>
      <c r="W39" s="49" t="s">
        <v>234</v>
      </c>
      <c r="X39" s="3"/>
      <c r="Y39" s="3"/>
      <c r="Z39" s="3"/>
      <c r="AA39" s="3"/>
      <c r="AB39" s="3"/>
      <c r="AC39" s="4"/>
      <c r="AD39" s="48">
        <v>20.0</v>
      </c>
      <c r="AE39" s="3"/>
      <c r="AF39" s="4"/>
    </row>
    <row r="40" ht="30.0" customHeight="1">
      <c r="B40" s="47">
        <v>33.0</v>
      </c>
      <c r="C40" s="48" t="s">
        <v>236</v>
      </c>
      <c r="D40" s="3"/>
      <c r="E40" s="4"/>
      <c r="F40" s="49" t="s">
        <v>212</v>
      </c>
      <c r="G40" s="3"/>
      <c r="H40" s="3"/>
      <c r="I40" s="3"/>
      <c r="J40" s="3"/>
      <c r="K40" s="3"/>
      <c r="L40" s="4"/>
      <c r="M40" s="49" t="s">
        <v>237</v>
      </c>
      <c r="N40" s="3"/>
      <c r="O40" s="3"/>
      <c r="P40" s="3"/>
      <c r="Q40" s="3"/>
      <c r="R40" s="3"/>
      <c r="S40" s="3"/>
      <c r="T40" s="4"/>
      <c r="U40" s="51" t="s">
        <v>111</v>
      </c>
      <c r="V40" s="4"/>
      <c r="W40" s="49" t="s">
        <v>238</v>
      </c>
      <c r="X40" s="3"/>
      <c r="Y40" s="3"/>
      <c r="Z40" s="3"/>
      <c r="AA40" s="3"/>
      <c r="AB40" s="3"/>
      <c r="AC40" s="4"/>
      <c r="AD40" s="48">
        <v>12.0</v>
      </c>
      <c r="AE40" s="3"/>
      <c r="AF40" s="4"/>
    </row>
    <row r="41" ht="30.0" customHeight="1">
      <c r="B41" s="47">
        <v>34.0</v>
      </c>
      <c r="C41" s="48" t="s">
        <v>239</v>
      </c>
      <c r="D41" s="3"/>
      <c r="E41" s="4"/>
      <c r="F41" s="49" t="s">
        <v>212</v>
      </c>
      <c r="G41" s="3"/>
      <c r="H41" s="3"/>
      <c r="I41" s="3"/>
      <c r="J41" s="3"/>
      <c r="K41" s="3"/>
      <c r="L41" s="4"/>
      <c r="M41" s="49" t="s">
        <v>240</v>
      </c>
      <c r="N41" s="3"/>
      <c r="O41" s="3"/>
      <c r="P41" s="3"/>
      <c r="Q41" s="3"/>
      <c r="R41" s="3"/>
      <c r="S41" s="3"/>
      <c r="T41" s="4"/>
      <c r="U41" s="50" t="s">
        <v>87</v>
      </c>
      <c r="V41" s="4"/>
      <c r="W41" s="49" t="s">
        <v>241</v>
      </c>
      <c r="X41" s="3"/>
      <c r="Y41" s="3"/>
      <c r="Z41" s="3"/>
      <c r="AA41" s="3"/>
      <c r="AB41" s="3"/>
      <c r="AC41" s="4"/>
      <c r="AD41" s="48">
        <v>15.0</v>
      </c>
      <c r="AE41" s="3"/>
      <c r="AF41" s="4"/>
    </row>
    <row r="42" ht="30.0" customHeight="1">
      <c r="B42" s="47">
        <v>35.0</v>
      </c>
      <c r="C42" s="48" t="s">
        <v>244</v>
      </c>
      <c r="D42" s="3"/>
      <c r="E42" s="4"/>
      <c r="F42" s="49" t="s">
        <v>212</v>
      </c>
      <c r="G42" s="3"/>
      <c r="H42" s="3"/>
      <c r="I42" s="3"/>
      <c r="J42" s="3"/>
      <c r="K42" s="3"/>
      <c r="L42" s="4"/>
      <c r="M42" s="49" t="s">
        <v>245</v>
      </c>
      <c r="N42" s="3"/>
      <c r="O42" s="3"/>
      <c r="P42" s="3"/>
      <c r="Q42" s="3"/>
      <c r="R42" s="3"/>
      <c r="S42" s="3"/>
      <c r="T42" s="4"/>
      <c r="U42" s="51" t="s">
        <v>111</v>
      </c>
      <c r="V42" s="4"/>
      <c r="W42" s="49" t="s">
        <v>99</v>
      </c>
      <c r="X42" s="3"/>
      <c r="Y42" s="3"/>
      <c r="Z42" s="3"/>
      <c r="AA42" s="3"/>
      <c r="AB42" s="3"/>
      <c r="AC42" s="4"/>
      <c r="AD42" s="48">
        <v>30.0</v>
      </c>
      <c r="AE42" s="3"/>
      <c r="AF42" s="4"/>
    </row>
    <row r="43" ht="36.0" customHeight="1">
      <c r="B43" s="47">
        <v>36.0</v>
      </c>
      <c r="C43" s="48" t="s">
        <v>246</v>
      </c>
      <c r="D43" s="3"/>
      <c r="E43" s="4"/>
      <c r="F43" s="49" t="s">
        <v>212</v>
      </c>
      <c r="G43" s="3"/>
      <c r="H43" s="3"/>
      <c r="I43" s="3"/>
      <c r="J43" s="3"/>
      <c r="K43" s="3"/>
      <c r="L43" s="4"/>
      <c r="M43" s="49" t="s">
        <v>249</v>
      </c>
      <c r="N43" s="3"/>
      <c r="O43" s="3"/>
      <c r="P43" s="3"/>
      <c r="Q43" s="3"/>
      <c r="R43" s="3"/>
      <c r="S43" s="3"/>
      <c r="T43" s="4"/>
      <c r="U43" s="50" t="s">
        <v>87</v>
      </c>
      <c r="V43" s="4"/>
      <c r="W43" s="49" t="s">
        <v>225</v>
      </c>
      <c r="X43" s="3"/>
      <c r="Y43" s="3"/>
      <c r="Z43" s="3"/>
      <c r="AA43" s="3"/>
      <c r="AB43" s="3"/>
      <c r="AC43" s="4"/>
      <c r="AD43" s="48">
        <v>6.0</v>
      </c>
      <c r="AE43" s="3"/>
      <c r="AF43" s="4"/>
    </row>
    <row r="44" ht="30.0" customHeight="1">
      <c r="B44" s="47">
        <v>37.0</v>
      </c>
      <c r="C44" s="48" t="s">
        <v>252</v>
      </c>
      <c r="D44" s="3"/>
      <c r="E44" s="4"/>
      <c r="F44" s="49" t="s">
        <v>254</v>
      </c>
      <c r="G44" s="3"/>
      <c r="H44" s="3"/>
      <c r="I44" s="3"/>
      <c r="J44" s="3"/>
      <c r="K44" s="3"/>
      <c r="L44" s="4"/>
      <c r="M44" s="49" t="s">
        <v>255</v>
      </c>
      <c r="N44" s="3"/>
      <c r="O44" s="3"/>
      <c r="P44" s="3"/>
      <c r="Q44" s="3"/>
      <c r="R44" s="3"/>
      <c r="S44" s="3"/>
      <c r="T44" s="4"/>
      <c r="U44" s="61" t="s">
        <v>256</v>
      </c>
      <c r="V44" s="4"/>
      <c r="W44" s="49" t="s">
        <v>257</v>
      </c>
      <c r="X44" s="3"/>
      <c r="Y44" s="3"/>
      <c r="Z44" s="3"/>
      <c r="AA44" s="3"/>
      <c r="AB44" s="3"/>
      <c r="AC44" s="4"/>
      <c r="AD44" s="48">
        <v>60.0</v>
      </c>
      <c r="AE44" s="3"/>
      <c r="AF44" s="4"/>
    </row>
    <row r="45" ht="36.0" customHeight="1">
      <c r="B45" s="47">
        <v>38.0</v>
      </c>
      <c r="C45" s="48" t="s">
        <v>258</v>
      </c>
      <c r="D45" s="3"/>
      <c r="E45" s="4"/>
      <c r="F45" s="49" t="s">
        <v>254</v>
      </c>
      <c r="G45" s="3"/>
      <c r="H45" s="3"/>
      <c r="I45" s="3"/>
      <c r="J45" s="3"/>
      <c r="K45" s="3"/>
      <c r="L45" s="4"/>
      <c r="M45" s="49" t="s">
        <v>259</v>
      </c>
      <c r="N45" s="3"/>
      <c r="O45" s="3"/>
      <c r="P45" s="3"/>
      <c r="Q45" s="3"/>
      <c r="R45" s="3"/>
      <c r="S45" s="3"/>
      <c r="T45" s="4"/>
      <c r="U45" s="61" t="s">
        <v>256</v>
      </c>
      <c r="V45" s="4"/>
      <c r="W45" s="49" t="s">
        <v>257</v>
      </c>
      <c r="X45" s="3"/>
      <c r="Y45" s="3"/>
      <c r="Z45" s="3"/>
      <c r="AA45" s="3"/>
      <c r="AB45" s="3"/>
      <c r="AC45" s="4"/>
      <c r="AD45" s="48">
        <v>40.0</v>
      </c>
      <c r="AE45" s="3"/>
      <c r="AF45" s="4"/>
    </row>
    <row r="46" ht="30.0" customHeight="1">
      <c r="B46" s="47">
        <v>39.0</v>
      </c>
      <c r="C46" s="48" t="s">
        <v>263</v>
      </c>
      <c r="D46" s="3"/>
      <c r="E46" s="4"/>
      <c r="F46" s="49" t="s">
        <v>254</v>
      </c>
      <c r="G46" s="3"/>
      <c r="H46" s="3"/>
      <c r="I46" s="3"/>
      <c r="J46" s="3"/>
      <c r="K46" s="3"/>
      <c r="L46" s="4"/>
      <c r="M46" s="49" t="s">
        <v>265</v>
      </c>
      <c r="N46" s="3"/>
      <c r="O46" s="3"/>
      <c r="P46" s="3"/>
      <c r="Q46" s="3"/>
      <c r="R46" s="3"/>
      <c r="S46" s="3"/>
      <c r="T46" s="4"/>
      <c r="U46" s="61" t="s">
        <v>256</v>
      </c>
      <c r="V46" s="4"/>
      <c r="W46" s="49" t="s">
        <v>132</v>
      </c>
      <c r="X46" s="3"/>
      <c r="Y46" s="3"/>
      <c r="Z46" s="3"/>
      <c r="AA46" s="3"/>
      <c r="AB46" s="3"/>
      <c r="AC46" s="4"/>
      <c r="AD46" s="48">
        <v>25.0</v>
      </c>
      <c r="AE46" s="3"/>
      <c r="AF46" s="4"/>
    </row>
    <row r="47" ht="30.0" customHeight="1">
      <c r="B47" s="47">
        <v>40.0</v>
      </c>
      <c r="C47" s="48" t="s">
        <v>267</v>
      </c>
      <c r="D47" s="3"/>
      <c r="E47" s="4"/>
      <c r="F47" s="49" t="s">
        <v>254</v>
      </c>
      <c r="G47" s="3"/>
      <c r="H47" s="3"/>
      <c r="I47" s="3"/>
      <c r="J47" s="3"/>
      <c r="K47" s="3"/>
      <c r="L47" s="4"/>
      <c r="M47" s="49" t="s">
        <v>268</v>
      </c>
      <c r="N47" s="3"/>
      <c r="O47" s="3"/>
      <c r="P47" s="3"/>
      <c r="Q47" s="3"/>
      <c r="R47" s="3"/>
      <c r="S47" s="3"/>
      <c r="T47" s="4"/>
      <c r="U47" s="61" t="s">
        <v>256</v>
      </c>
      <c r="V47" s="4"/>
      <c r="W47" s="49" t="s">
        <v>99</v>
      </c>
      <c r="X47" s="3"/>
      <c r="Y47" s="3"/>
      <c r="Z47" s="3"/>
      <c r="AA47" s="3"/>
      <c r="AB47" s="3"/>
      <c r="AC47" s="4"/>
      <c r="AD47" s="48">
        <v>5.0</v>
      </c>
      <c r="AE47" s="3"/>
      <c r="AF47" s="4"/>
    </row>
    <row r="48" ht="30.0" customHeight="1">
      <c r="B48" s="47">
        <v>41.0</v>
      </c>
      <c r="C48" s="48" t="s">
        <v>271</v>
      </c>
      <c r="D48" s="3"/>
      <c r="E48" s="4"/>
      <c r="F48" s="49" t="s">
        <v>254</v>
      </c>
      <c r="G48" s="3"/>
      <c r="H48" s="3"/>
      <c r="I48" s="3"/>
      <c r="J48" s="3"/>
      <c r="K48" s="3"/>
      <c r="L48" s="4"/>
      <c r="M48" s="49" t="s">
        <v>273</v>
      </c>
      <c r="N48" s="3"/>
      <c r="O48" s="3"/>
      <c r="P48" s="3"/>
      <c r="Q48" s="3"/>
      <c r="R48" s="3"/>
      <c r="S48" s="3"/>
      <c r="T48" s="4"/>
      <c r="U48" s="50" t="s">
        <v>87</v>
      </c>
      <c r="V48" s="4"/>
      <c r="W48" s="49" t="s">
        <v>99</v>
      </c>
      <c r="X48" s="3"/>
      <c r="Y48" s="3"/>
      <c r="Z48" s="3"/>
      <c r="AA48" s="3"/>
      <c r="AB48" s="3"/>
      <c r="AC48" s="4"/>
      <c r="AD48" s="48">
        <v>5.0</v>
      </c>
      <c r="AE48" s="3"/>
      <c r="AF48" s="4"/>
    </row>
    <row r="49" ht="30.0" customHeight="1">
      <c r="B49" s="47">
        <v>42.0</v>
      </c>
      <c r="C49" s="48" t="s">
        <v>276</v>
      </c>
      <c r="D49" s="3"/>
      <c r="E49" s="4"/>
      <c r="F49" s="49" t="s">
        <v>254</v>
      </c>
      <c r="G49" s="3"/>
      <c r="H49" s="3"/>
      <c r="I49" s="3"/>
      <c r="J49" s="3"/>
      <c r="K49" s="3"/>
      <c r="L49" s="4"/>
      <c r="M49" s="49" t="s">
        <v>277</v>
      </c>
      <c r="N49" s="3"/>
      <c r="O49" s="3"/>
      <c r="P49" s="3"/>
      <c r="Q49" s="3"/>
      <c r="R49" s="3"/>
      <c r="S49" s="3"/>
      <c r="T49" s="4"/>
      <c r="U49" s="51" t="s">
        <v>111</v>
      </c>
      <c r="V49" s="4"/>
      <c r="W49" s="49" t="s">
        <v>278</v>
      </c>
      <c r="X49" s="3"/>
      <c r="Y49" s="3"/>
      <c r="Z49" s="3"/>
      <c r="AA49" s="3"/>
      <c r="AB49" s="3"/>
      <c r="AC49" s="4"/>
      <c r="AD49" s="48">
        <v>8.0</v>
      </c>
      <c r="AE49" s="3"/>
      <c r="AF49" s="4"/>
    </row>
    <row r="50" ht="30.0" customHeight="1">
      <c r="B50" s="47">
        <v>43.0</v>
      </c>
      <c r="C50" s="48" t="s">
        <v>279</v>
      </c>
      <c r="D50" s="3"/>
      <c r="E50" s="4"/>
      <c r="F50" s="49" t="s">
        <v>281</v>
      </c>
      <c r="G50" s="3"/>
      <c r="H50" s="3"/>
      <c r="I50" s="3"/>
      <c r="J50" s="3"/>
      <c r="K50" s="3"/>
      <c r="L50" s="4"/>
      <c r="M50" s="49" t="s">
        <v>284</v>
      </c>
      <c r="N50" s="3"/>
      <c r="O50" s="3"/>
      <c r="P50" s="3"/>
      <c r="Q50" s="3"/>
      <c r="R50" s="3"/>
      <c r="S50" s="3"/>
      <c r="T50" s="4"/>
      <c r="U50" s="51" t="s">
        <v>111</v>
      </c>
      <c r="V50" s="4"/>
      <c r="W50" s="49" t="s">
        <v>286</v>
      </c>
      <c r="X50" s="3"/>
      <c r="Y50" s="3"/>
      <c r="Z50" s="3"/>
      <c r="AA50" s="3"/>
      <c r="AB50" s="3"/>
      <c r="AC50" s="4"/>
      <c r="AD50" s="48">
        <v>12.0</v>
      </c>
      <c r="AE50" s="3"/>
      <c r="AF50" s="4"/>
    </row>
    <row r="51" ht="30.0" customHeight="1">
      <c r="B51" s="47">
        <v>44.0</v>
      </c>
      <c r="C51" s="48" t="s">
        <v>288</v>
      </c>
      <c r="D51" s="3"/>
      <c r="E51" s="4"/>
      <c r="F51" s="49" t="s">
        <v>281</v>
      </c>
      <c r="G51" s="3"/>
      <c r="H51" s="3"/>
      <c r="I51" s="3"/>
      <c r="J51" s="3"/>
      <c r="K51" s="3"/>
      <c r="L51" s="4"/>
      <c r="M51" s="49" t="s">
        <v>289</v>
      </c>
      <c r="N51" s="3"/>
      <c r="O51" s="3"/>
      <c r="P51" s="3"/>
      <c r="Q51" s="3"/>
      <c r="R51" s="3"/>
      <c r="S51" s="3"/>
      <c r="T51" s="4"/>
      <c r="U51" s="51" t="s">
        <v>111</v>
      </c>
      <c r="V51" s="4"/>
      <c r="W51" s="49" t="s">
        <v>290</v>
      </c>
      <c r="X51" s="3"/>
      <c r="Y51" s="3"/>
      <c r="Z51" s="3"/>
      <c r="AA51" s="3"/>
      <c r="AB51" s="3"/>
      <c r="AC51" s="4"/>
      <c r="AD51" s="48">
        <v>8.0</v>
      </c>
      <c r="AE51" s="3"/>
      <c r="AF51" s="4"/>
    </row>
    <row r="52" ht="22.5" customHeight="1">
      <c r="B52" s="62" t="s">
        <v>49</v>
      </c>
      <c r="C52" s="3"/>
      <c r="D52" s="3"/>
      <c r="E52" s="3"/>
      <c r="F52" s="3"/>
      <c r="G52" s="3"/>
      <c r="H52" s="3"/>
      <c r="I52" s="3"/>
      <c r="J52" s="3"/>
      <c r="K52" s="3"/>
      <c r="L52" s="3"/>
      <c r="M52" s="3"/>
      <c r="N52" s="3"/>
      <c r="O52" s="3"/>
      <c r="P52" s="3"/>
      <c r="Q52" s="3"/>
      <c r="R52" s="3"/>
      <c r="S52" s="3"/>
      <c r="T52" s="4"/>
      <c r="U52" s="35"/>
      <c r="V52" s="4"/>
      <c r="W52" s="35"/>
      <c r="X52" s="3"/>
      <c r="Y52" s="3"/>
      <c r="Z52" s="3"/>
      <c r="AA52" s="3"/>
      <c r="AB52" s="3"/>
      <c r="AC52" s="4"/>
      <c r="AD52" s="35">
        <f>SUM(AD8:AD51)</f>
        <v>1682</v>
      </c>
      <c r="AE52" s="3"/>
      <c r="AF52" s="4"/>
    </row>
    <row r="53" ht="15.75" customHeight="1"/>
    <row r="54" ht="19.5" customHeight="1">
      <c r="B54" s="26" t="s">
        <v>295</v>
      </c>
    </row>
    <row r="55" ht="15.75" customHeight="1"/>
    <row r="56" ht="28.5" customHeight="1">
      <c r="B56" s="46" t="s">
        <v>296</v>
      </c>
      <c r="C56" s="4"/>
      <c r="D56" s="46" t="s">
        <v>297</v>
      </c>
      <c r="E56" s="3"/>
      <c r="F56" s="4"/>
      <c r="G56" s="46" t="s">
        <v>298</v>
      </c>
      <c r="H56" s="3"/>
      <c r="I56" s="3"/>
      <c r="J56" s="3"/>
      <c r="K56" s="3"/>
      <c r="L56" s="4"/>
      <c r="M56" s="46" t="s">
        <v>299</v>
      </c>
      <c r="N56" s="4"/>
      <c r="O56" s="46" t="s">
        <v>300</v>
      </c>
      <c r="P56" s="3"/>
      <c r="Q56" s="4"/>
      <c r="R56" s="46" t="s">
        <v>301</v>
      </c>
      <c r="S56" s="3"/>
      <c r="T56" s="3"/>
      <c r="U56" s="3"/>
      <c r="V56" s="3"/>
      <c r="W56" s="3"/>
      <c r="X56" s="3"/>
      <c r="Y56" s="3"/>
      <c r="Z56" s="3"/>
      <c r="AA56" s="3"/>
      <c r="AB56" s="3"/>
      <c r="AC56" s="3"/>
      <c r="AD56" s="3"/>
      <c r="AE56" s="3"/>
      <c r="AF56" s="3"/>
      <c r="AG56" s="3"/>
      <c r="AH56" s="3"/>
      <c r="AI56" s="3"/>
      <c r="AJ56" s="3"/>
      <c r="AK56" s="4"/>
    </row>
    <row r="57" ht="36.0" customHeight="1">
      <c r="B57" s="63" t="s">
        <v>302</v>
      </c>
      <c r="C57" s="4"/>
      <c r="D57" s="48" t="s">
        <v>303</v>
      </c>
      <c r="E57" s="3"/>
      <c r="F57" s="4"/>
      <c r="G57" s="49" t="s">
        <v>304</v>
      </c>
      <c r="H57" s="3"/>
      <c r="I57" s="3"/>
      <c r="J57" s="3"/>
      <c r="K57" s="3"/>
      <c r="L57" s="4"/>
      <c r="M57" s="48">
        <v>10.0</v>
      </c>
      <c r="N57" s="4"/>
      <c r="O57" s="48" t="s">
        <v>87</v>
      </c>
      <c r="P57" s="3"/>
      <c r="Q57" s="4"/>
      <c r="R57" s="49" t="s">
        <v>310</v>
      </c>
      <c r="S57" s="3"/>
      <c r="T57" s="3"/>
      <c r="U57" s="3"/>
      <c r="V57" s="3"/>
      <c r="W57" s="3"/>
      <c r="X57" s="3"/>
      <c r="Y57" s="3"/>
      <c r="Z57" s="3"/>
      <c r="AA57" s="3"/>
      <c r="AB57" s="3"/>
      <c r="AC57" s="3"/>
      <c r="AD57" s="3"/>
      <c r="AE57" s="3"/>
      <c r="AF57" s="3"/>
      <c r="AG57" s="3"/>
      <c r="AH57" s="3"/>
      <c r="AI57" s="3"/>
      <c r="AJ57" s="3"/>
      <c r="AK57" s="4"/>
    </row>
    <row r="58" ht="30.0" customHeight="1">
      <c r="B58" s="63" t="s">
        <v>311</v>
      </c>
      <c r="C58" s="4"/>
      <c r="D58" s="48" t="s">
        <v>312</v>
      </c>
      <c r="E58" s="3"/>
      <c r="F58" s="4"/>
      <c r="G58" s="49" t="s">
        <v>313</v>
      </c>
      <c r="H58" s="3"/>
      <c r="I58" s="3"/>
      <c r="J58" s="3"/>
      <c r="K58" s="3"/>
      <c r="L58" s="4"/>
      <c r="M58" s="48">
        <v>9.0</v>
      </c>
      <c r="N58" s="4"/>
      <c r="O58" s="48" t="s">
        <v>111</v>
      </c>
      <c r="P58" s="3"/>
      <c r="Q58" s="4"/>
      <c r="R58" s="49" t="s">
        <v>314</v>
      </c>
      <c r="S58" s="3"/>
      <c r="T58" s="3"/>
      <c r="U58" s="3"/>
      <c r="V58" s="3"/>
      <c r="W58" s="3"/>
      <c r="X58" s="3"/>
      <c r="Y58" s="3"/>
      <c r="Z58" s="3"/>
      <c r="AA58" s="3"/>
      <c r="AB58" s="3"/>
      <c r="AC58" s="3"/>
      <c r="AD58" s="3"/>
      <c r="AE58" s="3"/>
      <c r="AF58" s="3"/>
      <c r="AG58" s="3"/>
      <c r="AH58" s="3"/>
      <c r="AI58" s="3"/>
      <c r="AJ58" s="3"/>
      <c r="AK58" s="4"/>
    </row>
    <row r="59" ht="36.0" customHeight="1">
      <c r="B59" s="63" t="s">
        <v>315</v>
      </c>
      <c r="C59" s="4"/>
      <c r="D59" s="48" t="s">
        <v>317</v>
      </c>
      <c r="E59" s="3"/>
      <c r="F59" s="4"/>
      <c r="G59" s="49" t="s">
        <v>318</v>
      </c>
      <c r="H59" s="3"/>
      <c r="I59" s="3"/>
      <c r="J59" s="3"/>
      <c r="K59" s="3"/>
      <c r="L59" s="4"/>
      <c r="M59" s="48">
        <v>8.0</v>
      </c>
      <c r="N59" s="4"/>
      <c r="O59" s="48" t="s">
        <v>87</v>
      </c>
      <c r="P59" s="3"/>
      <c r="Q59" s="4"/>
      <c r="R59" s="49" t="s">
        <v>319</v>
      </c>
      <c r="S59" s="3"/>
      <c r="T59" s="3"/>
      <c r="U59" s="3"/>
      <c r="V59" s="3"/>
      <c r="W59" s="3"/>
      <c r="X59" s="3"/>
      <c r="Y59" s="3"/>
      <c r="Z59" s="3"/>
      <c r="AA59" s="3"/>
      <c r="AB59" s="3"/>
      <c r="AC59" s="3"/>
      <c r="AD59" s="3"/>
      <c r="AE59" s="3"/>
      <c r="AF59" s="3"/>
      <c r="AG59" s="3"/>
      <c r="AH59" s="3"/>
      <c r="AI59" s="3"/>
      <c r="AJ59" s="3"/>
      <c r="AK59" s="4"/>
    </row>
    <row r="60" ht="36.0" customHeight="1">
      <c r="B60" s="63" t="s">
        <v>320</v>
      </c>
      <c r="C60" s="4"/>
      <c r="D60" s="48" t="s">
        <v>321</v>
      </c>
      <c r="E60" s="3"/>
      <c r="F60" s="4"/>
      <c r="G60" s="49" t="s">
        <v>322</v>
      </c>
      <c r="H60" s="3"/>
      <c r="I60" s="3"/>
      <c r="J60" s="3"/>
      <c r="K60" s="3"/>
      <c r="L60" s="4"/>
      <c r="M60" s="48">
        <v>9.0</v>
      </c>
      <c r="N60" s="4"/>
      <c r="O60" s="48" t="s">
        <v>87</v>
      </c>
      <c r="P60" s="3"/>
      <c r="Q60" s="4"/>
      <c r="R60" s="49" t="s">
        <v>323</v>
      </c>
      <c r="S60" s="3"/>
      <c r="T60" s="3"/>
      <c r="U60" s="3"/>
      <c r="V60" s="3"/>
      <c r="W60" s="3"/>
      <c r="X60" s="3"/>
      <c r="Y60" s="3"/>
      <c r="Z60" s="3"/>
      <c r="AA60" s="3"/>
      <c r="AB60" s="3"/>
      <c r="AC60" s="3"/>
      <c r="AD60" s="3"/>
      <c r="AE60" s="3"/>
      <c r="AF60" s="3"/>
      <c r="AG60" s="3"/>
      <c r="AH60" s="3"/>
      <c r="AI60" s="3"/>
      <c r="AJ60" s="3"/>
      <c r="AK60" s="4"/>
    </row>
    <row r="61" ht="36.0" customHeight="1">
      <c r="B61" s="63" t="s">
        <v>327</v>
      </c>
      <c r="C61" s="4"/>
      <c r="D61" s="48" t="s">
        <v>328</v>
      </c>
      <c r="E61" s="3"/>
      <c r="F61" s="4"/>
      <c r="G61" s="49" t="s">
        <v>330</v>
      </c>
      <c r="H61" s="3"/>
      <c r="I61" s="3"/>
      <c r="J61" s="3"/>
      <c r="K61" s="3"/>
      <c r="L61" s="4"/>
      <c r="M61" s="48">
        <v>6.0</v>
      </c>
      <c r="N61" s="4"/>
      <c r="O61" s="48" t="s">
        <v>332</v>
      </c>
      <c r="P61" s="3"/>
      <c r="Q61" s="4"/>
      <c r="R61" s="49" t="s">
        <v>333</v>
      </c>
      <c r="S61" s="3"/>
      <c r="T61" s="3"/>
      <c r="U61" s="3"/>
      <c r="V61" s="3"/>
      <c r="W61" s="3"/>
      <c r="X61" s="3"/>
      <c r="Y61" s="3"/>
      <c r="Z61" s="3"/>
      <c r="AA61" s="3"/>
      <c r="AB61" s="3"/>
      <c r="AC61" s="3"/>
      <c r="AD61" s="3"/>
      <c r="AE61" s="3"/>
      <c r="AF61" s="3"/>
      <c r="AG61" s="3"/>
      <c r="AH61" s="3"/>
      <c r="AI61" s="3"/>
      <c r="AJ61" s="3"/>
      <c r="AK61" s="4"/>
    </row>
    <row r="62" ht="30.0" customHeight="1">
      <c r="B62" s="63" t="s">
        <v>334</v>
      </c>
      <c r="C62" s="4"/>
      <c r="D62" s="48" t="s">
        <v>335</v>
      </c>
      <c r="E62" s="3"/>
      <c r="F62" s="4"/>
      <c r="G62" s="49" t="s">
        <v>336</v>
      </c>
      <c r="H62" s="3"/>
      <c r="I62" s="3"/>
      <c r="J62" s="3"/>
      <c r="K62" s="3"/>
      <c r="L62" s="4"/>
      <c r="M62" s="48">
        <v>2.0</v>
      </c>
      <c r="N62" s="4"/>
      <c r="O62" s="48" t="s">
        <v>111</v>
      </c>
      <c r="P62" s="3"/>
      <c r="Q62" s="4"/>
      <c r="R62" s="49" t="s">
        <v>337</v>
      </c>
      <c r="S62" s="3"/>
      <c r="T62" s="3"/>
      <c r="U62" s="3"/>
      <c r="V62" s="3"/>
      <c r="W62" s="3"/>
      <c r="X62" s="3"/>
      <c r="Y62" s="3"/>
      <c r="Z62" s="3"/>
      <c r="AA62" s="3"/>
      <c r="AB62" s="3"/>
      <c r="AC62" s="3"/>
      <c r="AD62" s="3"/>
      <c r="AE62" s="3"/>
      <c r="AF62" s="3"/>
      <c r="AG62" s="3"/>
      <c r="AH62" s="3"/>
      <c r="AI62" s="3"/>
      <c r="AJ62" s="3"/>
      <c r="AK62" s="4"/>
    </row>
    <row r="63" ht="15.75" customHeight="1"/>
    <row r="64" ht="30.0" customHeight="1">
      <c r="B64" s="64" t="s">
        <v>338</v>
      </c>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4"/>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102</v>
      </c>
      <c r="B1" s="3"/>
      <c r="C1" s="3"/>
      <c r="D1" s="3"/>
      <c r="E1" s="4"/>
      <c r="F1" s="17" t="s">
        <v>104</v>
      </c>
      <c r="G1" s="3"/>
      <c r="H1" s="3"/>
      <c r="I1" s="3"/>
      <c r="J1" s="3"/>
      <c r="K1" s="3"/>
      <c r="L1" s="3"/>
      <c r="M1" s="3"/>
      <c r="N1" s="3"/>
      <c r="O1" s="3"/>
      <c r="P1" s="3"/>
      <c r="Q1" s="4"/>
      <c r="R1" s="46" t="s">
        <v>106</v>
      </c>
      <c r="S1" s="3"/>
      <c r="T1" s="3"/>
      <c r="U1" s="3"/>
      <c r="V1" s="4"/>
      <c r="W1" s="17" t="s">
        <v>107</v>
      </c>
      <c r="X1" s="3"/>
      <c r="Y1" s="3"/>
      <c r="Z1" s="3"/>
      <c r="AA1" s="3"/>
      <c r="AB1" s="3"/>
      <c r="AC1" s="3"/>
      <c r="AD1" s="3"/>
      <c r="AE1" s="3"/>
      <c r="AF1" s="3"/>
      <c r="AG1" s="3"/>
      <c r="AH1" s="4"/>
    </row>
    <row r="2" ht="22.5" customHeight="1">
      <c r="A2" s="46" t="s">
        <v>11</v>
      </c>
      <c r="B2" s="3"/>
      <c r="C2" s="3"/>
      <c r="D2" s="3"/>
      <c r="E2" s="4"/>
      <c r="F2" s="17" t="s">
        <v>25</v>
      </c>
      <c r="G2" s="3"/>
      <c r="H2" s="3"/>
      <c r="I2" s="3"/>
      <c r="J2" s="3"/>
      <c r="K2" s="3"/>
      <c r="L2" s="3"/>
      <c r="M2" s="3"/>
      <c r="N2" s="3"/>
      <c r="O2" s="3"/>
      <c r="P2" s="3"/>
      <c r="Q2" s="4"/>
      <c r="R2" s="46" t="s">
        <v>9</v>
      </c>
      <c r="S2" s="3"/>
      <c r="T2" s="3"/>
      <c r="U2" s="3"/>
      <c r="V2" s="4"/>
      <c r="W2" s="29" t="s">
        <v>23</v>
      </c>
      <c r="X2" s="3"/>
      <c r="Y2" s="3"/>
      <c r="Z2" s="3"/>
      <c r="AA2" s="3"/>
      <c r="AB2" s="3"/>
      <c r="AC2" s="3"/>
      <c r="AD2" s="3"/>
      <c r="AE2" s="3"/>
      <c r="AF2" s="3"/>
      <c r="AG2" s="3"/>
      <c r="AH2" s="4"/>
    </row>
    <row r="3" ht="22.5" customHeight="1">
      <c r="A3" s="46" t="s">
        <v>10</v>
      </c>
      <c r="B3" s="3"/>
      <c r="C3" s="3"/>
      <c r="D3" s="3"/>
      <c r="E3" s="4"/>
      <c r="F3" s="17" t="s">
        <v>24</v>
      </c>
      <c r="G3" s="3"/>
      <c r="H3" s="3"/>
      <c r="I3" s="3"/>
      <c r="J3" s="3"/>
      <c r="K3" s="3"/>
      <c r="L3" s="3"/>
      <c r="M3" s="3"/>
      <c r="N3" s="3"/>
      <c r="O3" s="3"/>
      <c r="P3" s="3"/>
      <c r="Q3" s="4"/>
      <c r="R3" s="46" t="s">
        <v>112</v>
      </c>
      <c r="S3" s="3"/>
      <c r="T3" s="3"/>
      <c r="U3" s="3"/>
      <c r="V3" s="4"/>
      <c r="W3" s="29"/>
      <c r="X3" s="3"/>
      <c r="Y3" s="3"/>
      <c r="Z3" s="3"/>
      <c r="AA3" s="3"/>
      <c r="AB3" s="3"/>
      <c r="AC3" s="3"/>
      <c r="AD3" s="3"/>
      <c r="AE3" s="3"/>
      <c r="AF3" s="3"/>
      <c r="AG3" s="3"/>
      <c r="AH3" s="4"/>
    </row>
    <row r="4" ht="22.5" customHeight="1">
      <c r="A4" s="46" t="s">
        <v>114</v>
      </c>
      <c r="B4" s="3"/>
      <c r="C4" s="3"/>
      <c r="D4" s="3"/>
      <c r="E4" s="4"/>
      <c r="F4" s="17" t="s">
        <v>115</v>
      </c>
      <c r="G4" s="3"/>
      <c r="H4" s="3"/>
      <c r="I4" s="3"/>
      <c r="J4" s="3"/>
      <c r="K4" s="3"/>
      <c r="L4" s="3"/>
      <c r="M4" s="3"/>
      <c r="N4" s="3"/>
      <c r="O4" s="3"/>
      <c r="P4" s="3"/>
      <c r="Q4" s="3"/>
      <c r="R4" s="3"/>
      <c r="S4" s="3"/>
      <c r="T4" s="3"/>
      <c r="U4" s="3"/>
      <c r="V4" s="3"/>
      <c r="W4" s="3"/>
      <c r="X4" s="3"/>
      <c r="Y4" s="3"/>
      <c r="Z4" s="3"/>
      <c r="AA4" s="3"/>
      <c r="AB4" s="3"/>
      <c r="AC4" s="3"/>
      <c r="AD4" s="3"/>
      <c r="AE4" s="3"/>
      <c r="AF4" s="3"/>
      <c r="AG4" s="3"/>
      <c r="AH4" s="4"/>
    </row>
    <row r="5" ht="22.5" customHeight="1">
      <c r="A5" s="46" t="s">
        <v>117</v>
      </c>
      <c r="B5" s="3"/>
      <c r="C5" s="3"/>
      <c r="D5" s="3"/>
      <c r="E5" s="3"/>
      <c r="F5" s="3"/>
      <c r="G5" s="3"/>
      <c r="H5" s="3"/>
      <c r="I5" s="3"/>
      <c r="J5" s="3"/>
      <c r="K5" s="3"/>
      <c r="L5" s="3"/>
      <c r="M5" s="3"/>
      <c r="N5" s="3"/>
      <c r="O5" s="3"/>
      <c r="P5" s="3"/>
      <c r="Q5" s="3"/>
      <c r="R5" s="3"/>
      <c r="S5" s="4"/>
      <c r="T5" s="46" t="s">
        <v>50</v>
      </c>
      <c r="U5" s="3"/>
      <c r="V5" s="3"/>
      <c r="W5" s="3"/>
      <c r="X5" s="3"/>
      <c r="Y5" s="3"/>
      <c r="Z5" s="3"/>
      <c r="AA5" s="3"/>
      <c r="AB5" s="3"/>
      <c r="AC5" s="3"/>
      <c r="AD5" s="3"/>
      <c r="AE5" s="3"/>
      <c r="AF5" s="3"/>
      <c r="AG5" s="3"/>
      <c r="AH5" s="4"/>
    </row>
    <row r="6" ht="22.5" customHeight="1">
      <c r="A6" s="46" t="s">
        <v>120</v>
      </c>
      <c r="B6" s="3"/>
      <c r="C6" s="3"/>
      <c r="D6" s="3"/>
      <c r="E6" s="3"/>
      <c r="F6" s="3"/>
      <c r="G6" s="4"/>
      <c r="H6" s="46" t="s">
        <v>51</v>
      </c>
      <c r="I6" s="3"/>
      <c r="J6" s="4"/>
      <c r="K6" s="46" t="s">
        <v>53</v>
      </c>
      <c r="L6" s="3"/>
      <c r="M6" s="4"/>
      <c r="N6" s="46" t="s">
        <v>122</v>
      </c>
      <c r="O6" s="3"/>
      <c r="P6" s="4"/>
      <c r="Q6" s="46" t="s">
        <v>49</v>
      </c>
      <c r="R6" s="3"/>
      <c r="S6" s="4"/>
      <c r="T6" s="52" t="s">
        <v>124</v>
      </c>
      <c r="U6" s="3"/>
      <c r="V6" s="4"/>
      <c r="W6" s="52" t="s">
        <v>125</v>
      </c>
      <c r="X6" s="3"/>
      <c r="Y6" s="4"/>
      <c r="Z6" s="52" t="s">
        <v>127</v>
      </c>
      <c r="AA6" s="3"/>
      <c r="AB6" s="4"/>
      <c r="AC6" s="46" t="s">
        <v>59</v>
      </c>
      <c r="AD6" s="3"/>
      <c r="AE6" s="4"/>
      <c r="AF6" s="46" t="s">
        <v>49</v>
      </c>
      <c r="AG6" s="3"/>
      <c r="AH6" s="4"/>
    </row>
    <row r="7" ht="22.5" customHeight="1">
      <c r="A7" s="46" t="s">
        <v>130</v>
      </c>
      <c r="B7" s="3"/>
      <c r="C7" s="3"/>
      <c r="D7" s="3"/>
      <c r="E7" s="3"/>
      <c r="F7" s="3"/>
      <c r="G7" s="4"/>
      <c r="H7" s="9">
        <f t="shared" ref="H7:H8" si="1">COUNTIF($AE$12:$AF$1049,"N")</f>
        <v>21</v>
      </c>
      <c r="I7" s="3"/>
      <c r="J7" s="4"/>
      <c r="K7" s="9">
        <f t="shared" ref="K7:K8" si="2">COUNTIF($AE$12:$AF$1049,"A")</f>
        <v>27</v>
      </c>
      <c r="L7" s="3"/>
      <c r="M7" s="4"/>
      <c r="N7" s="9">
        <f t="shared" ref="N7:N8" si="3">COUNTIF($AE$12:$AF$1049,"B")</f>
        <v>2</v>
      </c>
      <c r="O7" s="3"/>
      <c r="P7" s="4"/>
      <c r="Q7" s="43">
        <f t="shared" ref="Q7:Q8" si="4">SUM(H7:P7)</f>
        <v>50</v>
      </c>
      <c r="R7" s="3"/>
      <c r="S7" s="4"/>
      <c r="T7" s="9">
        <f>COUNTIF($AG$12:$AI$1049,T$6)</f>
        <v>0</v>
      </c>
      <c r="U7" s="3"/>
      <c r="V7" s="4"/>
      <c r="W7" s="9">
        <f>COUNTIF($AG$12:$AI$1049,W$6)</f>
        <v>0</v>
      </c>
      <c r="X7" s="3"/>
      <c r="Y7" s="4"/>
      <c r="Z7" s="9">
        <f>COUNTIF($AG$12:$AI$1049,Z$6)</f>
        <v>0</v>
      </c>
      <c r="AA7" s="3"/>
      <c r="AB7" s="4"/>
      <c r="AC7" s="9">
        <f>COUNTIF($AG$12:$AI$1049,AC$6)</f>
        <v>3</v>
      </c>
      <c r="AD7" s="3"/>
      <c r="AE7" s="4"/>
      <c r="AF7" s="43">
        <f t="shared" ref="AF7:AF8" si="5">SUM(T7:AE7)</f>
        <v>3</v>
      </c>
      <c r="AG7" s="3"/>
      <c r="AH7" s="4"/>
    </row>
    <row r="8" ht="22.5" customHeight="1">
      <c r="A8" s="46" t="s">
        <v>138</v>
      </c>
      <c r="B8" s="3"/>
      <c r="C8" s="3"/>
      <c r="D8" s="3"/>
      <c r="E8" s="3"/>
      <c r="F8" s="3"/>
      <c r="G8" s="4"/>
      <c r="H8" s="9">
        <f t="shared" si="1"/>
        <v>21</v>
      </c>
      <c r="I8" s="3"/>
      <c r="J8" s="4"/>
      <c r="K8" s="9">
        <f t="shared" si="2"/>
        <v>27</v>
      </c>
      <c r="L8" s="3"/>
      <c r="M8" s="4"/>
      <c r="N8" s="9">
        <f t="shared" si="3"/>
        <v>2</v>
      </c>
      <c r="O8" s="3"/>
      <c r="P8" s="4"/>
      <c r="Q8" s="43">
        <f t="shared" si="4"/>
        <v>50</v>
      </c>
      <c r="R8" s="3"/>
      <c r="S8" s="4"/>
      <c r="T8" s="9">
        <f>COUNTIF($AV$12:$AX$1049,T$6)</f>
        <v>0</v>
      </c>
      <c r="U8" s="3"/>
      <c r="V8" s="4"/>
      <c r="W8" s="9">
        <f>COUNTIF($AV$12:$AX$1049,W$6)</f>
        <v>0</v>
      </c>
      <c r="X8" s="3"/>
      <c r="Y8" s="4"/>
      <c r="Z8" s="9">
        <f>COUNTIF($AV$12:$AX$1049,Z$6)</f>
        <v>0</v>
      </c>
      <c r="AA8" s="3"/>
      <c r="AB8" s="4"/>
      <c r="AC8" s="9">
        <f>COUNTIF($AV$12:$AX$1049,AC$6)</f>
        <v>0</v>
      </c>
      <c r="AD8" s="3"/>
      <c r="AE8" s="4"/>
      <c r="AF8" s="43">
        <f t="shared" si="5"/>
        <v>0</v>
      </c>
      <c r="AG8" s="3"/>
      <c r="AH8" s="4"/>
    </row>
    <row r="9" ht="12.75" customHeight="1"/>
    <row r="10" ht="36.0" customHeight="1">
      <c r="A10" s="53" t="s">
        <v>45</v>
      </c>
      <c r="B10" s="54" t="s">
        <v>144</v>
      </c>
      <c r="C10" s="11"/>
      <c r="D10" s="13"/>
      <c r="E10" s="54" t="s">
        <v>146</v>
      </c>
      <c r="F10" s="11"/>
      <c r="G10" s="11"/>
      <c r="H10" s="11"/>
      <c r="I10" s="13"/>
      <c r="J10" s="54" t="s">
        <v>147</v>
      </c>
      <c r="K10" s="11"/>
      <c r="L10" s="11"/>
      <c r="M10" s="11"/>
      <c r="N10" s="11"/>
      <c r="O10" s="11"/>
      <c r="P10" s="13"/>
      <c r="Q10" s="54" t="s">
        <v>148</v>
      </c>
      <c r="R10" s="11"/>
      <c r="S10" s="11"/>
      <c r="T10" s="11"/>
      <c r="U10" s="11"/>
      <c r="V10" s="11"/>
      <c r="W10" s="13"/>
      <c r="X10" s="54" t="s">
        <v>150</v>
      </c>
      <c r="Y10" s="11"/>
      <c r="Z10" s="11"/>
      <c r="AA10" s="11"/>
      <c r="AB10" s="11"/>
      <c r="AC10" s="11"/>
      <c r="AD10" s="13"/>
      <c r="AE10" s="54" t="s">
        <v>151</v>
      </c>
      <c r="AF10" s="13"/>
      <c r="AG10" s="46" t="s">
        <v>152</v>
      </c>
      <c r="AH10" s="3"/>
      <c r="AI10" s="3"/>
      <c r="AJ10" s="3"/>
      <c r="AK10" s="3"/>
      <c r="AL10" s="3"/>
      <c r="AM10" s="3"/>
      <c r="AN10" s="3"/>
      <c r="AO10" s="3"/>
      <c r="AP10" s="3"/>
      <c r="AQ10" s="3"/>
      <c r="AR10" s="3"/>
      <c r="AS10" s="3"/>
      <c r="AT10" s="3"/>
      <c r="AU10" s="4"/>
      <c r="AV10" s="46" t="s">
        <v>155</v>
      </c>
      <c r="AW10" s="3"/>
      <c r="AX10" s="3"/>
      <c r="AY10" s="3"/>
      <c r="AZ10" s="3"/>
      <c r="BA10" s="3"/>
      <c r="BB10" s="3"/>
      <c r="BC10" s="3"/>
      <c r="BD10" s="3"/>
      <c r="BE10" s="3"/>
      <c r="BF10" s="3"/>
      <c r="BG10" s="3"/>
      <c r="BH10" s="3"/>
      <c r="BI10" s="3"/>
      <c r="BJ10" s="4"/>
      <c r="BK10" s="54" t="s">
        <v>157</v>
      </c>
      <c r="BL10" s="11"/>
      <c r="BM10" s="11"/>
      <c r="BN10" s="11"/>
      <c r="BO10" s="11"/>
      <c r="BP10" s="11"/>
      <c r="BQ10" s="13"/>
    </row>
    <row r="11" ht="36.0" customHeight="1">
      <c r="A11" s="39"/>
      <c r="B11" s="20"/>
      <c r="C11" s="22"/>
      <c r="D11" s="24"/>
      <c r="E11" s="20"/>
      <c r="F11" s="22"/>
      <c r="G11" s="22"/>
      <c r="H11" s="22"/>
      <c r="I11" s="24"/>
      <c r="J11" s="20"/>
      <c r="K11" s="22"/>
      <c r="L11" s="22"/>
      <c r="M11" s="22"/>
      <c r="N11" s="22"/>
      <c r="O11" s="22"/>
      <c r="P11" s="24"/>
      <c r="Q11" s="20"/>
      <c r="R11" s="22"/>
      <c r="S11" s="22"/>
      <c r="T11" s="22"/>
      <c r="U11" s="22"/>
      <c r="V11" s="22"/>
      <c r="W11" s="24"/>
      <c r="X11" s="20"/>
      <c r="Y11" s="22"/>
      <c r="Z11" s="22"/>
      <c r="AA11" s="22"/>
      <c r="AB11" s="22"/>
      <c r="AC11" s="22"/>
      <c r="AD11" s="24"/>
      <c r="AE11" s="20"/>
      <c r="AF11" s="24"/>
      <c r="AG11" s="46" t="s">
        <v>160</v>
      </c>
      <c r="AH11" s="3"/>
      <c r="AI11" s="4"/>
      <c r="AJ11" s="46" t="s">
        <v>162</v>
      </c>
      <c r="AK11" s="3"/>
      <c r="AL11" s="4"/>
      <c r="AM11" s="46" t="s">
        <v>6</v>
      </c>
      <c r="AN11" s="3"/>
      <c r="AO11" s="4"/>
      <c r="AP11" s="46" t="s">
        <v>164</v>
      </c>
      <c r="AQ11" s="3"/>
      <c r="AR11" s="4"/>
      <c r="AS11" s="46" t="s">
        <v>165</v>
      </c>
      <c r="AT11" s="3"/>
      <c r="AU11" s="4"/>
      <c r="AV11" s="46" t="s">
        <v>160</v>
      </c>
      <c r="AW11" s="3"/>
      <c r="AX11" s="4"/>
      <c r="AY11" s="46" t="s">
        <v>162</v>
      </c>
      <c r="AZ11" s="3"/>
      <c r="BA11" s="4"/>
      <c r="BB11" s="46" t="s">
        <v>6</v>
      </c>
      <c r="BC11" s="3"/>
      <c r="BD11" s="4"/>
      <c r="BE11" s="46" t="s">
        <v>164</v>
      </c>
      <c r="BF11" s="3"/>
      <c r="BG11" s="4"/>
      <c r="BH11" s="46" t="s">
        <v>165</v>
      </c>
      <c r="BI11" s="3"/>
      <c r="BJ11" s="4"/>
      <c r="BK11" s="20"/>
      <c r="BL11" s="22"/>
      <c r="BM11" s="22"/>
      <c r="BN11" s="22"/>
      <c r="BO11" s="22"/>
      <c r="BP11" s="22"/>
      <c r="BQ11" s="24"/>
    </row>
    <row r="12" ht="22.5" customHeight="1">
      <c r="A12" s="15" t="s">
        <v>171</v>
      </c>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4"/>
    </row>
    <row r="13" ht="450.0" customHeight="1">
      <c r="A13" s="47">
        <v>1.0</v>
      </c>
      <c r="B13" s="49" t="s">
        <v>174</v>
      </c>
      <c r="C13" s="3"/>
      <c r="D13" s="4"/>
      <c r="E13" s="49" t="s">
        <v>175</v>
      </c>
      <c r="F13" s="3"/>
      <c r="G13" s="3"/>
      <c r="H13" s="3"/>
      <c r="I13" s="4"/>
      <c r="J13" s="49" t="s">
        <v>177</v>
      </c>
      <c r="K13" s="3"/>
      <c r="L13" s="3"/>
      <c r="M13" s="3"/>
      <c r="N13" s="3"/>
      <c r="O13" s="3"/>
      <c r="P13" s="4"/>
      <c r="Q13" s="55" t="s">
        <v>178</v>
      </c>
      <c r="R13" s="3"/>
      <c r="S13" s="3"/>
      <c r="T13" s="3"/>
      <c r="U13" s="3"/>
      <c r="V13" s="3"/>
      <c r="W13" s="4"/>
      <c r="X13" s="49" t="s">
        <v>179</v>
      </c>
      <c r="Y13" s="3"/>
      <c r="Z13" s="3"/>
      <c r="AA13" s="3"/>
      <c r="AB13" s="3"/>
      <c r="AC13" s="3"/>
      <c r="AD13" s="4"/>
      <c r="AE13" s="48" t="s">
        <v>181</v>
      </c>
      <c r="AF13" s="4"/>
      <c r="AG13" s="56" t="s">
        <v>55</v>
      </c>
      <c r="AH13" s="3"/>
      <c r="AI13" s="4"/>
      <c r="AJ13" s="48"/>
      <c r="AK13" s="3"/>
      <c r="AL13" s="4"/>
      <c r="AM13" s="57" t="s">
        <v>184</v>
      </c>
      <c r="AN13" s="3"/>
      <c r="AO13" s="4"/>
      <c r="AP13" s="58">
        <v>46149.0</v>
      </c>
      <c r="AQ13" s="3"/>
      <c r="AR13" s="4"/>
      <c r="AS13" s="48"/>
      <c r="AT13" s="3"/>
      <c r="AU13" s="4"/>
      <c r="AV13" s="56" t="s">
        <v>55</v>
      </c>
      <c r="AW13" s="3"/>
      <c r="AX13" s="4"/>
      <c r="AY13" s="48"/>
      <c r="AZ13" s="3"/>
      <c r="BA13" s="4"/>
      <c r="BB13" s="59" t="s">
        <v>187</v>
      </c>
      <c r="BC13" s="3"/>
      <c r="BD13" s="4"/>
      <c r="BE13" s="60">
        <v>46246.0</v>
      </c>
      <c r="BF13" s="3"/>
      <c r="BG13" s="4"/>
      <c r="BH13" s="48"/>
      <c r="BI13" s="3"/>
      <c r="BJ13" s="4"/>
      <c r="BK13" s="49"/>
      <c r="BL13" s="3"/>
      <c r="BM13" s="3"/>
      <c r="BN13" s="3"/>
      <c r="BO13" s="3"/>
      <c r="BP13" s="3"/>
      <c r="BQ13" s="4"/>
    </row>
    <row r="14" ht="288.0" customHeight="1">
      <c r="A14" s="47">
        <v>2.0</v>
      </c>
      <c r="B14" s="49" t="s">
        <v>190</v>
      </c>
      <c r="C14" s="3"/>
      <c r="D14" s="4"/>
      <c r="E14" s="49" t="s">
        <v>191</v>
      </c>
      <c r="F14" s="3"/>
      <c r="G14" s="3"/>
      <c r="H14" s="3"/>
      <c r="I14" s="4"/>
      <c r="J14" s="49" t="s">
        <v>192</v>
      </c>
      <c r="K14" s="3"/>
      <c r="L14" s="3"/>
      <c r="M14" s="3"/>
      <c r="N14" s="3"/>
      <c r="O14" s="3"/>
      <c r="P14" s="4"/>
      <c r="Q14" s="49" t="s">
        <v>194</v>
      </c>
      <c r="R14" s="3"/>
      <c r="S14" s="3"/>
      <c r="T14" s="3"/>
      <c r="U14" s="3"/>
      <c r="V14" s="3"/>
      <c r="W14" s="4"/>
      <c r="X14" s="49" t="s">
        <v>195</v>
      </c>
      <c r="Y14" s="3"/>
      <c r="Z14" s="3"/>
      <c r="AA14" s="3"/>
      <c r="AB14" s="3"/>
      <c r="AC14" s="3"/>
      <c r="AD14" s="4"/>
      <c r="AE14" s="48" t="s">
        <v>181</v>
      </c>
      <c r="AF14" s="4"/>
      <c r="AG14" s="56" t="s">
        <v>55</v>
      </c>
      <c r="AH14" s="3"/>
      <c r="AI14" s="4"/>
      <c r="AJ14" s="48"/>
      <c r="AK14" s="3"/>
      <c r="AL14" s="4"/>
      <c r="AM14" s="57" t="s">
        <v>184</v>
      </c>
      <c r="AN14" s="3"/>
      <c r="AO14" s="4"/>
      <c r="AP14" s="58">
        <v>46149.0</v>
      </c>
      <c r="AQ14" s="3"/>
      <c r="AR14" s="4"/>
      <c r="AS14" s="48"/>
      <c r="AT14" s="3"/>
      <c r="AU14" s="4"/>
      <c r="AV14" s="56" t="s">
        <v>55</v>
      </c>
      <c r="AW14" s="3"/>
      <c r="AX14" s="4"/>
      <c r="AY14" s="48"/>
      <c r="AZ14" s="3"/>
      <c r="BA14" s="4"/>
      <c r="BB14" s="59" t="s">
        <v>187</v>
      </c>
      <c r="BC14" s="3"/>
      <c r="BD14" s="4"/>
      <c r="BE14" s="60">
        <v>46246.0</v>
      </c>
      <c r="BF14" s="3"/>
      <c r="BG14" s="4"/>
      <c r="BH14" s="48"/>
      <c r="BI14" s="3"/>
      <c r="BJ14" s="4"/>
      <c r="BK14" s="49"/>
      <c r="BL14" s="3"/>
      <c r="BM14" s="3"/>
      <c r="BN14" s="3"/>
      <c r="BO14" s="3"/>
      <c r="BP14" s="3"/>
      <c r="BQ14" s="4"/>
    </row>
    <row r="15" ht="450.0" customHeight="1">
      <c r="A15" s="47">
        <v>3.0</v>
      </c>
      <c r="B15" s="49" t="s">
        <v>201</v>
      </c>
      <c r="C15" s="3"/>
      <c r="D15" s="4"/>
      <c r="E15" s="49" t="s">
        <v>202</v>
      </c>
      <c r="F15" s="3"/>
      <c r="G15" s="3"/>
      <c r="H15" s="3"/>
      <c r="I15" s="4"/>
      <c r="J15" s="49" t="s">
        <v>204</v>
      </c>
      <c r="K15" s="3"/>
      <c r="L15" s="3"/>
      <c r="M15" s="3"/>
      <c r="N15" s="3"/>
      <c r="O15" s="3"/>
      <c r="P15" s="4"/>
      <c r="Q15" s="49" t="s">
        <v>205</v>
      </c>
      <c r="R15" s="3"/>
      <c r="S15" s="3"/>
      <c r="T15" s="3"/>
      <c r="U15" s="3"/>
      <c r="V15" s="3"/>
      <c r="W15" s="4"/>
      <c r="X15" s="49" t="s">
        <v>207</v>
      </c>
      <c r="Y15" s="3"/>
      <c r="Z15" s="3"/>
      <c r="AA15" s="3"/>
      <c r="AB15" s="3"/>
      <c r="AC15" s="3"/>
      <c r="AD15" s="4"/>
      <c r="AE15" s="48" t="s">
        <v>181</v>
      </c>
      <c r="AF15" s="4"/>
      <c r="AG15" s="56" t="s">
        <v>55</v>
      </c>
      <c r="AH15" s="3"/>
      <c r="AI15" s="4"/>
      <c r="AJ15" s="48"/>
      <c r="AK15" s="3"/>
      <c r="AL15" s="4"/>
      <c r="AM15" s="57" t="s">
        <v>184</v>
      </c>
      <c r="AN15" s="3"/>
      <c r="AO15" s="4"/>
      <c r="AP15" s="58">
        <v>46149.0</v>
      </c>
      <c r="AQ15" s="3"/>
      <c r="AR15" s="4"/>
      <c r="AS15" s="48"/>
      <c r="AT15" s="3"/>
      <c r="AU15" s="4"/>
      <c r="AV15" s="56" t="s">
        <v>55</v>
      </c>
      <c r="AW15" s="3"/>
      <c r="AX15" s="4"/>
      <c r="AY15" s="48"/>
      <c r="AZ15" s="3"/>
      <c r="BA15" s="4"/>
      <c r="BB15" s="59" t="s">
        <v>187</v>
      </c>
      <c r="BC15" s="3"/>
      <c r="BD15" s="4"/>
      <c r="BE15" s="60">
        <v>46246.0</v>
      </c>
      <c r="BF15" s="3"/>
      <c r="BG15" s="4"/>
      <c r="BH15" s="48"/>
      <c r="BI15" s="3"/>
      <c r="BJ15" s="4"/>
      <c r="BK15" s="49" t="s">
        <v>213</v>
      </c>
      <c r="BL15" s="3"/>
      <c r="BM15" s="3"/>
      <c r="BN15" s="3"/>
      <c r="BO15" s="3"/>
      <c r="BP15" s="3"/>
      <c r="BQ15" s="4"/>
    </row>
    <row r="16" ht="255.75" customHeight="1">
      <c r="A16" s="47">
        <v>4.0</v>
      </c>
      <c r="B16" s="49" t="s">
        <v>216</v>
      </c>
      <c r="C16" s="3"/>
      <c r="D16" s="4"/>
      <c r="E16" s="49" t="s">
        <v>217</v>
      </c>
      <c r="F16" s="3"/>
      <c r="G16" s="3"/>
      <c r="H16" s="3"/>
      <c r="I16" s="4"/>
      <c r="J16" s="49" t="s">
        <v>218</v>
      </c>
      <c r="K16" s="3"/>
      <c r="L16" s="3"/>
      <c r="M16" s="3"/>
      <c r="N16" s="3"/>
      <c r="O16" s="3"/>
      <c r="P16" s="4"/>
      <c r="Q16" s="49" t="s">
        <v>220</v>
      </c>
      <c r="R16" s="3"/>
      <c r="S16" s="3"/>
      <c r="T16" s="3"/>
      <c r="U16" s="3"/>
      <c r="V16" s="3"/>
      <c r="W16" s="4"/>
      <c r="X16" s="49" t="s">
        <v>222</v>
      </c>
      <c r="Y16" s="3"/>
      <c r="Z16" s="3"/>
      <c r="AA16" s="3"/>
      <c r="AB16" s="3"/>
      <c r="AC16" s="3"/>
      <c r="AD16" s="4"/>
      <c r="AE16" s="48" t="s">
        <v>181</v>
      </c>
      <c r="AF16" s="4"/>
      <c r="AG16" s="56" t="s">
        <v>55</v>
      </c>
      <c r="AH16" s="3"/>
      <c r="AI16" s="4"/>
      <c r="AJ16" s="48"/>
      <c r="AK16" s="3"/>
      <c r="AL16" s="4"/>
      <c r="AM16" s="57" t="s">
        <v>184</v>
      </c>
      <c r="AN16" s="3"/>
      <c r="AO16" s="4"/>
      <c r="AP16" s="58">
        <v>46149.0</v>
      </c>
      <c r="AQ16" s="3"/>
      <c r="AR16" s="4"/>
      <c r="AS16" s="48"/>
      <c r="AT16" s="3"/>
      <c r="AU16" s="4"/>
      <c r="AV16" s="56" t="s">
        <v>55</v>
      </c>
      <c r="AW16" s="3"/>
      <c r="AX16" s="4"/>
      <c r="AY16" s="48"/>
      <c r="AZ16" s="3"/>
      <c r="BA16" s="4"/>
      <c r="BB16" s="59" t="s">
        <v>187</v>
      </c>
      <c r="BC16" s="3"/>
      <c r="BD16" s="4"/>
      <c r="BE16" s="60">
        <v>46246.0</v>
      </c>
      <c r="BF16" s="3"/>
      <c r="BG16" s="4"/>
      <c r="BH16" s="48"/>
      <c r="BI16" s="3"/>
      <c r="BJ16" s="4"/>
      <c r="BK16" s="49"/>
      <c r="BL16" s="3"/>
      <c r="BM16" s="3"/>
      <c r="BN16" s="3"/>
      <c r="BO16" s="3"/>
      <c r="BP16" s="3"/>
      <c r="BQ16" s="4"/>
    </row>
    <row r="17" ht="336.0" customHeight="1">
      <c r="A17" s="47">
        <v>5.0</v>
      </c>
      <c r="B17" s="49" t="s">
        <v>228</v>
      </c>
      <c r="C17" s="3"/>
      <c r="D17" s="4"/>
      <c r="E17" s="49" t="s">
        <v>229</v>
      </c>
      <c r="F17" s="3"/>
      <c r="G17" s="3"/>
      <c r="H17" s="3"/>
      <c r="I17" s="4"/>
      <c r="J17" s="49" t="s">
        <v>230</v>
      </c>
      <c r="K17" s="3"/>
      <c r="L17" s="3"/>
      <c r="M17" s="3"/>
      <c r="N17" s="3"/>
      <c r="O17" s="3"/>
      <c r="P17" s="4"/>
      <c r="Q17" s="49" t="s">
        <v>231</v>
      </c>
      <c r="R17" s="3"/>
      <c r="S17" s="3"/>
      <c r="T17" s="3"/>
      <c r="U17" s="3"/>
      <c r="V17" s="3"/>
      <c r="W17" s="4"/>
      <c r="X17" s="49" t="s">
        <v>235</v>
      </c>
      <c r="Y17" s="3"/>
      <c r="Z17" s="3"/>
      <c r="AA17" s="3"/>
      <c r="AB17" s="3"/>
      <c r="AC17" s="3"/>
      <c r="AD17" s="4"/>
      <c r="AE17" s="48" t="s">
        <v>181</v>
      </c>
      <c r="AF17" s="4"/>
      <c r="AG17" s="56" t="s">
        <v>55</v>
      </c>
      <c r="AH17" s="3"/>
      <c r="AI17" s="4"/>
      <c r="AJ17" s="48"/>
      <c r="AK17" s="3"/>
      <c r="AL17" s="4"/>
      <c r="AM17" s="57" t="s">
        <v>184</v>
      </c>
      <c r="AN17" s="3"/>
      <c r="AO17" s="4"/>
      <c r="AP17" s="58">
        <v>46149.0</v>
      </c>
      <c r="AQ17" s="3"/>
      <c r="AR17" s="4"/>
      <c r="AS17" s="48"/>
      <c r="AT17" s="3"/>
      <c r="AU17" s="4"/>
      <c r="AV17" s="56" t="s">
        <v>55</v>
      </c>
      <c r="AW17" s="3"/>
      <c r="AX17" s="4"/>
      <c r="AY17" s="48"/>
      <c r="AZ17" s="3"/>
      <c r="BA17" s="4"/>
      <c r="BB17" s="59" t="s">
        <v>187</v>
      </c>
      <c r="BC17" s="3"/>
      <c r="BD17" s="4"/>
      <c r="BE17" s="60">
        <v>46246.0</v>
      </c>
      <c r="BF17" s="3"/>
      <c r="BG17" s="4"/>
      <c r="BH17" s="48"/>
      <c r="BI17" s="3"/>
      <c r="BJ17" s="4"/>
      <c r="BK17" s="49" t="s">
        <v>242</v>
      </c>
      <c r="BL17" s="3"/>
      <c r="BM17" s="3"/>
      <c r="BN17" s="3"/>
      <c r="BO17" s="3"/>
      <c r="BP17" s="3"/>
      <c r="BQ17" s="4"/>
    </row>
    <row r="18" ht="22.5" customHeight="1">
      <c r="A18" s="15" t="s">
        <v>243</v>
      </c>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4"/>
    </row>
    <row r="19" ht="367.5" customHeight="1">
      <c r="A19" s="47">
        <v>6.0</v>
      </c>
      <c r="B19" s="49" t="s">
        <v>247</v>
      </c>
      <c r="C19" s="3"/>
      <c r="D19" s="4"/>
      <c r="E19" s="49" t="s">
        <v>248</v>
      </c>
      <c r="F19" s="3"/>
      <c r="G19" s="3"/>
      <c r="H19" s="3"/>
      <c r="I19" s="4"/>
      <c r="J19" s="49" t="s">
        <v>250</v>
      </c>
      <c r="K19" s="3"/>
      <c r="L19" s="3"/>
      <c r="M19" s="3"/>
      <c r="N19" s="3"/>
      <c r="O19" s="3"/>
      <c r="P19" s="4"/>
      <c r="Q19" s="49" t="s">
        <v>251</v>
      </c>
      <c r="R19" s="3"/>
      <c r="S19" s="3"/>
      <c r="T19" s="3"/>
      <c r="U19" s="3"/>
      <c r="V19" s="3"/>
      <c r="W19" s="4"/>
      <c r="X19" s="49" t="s">
        <v>253</v>
      </c>
      <c r="Y19" s="3"/>
      <c r="Z19" s="3"/>
      <c r="AA19" s="3"/>
      <c r="AB19" s="3"/>
      <c r="AC19" s="3"/>
      <c r="AD19" s="4"/>
      <c r="AE19" s="48" t="s">
        <v>181</v>
      </c>
      <c r="AF19" s="4"/>
      <c r="AG19" s="57" t="s">
        <v>55</v>
      </c>
      <c r="AH19" s="3"/>
      <c r="AI19" s="4"/>
      <c r="AJ19" s="48"/>
      <c r="AK19" s="3"/>
      <c r="AL19" s="4"/>
      <c r="AM19" s="57" t="s">
        <v>184</v>
      </c>
      <c r="AN19" s="3"/>
      <c r="AO19" s="4"/>
      <c r="AP19" s="58">
        <v>46149.0</v>
      </c>
      <c r="AQ19" s="3"/>
      <c r="AR19" s="4"/>
      <c r="AS19" s="48"/>
      <c r="AT19" s="3"/>
      <c r="AU19" s="4"/>
      <c r="AV19" s="56" t="s">
        <v>55</v>
      </c>
      <c r="AW19" s="3"/>
      <c r="AX19" s="4"/>
      <c r="AY19" s="48"/>
      <c r="AZ19" s="3"/>
      <c r="BA19" s="4"/>
      <c r="BB19" s="59" t="s">
        <v>187</v>
      </c>
      <c r="BC19" s="3"/>
      <c r="BD19" s="4"/>
      <c r="BE19" s="60">
        <v>46246.0</v>
      </c>
      <c r="BF19" s="3"/>
      <c r="BG19" s="4"/>
      <c r="BH19" s="48"/>
      <c r="BI19" s="3"/>
      <c r="BJ19" s="4"/>
      <c r="BK19" s="49"/>
      <c r="BL19" s="3"/>
      <c r="BM19" s="3"/>
      <c r="BN19" s="3"/>
      <c r="BO19" s="3"/>
      <c r="BP19" s="3"/>
      <c r="BQ19" s="4"/>
    </row>
    <row r="20" ht="450.0" customHeight="1">
      <c r="A20" s="47">
        <v>7.0</v>
      </c>
      <c r="B20" s="49" t="s">
        <v>260</v>
      </c>
      <c r="C20" s="3"/>
      <c r="D20" s="4"/>
      <c r="E20" s="49" t="s">
        <v>261</v>
      </c>
      <c r="F20" s="3"/>
      <c r="G20" s="3"/>
      <c r="H20" s="3"/>
      <c r="I20" s="4"/>
      <c r="J20" s="49" t="s">
        <v>262</v>
      </c>
      <c r="K20" s="3"/>
      <c r="L20" s="3"/>
      <c r="M20" s="3"/>
      <c r="N20" s="3"/>
      <c r="O20" s="3"/>
      <c r="P20" s="4"/>
      <c r="Q20" s="49" t="s">
        <v>264</v>
      </c>
      <c r="R20" s="3"/>
      <c r="S20" s="3"/>
      <c r="T20" s="3"/>
      <c r="U20" s="3"/>
      <c r="V20" s="3"/>
      <c r="W20" s="4"/>
      <c r="X20" s="49" t="s">
        <v>266</v>
      </c>
      <c r="Y20" s="3"/>
      <c r="Z20" s="3"/>
      <c r="AA20" s="3"/>
      <c r="AB20" s="3"/>
      <c r="AC20" s="3"/>
      <c r="AD20" s="4"/>
      <c r="AE20" s="48" t="s">
        <v>181</v>
      </c>
      <c r="AF20" s="4"/>
      <c r="AG20" s="57" t="s">
        <v>55</v>
      </c>
      <c r="AH20" s="3"/>
      <c r="AI20" s="4"/>
      <c r="AJ20" s="48"/>
      <c r="AK20" s="3"/>
      <c r="AL20" s="4"/>
      <c r="AM20" s="57" t="s">
        <v>184</v>
      </c>
      <c r="AN20" s="3"/>
      <c r="AO20" s="4"/>
      <c r="AP20" s="58">
        <v>46149.0</v>
      </c>
      <c r="AQ20" s="3"/>
      <c r="AR20" s="4"/>
      <c r="AS20" s="48"/>
      <c r="AT20" s="3"/>
      <c r="AU20" s="4"/>
      <c r="AV20" s="56" t="s">
        <v>55</v>
      </c>
      <c r="AW20" s="3"/>
      <c r="AX20" s="4"/>
      <c r="AY20" s="48"/>
      <c r="AZ20" s="3"/>
      <c r="BA20" s="4"/>
      <c r="BB20" s="59" t="s">
        <v>187</v>
      </c>
      <c r="BC20" s="3"/>
      <c r="BD20" s="4"/>
      <c r="BE20" s="60">
        <v>46246.0</v>
      </c>
      <c r="BF20" s="3"/>
      <c r="BG20" s="4"/>
      <c r="BH20" s="48"/>
      <c r="BI20" s="3"/>
      <c r="BJ20" s="4"/>
      <c r="BK20" s="49"/>
      <c r="BL20" s="3"/>
      <c r="BM20" s="3"/>
      <c r="BN20" s="3"/>
      <c r="BO20" s="3"/>
      <c r="BP20" s="3"/>
      <c r="BQ20" s="4"/>
    </row>
    <row r="21" ht="288.0" customHeight="1">
      <c r="A21" s="47">
        <v>8.0</v>
      </c>
      <c r="B21" s="49" t="s">
        <v>269</v>
      </c>
      <c r="C21" s="3"/>
      <c r="D21" s="4"/>
      <c r="E21" s="49" t="s">
        <v>270</v>
      </c>
      <c r="F21" s="3"/>
      <c r="G21" s="3"/>
      <c r="H21" s="3"/>
      <c r="I21" s="4"/>
      <c r="J21" s="49" t="s">
        <v>272</v>
      </c>
      <c r="K21" s="3"/>
      <c r="L21" s="3"/>
      <c r="M21" s="3"/>
      <c r="N21" s="3"/>
      <c r="O21" s="3"/>
      <c r="P21" s="4"/>
      <c r="Q21" s="49" t="s">
        <v>274</v>
      </c>
      <c r="R21" s="3"/>
      <c r="S21" s="3"/>
      <c r="T21" s="3"/>
      <c r="U21" s="3"/>
      <c r="V21" s="3"/>
      <c r="W21" s="4"/>
      <c r="X21" s="49" t="s">
        <v>275</v>
      </c>
      <c r="Y21" s="3"/>
      <c r="Z21" s="3"/>
      <c r="AA21" s="3"/>
      <c r="AB21" s="3"/>
      <c r="AC21" s="3"/>
      <c r="AD21" s="4"/>
      <c r="AE21" s="48" t="s">
        <v>181</v>
      </c>
      <c r="AF21" s="4"/>
      <c r="AG21" s="57" t="s">
        <v>55</v>
      </c>
      <c r="AH21" s="3"/>
      <c r="AI21" s="4"/>
      <c r="AJ21" s="48"/>
      <c r="AK21" s="3"/>
      <c r="AL21" s="4"/>
      <c r="AM21" s="57" t="s">
        <v>184</v>
      </c>
      <c r="AN21" s="3"/>
      <c r="AO21" s="4"/>
      <c r="AP21" s="58">
        <v>46149.0</v>
      </c>
      <c r="AQ21" s="3"/>
      <c r="AR21" s="4"/>
      <c r="AS21" s="48"/>
      <c r="AT21" s="3"/>
      <c r="AU21" s="4"/>
      <c r="AV21" s="56" t="s">
        <v>55</v>
      </c>
      <c r="AW21" s="3"/>
      <c r="AX21" s="4"/>
      <c r="AY21" s="48"/>
      <c r="AZ21" s="3"/>
      <c r="BA21" s="4"/>
      <c r="BB21" s="59" t="s">
        <v>187</v>
      </c>
      <c r="BC21" s="3"/>
      <c r="BD21" s="4"/>
      <c r="BE21" s="60">
        <v>46246.0</v>
      </c>
      <c r="BF21" s="3"/>
      <c r="BG21" s="4"/>
      <c r="BH21" s="48"/>
      <c r="BI21" s="3"/>
      <c r="BJ21" s="4"/>
      <c r="BK21" s="49"/>
      <c r="BL21" s="3"/>
      <c r="BM21" s="3"/>
      <c r="BN21" s="3"/>
      <c r="BO21" s="3"/>
      <c r="BP21" s="3"/>
      <c r="BQ21" s="4"/>
    </row>
    <row r="22" ht="415.5" customHeight="1">
      <c r="A22" s="47">
        <v>9.0</v>
      </c>
      <c r="B22" s="49" t="s">
        <v>280</v>
      </c>
      <c r="C22" s="3"/>
      <c r="D22" s="4"/>
      <c r="E22" s="49" t="s">
        <v>282</v>
      </c>
      <c r="F22" s="3"/>
      <c r="G22" s="3"/>
      <c r="H22" s="3"/>
      <c r="I22" s="4"/>
      <c r="J22" s="49" t="s">
        <v>283</v>
      </c>
      <c r="K22" s="3"/>
      <c r="L22" s="3"/>
      <c r="M22" s="3"/>
      <c r="N22" s="3"/>
      <c r="O22" s="3"/>
      <c r="P22" s="4"/>
      <c r="Q22" s="49" t="s">
        <v>285</v>
      </c>
      <c r="R22" s="3"/>
      <c r="S22" s="3"/>
      <c r="T22" s="3"/>
      <c r="U22" s="3"/>
      <c r="V22" s="3"/>
      <c r="W22" s="4"/>
      <c r="X22" s="49" t="s">
        <v>287</v>
      </c>
      <c r="Y22" s="3"/>
      <c r="Z22" s="3"/>
      <c r="AA22" s="3"/>
      <c r="AB22" s="3"/>
      <c r="AC22" s="3"/>
      <c r="AD22" s="4"/>
      <c r="AE22" s="48" t="s">
        <v>181</v>
      </c>
      <c r="AF22" s="4"/>
      <c r="AG22" s="57" t="s">
        <v>55</v>
      </c>
      <c r="AH22" s="3"/>
      <c r="AI22" s="4"/>
      <c r="AJ22" s="48"/>
      <c r="AK22" s="3"/>
      <c r="AL22" s="4"/>
      <c r="AM22" s="57" t="s">
        <v>184</v>
      </c>
      <c r="AN22" s="3"/>
      <c r="AO22" s="4"/>
      <c r="AP22" s="58">
        <v>46149.0</v>
      </c>
      <c r="AQ22" s="3"/>
      <c r="AR22" s="4"/>
      <c r="AS22" s="48"/>
      <c r="AT22" s="3"/>
      <c r="AU22" s="4"/>
      <c r="AV22" s="56" t="s">
        <v>55</v>
      </c>
      <c r="AW22" s="3"/>
      <c r="AX22" s="4"/>
      <c r="AY22" s="48"/>
      <c r="AZ22" s="3"/>
      <c r="BA22" s="4"/>
      <c r="BB22" s="59" t="s">
        <v>187</v>
      </c>
      <c r="BC22" s="3"/>
      <c r="BD22" s="4"/>
      <c r="BE22" s="60">
        <v>46246.0</v>
      </c>
      <c r="BF22" s="3"/>
      <c r="BG22" s="4"/>
      <c r="BH22" s="48"/>
      <c r="BI22" s="3"/>
      <c r="BJ22" s="4"/>
      <c r="BK22" s="49"/>
      <c r="BL22" s="3"/>
      <c r="BM22" s="3"/>
      <c r="BN22" s="3"/>
      <c r="BO22" s="3"/>
      <c r="BP22" s="3"/>
      <c r="BQ22" s="4"/>
    </row>
    <row r="23" ht="319.5" customHeight="1">
      <c r="A23" s="47">
        <v>10.0</v>
      </c>
      <c r="B23" s="49" t="s">
        <v>291</v>
      </c>
      <c r="C23" s="3"/>
      <c r="D23" s="4"/>
      <c r="E23" s="49" t="s">
        <v>292</v>
      </c>
      <c r="F23" s="3"/>
      <c r="G23" s="3"/>
      <c r="H23" s="3"/>
      <c r="I23" s="4"/>
      <c r="J23" s="49" t="s">
        <v>283</v>
      </c>
      <c r="K23" s="3"/>
      <c r="L23" s="3"/>
      <c r="M23" s="3"/>
      <c r="N23" s="3"/>
      <c r="O23" s="3"/>
      <c r="P23" s="4"/>
      <c r="Q23" s="49" t="s">
        <v>293</v>
      </c>
      <c r="R23" s="3"/>
      <c r="S23" s="3"/>
      <c r="T23" s="3"/>
      <c r="U23" s="3"/>
      <c r="V23" s="3"/>
      <c r="W23" s="4"/>
      <c r="X23" s="49" t="s">
        <v>294</v>
      </c>
      <c r="Y23" s="3"/>
      <c r="Z23" s="3"/>
      <c r="AA23" s="3"/>
      <c r="AB23" s="3"/>
      <c r="AC23" s="3"/>
      <c r="AD23" s="4"/>
      <c r="AE23" s="48" t="s">
        <v>181</v>
      </c>
      <c r="AF23" s="4"/>
      <c r="AG23" s="57" t="s">
        <v>55</v>
      </c>
      <c r="AH23" s="3"/>
      <c r="AI23" s="4"/>
      <c r="AJ23" s="48"/>
      <c r="AK23" s="3"/>
      <c r="AL23" s="4"/>
      <c r="AM23" s="57" t="s">
        <v>184</v>
      </c>
      <c r="AN23" s="3"/>
      <c r="AO23" s="4"/>
      <c r="AP23" s="58">
        <v>46149.0</v>
      </c>
      <c r="AQ23" s="3"/>
      <c r="AR23" s="4"/>
      <c r="AS23" s="48"/>
      <c r="AT23" s="3"/>
      <c r="AU23" s="4"/>
      <c r="AV23" s="56" t="s">
        <v>55</v>
      </c>
      <c r="AW23" s="3"/>
      <c r="AX23" s="4"/>
      <c r="AY23" s="48"/>
      <c r="AZ23" s="3"/>
      <c r="BA23" s="4"/>
      <c r="BB23" s="59" t="s">
        <v>187</v>
      </c>
      <c r="BC23" s="3"/>
      <c r="BD23" s="4"/>
      <c r="BE23" s="60">
        <v>46246.0</v>
      </c>
      <c r="BF23" s="3"/>
      <c r="BG23" s="4"/>
      <c r="BH23" s="48"/>
      <c r="BI23" s="3"/>
      <c r="BJ23" s="4"/>
      <c r="BK23" s="49"/>
      <c r="BL23" s="3"/>
      <c r="BM23" s="3"/>
      <c r="BN23" s="3"/>
      <c r="BO23" s="3"/>
      <c r="BP23" s="3"/>
      <c r="BQ23" s="4"/>
    </row>
    <row r="24" ht="303.75" customHeight="1">
      <c r="A24" s="47">
        <v>11.0</v>
      </c>
      <c r="B24" s="49" t="s">
        <v>305</v>
      </c>
      <c r="C24" s="3"/>
      <c r="D24" s="4"/>
      <c r="E24" s="49" t="s">
        <v>306</v>
      </c>
      <c r="F24" s="3"/>
      <c r="G24" s="3"/>
      <c r="H24" s="3"/>
      <c r="I24" s="4"/>
      <c r="J24" s="49" t="s">
        <v>307</v>
      </c>
      <c r="K24" s="3"/>
      <c r="L24" s="3"/>
      <c r="M24" s="3"/>
      <c r="N24" s="3"/>
      <c r="O24" s="3"/>
      <c r="P24" s="4"/>
      <c r="Q24" s="49" t="s">
        <v>308</v>
      </c>
      <c r="R24" s="3"/>
      <c r="S24" s="3"/>
      <c r="T24" s="3"/>
      <c r="U24" s="3"/>
      <c r="V24" s="3"/>
      <c r="W24" s="4"/>
      <c r="X24" s="49" t="s">
        <v>309</v>
      </c>
      <c r="Y24" s="3"/>
      <c r="Z24" s="3"/>
      <c r="AA24" s="3"/>
      <c r="AB24" s="3"/>
      <c r="AC24" s="3"/>
      <c r="AD24" s="4"/>
      <c r="AE24" s="48" t="s">
        <v>181</v>
      </c>
      <c r="AF24" s="4"/>
      <c r="AG24" s="57" t="s">
        <v>55</v>
      </c>
      <c r="AH24" s="3"/>
      <c r="AI24" s="4"/>
      <c r="AJ24" s="48"/>
      <c r="AK24" s="3"/>
      <c r="AL24" s="4"/>
      <c r="AM24" s="57" t="s">
        <v>184</v>
      </c>
      <c r="AN24" s="3"/>
      <c r="AO24" s="4"/>
      <c r="AP24" s="58">
        <v>46149.0</v>
      </c>
      <c r="AQ24" s="3"/>
      <c r="AR24" s="4"/>
      <c r="AS24" s="48"/>
      <c r="AT24" s="3"/>
      <c r="AU24" s="4"/>
      <c r="AV24" s="56" t="s">
        <v>55</v>
      </c>
      <c r="AW24" s="3"/>
      <c r="AX24" s="4"/>
      <c r="AY24" s="48"/>
      <c r="AZ24" s="3"/>
      <c r="BA24" s="4"/>
      <c r="BB24" s="59" t="s">
        <v>187</v>
      </c>
      <c r="BC24" s="3"/>
      <c r="BD24" s="4"/>
      <c r="BE24" s="60">
        <v>46246.0</v>
      </c>
      <c r="BF24" s="3"/>
      <c r="BG24" s="4"/>
      <c r="BH24" s="48"/>
      <c r="BI24" s="3"/>
      <c r="BJ24" s="4"/>
      <c r="BK24" s="49" t="s">
        <v>242</v>
      </c>
      <c r="BL24" s="3"/>
      <c r="BM24" s="3"/>
      <c r="BN24" s="3"/>
      <c r="BO24" s="3"/>
      <c r="BP24" s="3"/>
      <c r="BQ24" s="4"/>
    </row>
    <row r="25" ht="22.5" customHeight="1">
      <c r="A25" s="15" t="s">
        <v>316</v>
      </c>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4"/>
    </row>
    <row r="26" ht="255.75" customHeight="1">
      <c r="A26" s="47">
        <v>12.0</v>
      </c>
      <c r="B26" s="49" t="s">
        <v>324</v>
      </c>
      <c r="C26" s="3"/>
      <c r="D26" s="4"/>
      <c r="E26" s="49" t="s">
        <v>325</v>
      </c>
      <c r="F26" s="3"/>
      <c r="G26" s="3"/>
      <c r="H26" s="3"/>
      <c r="I26" s="4"/>
      <c r="J26" s="49" t="s">
        <v>326</v>
      </c>
      <c r="K26" s="3"/>
      <c r="L26" s="3"/>
      <c r="M26" s="3"/>
      <c r="N26" s="3"/>
      <c r="O26" s="3"/>
      <c r="P26" s="4"/>
      <c r="Q26" s="49" t="s">
        <v>329</v>
      </c>
      <c r="R26" s="3"/>
      <c r="S26" s="3"/>
      <c r="T26" s="3"/>
      <c r="U26" s="3"/>
      <c r="V26" s="3"/>
      <c r="W26" s="4"/>
      <c r="X26" s="49" t="s">
        <v>331</v>
      </c>
      <c r="Y26" s="3"/>
      <c r="Z26" s="3"/>
      <c r="AA26" s="3"/>
      <c r="AB26" s="3"/>
      <c r="AC26" s="3"/>
      <c r="AD26" s="4"/>
      <c r="AE26" s="48" t="s">
        <v>181</v>
      </c>
      <c r="AF26" s="4"/>
      <c r="AG26" s="57" t="s">
        <v>55</v>
      </c>
      <c r="AH26" s="3"/>
      <c r="AI26" s="4"/>
      <c r="AJ26" s="48"/>
      <c r="AK26" s="3"/>
      <c r="AL26" s="4"/>
      <c r="AM26" s="57" t="s">
        <v>184</v>
      </c>
      <c r="AN26" s="3"/>
      <c r="AO26" s="4"/>
      <c r="AP26" s="58">
        <v>46149.0</v>
      </c>
      <c r="AQ26" s="3"/>
      <c r="AR26" s="4"/>
      <c r="AS26" s="48"/>
      <c r="AT26" s="3"/>
      <c r="AU26" s="4"/>
      <c r="AV26" s="56" t="s">
        <v>55</v>
      </c>
      <c r="AW26" s="3"/>
      <c r="AX26" s="4"/>
      <c r="AY26" s="48"/>
      <c r="AZ26" s="3"/>
      <c r="BA26" s="4"/>
      <c r="BB26" s="59" t="s">
        <v>187</v>
      </c>
      <c r="BC26" s="3"/>
      <c r="BD26" s="4"/>
      <c r="BE26" s="60">
        <v>46246.0</v>
      </c>
      <c r="BF26" s="3"/>
      <c r="BG26" s="4"/>
      <c r="BH26" s="48"/>
      <c r="BI26" s="3"/>
      <c r="BJ26" s="4"/>
      <c r="BK26" s="49"/>
      <c r="BL26" s="3"/>
      <c r="BM26" s="3"/>
      <c r="BN26" s="3"/>
      <c r="BO26" s="3"/>
      <c r="BP26" s="3"/>
      <c r="BQ26" s="4"/>
    </row>
    <row r="27" ht="175.5" customHeight="1">
      <c r="A27" s="47">
        <v>13.0</v>
      </c>
      <c r="B27" s="49" t="s">
        <v>339</v>
      </c>
      <c r="C27" s="3"/>
      <c r="D27" s="4"/>
      <c r="E27" s="49" t="s">
        <v>340</v>
      </c>
      <c r="F27" s="3"/>
      <c r="G27" s="3"/>
      <c r="H27" s="3"/>
      <c r="I27" s="4"/>
      <c r="J27" s="49" t="s">
        <v>341</v>
      </c>
      <c r="K27" s="3"/>
      <c r="L27" s="3"/>
      <c r="M27" s="3"/>
      <c r="N27" s="3"/>
      <c r="O27" s="3"/>
      <c r="P27" s="4"/>
      <c r="Q27" s="49" t="s">
        <v>342</v>
      </c>
      <c r="R27" s="3"/>
      <c r="S27" s="3"/>
      <c r="T27" s="3"/>
      <c r="U27" s="3"/>
      <c r="V27" s="3"/>
      <c r="W27" s="4"/>
      <c r="X27" s="49" t="s">
        <v>343</v>
      </c>
      <c r="Y27" s="3"/>
      <c r="Z27" s="3"/>
      <c r="AA27" s="3"/>
      <c r="AB27" s="3"/>
      <c r="AC27" s="3"/>
      <c r="AD27" s="4"/>
      <c r="AE27" s="48" t="s">
        <v>181</v>
      </c>
      <c r="AF27" s="4"/>
      <c r="AG27" s="57" t="s">
        <v>55</v>
      </c>
      <c r="AH27" s="3"/>
      <c r="AI27" s="4"/>
      <c r="AJ27" s="48"/>
      <c r="AK27" s="3"/>
      <c r="AL27" s="4"/>
      <c r="AM27" s="57" t="s">
        <v>184</v>
      </c>
      <c r="AN27" s="3"/>
      <c r="AO27" s="4"/>
      <c r="AP27" s="58">
        <v>46149.0</v>
      </c>
      <c r="AQ27" s="3"/>
      <c r="AR27" s="4"/>
      <c r="AS27" s="48"/>
      <c r="AT27" s="3"/>
      <c r="AU27" s="4"/>
      <c r="AV27" s="56" t="s">
        <v>55</v>
      </c>
      <c r="AW27" s="3"/>
      <c r="AX27" s="4"/>
      <c r="AY27" s="48"/>
      <c r="AZ27" s="3"/>
      <c r="BA27" s="4"/>
      <c r="BB27" s="59" t="s">
        <v>187</v>
      </c>
      <c r="BC27" s="3"/>
      <c r="BD27" s="4"/>
      <c r="BE27" s="60">
        <v>46246.0</v>
      </c>
      <c r="BF27" s="3"/>
      <c r="BG27" s="4"/>
      <c r="BH27" s="48"/>
      <c r="BI27" s="3"/>
      <c r="BJ27" s="4"/>
      <c r="BK27" s="49"/>
      <c r="BL27" s="3"/>
      <c r="BM27" s="3"/>
      <c r="BN27" s="3"/>
      <c r="BO27" s="3"/>
      <c r="BP27" s="3"/>
      <c r="BQ27" s="4"/>
    </row>
    <row r="28" ht="319.5" customHeight="1">
      <c r="A28" s="47">
        <v>14.0</v>
      </c>
      <c r="B28" s="49" t="s">
        <v>344</v>
      </c>
      <c r="C28" s="3"/>
      <c r="D28" s="4"/>
      <c r="E28" s="49" t="s">
        <v>345</v>
      </c>
      <c r="F28" s="3"/>
      <c r="G28" s="3"/>
      <c r="H28" s="3"/>
      <c r="I28" s="4"/>
      <c r="J28" s="49" t="s">
        <v>346</v>
      </c>
      <c r="K28" s="3"/>
      <c r="L28" s="3"/>
      <c r="M28" s="3"/>
      <c r="N28" s="3"/>
      <c r="O28" s="3"/>
      <c r="P28" s="4"/>
      <c r="Q28" s="49" t="s">
        <v>347</v>
      </c>
      <c r="R28" s="3"/>
      <c r="S28" s="3"/>
      <c r="T28" s="3"/>
      <c r="U28" s="3"/>
      <c r="V28" s="3"/>
      <c r="W28" s="4"/>
      <c r="X28" s="49" t="s">
        <v>348</v>
      </c>
      <c r="Y28" s="3"/>
      <c r="Z28" s="3"/>
      <c r="AA28" s="3"/>
      <c r="AB28" s="3"/>
      <c r="AC28" s="3"/>
      <c r="AD28" s="4"/>
      <c r="AE28" s="48" t="s">
        <v>181</v>
      </c>
      <c r="AF28" s="4"/>
      <c r="AG28" s="57" t="s">
        <v>55</v>
      </c>
      <c r="AH28" s="3"/>
      <c r="AI28" s="4"/>
      <c r="AJ28" s="48"/>
      <c r="AK28" s="3"/>
      <c r="AL28" s="4"/>
      <c r="AM28" s="57" t="s">
        <v>184</v>
      </c>
      <c r="AN28" s="3"/>
      <c r="AO28" s="4"/>
      <c r="AP28" s="58">
        <v>46149.0</v>
      </c>
      <c r="AQ28" s="3"/>
      <c r="AR28" s="4"/>
      <c r="AS28" s="48"/>
      <c r="AT28" s="3"/>
      <c r="AU28" s="4"/>
      <c r="AV28" s="56" t="s">
        <v>55</v>
      </c>
      <c r="AW28" s="3"/>
      <c r="AX28" s="4"/>
      <c r="AY28" s="48"/>
      <c r="AZ28" s="3"/>
      <c r="BA28" s="4"/>
      <c r="BB28" s="59" t="s">
        <v>187</v>
      </c>
      <c r="BC28" s="3"/>
      <c r="BD28" s="4"/>
      <c r="BE28" s="60">
        <v>46246.0</v>
      </c>
      <c r="BF28" s="3"/>
      <c r="BG28" s="4"/>
      <c r="BH28" s="48"/>
      <c r="BI28" s="3"/>
      <c r="BJ28" s="4"/>
      <c r="BK28" s="49"/>
      <c r="BL28" s="3"/>
      <c r="BM28" s="3"/>
      <c r="BN28" s="3"/>
      <c r="BO28" s="3"/>
      <c r="BP28" s="3"/>
      <c r="BQ28" s="4"/>
    </row>
    <row r="29" ht="319.5" customHeight="1">
      <c r="A29" s="47">
        <v>15.0</v>
      </c>
      <c r="B29" s="49" t="s">
        <v>349</v>
      </c>
      <c r="C29" s="3"/>
      <c r="D29" s="4"/>
      <c r="E29" s="49" t="s">
        <v>350</v>
      </c>
      <c r="F29" s="3"/>
      <c r="G29" s="3"/>
      <c r="H29" s="3"/>
      <c r="I29" s="4"/>
      <c r="J29" s="49" t="s">
        <v>351</v>
      </c>
      <c r="K29" s="3"/>
      <c r="L29" s="3"/>
      <c r="M29" s="3"/>
      <c r="N29" s="3"/>
      <c r="O29" s="3"/>
      <c r="P29" s="4"/>
      <c r="Q29" s="49" t="s">
        <v>352</v>
      </c>
      <c r="R29" s="3"/>
      <c r="S29" s="3"/>
      <c r="T29" s="3"/>
      <c r="U29" s="3"/>
      <c r="V29" s="3"/>
      <c r="W29" s="4"/>
      <c r="X29" s="49" t="s">
        <v>353</v>
      </c>
      <c r="Y29" s="3"/>
      <c r="Z29" s="3"/>
      <c r="AA29" s="3"/>
      <c r="AB29" s="3"/>
      <c r="AC29" s="3"/>
      <c r="AD29" s="4"/>
      <c r="AE29" s="48" t="s">
        <v>181</v>
      </c>
      <c r="AF29" s="4"/>
      <c r="AG29" s="57" t="s">
        <v>55</v>
      </c>
      <c r="AH29" s="3"/>
      <c r="AI29" s="4"/>
      <c r="AJ29" s="48"/>
      <c r="AK29" s="3"/>
      <c r="AL29" s="4"/>
      <c r="AM29" s="57" t="s">
        <v>184</v>
      </c>
      <c r="AN29" s="3"/>
      <c r="AO29" s="4"/>
      <c r="AP29" s="58">
        <v>46149.0</v>
      </c>
      <c r="AQ29" s="3"/>
      <c r="AR29" s="4"/>
      <c r="AS29" s="48"/>
      <c r="AT29" s="3"/>
      <c r="AU29" s="4"/>
      <c r="AV29" s="56" t="s">
        <v>55</v>
      </c>
      <c r="AW29" s="3"/>
      <c r="AX29" s="4"/>
      <c r="AY29" s="48"/>
      <c r="AZ29" s="3"/>
      <c r="BA29" s="4"/>
      <c r="BB29" s="59" t="s">
        <v>187</v>
      </c>
      <c r="BC29" s="3"/>
      <c r="BD29" s="4"/>
      <c r="BE29" s="60">
        <v>46246.0</v>
      </c>
      <c r="BF29" s="3"/>
      <c r="BG29" s="4"/>
      <c r="BH29" s="48"/>
      <c r="BI29" s="3"/>
      <c r="BJ29" s="4"/>
      <c r="BK29" s="49" t="s">
        <v>242</v>
      </c>
      <c r="BL29" s="3"/>
      <c r="BM29" s="3"/>
      <c r="BN29" s="3"/>
      <c r="BO29" s="3"/>
      <c r="BP29" s="3"/>
      <c r="BQ29" s="4"/>
    </row>
    <row r="30" ht="22.5" customHeight="1">
      <c r="A30" s="15" t="s">
        <v>354</v>
      </c>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4"/>
    </row>
    <row r="31" ht="367.5" customHeight="1">
      <c r="A31" s="47">
        <v>16.0</v>
      </c>
      <c r="B31" s="49" t="s">
        <v>355</v>
      </c>
      <c r="C31" s="3"/>
      <c r="D31" s="4"/>
      <c r="E31" s="49" t="s">
        <v>356</v>
      </c>
      <c r="F31" s="3"/>
      <c r="G31" s="3"/>
      <c r="H31" s="3"/>
      <c r="I31" s="4"/>
      <c r="J31" s="49" t="s">
        <v>357</v>
      </c>
      <c r="K31" s="3"/>
      <c r="L31" s="3"/>
      <c r="M31" s="3"/>
      <c r="N31" s="3"/>
      <c r="O31" s="3"/>
      <c r="P31" s="4"/>
      <c r="Q31" s="49" t="s">
        <v>358</v>
      </c>
      <c r="R31" s="3"/>
      <c r="S31" s="3"/>
      <c r="T31" s="3"/>
      <c r="U31" s="3"/>
      <c r="V31" s="3"/>
      <c r="W31" s="4"/>
      <c r="X31" s="49" t="s">
        <v>359</v>
      </c>
      <c r="Y31" s="3"/>
      <c r="Z31" s="3"/>
      <c r="AA31" s="3"/>
      <c r="AB31" s="3"/>
      <c r="AC31" s="3"/>
      <c r="AD31" s="4"/>
      <c r="AE31" s="48" t="s">
        <v>302</v>
      </c>
      <c r="AF31" s="4"/>
      <c r="AG31" s="57" t="s">
        <v>55</v>
      </c>
      <c r="AH31" s="3"/>
      <c r="AI31" s="4"/>
      <c r="AJ31" s="48"/>
      <c r="AK31" s="3"/>
      <c r="AL31" s="4"/>
      <c r="AM31" s="57" t="s">
        <v>184</v>
      </c>
      <c r="AN31" s="3"/>
      <c r="AO31" s="4"/>
      <c r="AP31" s="58">
        <v>46149.0</v>
      </c>
      <c r="AQ31" s="3"/>
      <c r="AR31" s="4"/>
      <c r="AS31" s="48"/>
      <c r="AT31" s="3"/>
      <c r="AU31" s="4"/>
      <c r="AV31" s="56" t="s">
        <v>55</v>
      </c>
      <c r="AW31" s="3"/>
      <c r="AX31" s="4"/>
      <c r="AY31" s="48"/>
      <c r="AZ31" s="3"/>
      <c r="BA31" s="4"/>
      <c r="BB31" s="59" t="s">
        <v>187</v>
      </c>
      <c r="BC31" s="3"/>
      <c r="BD31" s="4"/>
      <c r="BE31" s="60">
        <v>46246.0</v>
      </c>
      <c r="BF31" s="3"/>
      <c r="BG31" s="4"/>
      <c r="BH31" s="48"/>
      <c r="BI31" s="3"/>
      <c r="BJ31" s="4"/>
      <c r="BK31" s="49"/>
      <c r="BL31" s="3"/>
      <c r="BM31" s="3"/>
      <c r="BN31" s="3"/>
      <c r="BO31" s="3"/>
      <c r="BP31" s="3"/>
      <c r="BQ31" s="4"/>
    </row>
    <row r="32" ht="450.0" customHeight="1">
      <c r="A32" s="47">
        <v>17.0</v>
      </c>
      <c r="B32" s="49" t="s">
        <v>360</v>
      </c>
      <c r="C32" s="3"/>
      <c r="D32" s="4"/>
      <c r="E32" s="49" t="s">
        <v>361</v>
      </c>
      <c r="F32" s="3"/>
      <c r="G32" s="3"/>
      <c r="H32" s="3"/>
      <c r="I32" s="4"/>
      <c r="J32" s="49" t="s">
        <v>357</v>
      </c>
      <c r="K32" s="3"/>
      <c r="L32" s="3"/>
      <c r="M32" s="3"/>
      <c r="N32" s="3"/>
      <c r="O32" s="3"/>
      <c r="P32" s="4"/>
      <c r="Q32" s="49" t="s">
        <v>362</v>
      </c>
      <c r="R32" s="3"/>
      <c r="S32" s="3"/>
      <c r="T32" s="3"/>
      <c r="U32" s="3"/>
      <c r="V32" s="3"/>
      <c r="W32" s="4"/>
      <c r="X32" s="49" t="s">
        <v>363</v>
      </c>
      <c r="Y32" s="3"/>
      <c r="Z32" s="3"/>
      <c r="AA32" s="3"/>
      <c r="AB32" s="3"/>
      <c r="AC32" s="3"/>
      <c r="AD32" s="4"/>
      <c r="AE32" s="48" t="s">
        <v>302</v>
      </c>
      <c r="AF32" s="4"/>
      <c r="AG32" s="57" t="s">
        <v>55</v>
      </c>
      <c r="AH32" s="3"/>
      <c r="AI32" s="4"/>
      <c r="AJ32" s="48"/>
      <c r="AK32" s="3"/>
      <c r="AL32" s="4"/>
      <c r="AM32" s="57" t="s">
        <v>184</v>
      </c>
      <c r="AN32" s="3"/>
      <c r="AO32" s="4"/>
      <c r="AP32" s="58">
        <v>46149.0</v>
      </c>
      <c r="AQ32" s="3"/>
      <c r="AR32" s="4"/>
      <c r="AS32" s="48"/>
      <c r="AT32" s="3"/>
      <c r="AU32" s="4"/>
      <c r="AV32" s="56" t="s">
        <v>55</v>
      </c>
      <c r="AW32" s="3"/>
      <c r="AX32" s="4"/>
      <c r="AY32" s="48"/>
      <c r="AZ32" s="3"/>
      <c r="BA32" s="4"/>
      <c r="BB32" s="59" t="s">
        <v>187</v>
      </c>
      <c r="BC32" s="3"/>
      <c r="BD32" s="4"/>
      <c r="BE32" s="60">
        <v>46246.0</v>
      </c>
      <c r="BF32" s="3"/>
      <c r="BG32" s="4"/>
      <c r="BH32" s="48"/>
      <c r="BI32" s="3"/>
      <c r="BJ32" s="4"/>
      <c r="BK32" s="49"/>
      <c r="BL32" s="3"/>
      <c r="BM32" s="3"/>
      <c r="BN32" s="3"/>
      <c r="BO32" s="3"/>
      <c r="BP32" s="3"/>
      <c r="BQ32" s="4"/>
    </row>
    <row r="33" ht="336.0" customHeight="1">
      <c r="A33" s="47">
        <v>18.0</v>
      </c>
      <c r="B33" s="49" t="s">
        <v>364</v>
      </c>
      <c r="C33" s="3"/>
      <c r="D33" s="4"/>
      <c r="E33" s="49" t="s">
        <v>365</v>
      </c>
      <c r="F33" s="3"/>
      <c r="G33" s="3"/>
      <c r="H33" s="3"/>
      <c r="I33" s="4"/>
      <c r="J33" s="49" t="s">
        <v>357</v>
      </c>
      <c r="K33" s="3"/>
      <c r="L33" s="3"/>
      <c r="M33" s="3"/>
      <c r="N33" s="3"/>
      <c r="O33" s="3"/>
      <c r="P33" s="4"/>
      <c r="Q33" s="49" t="s">
        <v>366</v>
      </c>
      <c r="R33" s="3"/>
      <c r="S33" s="3"/>
      <c r="T33" s="3"/>
      <c r="U33" s="3"/>
      <c r="V33" s="3"/>
      <c r="W33" s="4"/>
      <c r="X33" s="49" t="s">
        <v>367</v>
      </c>
      <c r="Y33" s="3"/>
      <c r="Z33" s="3"/>
      <c r="AA33" s="3"/>
      <c r="AB33" s="3"/>
      <c r="AC33" s="3"/>
      <c r="AD33" s="4"/>
      <c r="AE33" s="48" t="s">
        <v>311</v>
      </c>
      <c r="AF33" s="4"/>
      <c r="AG33" s="57" t="s">
        <v>55</v>
      </c>
      <c r="AH33" s="3"/>
      <c r="AI33" s="4"/>
      <c r="AJ33" s="48"/>
      <c r="AK33" s="3"/>
      <c r="AL33" s="4"/>
      <c r="AM33" s="57" t="s">
        <v>184</v>
      </c>
      <c r="AN33" s="3"/>
      <c r="AO33" s="4"/>
      <c r="AP33" s="58">
        <v>46149.0</v>
      </c>
      <c r="AQ33" s="3"/>
      <c r="AR33" s="4"/>
      <c r="AS33" s="48"/>
      <c r="AT33" s="3"/>
      <c r="AU33" s="4"/>
      <c r="AV33" s="56" t="s">
        <v>55</v>
      </c>
      <c r="AW33" s="3"/>
      <c r="AX33" s="4"/>
      <c r="AY33" s="48"/>
      <c r="AZ33" s="3"/>
      <c r="BA33" s="4"/>
      <c r="BB33" s="59" t="s">
        <v>187</v>
      </c>
      <c r="BC33" s="3"/>
      <c r="BD33" s="4"/>
      <c r="BE33" s="60">
        <v>46246.0</v>
      </c>
      <c r="BF33" s="3"/>
      <c r="BG33" s="4"/>
      <c r="BH33" s="48"/>
      <c r="BI33" s="3"/>
      <c r="BJ33" s="4"/>
      <c r="BK33" s="49"/>
      <c r="BL33" s="3"/>
      <c r="BM33" s="3"/>
      <c r="BN33" s="3"/>
      <c r="BO33" s="3"/>
      <c r="BP33" s="3"/>
      <c r="BQ33" s="4"/>
    </row>
    <row r="34" ht="336.0" customHeight="1">
      <c r="A34" s="47">
        <v>19.0</v>
      </c>
      <c r="B34" s="49" t="s">
        <v>368</v>
      </c>
      <c r="C34" s="3"/>
      <c r="D34" s="4"/>
      <c r="E34" s="49" t="s">
        <v>369</v>
      </c>
      <c r="F34" s="3"/>
      <c r="G34" s="3"/>
      <c r="H34" s="3"/>
      <c r="I34" s="4"/>
      <c r="J34" s="49" t="s">
        <v>357</v>
      </c>
      <c r="K34" s="3"/>
      <c r="L34" s="3"/>
      <c r="M34" s="3"/>
      <c r="N34" s="3"/>
      <c r="O34" s="3"/>
      <c r="P34" s="4"/>
      <c r="Q34" s="55" t="s">
        <v>370</v>
      </c>
      <c r="R34" s="3"/>
      <c r="S34" s="3"/>
      <c r="T34" s="3"/>
      <c r="U34" s="3"/>
      <c r="V34" s="3"/>
      <c r="W34" s="4"/>
      <c r="X34" s="49" t="s">
        <v>371</v>
      </c>
      <c r="Y34" s="3"/>
      <c r="Z34" s="3"/>
      <c r="AA34" s="3"/>
      <c r="AB34" s="3"/>
      <c r="AC34" s="3"/>
      <c r="AD34" s="4"/>
      <c r="AE34" s="48" t="s">
        <v>302</v>
      </c>
      <c r="AF34" s="4"/>
      <c r="AG34" s="57" t="s">
        <v>55</v>
      </c>
      <c r="AH34" s="3"/>
      <c r="AI34" s="4"/>
      <c r="AJ34" s="48"/>
      <c r="AK34" s="3"/>
      <c r="AL34" s="4"/>
      <c r="AM34" s="57" t="s">
        <v>184</v>
      </c>
      <c r="AN34" s="3"/>
      <c r="AO34" s="4"/>
      <c r="AP34" s="58">
        <v>46149.0</v>
      </c>
      <c r="AQ34" s="3"/>
      <c r="AR34" s="4"/>
      <c r="AS34" s="48"/>
      <c r="AT34" s="3"/>
      <c r="AU34" s="4"/>
      <c r="AV34" s="56" t="s">
        <v>55</v>
      </c>
      <c r="AW34" s="3"/>
      <c r="AX34" s="4"/>
      <c r="AY34" s="48"/>
      <c r="AZ34" s="3"/>
      <c r="BA34" s="4"/>
      <c r="BB34" s="59" t="s">
        <v>187</v>
      </c>
      <c r="BC34" s="3"/>
      <c r="BD34" s="4"/>
      <c r="BE34" s="60">
        <v>46246.0</v>
      </c>
      <c r="BF34" s="3"/>
      <c r="BG34" s="4"/>
      <c r="BH34" s="48"/>
      <c r="BI34" s="3"/>
      <c r="BJ34" s="4"/>
      <c r="BK34" s="49" t="s">
        <v>372</v>
      </c>
      <c r="BL34" s="3"/>
      <c r="BM34" s="3"/>
      <c r="BN34" s="3"/>
      <c r="BO34" s="3"/>
      <c r="BP34" s="3"/>
      <c r="BQ34" s="4"/>
    </row>
    <row r="35" ht="288.0" customHeight="1">
      <c r="A35" s="47">
        <v>20.0</v>
      </c>
      <c r="B35" s="49" t="s">
        <v>373</v>
      </c>
      <c r="C35" s="3"/>
      <c r="D35" s="4"/>
      <c r="E35" s="49" t="s">
        <v>374</v>
      </c>
      <c r="F35" s="3"/>
      <c r="G35" s="3"/>
      <c r="H35" s="3"/>
      <c r="I35" s="4"/>
      <c r="J35" s="49" t="s">
        <v>375</v>
      </c>
      <c r="K35" s="3"/>
      <c r="L35" s="3"/>
      <c r="M35" s="3"/>
      <c r="N35" s="3"/>
      <c r="O35" s="3"/>
      <c r="P35" s="4"/>
      <c r="Q35" s="49" t="s">
        <v>376</v>
      </c>
      <c r="R35" s="3"/>
      <c r="S35" s="3"/>
      <c r="T35" s="3"/>
      <c r="U35" s="3"/>
      <c r="V35" s="3"/>
      <c r="W35" s="4"/>
      <c r="X35" s="49" t="s">
        <v>377</v>
      </c>
      <c r="Y35" s="3"/>
      <c r="Z35" s="3"/>
      <c r="AA35" s="3"/>
      <c r="AB35" s="3"/>
      <c r="AC35" s="3"/>
      <c r="AD35" s="4"/>
      <c r="AE35" s="48" t="s">
        <v>302</v>
      </c>
      <c r="AF35" s="4"/>
      <c r="AG35" s="57" t="s">
        <v>55</v>
      </c>
      <c r="AH35" s="3"/>
      <c r="AI35" s="4"/>
      <c r="AJ35" s="48"/>
      <c r="AK35" s="3"/>
      <c r="AL35" s="4"/>
      <c r="AM35" s="57" t="s">
        <v>184</v>
      </c>
      <c r="AN35" s="3"/>
      <c r="AO35" s="4"/>
      <c r="AP35" s="58">
        <v>46149.0</v>
      </c>
      <c r="AQ35" s="3"/>
      <c r="AR35" s="4"/>
      <c r="AS35" s="48"/>
      <c r="AT35" s="3"/>
      <c r="AU35" s="4"/>
      <c r="AV35" s="56" t="s">
        <v>55</v>
      </c>
      <c r="AW35" s="3"/>
      <c r="AX35" s="4"/>
      <c r="AY35" s="48"/>
      <c r="AZ35" s="3"/>
      <c r="BA35" s="4"/>
      <c r="BB35" s="59" t="s">
        <v>187</v>
      </c>
      <c r="BC35" s="3"/>
      <c r="BD35" s="4"/>
      <c r="BE35" s="60">
        <v>46246.0</v>
      </c>
      <c r="BF35" s="3"/>
      <c r="BG35" s="4"/>
      <c r="BH35" s="48"/>
      <c r="BI35" s="3"/>
      <c r="BJ35" s="4"/>
      <c r="BK35" s="49"/>
      <c r="BL35" s="3"/>
      <c r="BM35" s="3"/>
      <c r="BN35" s="3"/>
      <c r="BO35" s="3"/>
      <c r="BP35" s="3"/>
      <c r="BQ35" s="4"/>
    </row>
    <row r="36" ht="447.75" customHeight="1">
      <c r="A36" s="47">
        <v>21.0</v>
      </c>
      <c r="B36" s="49" t="s">
        <v>378</v>
      </c>
      <c r="C36" s="3"/>
      <c r="D36" s="4"/>
      <c r="E36" s="49" t="s">
        <v>379</v>
      </c>
      <c r="F36" s="3"/>
      <c r="G36" s="3"/>
      <c r="H36" s="3"/>
      <c r="I36" s="4"/>
      <c r="J36" s="49" t="s">
        <v>380</v>
      </c>
      <c r="K36" s="3"/>
      <c r="L36" s="3"/>
      <c r="M36" s="3"/>
      <c r="N36" s="3"/>
      <c r="O36" s="3"/>
      <c r="P36" s="4"/>
      <c r="Q36" s="55" t="s">
        <v>381</v>
      </c>
      <c r="R36" s="3"/>
      <c r="S36" s="3"/>
      <c r="T36" s="3"/>
      <c r="U36" s="3"/>
      <c r="V36" s="3"/>
      <c r="W36" s="4"/>
      <c r="X36" s="49" t="s">
        <v>382</v>
      </c>
      <c r="Y36" s="3"/>
      <c r="Z36" s="3"/>
      <c r="AA36" s="3"/>
      <c r="AB36" s="3"/>
      <c r="AC36" s="3"/>
      <c r="AD36" s="4"/>
      <c r="AE36" s="48" t="s">
        <v>311</v>
      </c>
      <c r="AF36" s="4"/>
      <c r="AG36" s="57" t="s">
        <v>55</v>
      </c>
      <c r="AH36" s="3"/>
      <c r="AI36" s="4"/>
      <c r="AJ36" s="48"/>
      <c r="AK36" s="3"/>
      <c r="AL36" s="4"/>
      <c r="AM36" s="57" t="s">
        <v>184</v>
      </c>
      <c r="AN36" s="3"/>
      <c r="AO36" s="4"/>
      <c r="AP36" s="58">
        <v>46149.0</v>
      </c>
      <c r="AQ36" s="3"/>
      <c r="AR36" s="4"/>
      <c r="AS36" s="48"/>
      <c r="AT36" s="3"/>
      <c r="AU36" s="4"/>
      <c r="AV36" s="56" t="s">
        <v>55</v>
      </c>
      <c r="AW36" s="3"/>
      <c r="AX36" s="4"/>
      <c r="AY36" s="48"/>
      <c r="AZ36" s="3"/>
      <c r="BA36" s="4"/>
      <c r="BB36" s="59" t="s">
        <v>187</v>
      </c>
      <c r="BC36" s="3"/>
      <c r="BD36" s="4"/>
      <c r="BE36" s="60">
        <v>46246.0</v>
      </c>
      <c r="BF36" s="3"/>
      <c r="BG36" s="4"/>
      <c r="BH36" s="48"/>
      <c r="BI36" s="3"/>
      <c r="BJ36" s="4"/>
      <c r="BK36" s="49"/>
      <c r="BL36" s="3"/>
      <c r="BM36" s="3"/>
      <c r="BN36" s="3"/>
      <c r="BO36" s="3"/>
      <c r="BP36" s="3"/>
      <c r="BQ36" s="4"/>
    </row>
    <row r="37" ht="415.5" customHeight="1">
      <c r="A37" s="47">
        <v>22.0</v>
      </c>
      <c r="B37" s="49" t="s">
        <v>383</v>
      </c>
      <c r="C37" s="3"/>
      <c r="D37" s="4"/>
      <c r="E37" s="49" t="s">
        <v>384</v>
      </c>
      <c r="F37" s="3"/>
      <c r="G37" s="3"/>
      <c r="H37" s="3"/>
      <c r="I37" s="4"/>
      <c r="J37" s="49" t="s">
        <v>380</v>
      </c>
      <c r="K37" s="3"/>
      <c r="L37" s="3"/>
      <c r="M37" s="3"/>
      <c r="N37" s="3"/>
      <c r="O37" s="3"/>
      <c r="P37" s="4"/>
      <c r="Q37" s="49" t="s">
        <v>385</v>
      </c>
      <c r="R37" s="3"/>
      <c r="S37" s="3"/>
      <c r="T37" s="3"/>
      <c r="U37" s="3"/>
      <c r="V37" s="3"/>
      <c r="W37" s="4"/>
      <c r="X37" s="49" t="s">
        <v>386</v>
      </c>
      <c r="Y37" s="3"/>
      <c r="Z37" s="3"/>
      <c r="AA37" s="3"/>
      <c r="AB37" s="3"/>
      <c r="AC37" s="3"/>
      <c r="AD37" s="4"/>
      <c r="AE37" s="48" t="s">
        <v>302</v>
      </c>
      <c r="AF37" s="4"/>
      <c r="AG37" s="57" t="s">
        <v>55</v>
      </c>
      <c r="AH37" s="3"/>
      <c r="AI37" s="4"/>
      <c r="AJ37" s="48"/>
      <c r="AK37" s="3"/>
      <c r="AL37" s="4"/>
      <c r="AM37" s="57" t="s">
        <v>184</v>
      </c>
      <c r="AN37" s="3"/>
      <c r="AO37" s="4"/>
      <c r="AP37" s="58">
        <v>46149.0</v>
      </c>
      <c r="AQ37" s="3"/>
      <c r="AR37" s="4"/>
      <c r="AS37" s="48"/>
      <c r="AT37" s="3"/>
      <c r="AU37" s="4"/>
      <c r="AV37" s="56" t="s">
        <v>55</v>
      </c>
      <c r="AW37" s="3"/>
      <c r="AX37" s="4"/>
      <c r="AY37" s="48"/>
      <c r="AZ37" s="3"/>
      <c r="BA37" s="4"/>
      <c r="BB37" s="59" t="s">
        <v>187</v>
      </c>
      <c r="BC37" s="3"/>
      <c r="BD37" s="4"/>
      <c r="BE37" s="60">
        <v>46246.0</v>
      </c>
      <c r="BF37" s="3"/>
      <c r="BG37" s="4"/>
      <c r="BH37" s="48"/>
      <c r="BI37" s="3"/>
      <c r="BJ37" s="4"/>
      <c r="BK37" s="49"/>
      <c r="BL37" s="3"/>
      <c r="BM37" s="3"/>
      <c r="BN37" s="3"/>
      <c r="BO37" s="3"/>
      <c r="BP37" s="3"/>
      <c r="BQ37" s="4"/>
    </row>
    <row r="38" ht="450.0" customHeight="1">
      <c r="A38" s="47">
        <v>23.0</v>
      </c>
      <c r="B38" s="49" t="s">
        <v>387</v>
      </c>
      <c r="C38" s="3"/>
      <c r="D38" s="4"/>
      <c r="E38" s="49" t="s">
        <v>388</v>
      </c>
      <c r="F38" s="3"/>
      <c r="G38" s="3"/>
      <c r="H38" s="3"/>
      <c r="I38" s="4"/>
      <c r="J38" s="49" t="s">
        <v>380</v>
      </c>
      <c r="K38" s="3"/>
      <c r="L38" s="3"/>
      <c r="M38" s="3"/>
      <c r="N38" s="3"/>
      <c r="O38" s="3"/>
      <c r="P38" s="4"/>
      <c r="Q38" s="49" t="s">
        <v>389</v>
      </c>
      <c r="R38" s="3"/>
      <c r="S38" s="3"/>
      <c r="T38" s="3"/>
      <c r="U38" s="3"/>
      <c r="V38" s="3"/>
      <c r="W38" s="4"/>
      <c r="X38" s="49" t="s">
        <v>390</v>
      </c>
      <c r="Y38" s="3"/>
      <c r="Z38" s="3"/>
      <c r="AA38" s="3"/>
      <c r="AB38" s="3"/>
      <c r="AC38" s="3"/>
      <c r="AD38" s="4"/>
      <c r="AE38" s="48" t="s">
        <v>302</v>
      </c>
      <c r="AF38" s="4"/>
      <c r="AG38" s="57" t="s">
        <v>55</v>
      </c>
      <c r="AH38" s="3"/>
      <c r="AI38" s="4"/>
      <c r="AJ38" s="48"/>
      <c r="AK38" s="3"/>
      <c r="AL38" s="4"/>
      <c r="AM38" s="57" t="s">
        <v>184</v>
      </c>
      <c r="AN38" s="3"/>
      <c r="AO38" s="4"/>
      <c r="AP38" s="58">
        <v>46149.0</v>
      </c>
      <c r="AQ38" s="3"/>
      <c r="AR38" s="4"/>
      <c r="AS38" s="48"/>
      <c r="AT38" s="3"/>
      <c r="AU38" s="4"/>
      <c r="AV38" s="56" t="s">
        <v>55</v>
      </c>
      <c r="AW38" s="3"/>
      <c r="AX38" s="4"/>
      <c r="AY38" s="48"/>
      <c r="AZ38" s="3"/>
      <c r="BA38" s="4"/>
      <c r="BB38" s="59" t="s">
        <v>187</v>
      </c>
      <c r="BC38" s="3"/>
      <c r="BD38" s="4"/>
      <c r="BE38" s="60">
        <v>46246.0</v>
      </c>
      <c r="BF38" s="3"/>
      <c r="BG38" s="4"/>
      <c r="BH38" s="48"/>
      <c r="BI38" s="3"/>
      <c r="BJ38" s="4"/>
      <c r="BK38" s="49"/>
      <c r="BL38" s="3"/>
      <c r="BM38" s="3"/>
      <c r="BN38" s="3"/>
      <c r="BO38" s="3"/>
      <c r="BP38" s="3"/>
      <c r="BQ38" s="4"/>
    </row>
    <row r="39" ht="303.75" customHeight="1">
      <c r="A39" s="47">
        <v>24.0</v>
      </c>
      <c r="B39" s="49" t="s">
        <v>391</v>
      </c>
      <c r="C39" s="3"/>
      <c r="D39" s="4"/>
      <c r="E39" s="49" t="s">
        <v>392</v>
      </c>
      <c r="F39" s="3"/>
      <c r="G39" s="3"/>
      <c r="H39" s="3"/>
      <c r="I39" s="4"/>
      <c r="J39" s="49" t="s">
        <v>393</v>
      </c>
      <c r="K39" s="3"/>
      <c r="L39" s="3"/>
      <c r="M39" s="3"/>
      <c r="N39" s="3"/>
      <c r="O39" s="3"/>
      <c r="P39" s="4"/>
      <c r="Q39" s="49" t="s">
        <v>394</v>
      </c>
      <c r="R39" s="3"/>
      <c r="S39" s="3"/>
      <c r="T39" s="3"/>
      <c r="U39" s="3"/>
      <c r="V39" s="3"/>
      <c r="W39" s="4"/>
      <c r="X39" s="49" t="s">
        <v>395</v>
      </c>
      <c r="Y39" s="3"/>
      <c r="Z39" s="3"/>
      <c r="AA39" s="3"/>
      <c r="AB39" s="3"/>
      <c r="AC39" s="3"/>
      <c r="AD39" s="4"/>
      <c r="AE39" s="48" t="s">
        <v>302</v>
      </c>
      <c r="AF39" s="4"/>
      <c r="AG39" s="57" t="s">
        <v>55</v>
      </c>
      <c r="AH39" s="3"/>
      <c r="AI39" s="4"/>
      <c r="AJ39" s="48"/>
      <c r="AK39" s="3"/>
      <c r="AL39" s="4"/>
      <c r="AM39" s="57" t="s">
        <v>184</v>
      </c>
      <c r="AN39" s="3"/>
      <c r="AO39" s="4"/>
      <c r="AP39" s="58">
        <v>46149.0</v>
      </c>
      <c r="AQ39" s="3"/>
      <c r="AR39" s="4"/>
      <c r="AS39" s="48"/>
      <c r="AT39" s="3"/>
      <c r="AU39" s="4"/>
      <c r="AV39" s="56" t="s">
        <v>55</v>
      </c>
      <c r="AW39" s="3"/>
      <c r="AX39" s="4"/>
      <c r="AY39" s="48"/>
      <c r="AZ39" s="3"/>
      <c r="BA39" s="4"/>
      <c r="BB39" s="59" t="s">
        <v>187</v>
      </c>
      <c r="BC39" s="3"/>
      <c r="BD39" s="4"/>
      <c r="BE39" s="60">
        <v>46246.0</v>
      </c>
      <c r="BF39" s="3"/>
      <c r="BG39" s="4"/>
      <c r="BH39" s="48"/>
      <c r="BI39" s="3"/>
      <c r="BJ39" s="4"/>
      <c r="BK39" s="49"/>
      <c r="BL39" s="3"/>
      <c r="BM39" s="3"/>
      <c r="BN39" s="3"/>
      <c r="BO39" s="3"/>
      <c r="BP39" s="3"/>
      <c r="BQ39" s="4"/>
    </row>
    <row r="40" ht="240.0" customHeight="1">
      <c r="A40" s="47">
        <v>25.0</v>
      </c>
      <c r="B40" s="49" t="s">
        <v>396</v>
      </c>
      <c r="C40" s="3"/>
      <c r="D40" s="4"/>
      <c r="E40" s="49" t="s">
        <v>397</v>
      </c>
      <c r="F40" s="3"/>
      <c r="G40" s="3"/>
      <c r="H40" s="3"/>
      <c r="I40" s="4"/>
      <c r="J40" s="49" t="s">
        <v>398</v>
      </c>
      <c r="K40" s="3"/>
      <c r="L40" s="3"/>
      <c r="M40" s="3"/>
      <c r="N40" s="3"/>
      <c r="O40" s="3"/>
      <c r="P40" s="4"/>
      <c r="Q40" s="49" t="s">
        <v>399</v>
      </c>
      <c r="R40" s="3"/>
      <c r="S40" s="3"/>
      <c r="T40" s="3"/>
      <c r="U40" s="3"/>
      <c r="V40" s="3"/>
      <c r="W40" s="4"/>
      <c r="X40" s="49" t="s">
        <v>400</v>
      </c>
      <c r="Y40" s="3"/>
      <c r="Z40" s="3"/>
      <c r="AA40" s="3"/>
      <c r="AB40" s="3"/>
      <c r="AC40" s="3"/>
      <c r="AD40" s="4"/>
      <c r="AE40" s="48" t="s">
        <v>302</v>
      </c>
      <c r="AF40" s="4"/>
      <c r="AG40" s="57" t="s">
        <v>55</v>
      </c>
      <c r="AH40" s="3"/>
      <c r="AI40" s="4"/>
      <c r="AJ40" s="48"/>
      <c r="AK40" s="3"/>
      <c r="AL40" s="4"/>
      <c r="AM40" s="57" t="s">
        <v>184</v>
      </c>
      <c r="AN40" s="3"/>
      <c r="AO40" s="4"/>
      <c r="AP40" s="58">
        <v>46149.0</v>
      </c>
      <c r="AQ40" s="3"/>
      <c r="AR40" s="4"/>
      <c r="AS40" s="48"/>
      <c r="AT40" s="3"/>
      <c r="AU40" s="4"/>
      <c r="AV40" s="56" t="s">
        <v>55</v>
      </c>
      <c r="AW40" s="3"/>
      <c r="AX40" s="4"/>
      <c r="AY40" s="48"/>
      <c r="AZ40" s="3"/>
      <c r="BA40" s="4"/>
      <c r="BB40" s="59" t="s">
        <v>187</v>
      </c>
      <c r="BC40" s="3"/>
      <c r="BD40" s="4"/>
      <c r="BE40" s="60">
        <v>46246.0</v>
      </c>
      <c r="BF40" s="3"/>
      <c r="BG40" s="4"/>
      <c r="BH40" s="48"/>
      <c r="BI40" s="3"/>
      <c r="BJ40" s="4"/>
      <c r="BK40" s="49"/>
      <c r="BL40" s="3"/>
      <c r="BM40" s="3"/>
      <c r="BN40" s="3"/>
      <c r="BO40" s="3"/>
      <c r="BP40" s="3"/>
      <c r="BQ40" s="4"/>
    </row>
    <row r="41" ht="367.5" customHeight="1">
      <c r="A41" s="47">
        <v>26.0</v>
      </c>
      <c r="B41" s="49" t="s">
        <v>401</v>
      </c>
      <c r="C41" s="3"/>
      <c r="D41" s="4"/>
      <c r="E41" s="49" t="s">
        <v>402</v>
      </c>
      <c r="F41" s="3"/>
      <c r="G41" s="3"/>
      <c r="H41" s="3"/>
      <c r="I41" s="4"/>
      <c r="J41" s="49" t="s">
        <v>398</v>
      </c>
      <c r="K41" s="3"/>
      <c r="L41" s="3"/>
      <c r="M41" s="3"/>
      <c r="N41" s="3"/>
      <c r="O41" s="3"/>
      <c r="P41" s="4"/>
      <c r="Q41" s="49" t="s">
        <v>403</v>
      </c>
      <c r="R41" s="3"/>
      <c r="S41" s="3"/>
      <c r="T41" s="3"/>
      <c r="U41" s="3"/>
      <c r="V41" s="3"/>
      <c r="W41" s="4"/>
      <c r="X41" s="49" t="s">
        <v>404</v>
      </c>
      <c r="Y41" s="3"/>
      <c r="Z41" s="3"/>
      <c r="AA41" s="3"/>
      <c r="AB41" s="3"/>
      <c r="AC41" s="3"/>
      <c r="AD41" s="4"/>
      <c r="AE41" s="48" t="s">
        <v>302</v>
      </c>
      <c r="AF41" s="4"/>
      <c r="AG41" s="57" t="s">
        <v>55</v>
      </c>
      <c r="AH41" s="3"/>
      <c r="AI41" s="4"/>
      <c r="AJ41" s="48"/>
      <c r="AK41" s="3"/>
      <c r="AL41" s="4"/>
      <c r="AM41" s="57" t="s">
        <v>184</v>
      </c>
      <c r="AN41" s="3"/>
      <c r="AO41" s="4"/>
      <c r="AP41" s="58">
        <v>46149.0</v>
      </c>
      <c r="AQ41" s="3"/>
      <c r="AR41" s="4"/>
      <c r="AS41" s="48"/>
      <c r="AT41" s="3"/>
      <c r="AU41" s="4"/>
      <c r="AV41" s="56" t="s">
        <v>55</v>
      </c>
      <c r="AW41" s="3"/>
      <c r="AX41" s="4"/>
      <c r="AY41" s="48"/>
      <c r="AZ41" s="3"/>
      <c r="BA41" s="4"/>
      <c r="BB41" s="59" t="s">
        <v>187</v>
      </c>
      <c r="BC41" s="3"/>
      <c r="BD41" s="4"/>
      <c r="BE41" s="60">
        <v>46246.0</v>
      </c>
      <c r="BF41" s="3"/>
      <c r="BG41" s="4"/>
      <c r="BH41" s="48"/>
      <c r="BI41" s="3"/>
      <c r="BJ41" s="4"/>
      <c r="BK41" s="49"/>
      <c r="BL41" s="3"/>
      <c r="BM41" s="3"/>
      <c r="BN41" s="3"/>
      <c r="BO41" s="3"/>
      <c r="BP41" s="3"/>
      <c r="BQ41" s="4"/>
    </row>
    <row r="42" ht="450.0" customHeight="1">
      <c r="A42" s="47">
        <v>27.0</v>
      </c>
      <c r="B42" s="49" t="s">
        <v>405</v>
      </c>
      <c r="C42" s="3"/>
      <c r="D42" s="4"/>
      <c r="E42" s="49" t="s">
        <v>406</v>
      </c>
      <c r="F42" s="3"/>
      <c r="G42" s="3"/>
      <c r="H42" s="3"/>
      <c r="I42" s="4"/>
      <c r="J42" s="49" t="s">
        <v>380</v>
      </c>
      <c r="K42" s="3"/>
      <c r="L42" s="3"/>
      <c r="M42" s="3"/>
      <c r="N42" s="3"/>
      <c r="O42" s="3"/>
      <c r="P42" s="4"/>
      <c r="Q42" s="49" t="s">
        <v>407</v>
      </c>
      <c r="R42" s="3"/>
      <c r="S42" s="3"/>
      <c r="T42" s="3"/>
      <c r="U42" s="3"/>
      <c r="V42" s="3"/>
      <c r="W42" s="4"/>
      <c r="X42" s="49" t="s">
        <v>408</v>
      </c>
      <c r="Y42" s="3"/>
      <c r="Z42" s="3"/>
      <c r="AA42" s="3"/>
      <c r="AB42" s="3"/>
      <c r="AC42" s="3"/>
      <c r="AD42" s="4"/>
      <c r="AE42" s="48" t="s">
        <v>302</v>
      </c>
      <c r="AF42" s="4"/>
      <c r="AG42" s="57" t="s">
        <v>55</v>
      </c>
      <c r="AH42" s="3"/>
      <c r="AI42" s="4"/>
      <c r="AJ42" s="48"/>
      <c r="AK42" s="3"/>
      <c r="AL42" s="4"/>
      <c r="AM42" s="57" t="s">
        <v>184</v>
      </c>
      <c r="AN42" s="3"/>
      <c r="AO42" s="4"/>
      <c r="AP42" s="58">
        <v>46149.0</v>
      </c>
      <c r="AQ42" s="3"/>
      <c r="AR42" s="4"/>
      <c r="AS42" s="48"/>
      <c r="AT42" s="3"/>
      <c r="AU42" s="4"/>
      <c r="AV42" s="56" t="s">
        <v>55</v>
      </c>
      <c r="AW42" s="3"/>
      <c r="AX42" s="4"/>
      <c r="AY42" s="48"/>
      <c r="AZ42" s="3"/>
      <c r="BA42" s="4"/>
      <c r="BB42" s="59" t="s">
        <v>187</v>
      </c>
      <c r="BC42" s="3"/>
      <c r="BD42" s="4"/>
      <c r="BE42" s="60">
        <v>46246.0</v>
      </c>
      <c r="BF42" s="3"/>
      <c r="BG42" s="4"/>
      <c r="BH42" s="48"/>
      <c r="BI42" s="3"/>
      <c r="BJ42" s="4"/>
      <c r="BK42" s="49" t="s">
        <v>242</v>
      </c>
      <c r="BL42" s="3"/>
      <c r="BM42" s="3"/>
      <c r="BN42" s="3"/>
      <c r="BO42" s="3"/>
      <c r="BP42" s="3"/>
      <c r="BQ42" s="4"/>
    </row>
    <row r="43" ht="22.5" customHeight="1">
      <c r="A43" s="15" t="s">
        <v>409</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4"/>
    </row>
    <row r="44" ht="450.0" customHeight="1">
      <c r="A44" s="47">
        <v>28.0</v>
      </c>
      <c r="B44" s="49" t="s">
        <v>410</v>
      </c>
      <c r="C44" s="3"/>
      <c r="D44" s="4"/>
      <c r="E44" s="49" t="s">
        <v>411</v>
      </c>
      <c r="F44" s="3"/>
      <c r="G44" s="3"/>
      <c r="H44" s="3"/>
      <c r="I44" s="4"/>
      <c r="J44" s="49" t="s">
        <v>412</v>
      </c>
      <c r="K44" s="3"/>
      <c r="L44" s="3"/>
      <c r="M44" s="3"/>
      <c r="N44" s="3"/>
      <c r="O44" s="3"/>
      <c r="P44" s="4"/>
      <c r="Q44" s="49" t="s">
        <v>413</v>
      </c>
      <c r="R44" s="3"/>
      <c r="S44" s="3"/>
      <c r="T44" s="3"/>
      <c r="U44" s="3"/>
      <c r="V44" s="3"/>
      <c r="W44" s="4"/>
      <c r="X44" s="49" t="s">
        <v>414</v>
      </c>
      <c r="Y44" s="3"/>
      <c r="Z44" s="3"/>
      <c r="AA44" s="3"/>
      <c r="AB44" s="3"/>
      <c r="AC44" s="3"/>
      <c r="AD44" s="4"/>
      <c r="AE44" s="48" t="s">
        <v>181</v>
      </c>
      <c r="AF44" s="4"/>
      <c r="AG44" s="57" t="s">
        <v>55</v>
      </c>
      <c r="AH44" s="3"/>
      <c r="AI44" s="4"/>
      <c r="AJ44" s="48"/>
      <c r="AK44" s="3"/>
      <c r="AL44" s="4"/>
      <c r="AM44" s="57" t="s">
        <v>184</v>
      </c>
      <c r="AN44" s="3"/>
      <c r="AO44" s="4"/>
      <c r="AP44" s="58">
        <v>46149.0</v>
      </c>
      <c r="AQ44" s="3"/>
      <c r="AR44" s="4"/>
      <c r="AS44" s="48"/>
      <c r="AT44" s="3"/>
      <c r="AU44" s="4"/>
      <c r="AV44" s="56" t="s">
        <v>55</v>
      </c>
      <c r="AW44" s="3"/>
      <c r="AX44" s="4"/>
      <c r="AY44" s="48"/>
      <c r="AZ44" s="3"/>
      <c r="BA44" s="4"/>
      <c r="BB44" s="59" t="s">
        <v>187</v>
      </c>
      <c r="BC44" s="3"/>
      <c r="BD44" s="4"/>
      <c r="BE44" s="60">
        <v>46246.0</v>
      </c>
      <c r="BF44" s="3"/>
      <c r="BG44" s="4"/>
      <c r="BH44" s="48"/>
      <c r="BI44" s="3"/>
      <c r="BJ44" s="4"/>
      <c r="BK44" s="49"/>
      <c r="BL44" s="3"/>
      <c r="BM44" s="3"/>
      <c r="BN44" s="3"/>
      <c r="BO44" s="3"/>
      <c r="BP44" s="3"/>
      <c r="BQ44" s="4"/>
    </row>
    <row r="45" ht="450.0" customHeight="1">
      <c r="A45" s="47">
        <v>29.0</v>
      </c>
      <c r="B45" s="49" t="s">
        <v>415</v>
      </c>
      <c r="C45" s="3"/>
      <c r="D45" s="4"/>
      <c r="E45" s="49" t="s">
        <v>416</v>
      </c>
      <c r="F45" s="3"/>
      <c r="G45" s="3"/>
      <c r="H45" s="3"/>
      <c r="I45" s="4"/>
      <c r="J45" s="49" t="s">
        <v>417</v>
      </c>
      <c r="K45" s="3"/>
      <c r="L45" s="3"/>
      <c r="M45" s="3"/>
      <c r="N45" s="3"/>
      <c r="O45" s="3"/>
      <c r="P45" s="4"/>
      <c r="Q45" s="49" t="s">
        <v>418</v>
      </c>
      <c r="R45" s="3"/>
      <c r="S45" s="3"/>
      <c r="T45" s="3"/>
      <c r="U45" s="3"/>
      <c r="V45" s="3"/>
      <c r="W45" s="4"/>
      <c r="X45" s="49" t="s">
        <v>419</v>
      </c>
      <c r="Y45" s="3"/>
      <c r="Z45" s="3"/>
      <c r="AA45" s="3"/>
      <c r="AB45" s="3"/>
      <c r="AC45" s="3"/>
      <c r="AD45" s="4"/>
      <c r="AE45" s="48" t="s">
        <v>302</v>
      </c>
      <c r="AF45" s="4"/>
      <c r="AG45" s="57" t="s">
        <v>55</v>
      </c>
      <c r="AH45" s="3"/>
      <c r="AI45" s="4"/>
      <c r="AJ45" s="48"/>
      <c r="AK45" s="3"/>
      <c r="AL45" s="4"/>
      <c r="AM45" s="57" t="s">
        <v>184</v>
      </c>
      <c r="AN45" s="3"/>
      <c r="AO45" s="4"/>
      <c r="AP45" s="58">
        <v>46149.0</v>
      </c>
      <c r="AQ45" s="3"/>
      <c r="AR45" s="4"/>
      <c r="AS45" s="48"/>
      <c r="AT45" s="3"/>
      <c r="AU45" s="4"/>
      <c r="AV45" s="56" t="s">
        <v>55</v>
      </c>
      <c r="AW45" s="3"/>
      <c r="AX45" s="4"/>
      <c r="AY45" s="48"/>
      <c r="AZ45" s="3"/>
      <c r="BA45" s="4"/>
      <c r="BB45" s="59" t="s">
        <v>187</v>
      </c>
      <c r="BC45" s="3"/>
      <c r="BD45" s="4"/>
      <c r="BE45" s="60">
        <v>46246.0</v>
      </c>
      <c r="BF45" s="3"/>
      <c r="BG45" s="4"/>
      <c r="BH45" s="48"/>
      <c r="BI45" s="3"/>
      <c r="BJ45" s="4"/>
      <c r="BK45" s="49" t="s">
        <v>420</v>
      </c>
      <c r="BL45" s="3"/>
      <c r="BM45" s="3"/>
      <c r="BN45" s="3"/>
      <c r="BO45" s="3"/>
      <c r="BP45" s="3"/>
      <c r="BQ45" s="4"/>
    </row>
    <row r="46" ht="450.0" customHeight="1">
      <c r="A46" s="47">
        <v>30.0</v>
      </c>
      <c r="B46" s="49" t="s">
        <v>421</v>
      </c>
      <c r="C46" s="3"/>
      <c r="D46" s="4"/>
      <c r="E46" s="49" t="s">
        <v>422</v>
      </c>
      <c r="F46" s="3"/>
      <c r="G46" s="3"/>
      <c r="H46" s="3"/>
      <c r="I46" s="4"/>
      <c r="J46" s="49" t="s">
        <v>423</v>
      </c>
      <c r="K46" s="3"/>
      <c r="L46" s="3"/>
      <c r="M46" s="3"/>
      <c r="N46" s="3"/>
      <c r="O46" s="3"/>
      <c r="P46" s="4"/>
      <c r="Q46" s="49" t="s">
        <v>424</v>
      </c>
      <c r="R46" s="3"/>
      <c r="S46" s="3"/>
      <c r="T46" s="3"/>
      <c r="U46" s="3"/>
      <c r="V46" s="3"/>
      <c r="W46" s="4"/>
      <c r="X46" s="49" t="s">
        <v>425</v>
      </c>
      <c r="Y46" s="3"/>
      <c r="Z46" s="3"/>
      <c r="AA46" s="3"/>
      <c r="AB46" s="3"/>
      <c r="AC46" s="3"/>
      <c r="AD46" s="4"/>
      <c r="AE46" s="48" t="s">
        <v>181</v>
      </c>
      <c r="AF46" s="4"/>
      <c r="AG46" s="57" t="s">
        <v>55</v>
      </c>
      <c r="AH46" s="3"/>
      <c r="AI46" s="4"/>
      <c r="AJ46" s="48"/>
      <c r="AK46" s="3"/>
      <c r="AL46" s="4"/>
      <c r="AM46" s="57" t="s">
        <v>184</v>
      </c>
      <c r="AN46" s="3"/>
      <c r="AO46" s="4"/>
      <c r="AP46" s="58">
        <v>46149.0</v>
      </c>
      <c r="AQ46" s="3"/>
      <c r="AR46" s="4"/>
      <c r="AS46" s="48"/>
      <c r="AT46" s="3"/>
      <c r="AU46" s="4"/>
      <c r="AV46" s="56" t="s">
        <v>55</v>
      </c>
      <c r="AW46" s="3"/>
      <c r="AX46" s="4"/>
      <c r="AY46" s="48"/>
      <c r="AZ46" s="3"/>
      <c r="BA46" s="4"/>
      <c r="BB46" s="59" t="s">
        <v>187</v>
      </c>
      <c r="BC46" s="3"/>
      <c r="BD46" s="4"/>
      <c r="BE46" s="60">
        <v>46246.0</v>
      </c>
      <c r="BF46" s="3"/>
      <c r="BG46" s="4"/>
      <c r="BH46" s="48"/>
      <c r="BI46" s="3"/>
      <c r="BJ46" s="4"/>
      <c r="BK46" s="49"/>
      <c r="BL46" s="3"/>
      <c r="BM46" s="3"/>
      <c r="BN46" s="3"/>
      <c r="BO46" s="3"/>
      <c r="BP46" s="3"/>
      <c r="BQ46" s="4"/>
    </row>
    <row r="47" ht="450.0" customHeight="1">
      <c r="A47" s="47">
        <v>31.0</v>
      </c>
      <c r="B47" s="49" t="s">
        <v>426</v>
      </c>
      <c r="C47" s="3"/>
      <c r="D47" s="4"/>
      <c r="E47" s="49" t="s">
        <v>427</v>
      </c>
      <c r="F47" s="3"/>
      <c r="G47" s="3"/>
      <c r="H47" s="3"/>
      <c r="I47" s="4"/>
      <c r="J47" s="49" t="s">
        <v>428</v>
      </c>
      <c r="K47" s="3"/>
      <c r="L47" s="3"/>
      <c r="M47" s="3"/>
      <c r="N47" s="3"/>
      <c r="O47" s="3"/>
      <c r="P47" s="4"/>
      <c r="Q47" s="49" t="s">
        <v>429</v>
      </c>
      <c r="R47" s="3"/>
      <c r="S47" s="3"/>
      <c r="T47" s="3"/>
      <c r="U47" s="3"/>
      <c r="V47" s="3"/>
      <c r="W47" s="4"/>
      <c r="X47" s="49" t="s">
        <v>430</v>
      </c>
      <c r="Y47" s="3"/>
      <c r="Z47" s="3"/>
      <c r="AA47" s="3"/>
      <c r="AB47" s="3"/>
      <c r="AC47" s="3"/>
      <c r="AD47" s="4"/>
      <c r="AE47" s="48" t="s">
        <v>302</v>
      </c>
      <c r="AF47" s="4"/>
      <c r="AG47" s="57" t="s">
        <v>55</v>
      </c>
      <c r="AH47" s="3"/>
      <c r="AI47" s="4"/>
      <c r="AJ47" s="48"/>
      <c r="AK47" s="3"/>
      <c r="AL47" s="4"/>
      <c r="AM47" s="57" t="s">
        <v>184</v>
      </c>
      <c r="AN47" s="3"/>
      <c r="AO47" s="4"/>
      <c r="AP47" s="58">
        <v>46149.0</v>
      </c>
      <c r="AQ47" s="3"/>
      <c r="AR47" s="4"/>
      <c r="AS47" s="48"/>
      <c r="AT47" s="3"/>
      <c r="AU47" s="4"/>
      <c r="AV47" s="56" t="s">
        <v>55</v>
      </c>
      <c r="AW47" s="3"/>
      <c r="AX47" s="4"/>
      <c r="AY47" s="48"/>
      <c r="AZ47" s="3"/>
      <c r="BA47" s="4"/>
      <c r="BB47" s="59" t="s">
        <v>187</v>
      </c>
      <c r="BC47" s="3"/>
      <c r="BD47" s="4"/>
      <c r="BE47" s="60">
        <v>46246.0</v>
      </c>
      <c r="BF47" s="3"/>
      <c r="BG47" s="4"/>
      <c r="BH47" s="48"/>
      <c r="BI47" s="3"/>
      <c r="BJ47" s="4"/>
      <c r="BK47" s="49"/>
      <c r="BL47" s="3"/>
      <c r="BM47" s="3"/>
      <c r="BN47" s="3"/>
      <c r="BO47" s="3"/>
      <c r="BP47" s="3"/>
      <c r="BQ47" s="4"/>
    </row>
    <row r="48" ht="271.5" customHeight="1">
      <c r="A48" s="47">
        <v>32.0</v>
      </c>
      <c r="B48" s="49" t="s">
        <v>431</v>
      </c>
      <c r="C48" s="3"/>
      <c r="D48" s="4"/>
      <c r="E48" s="49" t="s">
        <v>432</v>
      </c>
      <c r="F48" s="3"/>
      <c r="G48" s="3"/>
      <c r="H48" s="3"/>
      <c r="I48" s="4"/>
      <c r="J48" s="49" t="s">
        <v>433</v>
      </c>
      <c r="K48" s="3"/>
      <c r="L48" s="3"/>
      <c r="M48" s="3"/>
      <c r="N48" s="3"/>
      <c r="O48" s="3"/>
      <c r="P48" s="4"/>
      <c r="Q48" s="49" t="s">
        <v>434</v>
      </c>
      <c r="R48" s="3"/>
      <c r="S48" s="3"/>
      <c r="T48" s="3"/>
      <c r="U48" s="3"/>
      <c r="V48" s="3"/>
      <c r="W48" s="4"/>
      <c r="X48" s="49" t="s">
        <v>435</v>
      </c>
      <c r="Y48" s="3"/>
      <c r="Z48" s="3"/>
      <c r="AA48" s="3"/>
      <c r="AB48" s="3"/>
      <c r="AC48" s="3"/>
      <c r="AD48" s="4"/>
      <c r="AE48" s="48" t="s">
        <v>181</v>
      </c>
      <c r="AF48" s="4"/>
      <c r="AG48" s="57" t="s">
        <v>55</v>
      </c>
      <c r="AH48" s="3"/>
      <c r="AI48" s="4"/>
      <c r="AJ48" s="48"/>
      <c r="AK48" s="3"/>
      <c r="AL48" s="4"/>
      <c r="AM48" s="57" t="s">
        <v>184</v>
      </c>
      <c r="AN48" s="3"/>
      <c r="AO48" s="4"/>
      <c r="AP48" s="58">
        <v>46149.0</v>
      </c>
      <c r="AQ48" s="3"/>
      <c r="AR48" s="4"/>
      <c r="AS48" s="48"/>
      <c r="AT48" s="3"/>
      <c r="AU48" s="4"/>
      <c r="AV48" s="56" t="s">
        <v>55</v>
      </c>
      <c r="AW48" s="3"/>
      <c r="AX48" s="4"/>
      <c r="AY48" s="48"/>
      <c r="AZ48" s="3"/>
      <c r="BA48" s="4"/>
      <c r="BB48" s="59" t="s">
        <v>187</v>
      </c>
      <c r="BC48" s="3"/>
      <c r="BD48" s="4"/>
      <c r="BE48" s="60">
        <v>46246.0</v>
      </c>
      <c r="BF48" s="3"/>
      <c r="BG48" s="4"/>
      <c r="BH48" s="48"/>
      <c r="BI48" s="3"/>
      <c r="BJ48" s="4"/>
      <c r="BK48" s="49"/>
      <c r="BL48" s="3"/>
      <c r="BM48" s="3"/>
      <c r="BN48" s="3"/>
      <c r="BO48" s="3"/>
      <c r="BP48" s="3"/>
      <c r="BQ48" s="4"/>
    </row>
    <row r="49" ht="336.0" customHeight="1">
      <c r="A49" s="47">
        <v>33.0</v>
      </c>
      <c r="B49" s="49" t="s">
        <v>436</v>
      </c>
      <c r="C49" s="3"/>
      <c r="D49" s="4"/>
      <c r="E49" s="49" t="s">
        <v>437</v>
      </c>
      <c r="F49" s="3"/>
      <c r="G49" s="3"/>
      <c r="H49" s="3"/>
      <c r="I49" s="4"/>
      <c r="J49" s="49" t="s">
        <v>438</v>
      </c>
      <c r="K49" s="3"/>
      <c r="L49" s="3"/>
      <c r="M49" s="3"/>
      <c r="N49" s="3"/>
      <c r="O49" s="3"/>
      <c r="P49" s="4"/>
      <c r="Q49" s="49" t="s">
        <v>439</v>
      </c>
      <c r="R49" s="3"/>
      <c r="S49" s="3"/>
      <c r="T49" s="3"/>
      <c r="U49" s="3"/>
      <c r="V49" s="3"/>
      <c r="W49" s="4"/>
      <c r="X49" s="49" t="s">
        <v>440</v>
      </c>
      <c r="Y49" s="3"/>
      <c r="Z49" s="3"/>
      <c r="AA49" s="3"/>
      <c r="AB49" s="3"/>
      <c r="AC49" s="3"/>
      <c r="AD49" s="4"/>
      <c r="AE49" s="48" t="s">
        <v>302</v>
      </c>
      <c r="AF49" s="4"/>
      <c r="AG49" s="57" t="s">
        <v>55</v>
      </c>
      <c r="AH49" s="3"/>
      <c r="AI49" s="4"/>
      <c r="AJ49" s="48"/>
      <c r="AK49" s="3"/>
      <c r="AL49" s="4"/>
      <c r="AM49" s="57" t="s">
        <v>184</v>
      </c>
      <c r="AN49" s="3"/>
      <c r="AO49" s="4"/>
      <c r="AP49" s="58">
        <v>46149.0</v>
      </c>
      <c r="AQ49" s="3"/>
      <c r="AR49" s="4"/>
      <c r="AS49" s="48"/>
      <c r="AT49" s="3"/>
      <c r="AU49" s="4"/>
      <c r="AV49" s="56" t="s">
        <v>55</v>
      </c>
      <c r="AW49" s="3"/>
      <c r="AX49" s="4"/>
      <c r="AY49" s="48"/>
      <c r="AZ49" s="3"/>
      <c r="BA49" s="4"/>
      <c r="BB49" s="59" t="s">
        <v>187</v>
      </c>
      <c r="BC49" s="3"/>
      <c r="BD49" s="4"/>
      <c r="BE49" s="60">
        <v>46246.0</v>
      </c>
      <c r="BF49" s="3"/>
      <c r="BG49" s="4"/>
      <c r="BH49" s="48"/>
      <c r="BI49" s="3"/>
      <c r="BJ49" s="4"/>
      <c r="BK49" s="49" t="s">
        <v>242</v>
      </c>
      <c r="BL49" s="3"/>
      <c r="BM49" s="3"/>
      <c r="BN49" s="3"/>
      <c r="BO49" s="3"/>
      <c r="BP49" s="3"/>
      <c r="BQ49" s="4"/>
    </row>
    <row r="50" ht="22.5" customHeight="1">
      <c r="A50" s="15" t="s">
        <v>441</v>
      </c>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4"/>
    </row>
    <row r="51" ht="351.75" customHeight="1">
      <c r="A51" s="47">
        <v>34.0</v>
      </c>
      <c r="B51" s="49" t="s">
        <v>442</v>
      </c>
      <c r="C51" s="3"/>
      <c r="D51" s="4"/>
      <c r="E51" s="49" t="s">
        <v>443</v>
      </c>
      <c r="F51" s="3"/>
      <c r="G51" s="3"/>
      <c r="H51" s="3"/>
      <c r="I51" s="4"/>
      <c r="J51" s="49" t="s">
        <v>444</v>
      </c>
      <c r="K51" s="3"/>
      <c r="L51" s="3"/>
      <c r="M51" s="3"/>
      <c r="N51" s="3"/>
      <c r="O51" s="3"/>
      <c r="P51" s="4"/>
      <c r="Q51" s="49" t="s">
        <v>445</v>
      </c>
      <c r="R51" s="3"/>
      <c r="S51" s="3"/>
      <c r="T51" s="3"/>
      <c r="U51" s="3"/>
      <c r="V51" s="3"/>
      <c r="W51" s="4"/>
      <c r="X51" s="49" t="s">
        <v>446</v>
      </c>
      <c r="Y51" s="3"/>
      <c r="Z51" s="3"/>
      <c r="AA51" s="3"/>
      <c r="AB51" s="3"/>
      <c r="AC51" s="3"/>
      <c r="AD51" s="4"/>
      <c r="AE51" s="48" t="s">
        <v>181</v>
      </c>
      <c r="AF51" s="4"/>
      <c r="AG51" s="57" t="s">
        <v>55</v>
      </c>
      <c r="AH51" s="3"/>
      <c r="AI51" s="4"/>
      <c r="AJ51" s="48"/>
      <c r="AK51" s="3"/>
      <c r="AL51" s="4"/>
      <c r="AM51" s="57" t="s">
        <v>184</v>
      </c>
      <c r="AN51" s="3"/>
      <c r="AO51" s="4"/>
      <c r="AP51" s="58">
        <v>46149.0</v>
      </c>
      <c r="AQ51" s="3"/>
      <c r="AR51" s="4"/>
      <c r="AS51" s="48"/>
      <c r="AT51" s="3"/>
      <c r="AU51" s="4"/>
      <c r="AV51" s="56" t="s">
        <v>55</v>
      </c>
      <c r="AW51" s="3"/>
      <c r="AX51" s="4"/>
      <c r="AY51" s="48"/>
      <c r="AZ51" s="3"/>
      <c r="BA51" s="4"/>
      <c r="BB51" s="59" t="s">
        <v>187</v>
      </c>
      <c r="BC51" s="3"/>
      <c r="BD51" s="4"/>
      <c r="BE51" s="60">
        <v>46246.0</v>
      </c>
      <c r="BF51" s="3"/>
      <c r="BG51" s="4"/>
      <c r="BH51" s="48"/>
      <c r="BI51" s="3"/>
      <c r="BJ51" s="4"/>
      <c r="BK51" s="49"/>
      <c r="BL51" s="3"/>
      <c r="BM51" s="3"/>
      <c r="BN51" s="3"/>
      <c r="BO51" s="3"/>
      <c r="BP51" s="3"/>
      <c r="BQ51" s="4"/>
    </row>
    <row r="52" ht="351.75" customHeight="1">
      <c r="A52" s="47">
        <v>35.0</v>
      </c>
      <c r="B52" s="49" t="s">
        <v>447</v>
      </c>
      <c r="C52" s="3"/>
      <c r="D52" s="4"/>
      <c r="E52" s="49" t="s">
        <v>448</v>
      </c>
      <c r="F52" s="3"/>
      <c r="G52" s="3"/>
      <c r="H52" s="3"/>
      <c r="I52" s="4"/>
      <c r="J52" s="49" t="s">
        <v>449</v>
      </c>
      <c r="K52" s="3"/>
      <c r="L52" s="3"/>
      <c r="M52" s="3"/>
      <c r="N52" s="3"/>
      <c r="O52" s="3"/>
      <c r="P52" s="4"/>
      <c r="Q52" s="49" t="s">
        <v>450</v>
      </c>
      <c r="R52" s="3"/>
      <c r="S52" s="3"/>
      <c r="T52" s="3"/>
      <c r="U52" s="3"/>
      <c r="V52" s="3"/>
      <c r="W52" s="4"/>
      <c r="X52" s="49" t="s">
        <v>451</v>
      </c>
      <c r="Y52" s="3"/>
      <c r="Z52" s="3"/>
      <c r="AA52" s="3"/>
      <c r="AB52" s="3"/>
      <c r="AC52" s="3"/>
      <c r="AD52" s="4"/>
      <c r="AE52" s="48" t="s">
        <v>302</v>
      </c>
      <c r="AF52" s="4"/>
      <c r="AG52" s="57" t="s">
        <v>55</v>
      </c>
      <c r="AH52" s="3"/>
      <c r="AI52" s="4"/>
      <c r="AJ52" s="48"/>
      <c r="AK52" s="3"/>
      <c r="AL52" s="4"/>
      <c r="AM52" s="57" t="s">
        <v>184</v>
      </c>
      <c r="AN52" s="3"/>
      <c r="AO52" s="4"/>
      <c r="AP52" s="58">
        <v>46149.0</v>
      </c>
      <c r="AQ52" s="3"/>
      <c r="AR52" s="4"/>
      <c r="AS52" s="48"/>
      <c r="AT52" s="3"/>
      <c r="AU52" s="4"/>
      <c r="AV52" s="56" t="s">
        <v>55</v>
      </c>
      <c r="AW52" s="3"/>
      <c r="AX52" s="4"/>
      <c r="AY52" s="48"/>
      <c r="AZ52" s="3"/>
      <c r="BA52" s="4"/>
      <c r="BB52" s="59" t="s">
        <v>187</v>
      </c>
      <c r="BC52" s="3"/>
      <c r="BD52" s="4"/>
      <c r="BE52" s="60">
        <v>46246.0</v>
      </c>
      <c r="BF52" s="3"/>
      <c r="BG52" s="4"/>
      <c r="BH52" s="48"/>
      <c r="BI52" s="3"/>
      <c r="BJ52" s="4"/>
      <c r="BK52" s="49"/>
      <c r="BL52" s="3"/>
      <c r="BM52" s="3"/>
      <c r="BN52" s="3"/>
      <c r="BO52" s="3"/>
      <c r="BP52" s="3"/>
      <c r="BQ52" s="4"/>
    </row>
    <row r="53" ht="336.0" customHeight="1">
      <c r="A53" s="47">
        <v>36.0</v>
      </c>
      <c r="B53" s="49" t="s">
        <v>452</v>
      </c>
      <c r="C53" s="3"/>
      <c r="D53" s="4"/>
      <c r="E53" s="49" t="s">
        <v>453</v>
      </c>
      <c r="F53" s="3"/>
      <c r="G53" s="3"/>
      <c r="H53" s="3"/>
      <c r="I53" s="4"/>
      <c r="J53" s="49" t="s">
        <v>454</v>
      </c>
      <c r="K53" s="3"/>
      <c r="L53" s="3"/>
      <c r="M53" s="3"/>
      <c r="N53" s="3"/>
      <c r="O53" s="3"/>
      <c r="P53" s="4"/>
      <c r="Q53" s="49" t="s">
        <v>455</v>
      </c>
      <c r="R53" s="3"/>
      <c r="S53" s="3"/>
      <c r="T53" s="3"/>
      <c r="U53" s="3"/>
      <c r="V53" s="3"/>
      <c r="W53" s="4"/>
      <c r="X53" s="49" t="s">
        <v>456</v>
      </c>
      <c r="Y53" s="3"/>
      <c r="Z53" s="3"/>
      <c r="AA53" s="3"/>
      <c r="AB53" s="3"/>
      <c r="AC53" s="3"/>
      <c r="AD53" s="4"/>
      <c r="AE53" s="48" t="s">
        <v>302</v>
      </c>
      <c r="AF53" s="4"/>
      <c r="AG53" s="57" t="s">
        <v>55</v>
      </c>
      <c r="AH53" s="3"/>
      <c r="AI53" s="4"/>
      <c r="AJ53" s="48"/>
      <c r="AK53" s="3"/>
      <c r="AL53" s="4"/>
      <c r="AM53" s="57" t="s">
        <v>184</v>
      </c>
      <c r="AN53" s="3"/>
      <c r="AO53" s="4"/>
      <c r="AP53" s="58">
        <v>46149.0</v>
      </c>
      <c r="AQ53" s="3"/>
      <c r="AR53" s="4"/>
      <c r="AS53" s="48"/>
      <c r="AT53" s="3"/>
      <c r="AU53" s="4"/>
      <c r="AV53" s="56" t="s">
        <v>55</v>
      </c>
      <c r="AW53" s="3"/>
      <c r="AX53" s="4"/>
      <c r="AY53" s="48"/>
      <c r="AZ53" s="3"/>
      <c r="BA53" s="4"/>
      <c r="BB53" s="59" t="s">
        <v>187</v>
      </c>
      <c r="BC53" s="3"/>
      <c r="BD53" s="4"/>
      <c r="BE53" s="60">
        <v>46246.0</v>
      </c>
      <c r="BF53" s="3"/>
      <c r="BG53" s="4"/>
      <c r="BH53" s="48"/>
      <c r="BI53" s="3"/>
      <c r="BJ53" s="4"/>
      <c r="BK53" s="49"/>
      <c r="BL53" s="3"/>
      <c r="BM53" s="3"/>
      <c r="BN53" s="3"/>
      <c r="BO53" s="3"/>
      <c r="BP53" s="3"/>
      <c r="BQ53" s="4"/>
    </row>
    <row r="54" ht="271.5" customHeight="1">
      <c r="A54" s="47">
        <v>37.0</v>
      </c>
      <c r="B54" s="49" t="s">
        <v>457</v>
      </c>
      <c r="C54" s="3"/>
      <c r="D54" s="4"/>
      <c r="E54" s="49" t="s">
        <v>458</v>
      </c>
      <c r="F54" s="3"/>
      <c r="G54" s="3"/>
      <c r="H54" s="3"/>
      <c r="I54" s="4"/>
      <c r="J54" s="49" t="s">
        <v>459</v>
      </c>
      <c r="K54" s="3"/>
      <c r="L54" s="3"/>
      <c r="M54" s="3"/>
      <c r="N54" s="3"/>
      <c r="O54" s="3"/>
      <c r="P54" s="4"/>
      <c r="Q54" s="49" t="s">
        <v>460</v>
      </c>
      <c r="R54" s="3"/>
      <c r="S54" s="3"/>
      <c r="T54" s="3"/>
      <c r="U54" s="3"/>
      <c r="V54" s="3"/>
      <c r="W54" s="4"/>
      <c r="X54" s="49" t="s">
        <v>461</v>
      </c>
      <c r="Y54" s="3"/>
      <c r="Z54" s="3"/>
      <c r="AA54" s="3"/>
      <c r="AB54" s="3"/>
      <c r="AC54" s="3"/>
      <c r="AD54" s="4"/>
      <c r="AE54" s="48" t="s">
        <v>302</v>
      </c>
      <c r="AF54" s="4"/>
      <c r="AG54" s="57" t="s">
        <v>55</v>
      </c>
      <c r="AH54" s="3"/>
      <c r="AI54" s="4"/>
      <c r="AJ54" s="48"/>
      <c r="AK54" s="3"/>
      <c r="AL54" s="4"/>
      <c r="AM54" s="57" t="s">
        <v>184</v>
      </c>
      <c r="AN54" s="3"/>
      <c r="AO54" s="4"/>
      <c r="AP54" s="58">
        <v>46149.0</v>
      </c>
      <c r="AQ54" s="3"/>
      <c r="AR54" s="4"/>
      <c r="AS54" s="48"/>
      <c r="AT54" s="3"/>
      <c r="AU54" s="4"/>
      <c r="AV54" s="56" t="s">
        <v>55</v>
      </c>
      <c r="AW54" s="3"/>
      <c r="AX54" s="4"/>
      <c r="AY54" s="48"/>
      <c r="AZ54" s="3"/>
      <c r="BA54" s="4"/>
      <c r="BB54" s="59" t="s">
        <v>187</v>
      </c>
      <c r="BC54" s="3"/>
      <c r="BD54" s="4"/>
      <c r="BE54" s="60">
        <v>46246.0</v>
      </c>
      <c r="BF54" s="3"/>
      <c r="BG54" s="4"/>
      <c r="BH54" s="48"/>
      <c r="BI54" s="3"/>
      <c r="BJ54" s="4"/>
      <c r="BK54" s="49"/>
      <c r="BL54" s="3"/>
      <c r="BM54" s="3"/>
      <c r="BN54" s="3"/>
      <c r="BO54" s="3"/>
      <c r="BP54" s="3"/>
      <c r="BQ54" s="4"/>
    </row>
    <row r="55" ht="450.0" customHeight="1">
      <c r="A55" s="47">
        <v>38.0</v>
      </c>
      <c r="B55" s="49" t="s">
        <v>462</v>
      </c>
      <c r="C55" s="3"/>
      <c r="D55" s="4"/>
      <c r="E55" s="49" t="s">
        <v>463</v>
      </c>
      <c r="F55" s="3"/>
      <c r="G55" s="3"/>
      <c r="H55" s="3"/>
      <c r="I55" s="4"/>
      <c r="J55" s="49" t="s">
        <v>464</v>
      </c>
      <c r="K55" s="3"/>
      <c r="L55" s="3"/>
      <c r="M55" s="3"/>
      <c r="N55" s="3"/>
      <c r="O55" s="3"/>
      <c r="P55" s="4"/>
      <c r="Q55" s="49" t="s">
        <v>465</v>
      </c>
      <c r="R55" s="3"/>
      <c r="S55" s="3"/>
      <c r="T55" s="3"/>
      <c r="U55" s="3"/>
      <c r="V55" s="3"/>
      <c r="W55" s="4"/>
      <c r="X55" s="49" t="s">
        <v>466</v>
      </c>
      <c r="Y55" s="3"/>
      <c r="Z55" s="3"/>
      <c r="AA55" s="3"/>
      <c r="AB55" s="3"/>
      <c r="AC55" s="3"/>
      <c r="AD55" s="4"/>
      <c r="AE55" s="48" t="s">
        <v>181</v>
      </c>
      <c r="AF55" s="4"/>
      <c r="AG55" s="57" t="s">
        <v>55</v>
      </c>
      <c r="AH55" s="3"/>
      <c r="AI55" s="4"/>
      <c r="AJ55" s="48"/>
      <c r="AK55" s="3"/>
      <c r="AL55" s="4"/>
      <c r="AM55" s="57" t="s">
        <v>184</v>
      </c>
      <c r="AN55" s="3"/>
      <c r="AO55" s="4"/>
      <c r="AP55" s="58">
        <v>46149.0</v>
      </c>
      <c r="AQ55" s="3"/>
      <c r="AR55" s="4"/>
      <c r="AS55" s="48"/>
      <c r="AT55" s="3"/>
      <c r="AU55" s="4"/>
      <c r="AV55" s="56" t="s">
        <v>55</v>
      </c>
      <c r="AW55" s="3"/>
      <c r="AX55" s="4"/>
      <c r="AY55" s="48"/>
      <c r="AZ55" s="3"/>
      <c r="BA55" s="4"/>
      <c r="BB55" s="59" t="s">
        <v>187</v>
      </c>
      <c r="BC55" s="3"/>
      <c r="BD55" s="4"/>
      <c r="BE55" s="60">
        <v>46246.0</v>
      </c>
      <c r="BF55" s="3"/>
      <c r="BG55" s="4"/>
      <c r="BH55" s="48"/>
      <c r="BI55" s="3"/>
      <c r="BJ55" s="4"/>
      <c r="BK55" s="49"/>
      <c r="BL55" s="3"/>
      <c r="BM55" s="3"/>
      <c r="BN55" s="3"/>
      <c r="BO55" s="3"/>
      <c r="BP55" s="3"/>
      <c r="BQ55" s="4"/>
    </row>
    <row r="56" ht="450.0" customHeight="1">
      <c r="A56" s="47">
        <v>39.0</v>
      </c>
      <c r="B56" s="49" t="s">
        <v>467</v>
      </c>
      <c r="C56" s="3"/>
      <c r="D56" s="4"/>
      <c r="E56" s="49" t="s">
        <v>468</v>
      </c>
      <c r="F56" s="3"/>
      <c r="G56" s="3"/>
      <c r="H56" s="3"/>
      <c r="I56" s="4"/>
      <c r="J56" s="49" t="s">
        <v>469</v>
      </c>
      <c r="K56" s="3"/>
      <c r="L56" s="3"/>
      <c r="M56" s="3"/>
      <c r="N56" s="3"/>
      <c r="O56" s="3"/>
      <c r="P56" s="4"/>
      <c r="Q56" s="49" t="s">
        <v>470</v>
      </c>
      <c r="R56" s="3"/>
      <c r="S56" s="3"/>
      <c r="T56" s="3"/>
      <c r="U56" s="3"/>
      <c r="V56" s="3"/>
      <c r="W56" s="4"/>
      <c r="X56" s="49" t="s">
        <v>471</v>
      </c>
      <c r="Y56" s="3"/>
      <c r="Z56" s="3"/>
      <c r="AA56" s="3"/>
      <c r="AB56" s="3"/>
      <c r="AC56" s="3"/>
      <c r="AD56" s="4"/>
      <c r="AE56" s="48" t="s">
        <v>302</v>
      </c>
      <c r="AF56" s="4"/>
      <c r="AG56" s="57" t="s">
        <v>55</v>
      </c>
      <c r="AH56" s="3"/>
      <c r="AI56" s="4"/>
      <c r="AJ56" s="48"/>
      <c r="AK56" s="3"/>
      <c r="AL56" s="4"/>
      <c r="AM56" s="57" t="s">
        <v>184</v>
      </c>
      <c r="AN56" s="3"/>
      <c r="AO56" s="4"/>
      <c r="AP56" s="58">
        <v>46149.0</v>
      </c>
      <c r="AQ56" s="3"/>
      <c r="AR56" s="4"/>
      <c r="AS56" s="48"/>
      <c r="AT56" s="3"/>
      <c r="AU56" s="4"/>
      <c r="AV56" s="56" t="s">
        <v>55</v>
      </c>
      <c r="AW56" s="3"/>
      <c r="AX56" s="4"/>
      <c r="AY56" s="48"/>
      <c r="AZ56" s="3"/>
      <c r="BA56" s="4"/>
      <c r="BB56" s="59" t="s">
        <v>187</v>
      </c>
      <c r="BC56" s="3"/>
      <c r="BD56" s="4"/>
      <c r="BE56" s="60">
        <v>46246.0</v>
      </c>
      <c r="BF56" s="3"/>
      <c r="BG56" s="4"/>
      <c r="BH56" s="48"/>
      <c r="BI56" s="3"/>
      <c r="BJ56" s="4"/>
      <c r="BK56" s="49"/>
      <c r="BL56" s="3"/>
      <c r="BM56" s="3"/>
      <c r="BN56" s="3"/>
      <c r="BO56" s="3"/>
      <c r="BP56" s="3"/>
      <c r="BQ56" s="4"/>
    </row>
    <row r="57" ht="415.5" customHeight="1">
      <c r="A57" s="47">
        <v>40.0</v>
      </c>
      <c r="B57" s="49" t="s">
        <v>472</v>
      </c>
      <c r="C57" s="3"/>
      <c r="D57" s="4"/>
      <c r="E57" s="49" t="s">
        <v>473</v>
      </c>
      <c r="F57" s="3"/>
      <c r="G57" s="3"/>
      <c r="H57" s="3"/>
      <c r="I57" s="4"/>
      <c r="J57" s="49" t="s">
        <v>474</v>
      </c>
      <c r="K57" s="3"/>
      <c r="L57" s="3"/>
      <c r="M57" s="3"/>
      <c r="N57" s="3"/>
      <c r="O57" s="3"/>
      <c r="P57" s="4"/>
      <c r="Q57" s="49" t="s">
        <v>475</v>
      </c>
      <c r="R57" s="3"/>
      <c r="S57" s="3"/>
      <c r="T57" s="3"/>
      <c r="U57" s="3"/>
      <c r="V57" s="3"/>
      <c r="W57" s="4"/>
      <c r="X57" s="49" t="s">
        <v>476</v>
      </c>
      <c r="Y57" s="3"/>
      <c r="Z57" s="3"/>
      <c r="AA57" s="3"/>
      <c r="AB57" s="3"/>
      <c r="AC57" s="3"/>
      <c r="AD57" s="4"/>
      <c r="AE57" s="48" t="s">
        <v>181</v>
      </c>
      <c r="AF57" s="4"/>
      <c r="AG57" s="57" t="s">
        <v>55</v>
      </c>
      <c r="AH57" s="3"/>
      <c r="AI57" s="4"/>
      <c r="AJ57" s="48"/>
      <c r="AK57" s="3"/>
      <c r="AL57" s="4"/>
      <c r="AM57" s="57" t="s">
        <v>184</v>
      </c>
      <c r="AN57" s="3"/>
      <c r="AO57" s="4"/>
      <c r="AP57" s="58">
        <v>46149.0</v>
      </c>
      <c r="AQ57" s="3"/>
      <c r="AR57" s="4"/>
      <c r="AS57" s="48"/>
      <c r="AT57" s="3"/>
      <c r="AU57" s="4"/>
      <c r="AV57" s="56" t="s">
        <v>55</v>
      </c>
      <c r="AW57" s="3"/>
      <c r="AX57" s="4"/>
      <c r="AY57" s="48"/>
      <c r="AZ57" s="3"/>
      <c r="BA57" s="4"/>
      <c r="BB57" s="59" t="s">
        <v>187</v>
      </c>
      <c r="BC57" s="3"/>
      <c r="BD57" s="4"/>
      <c r="BE57" s="60">
        <v>46246.0</v>
      </c>
      <c r="BF57" s="3"/>
      <c r="BG57" s="4"/>
      <c r="BH57" s="48"/>
      <c r="BI57" s="3"/>
      <c r="BJ57" s="4"/>
      <c r="BK57" s="49"/>
      <c r="BL57" s="3"/>
      <c r="BM57" s="3"/>
      <c r="BN57" s="3"/>
      <c r="BO57" s="3"/>
      <c r="BP57" s="3"/>
      <c r="BQ57" s="4"/>
    </row>
    <row r="58" ht="450.0" customHeight="1">
      <c r="A58" s="47">
        <v>41.0</v>
      </c>
      <c r="B58" s="49" t="s">
        <v>477</v>
      </c>
      <c r="C58" s="3"/>
      <c r="D58" s="4"/>
      <c r="E58" s="49" t="s">
        <v>478</v>
      </c>
      <c r="F58" s="3"/>
      <c r="G58" s="3"/>
      <c r="H58" s="3"/>
      <c r="I58" s="4"/>
      <c r="J58" s="49" t="s">
        <v>479</v>
      </c>
      <c r="K58" s="3"/>
      <c r="L58" s="3"/>
      <c r="M58" s="3"/>
      <c r="N58" s="3"/>
      <c r="O58" s="3"/>
      <c r="P58" s="4"/>
      <c r="Q58" s="49" t="s">
        <v>480</v>
      </c>
      <c r="R58" s="3"/>
      <c r="S58" s="3"/>
      <c r="T58" s="3"/>
      <c r="U58" s="3"/>
      <c r="V58" s="3"/>
      <c r="W58" s="4"/>
      <c r="X58" s="49" t="s">
        <v>481</v>
      </c>
      <c r="Y58" s="3"/>
      <c r="Z58" s="3"/>
      <c r="AA58" s="3"/>
      <c r="AB58" s="3"/>
      <c r="AC58" s="3"/>
      <c r="AD58" s="4"/>
      <c r="AE58" s="48" t="s">
        <v>302</v>
      </c>
      <c r="AF58" s="4"/>
      <c r="AG58" s="56" t="s">
        <v>57</v>
      </c>
      <c r="AH58" s="3"/>
      <c r="AI58" s="4"/>
      <c r="AJ58" s="48"/>
      <c r="AK58" s="3"/>
      <c r="AL58" s="4"/>
      <c r="AM58" s="57" t="s">
        <v>184</v>
      </c>
      <c r="AN58" s="3"/>
      <c r="AO58" s="4"/>
      <c r="AP58" s="58">
        <v>46149.0</v>
      </c>
      <c r="AQ58" s="3"/>
      <c r="AR58" s="4"/>
      <c r="AS58" s="48"/>
      <c r="AT58" s="3"/>
      <c r="AU58" s="4"/>
      <c r="AV58" s="56" t="s">
        <v>55</v>
      </c>
      <c r="AW58" s="3"/>
      <c r="AX58" s="4"/>
      <c r="AY58" s="48"/>
      <c r="AZ58" s="3"/>
      <c r="BA58" s="4"/>
      <c r="BB58" s="59" t="s">
        <v>187</v>
      </c>
      <c r="BC58" s="3"/>
      <c r="BD58" s="4"/>
      <c r="BE58" s="60">
        <v>46246.0</v>
      </c>
      <c r="BF58" s="3"/>
      <c r="BG58" s="4"/>
      <c r="BH58" s="48"/>
      <c r="BI58" s="3"/>
      <c r="BJ58" s="4"/>
      <c r="BK58" s="49" t="s">
        <v>482</v>
      </c>
      <c r="BL58" s="3"/>
      <c r="BM58" s="3"/>
      <c r="BN58" s="3"/>
      <c r="BO58" s="3"/>
      <c r="BP58" s="3"/>
      <c r="BQ58" s="4"/>
    </row>
    <row r="59" ht="22.5" customHeight="1">
      <c r="A59" s="15" t="s">
        <v>483</v>
      </c>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4"/>
    </row>
    <row r="60" ht="255.75" customHeight="1">
      <c r="A60" s="47">
        <v>42.0</v>
      </c>
      <c r="B60" s="49" t="s">
        <v>484</v>
      </c>
      <c r="C60" s="3"/>
      <c r="D60" s="4"/>
      <c r="E60" s="49" t="s">
        <v>485</v>
      </c>
      <c r="F60" s="3"/>
      <c r="G60" s="3"/>
      <c r="H60" s="3"/>
      <c r="I60" s="4"/>
      <c r="J60" s="49" t="s">
        <v>486</v>
      </c>
      <c r="K60" s="3"/>
      <c r="L60" s="3"/>
      <c r="M60" s="3"/>
      <c r="N60" s="3"/>
      <c r="O60" s="3"/>
      <c r="P60" s="4"/>
      <c r="Q60" s="49" t="s">
        <v>487</v>
      </c>
      <c r="R60" s="3"/>
      <c r="S60" s="3"/>
      <c r="T60" s="3"/>
      <c r="U60" s="3"/>
      <c r="V60" s="3"/>
      <c r="W60" s="4"/>
      <c r="X60" s="49" t="s">
        <v>488</v>
      </c>
      <c r="Y60" s="3"/>
      <c r="Z60" s="3"/>
      <c r="AA60" s="3"/>
      <c r="AB60" s="3"/>
      <c r="AC60" s="3"/>
      <c r="AD60" s="4"/>
      <c r="AE60" s="48" t="s">
        <v>302</v>
      </c>
      <c r="AF60" s="4"/>
      <c r="AG60" s="57" t="s">
        <v>55</v>
      </c>
      <c r="AH60" s="3"/>
      <c r="AI60" s="4"/>
      <c r="AJ60" s="48"/>
      <c r="AK60" s="3"/>
      <c r="AL60" s="4"/>
      <c r="AM60" s="57" t="s">
        <v>184</v>
      </c>
      <c r="AN60" s="3"/>
      <c r="AO60" s="4"/>
      <c r="AP60" s="58">
        <v>46149.0</v>
      </c>
      <c r="AQ60" s="3"/>
      <c r="AR60" s="4"/>
      <c r="AS60" s="48"/>
      <c r="AT60" s="3"/>
      <c r="AU60" s="4"/>
      <c r="AV60" s="56" t="s">
        <v>55</v>
      </c>
      <c r="AW60" s="3"/>
      <c r="AX60" s="4"/>
      <c r="AY60" s="48"/>
      <c r="AZ60" s="3"/>
      <c r="BA60" s="4"/>
      <c r="BB60" s="59" t="s">
        <v>187</v>
      </c>
      <c r="BC60" s="3"/>
      <c r="BD60" s="4"/>
      <c r="BE60" s="60">
        <v>46246.0</v>
      </c>
      <c r="BF60" s="3"/>
      <c r="BG60" s="4"/>
      <c r="BH60" s="48"/>
      <c r="BI60" s="3"/>
      <c r="BJ60" s="4"/>
      <c r="BK60" s="49"/>
      <c r="BL60" s="3"/>
      <c r="BM60" s="3"/>
      <c r="BN60" s="3"/>
      <c r="BO60" s="3"/>
      <c r="BP60" s="3"/>
      <c r="BQ60" s="4"/>
    </row>
    <row r="61" ht="450.0" customHeight="1">
      <c r="A61" s="47">
        <v>43.0</v>
      </c>
      <c r="B61" s="49" t="s">
        <v>489</v>
      </c>
      <c r="C61" s="3"/>
      <c r="D61" s="4"/>
      <c r="E61" s="49" t="s">
        <v>490</v>
      </c>
      <c r="F61" s="3"/>
      <c r="G61" s="3"/>
      <c r="H61" s="3"/>
      <c r="I61" s="4"/>
      <c r="J61" s="49" t="s">
        <v>491</v>
      </c>
      <c r="K61" s="3"/>
      <c r="L61" s="3"/>
      <c r="M61" s="3"/>
      <c r="N61" s="3"/>
      <c r="O61" s="3"/>
      <c r="P61" s="4"/>
      <c r="Q61" s="49" t="s">
        <v>492</v>
      </c>
      <c r="R61" s="3"/>
      <c r="S61" s="3"/>
      <c r="T61" s="3"/>
      <c r="U61" s="3"/>
      <c r="V61" s="3"/>
      <c r="W61" s="4"/>
      <c r="X61" s="49" t="s">
        <v>493</v>
      </c>
      <c r="Y61" s="3"/>
      <c r="Z61" s="3"/>
      <c r="AA61" s="3"/>
      <c r="AB61" s="3"/>
      <c r="AC61" s="3"/>
      <c r="AD61" s="4"/>
      <c r="AE61" s="48" t="s">
        <v>302</v>
      </c>
      <c r="AF61" s="4"/>
      <c r="AG61" s="57" t="s">
        <v>55</v>
      </c>
      <c r="AH61" s="3"/>
      <c r="AI61" s="4"/>
      <c r="AJ61" s="48"/>
      <c r="AK61" s="3"/>
      <c r="AL61" s="4"/>
      <c r="AM61" s="57" t="s">
        <v>184</v>
      </c>
      <c r="AN61" s="3"/>
      <c r="AO61" s="4"/>
      <c r="AP61" s="58">
        <v>46149.0</v>
      </c>
      <c r="AQ61" s="3"/>
      <c r="AR61" s="4"/>
      <c r="AS61" s="48"/>
      <c r="AT61" s="3"/>
      <c r="AU61" s="4"/>
      <c r="AV61" s="56" t="s">
        <v>55</v>
      </c>
      <c r="AW61" s="3"/>
      <c r="AX61" s="4"/>
      <c r="AY61" s="48"/>
      <c r="AZ61" s="3"/>
      <c r="BA61" s="4"/>
      <c r="BB61" s="59" t="s">
        <v>187</v>
      </c>
      <c r="BC61" s="3"/>
      <c r="BD61" s="4"/>
      <c r="BE61" s="60">
        <v>46246.0</v>
      </c>
      <c r="BF61" s="3"/>
      <c r="BG61" s="4"/>
      <c r="BH61" s="48"/>
      <c r="BI61" s="3"/>
      <c r="BJ61" s="4"/>
      <c r="BK61" s="49"/>
      <c r="BL61" s="3"/>
      <c r="BM61" s="3"/>
      <c r="BN61" s="3"/>
      <c r="BO61" s="3"/>
      <c r="BP61" s="3"/>
      <c r="BQ61" s="4"/>
    </row>
    <row r="62" ht="432.0" customHeight="1">
      <c r="A62" s="47">
        <v>44.0</v>
      </c>
      <c r="B62" s="49" t="s">
        <v>494</v>
      </c>
      <c r="C62" s="3"/>
      <c r="D62" s="4"/>
      <c r="E62" s="49" t="s">
        <v>495</v>
      </c>
      <c r="F62" s="3"/>
      <c r="G62" s="3"/>
      <c r="H62" s="3"/>
      <c r="I62" s="4"/>
      <c r="J62" s="49" t="s">
        <v>496</v>
      </c>
      <c r="K62" s="3"/>
      <c r="L62" s="3"/>
      <c r="M62" s="3"/>
      <c r="N62" s="3"/>
      <c r="O62" s="3"/>
      <c r="P62" s="4"/>
      <c r="Q62" s="49" t="s">
        <v>497</v>
      </c>
      <c r="R62" s="3"/>
      <c r="S62" s="3"/>
      <c r="T62" s="3"/>
      <c r="U62" s="3"/>
      <c r="V62" s="3"/>
      <c r="W62" s="4"/>
      <c r="X62" s="49" t="s">
        <v>498</v>
      </c>
      <c r="Y62" s="3"/>
      <c r="Z62" s="3"/>
      <c r="AA62" s="3"/>
      <c r="AB62" s="3"/>
      <c r="AC62" s="3"/>
      <c r="AD62" s="4"/>
      <c r="AE62" s="48" t="s">
        <v>302</v>
      </c>
      <c r="AF62" s="4"/>
      <c r="AG62" s="56" t="s">
        <v>57</v>
      </c>
      <c r="AH62" s="3"/>
      <c r="AI62" s="4"/>
      <c r="AJ62" s="48"/>
      <c r="AK62" s="3"/>
      <c r="AL62" s="4"/>
      <c r="AM62" s="57" t="s">
        <v>184</v>
      </c>
      <c r="AN62" s="3"/>
      <c r="AO62" s="4"/>
      <c r="AP62" s="58">
        <v>46149.0</v>
      </c>
      <c r="AQ62" s="3"/>
      <c r="AR62" s="4"/>
      <c r="AS62" s="48"/>
      <c r="AT62" s="3"/>
      <c r="AU62" s="4"/>
      <c r="AV62" s="56" t="s">
        <v>55</v>
      </c>
      <c r="AW62" s="3"/>
      <c r="AX62" s="4"/>
      <c r="AY62" s="48"/>
      <c r="AZ62" s="3"/>
      <c r="BA62" s="4"/>
      <c r="BB62" s="59" t="s">
        <v>187</v>
      </c>
      <c r="BC62" s="3"/>
      <c r="BD62" s="4"/>
      <c r="BE62" s="60">
        <v>46246.0</v>
      </c>
      <c r="BF62" s="3"/>
      <c r="BG62" s="4"/>
      <c r="BH62" s="48"/>
      <c r="BI62" s="3"/>
      <c r="BJ62" s="4"/>
      <c r="BK62" s="49"/>
      <c r="BL62" s="3"/>
      <c r="BM62" s="3"/>
      <c r="BN62" s="3"/>
      <c r="BO62" s="3"/>
      <c r="BP62" s="3"/>
      <c r="BQ62" s="4"/>
    </row>
    <row r="63" ht="303.75" customHeight="1">
      <c r="A63" s="47">
        <v>45.0</v>
      </c>
      <c r="B63" s="49" t="s">
        <v>499</v>
      </c>
      <c r="C63" s="3"/>
      <c r="D63" s="4"/>
      <c r="E63" s="49" t="s">
        <v>500</v>
      </c>
      <c r="F63" s="3"/>
      <c r="G63" s="3"/>
      <c r="H63" s="3"/>
      <c r="I63" s="4"/>
      <c r="J63" s="49" t="s">
        <v>501</v>
      </c>
      <c r="K63" s="3"/>
      <c r="L63" s="3"/>
      <c r="M63" s="3"/>
      <c r="N63" s="3"/>
      <c r="O63" s="3"/>
      <c r="P63" s="4"/>
      <c r="Q63" s="49" t="s">
        <v>502</v>
      </c>
      <c r="R63" s="3"/>
      <c r="S63" s="3"/>
      <c r="T63" s="3"/>
      <c r="U63" s="3"/>
      <c r="V63" s="3"/>
      <c r="W63" s="4"/>
      <c r="X63" s="49" t="s">
        <v>503</v>
      </c>
      <c r="Y63" s="3"/>
      <c r="Z63" s="3"/>
      <c r="AA63" s="3"/>
      <c r="AB63" s="3"/>
      <c r="AC63" s="3"/>
      <c r="AD63" s="4"/>
      <c r="AE63" s="48" t="s">
        <v>302</v>
      </c>
      <c r="AF63" s="4"/>
      <c r="AG63" s="57" t="s">
        <v>55</v>
      </c>
      <c r="AH63" s="3"/>
      <c r="AI63" s="4"/>
      <c r="AJ63" s="48"/>
      <c r="AK63" s="3"/>
      <c r="AL63" s="4"/>
      <c r="AM63" s="57" t="s">
        <v>184</v>
      </c>
      <c r="AN63" s="3"/>
      <c r="AO63" s="4"/>
      <c r="AP63" s="58">
        <v>46149.0</v>
      </c>
      <c r="AQ63" s="3"/>
      <c r="AR63" s="4"/>
      <c r="AS63" s="48"/>
      <c r="AT63" s="3"/>
      <c r="AU63" s="4"/>
      <c r="AV63" s="56" t="s">
        <v>55</v>
      </c>
      <c r="AW63" s="3"/>
      <c r="AX63" s="4"/>
      <c r="AY63" s="48"/>
      <c r="AZ63" s="3"/>
      <c r="BA63" s="4"/>
      <c r="BB63" s="59" t="s">
        <v>187</v>
      </c>
      <c r="BC63" s="3"/>
      <c r="BD63" s="4"/>
      <c r="BE63" s="60">
        <v>46246.0</v>
      </c>
      <c r="BF63" s="3"/>
      <c r="BG63" s="4"/>
      <c r="BH63" s="48"/>
      <c r="BI63" s="3"/>
      <c r="BJ63" s="4"/>
      <c r="BK63" s="49"/>
      <c r="BL63" s="3"/>
      <c r="BM63" s="3"/>
      <c r="BN63" s="3"/>
      <c r="BO63" s="3"/>
      <c r="BP63" s="3"/>
      <c r="BQ63" s="4"/>
    </row>
    <row r="64" ht="271.5" customHeight="1">
      <c r="A64" s="47">
        <v>46.0</v>
      </c>
      <c r="B64" s="49" t="s">
        <v>504</v>
      </c>
      <c r="C64" s="3"/>
      <c r="D64" s="4"/>
      <c r="E64" s="49" t="s">
        <v>505</v>
      </c>
      <c r="F64" s="3"/>
      <c r="G64" s="3"/>
      <c r="H64" s="3"/>
      <c r="I64" s="4"/>
      <c r="J64" s="49" t="s">
        <v>506</v>
      </c>
      <c r="K64" s="3"/>
      <c r="L64" s="3"/>
      <c r="M64" s="3"/>
      <c r="N64" s="3"/>
      <c r="O64" s="3"/>
      <c r="P64" s="4"/>
      <c r="Q64" s="49" t="s">
        <v>507</v>
      </c>
      <c r="R64" s="3"/>
      <c r="S64" s="3"/>
      <c r="T64" s="3"/>
      <c r="U64" s="3"/>
      <c r="V64" s="3"/>
      <c r="W64" s="4"/>
      <c r="X64" s="49" t="s">
        <v>508</v>
      </c>
      <c r="Y64" s="3"/>
      <c r="Z64" s="3"/>
      <c r="AA64" s="3"/>
      <c r="AB64" s="3"/>
      <c r="AC64" s="3"/>
      <c r="AD64" s="4"/>
      <c r="AE64" s="48" t="s">
        <v>302</v>
      </c>
      <c r="AF64" s="4"/>
      <c r="AG64" s="57" t="s">
        <v>55</v>
      </c>
      <c r="AH64" s="3"/>
      <c r="AI64" s="4"/>
      <c r="AJ64" s="48"/>
      <c r="AK64" s="3"/>
      <c r="AL64" s="4"/>
      <c r="AM64" s="57" t="s">
        <v>184</v>
      </c>
      <c r="AN64" s="3"/>
      <c r="AO64" s="4"/>
      <c r="AP64" s="58">
        <v>46149.0</v>
      </c>
      <c r="AQ64" s="3"/>
      <c r="AR64" s="4"/>
      <c r="AS64" s="48"/>
      <c r="AT64" s="3"/>
      <c r="AU64" s="4"/>
      <c r="AV64" s="56" t="s">
        <v>55</v>
      </c>
      <c r="AW64" s="3"/>
      <c r="AX64" s="4"/>
      <c r="AY64" s="48"/>
      <c r="AZ64" s="3"/>
      <c r="BA64" s="4"/>
      <c r="BB64" s="59" t="s">
        <v>187</v>
      </c>
      <c r="BC64" s="3"/>
      <c r="BD64" s="4"/>
      <c r="BE64" s="60">
        <v>46246.0</v>
      </c>
      <c r="BF64" s="3"/>
      <c r="BG64" s="4"/>
      <c r="BH64" s="48"/>
      <c r="BI64" s="3"/>
      <c r="BJ64" s="4"/>
      <c r="BK64" s="49"/>
      <c r="BL64" s="3"/>
      <c r="BM64" s="3"/>
      <c r="BN64" s="3"/>
      <c r="BO64" s="3"/>
      <c r="BP64" s="3"/>
      <c r="BQ64" s="4"/>
    </row>
    <row r="65" ht="450.0" customHeight="1">
      <c r="A65" s="47">
        <v>47.0</v>
      </c>
      <c r="B65" s="49" t="s">
        <v>509</v>
      </c>
      <c r="C65" s="3"/>
      <c r="D65" s="4"/>
      <c r="E65" s="49" t="s">
        <v>510</v>
      </c>
      <c r="F65" s="3"/>
      <c r="G65" s="3"/>
      <c r="H65" s="3"/>
      <c r="I65" s="4"/>
      <c r="J65" s="49" t="s">
        <v>511</v>
      </c>
      <c r="K65" s="3"/>
      <c r="L65" s="3"/>
      <c r="M65" s="3"/>
      <c r="N65" s="3"/>
      <c r="O65" s="3"/>
      <c r="P65" s="4"/>
      <c r="Q65" s="49" t="s">
        <v>512</v>
      </c>
      <c r="R65" s="3"/>
      <c r="S65" s="3"/>
      <c r="T65" s="3"/>
      <c r="U65" s="3"/>
      <c r="V65" s="3"/>
      <c r="W65" s="4"/>
      <c r="X65" s="49" t="s">
        <v>513</v>
      </c>
      <c r="Y65" s="3"/>
      <c r="Z65" s="3"/>
      <c r="AA65" s="3"/>
      <c r="AB65" s="3"/>
      <c r="AC65" s="3"/>
      <c r="AD65" s="4"/>
      <c r="AE65" s="48" t="s">
        <v>302</v>
      </c>
      <c r="AF65" s="4"/>
      <c r="AG65" s="56" t="s">
        <v>57</v>
      </c>
      <c r="AH65" s="3"/>
      <c r="AI65" s="4"/>
      <c r="AJ65" s="48"/>
      <c r="AK65" s="3"/>
      <c r="AL65" s="4"/>
      <c r="AM65" s="57" t="s">
        <v>184</v>
      </c>
      <c r="AN65" s="3"/>
      <c r="AO65" s="4"/>
      <c r="AP65" s="58">
        <v>46149.0</v>
      </c>
      <c r="AQ65" s="3"/>
      <c r="AR65" s="4"/>
      <c r="AS65" s="48"/>
      <c r="AT65" s="3"/>
      <c r="AU65" s="4"/>
      <c r="AV65" s="56" t="s">
        <v>55</v>
      </c>
      <c r="AW65" s="3"/>
      <c r="AX65" s="4"/>
      <c r="AY65" s="48"/>
      <c r="AZ65" s="3"/>
      <c r="BA65" s="4"/>
      <c r="BB65" s="59" t="s">
        <v>187</v>
      </c>
      <c r="BC65" s="3"/>
      <c r="BD65" s="4"/>
      <c r="BE65" s="60">
        <v>46246.0</v>
      </c>
      <c r="BF65" s="3"/>
      <c r="BG65" s="4"/>
      <c r="BH65" s="48"/>
      <c r="BI65" s="3"/>
      <c r="BJ65" s="4"/>
      <c r="BK65" s="49" t="s">
        <v>514</v>
      </c>
      <c r="BL65" s="3"/>
      <c r="BM65" s="3"/>
      <c r="BN65" s="3"/>
      <c r="BO65" s="3"/>
      <c r="BP65" s="3"/>
      <c r="BQ65" s="4"/>
    </row>
    <row r="66" ht="319.5" customHeight="1">
      <c r="A66" s="47">
        <v>48.0</v>
      </c>
      <c r="B66" s="49" t="s">
        <v>515</v>
      </c>
      <c r="C66" s="3"/>
      <c r="D66" s="4"/>
      <c r="E66" s="49" t="s">
        <v>516</v>
      </c>
      <c r="F66" s="3"/>
      <c r="G66" s="3"/>
      <c r="H66" s="3"/>
      <c r="I66" s="4"/>
      <c r="J66" s="49" t="s">
        <v>517</v>
      </c>
      <c r="K66" s="3"/>
      <c r="L66" s="3"/>
      <c r="M66" s="3"/>
      <c r="N66" s="3"/>
      <c r="O66" s="3"/>
      <c r="P66" s="4"/>
      <c r="Q66" s="49" t="s">
        <v>518</v>
      </c>
      <c r="R66" s="3"/>
      <c r="S66" s="3"/>
      <c r="T66" s="3"/>
      <c r="U66" s="3"/>
      <c r="V66" s="3"/>
      <c r="W66" s="4"/>
      <c r="X66" s="49" t="s">
        <v>519</v>
      </c>
      <c r="Y66" s="3"/>
      <c r="Z66" s="3"/>
      <c r="AA66" s="3"/>
      <c r="AB66" s="3"/>
      <c r="AC66" s="3"/>
      <c r="AD66" s="4"/>
      <c r="AE66" s="48" t="s">
        <v>302</v>
      </c>
      <c r="AF66" s="4"/>
      <c r="AG66" s="56" t="s">
        <v>59</v>
      </c>
      <c r="AH66" s="3"/>
      <c r="AI66" s="4"/>
      <c r="AJ66" s="48"/>
      <c r="AK66" s="3"/>
      <c r="AL66" s="4"/>
      <c r="AM66" s="57" t="s">
        <v>184</v>
      </c>
      <c r="AN66" s="3"/>
      <c r="AO66" s="4"/>
      <c r="AP66" s="58">
        <v>46149.0</v>
      </c>
      <c r="AQ66" s="3"/>
      <c r="AR66" s="4"/>
      <c r="AS66" s="48"/>
      <c r="AT66" s="3"/>
      <c r="AU66" s="4"/>
      <c r="AV66" s="56" t="s">
        <v>55</v>
      </c>
      <c r="AW66" s="3"/>
      <c r="AX66" s="4"/>
      <c r="AY66" s="48"/>
      <c r="AZ66" s="3"/>
      <c r="BA66" s="4"/>
      <c r="BB66" s="59" t="s">
        <v>187</v>
      </c>
      <c r="BC66" s="3"/>
      <c r="BD66" s="4"/>
      <c r="BE66" s="60">
        <v>46246.0</v>
      </c>
      <c r="BF66" s="3"/>
      <c r="BG66" s="4"/>
      <c r="BH66" s="48"/>
      <c r="BI66" s="3"/>
      <c r="BJ66" s="4"/>
      <c r="BK66" s="49" t="s">
        <v>242</v>
      </c>
      <c r="BL66" s="3"/>
      <c r="BM66" s="3"/>
      <c r="BN66" s="3"/>
      <c r="BO66" s="3"/>
      <c r="BP66" s="3"/>
      <c r="BQ66" s="4"/>
    </row>
    <row r="67" ht="450.0" customHeight="1">
      <c r="A67" s="47">
        <v>49.0</v>
      </c>
      <c r="B67" s="49" t="s">
        <v>520</v>
      </c>
      <c r="C67" s="3"/>
      <c r="D67" s="4"/>
      <c r="E67" s="49" t="s">
        <v>521</v>
      </c>
      <c r="F67" s="3"/>
      <c r="G67" s="3"/>
      <c r="H67" s="3"/>
      <c r="I67" s="4"/>
      <c r="J67" s="49" t="s">
        <v>522</v>
      </c>
      <c r="K67" s="3"/>
      <c r="L67" s="3"/>
      <c r="M67" s="3"/>
      <c r="N67" s="3"/>
      <c r="O67" s="3"/>
      <c r="P67" s="4"/>
      <c r="Q67" s="49" t="s">
        <v>523</v>
      </c>
      <c r="R67" s="3"/>
      <c r="S67" s="3"/>
      <c r="T67" s="3"/>
      <c r="U67" s="3"/>
      <c r="V67" s="3"/>
      <c r="W67" s="4"/>
      <c r="X67" s="49" t="s">
        <v>524</v>
      </c>
      <c r="Y67" s="3"/>
      <c r="Z67" s="3"/>
      <c r="AA67" s="3"/>
      <c r="AB67" s="3"/>
      <c r="AC67" s="3"/>
      <c r="AD67" s="4"/>
      <c r="AE67" s="48" t="s">
        <v>302</v>
      </c>
      <c r="AF67" s="4"/>
      <c r="AG67" s="56" t="s">
        <v>59</v>
      </c>
      <c r="AH67" s="3"/>
      <c r="AI67" s="4"/>
      <c r="AJ67" s="48"/>
      <c r="AK67" s="3"/>
      <c r="AL67" s="4"/>
      <c r="AM67" s="57" t="s">
        <v>184</v>
      </c>
      <c r="AN67" s="3"/>
      <c r="AO67" s="4"/>
      <c r="AP67" s="58">
        <v>46149.0</v>
      </c>
      <c r="AQ67" s="3"/>
      <c r="AR67" s="4"/>
      <c r="AS67" s="48"/>
      <c r="AT67" s="3"/>
      <c r="AU67" s="4"/>
      <c r="AV67" s="56" t="s">
        <v>55</v>
      </c>
      <c r="AW67" s="3"/>
      <c r="AX67" s="4"/>
      <c r="AY67" s="48"/>
      <c r="AZ67" s="3"/>
      <c r="BA67" s="4"/>
      <c r="BB67" s="59" t="s">
        <v>187</v>
      </c>
      <c r="BC67" s="3"/>
      <c r="BD67" s="4"/>
      <c r="BE67" s="60">
        <v>46246.0</v>
      </c>
      <c r="BF67" s="3"/>
      <c r="BG67" s="4"/>
      <c r="BH67" s="48"/>
      <c r="BI67" s="3"/>
      <c r="BJ67" s="4"/>
      <c r="BK67" s="49"/>
      <c r="BL67" s="3"/>
      <c r="BM67" s="3"/>
      <c r="BN67" s="3"/>
      <c r="BO67" s="3"/>
      <c r="BP67" s="3"/>
      <c r="BQ67" s="4"/>
    </row>
    <row r="68" ht="415.5" customHeight="1">
      <c r="A68" s="47">
        <v>50.0</v>
      </c>
      <c r="B68" s="49" t="s">
        <v>525</v>
      </c>
      <c r="C68" s="3"/>
      <c r="D68" s="4"/>
      <c r="E68" s="49" t="s">
        <v>526</v>
      </c>
      <c r="F68" s="3"/>
      <c r="G68" s="3"/>
      <c r="H68" s="3"/>
      <c r="I68" s="4"/>
      <c r="J68" s="49" t="s">
        <v>527</v>
      </c>
      <c r="K68" s="3"/>
      <c r="L68" s="3"/>
      <c r="M68" s="3"/>
      <c r="N68" s="3"/>
      <c r="O68" s="3"/>
      <c r="P68" s="4"/>
      <c r="Q68" s="49" t="s">
        <v>528</v>
      </c>
      <c r="R68" s="3"/>
      <c r="S68" s="3"/>
      <c r="T68" s="3"/>
      <c r="U68" s="3"/>
      <c r="V68" s="3"/>
      <c r="W68" s="4"/>
      <c r="X68" s="49" t="s">
        <v>529</v>
      </c>
      <c r="Y68" s="3"/>
      <c r="Z68" s="3"/>
      <c r="AA68" s="3"/>
      <c r="AB68" s="3"/>
      <c r="AC68" s="3"/>
      <c r="AD68" s="4"/>
      <c r="AE68" s="48" t="s">
        <v>302</v>
      </c>
      <c r="AF68" s="4"/>
      <c r="AG68" s="56" t="s">
        <v>59</v>
      </c>
      <c r="AH68" s="3"/>
      <c r="AI68" s="4"/>
      <c r="AJ68" s="48"/>
      <c r="AK68" s="3"/>
      <c r="AL68" s="4"/>
      <c r="AM68" s="57" t="s">
        <v>184</v>
      </c>
      <c r="AN68" s="3"/>
      <c r="AO68" s="4"/>
      <c r="AP68" s="58">
        <v>46149.0</v>
      </c>
      <c r="AQ68" s="3"/>
      <c r="AR68" s="4"/>
      <c r="AS68" s="48"/>
      <c r="AT68" s="3"/>
      <c r="AU68" s="4"/>
      <c r="AV68" s="56" t="s">
        <v>55</v>
      </c>
      <c r="AW68" s="3"/>
      <c r="AX68" s="4"/>
      <c r="AY68" s="48"/>
      <c r="AZ68" s="3"/>
      <c r="BA68" s="4"/>
      <c r="BB68" s="59" t="s">
        <v>187</v>
      </c>
      <c r="BC68" s="3"/>
      <c r="BD68" s="4"/>
      <c r="BE68" s="60">
        <v>46246.0</v>
      </c>
      <c r="BF68" s="3"/>
      <c r="BG68" s="4"/>
      <c r="BH68" s="48"/>
      <c r="BI68" s="3"/>
      <c r="BJ68" s="4"/>
      <c r="BK68" s="49" t="s">
        <v>242</v>
      </c>
      <c r="BL68" s="3"/>
      <c r="BM68" s="3"/>
      <c r="BN68" s="3"/>
      <c r="BO68" s="3"/>
      <c r="BP68" s="3"/>
      <c r="BQ68" s="4"/>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3">
    <mergeCell ref="AJ22:AL22"/>
    <mergeCell ref="AS22:AU22"/>
    <mergeCell ref="AV22:AX22"/>
    <mergeCell ref="AY22:BA22"/>
    <mergeCell ref="AM22:AO22"/>
    <mergeCell ref="AP22:AR22"/>
    <mergeCell ref="BB22:BD22"/>
    <mergeCell ref="BH22:BJ22"/>
    <mergeCell ref="BE22:BG22"/>
    <mergeCell ref="BH20:BJ20"/>
    <mergeCell ref="BK20:BQ20"/>
    <mergeCell ref="BE20:BG20"/>
    <mergeCell ref="AJ20:AL20"/>
    <mergeCell ref="AS20:AU20"/>
    <mergeCell ref="AV20:AX20"/>
    <mergeCell ref="AY20:BA20"/>
    <mergeCell ref="AM20:AO20"/>
    <mergeCell ref="AP20:AR20"/>
    <mergeCell ref="BB20:BD20"/>
    <mergeCell ref="B20:D20"/>
    <mergeCell ref="E20:I20"/>
    <mergeCell ref="J20:P20"/>
    <mergeCell ref="Q20:W20"/>
    <mergeCell ref="X20:AD20"/>
    <mergeCell ref="AE20:AF20"/>
    <mergeCell ref="AG20:AI20"/>
    <mergeCell ref="BH21:BJ21"/>
    <mergeCell ref="BK21:BQ21"/>
    <mergeCell ref="BK22:BQ22"/>
    <mergeCell ref="BE21:BG21"/>
    <mergeCell ref="AJ21:AL21"/>
    <mergeCell ref="AS21:AU21"/>
    <mergeCell ref="AV21:AX21"/>
    <mergeCell ref="AY21:BA21"/>
    <mergeCell ref="AM21:AO21"/>
    <mergeCell ref="AP21:AR21"/>
    <mergeCell ref="BB21:BD21"/>
    <mergeCell ref="B21:D21"/>
    <mergeCell ref="E21:I21"/>
    <mergeCell ref="J21:P21"/>
    <mergeCell ref="Q21:W21"/>
    <mergeCell ref="X21:AD21"/>
    <mergeCell ref="AE21:AF21"/>
    <mergeCell ref="AG21:AI21"/>
    <mergeCell ref="B22:D22"/>
    <mergeCell ref="E22:I22"/>
    <mergeCell ref="J22:P22"/>
    <mergeCell ref="Q22:W22"/>
    <mergeCell ref="X22:AD22"/>
    <mergeCell ref="AE22:AF22"/>
    <mergeCell ref="AG22:AI22"/>
    <mergeCell ref="BH23:BJ23"/>
    <mergeCell ref="BK23:BQ23"/>
    <mergeCell ref="BE23:BG23"/>
    <mergeCell ref="AJ23:AL23"/>
    <mergeCell ref="AS23:AU23"/>
    <mergeCell ref="AV23:AX23"/>
    <mergeCell ref="AY23:BA23"/>
    <mergeCell ref="AM23:AO23"/>
    <mergeCell ref="AP23:AR23"/>
    <mergeCell ref="BB23:BD23"/>
    <mergeCell ref="B23:D23"/>
    <mergeCell ref="E23:I23"/>
    <mergeCell ref="J23:P23"/>
    <mergeCell ref="Q23:W23"/>
    <mergeCell ref="X23:AD23"/>
    <mergeCell ref="AE23:AF23"/>
    <mergeCell ref="AG23:AI23"/>
    <mergeCell ref="BH24:BJ24"/>
    <mergeCell ref="BK24:BQ24"/>
    <mergeCell ref="BH26:BJ26"/>
    <mergeCell ref="BK26:BQ26"/>
    <mergeCell ref="BE24:BG24"/>
    <mergeCell ref="BE26:BG26"/>
    <mergeCell ref="BB26:BD26"/>
    <mergeCell ref="AJ24:AL24"/>
    <mergeCell ref="AS24:AU24"/>
    <mergeCell ref="AV24:AX24"/>
    <mergeCell ref="AY24:BA24"/>
    <mergeCell ref="AM24:AO24"/>
    <mergeCell ref="AP24:AR24"/>
    <mergeCell ref="BB24:BD24"/>
    <mergeCell ref="E24:I24"/>
    <mergeCell ref="J24:P24"/>
    <mergeCell ref="Q24:W24"/>
    <mergeCell ref="X24:AD24"/>
    <mergeCell ref="AE24:AF24"/>
    <mergeCell ref="A25:BQ25"/>
    <mergeCell ref="AG24:AI24"/>
    <mergeCell ref="B24:D24"/>
    <mergeCell ref="B26:D26"/>
    <mergeCell ref="E26:I26"/>
    <mergeCell ref="J26:P26"/>
    <mergeCell ref="Q26:W26"/>
    <mergeCell ref="X26:AD26"/>
    <mergeCell ref="AE26:AF26"/>
    <mergeCell ref="AJ26:AL26"/>
    <mergeCell ref="AS26:AU26"/>
    <mergeCell ref="AV26:AX26"/>
    <mergeCell ref="AY26:BA26"/>
    <mergeCell ref="AM26:AO26"/>
    <mergeCell ref="AP26:AR26"/>
    <mergeCell ref="AG26:AI26"/>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AJ15:AL15"/>
    <mergeCell ref="AS15:AU15"/>
    <mergeCell ref="AV15:AX15"/>
    <mergeCell ref="AY15:BA15"/>
    <mergeCell ref="AM15:AO15"/>
    <mergeCell ref="AP15:AR15"/>
    <mergeCell ref="BB15:BD15"/>
    <mergeCell ref="BH15:BJ15"/>
    <mergeCell ref="BE15:BG15"/>
    <mergeCell ref="BH13:BJ13"/>
    <mergeCell ref="BK13:BQ13"/>
    <mergeCell ref="BE13:BG13"/>
    <mergeCell ref="AJ13:AL13"/>
    <mergeCell ref="AS13:AU13"/>
    <mergeCell ref="AV13:AX13"/>
    <mergeCell ref="AY13:BA13"/>
    <mergeCell ref="AM13:AO13"/>
    <mergeCell ref="AP13:AR13"/>
    <mergeCell ref="BB13:BD13"/>
    <mergeCell ref="B13:D13"/>
    <mergeCell ref="E13:I13"/>
    <mergeCell ref="J13:P13"/>
    <mergeCell ref="Q13:W13"/>
    <mergeCell ref="X13:AD13"/>
    <mergeCell ref="AE13:AF13"/>
    <mergeCell ref="AG13:AI13"/>
    <mergeCell ref="BH14:BJ14"/>
    <mergeCell ref="BK14:BQ14"/>
    <mergeCell ref="BK15:BQ15"/>
    <mergeCell ref="BE14:BG14"/>
    <mergeCell ref="AJ14:AL14"/>
    <mergeCell ref="AS14:AU14"/>
    <mergeCell ref="AV14:AX14"/>
    <mergeCell ref="AY14:BA14"/>
    <mergeCell ref="AM14:AO14"/>
    <mergeCell ref="AP14:AR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H16:BJ16"/>
    <mergeCell ref="BK16:BQ16"/>
    <mergeCell ref="BE16:BG16"/>
    <mergeCell ref="AJ16:AL16"/>
    <mergeCell ref="AS16:AU16"/>
    <mergeCell ref="AV16:AX16"/>
    <mergeCell ref="AY16:BA16"/>
    <mergeCell ref="AM16:AO16"/>
    <mergeCell ref="AP16:AR16"/>
    <mergeCell ref="BB16:BD16"/>
    <mergeCell ref="B16:D16"/>
    <mergeCell ref="E16:I16"/>
    <mergeCell ref="J16:P16"/>
    <mergeCell ref="Q16:W16"/>
    <mergeCell ref="X16:AD16"/>
    <mergeCell ref="AE16:AF16"/>
    <mergeCell ref="AG16:AI16"/>
    <mergeCell ref="BH17:BJ17"/>
    <mergeCell ref="BK17:BQ17"/>
    <mergeCell ref="BH19:BJ19"/>
    <mergeCell ref="BK19:BQ19"/>
    <mergeCell ref="BE17:BG17"/>
    <mergeCell ref="BE19:BG19"/>
    <mergeCell ref="BB19:BD19"/>
    <mergeCell ref="AJ17:AL17"/>
    <mergeCell ref="AS17:AU17"/>
    <mergeCell ref="AV17:AX17"/>
    <mergeCell ref="AY17:BA17"/>
    <mergeCell ref="AM17:AO17"/>
    <mergeCell ref="AP17:AR17"/>
    <mergeCell ref="BB17:BD17"/>
    <mergeCell ref="E17:I17"/>
    <mergeCell ref="J17:P17"/>
    <mergeCell ref="Q17:W17"/>
    <mergeCell ref="X17:AD17"/>
    <mergeCell ref="AE17:AF17"/>
    <mergeCell ref="A18:BQ18"/>
    <mergeCell ref="AG17:AI17"/>
    <mergeCell ref="B17:D17"/>
    <mergeCell ref="B19:D19"/>
    <mergeCell ref="E19:I19"/>
    <mergeCell ref="J19:P19"/>
    <mergeCell ref="Q19:W19"/>
    <mergeCell ref="X19:AD19"/>
    <mergeCell ref="AE19:AF19"/>
    <mergeCell ref="AM28:AO28"/>
    <mergeCell ref="AP28:AR28"/>
    <mergeCell ref="AM29:AO29"/>
    <mergeCell ref="AP29:AR29"/>
    <mergeCell ref="AG27:AI27"/>
    <mergeCell ref="AG28:AI28"/>
    <mergeCell ref="AG29:AI29"/>
    <mergeCell ref="BE27:BG27"/>
    <mergeCell ref="BB27:BD27"/>
    <mergeCell ref="BE28:BG28"/>
    <mergeCell ref="BB28:BD28"/>
    <mergeCell ref="AJ29:AL29"/>
    <mergeCell ref="AS29:AU29"/>
    <mergeCell ref="AV29:AX29"/>
    <mergeCell ref="AY29:BA29"/>
    <mergeCell ref="AM27:AO27"/>
    <mergeCell ref="AP27:AR27"/>
    <mergeCell ref="BB29:BD29"/>
    <mergeCell ref="BH29:BJ29"/>
    <mergeCell ref="BE29:BG29"/>
    <mergeCell ref="AJ19:AL19"/>
    <mergeCell ref="AS19:AU19"/>
    <mergeCell ref="AV19:AX19"/>
    <mergeCell ref="AY19:BA19"/>
    <mergeCell ref="AM19:AO19"/>
    <mergeCell ref="AP19:AR19"/>
    <mergeCell ref="AG19:AI19"/>
    <mergeCell ref="E29:I29"/>
    <mergeCell ref="J29:P29"/>
    <mergeCell ref="Q29:W29"/>
    <mergeCell ref="X29:AD29"/>
    <mergeCell ref="AE29:AF29"/>
    <mergeCell ref="A30:BQ30"/>
    <mergeCell ref="B29:D29"/>
    <mergeCell ref="B31:D31"/>
    <mergeCell ref="E31:I31"/>
    <mergeCell ref="J31:P31"/>
    <mergeCell ref="Q31:W31"/>
    <mergeCell ref="X31:AD31"/>
    <mergeCell ref="AE31:AF31"/>
    <mergeCell ref="BH31:BJ31"/>
    <mergeCell ref="BK31:BQ31"/>
    <mergeCell ref="AS31:AU31"/>
    <mergeCell ref="AV31:AX31"/>
    <mergeCell ref="AY31:BA31"/>
    <mergeCell ref="AM31:AO31"/>
    <mergeCell ref="AP31:AR31"/>
    <mergeCell ref="AG31:AI31"/>
    <mergeCell ref="BE31:BG31"/>
    <mergeCell ref="BB31:BD31"/>
    <mergeCell ref="BH27:BJ27"/>
    <mergeCell ref="BK27:BQ27"/>
    <mergeCell ref="AJ27:AL27"/>
    <mergeCell ref="AS27:AU27"/>
    <mergeCell ref="AV27:AX27"/>
    <mergeCell ref="AY27:BA27"/>
    <mergeCell ref="B27:D27"/>
    <mergeCell ref="E27:I27"/>
    <mergeCell ref="J27:P27"/>
    <mergeCell ref="Q27:W27"/>
    <mergeCell ref="X27:AD27"/>
    <mergeCell ref="AE27:AF27"/>
    <mergeCell ref="BH28:BJ28"/>
    <mergeCell ref="BK28:BQ28"/>
    <mergeCell ref="BK29:BQ29"/>
    <mergeCell ref="AJ28:AL28"/>
    <mergeCell ref="AS28:AU28"/>
    <mergeCell ref="AV28:AX28"/>
    <mergeCell ref="AY28:BA28"/>
    <mergeCell ref="B28:D28"/>
    <mergeCell ref="E28:I28"/>
    <mergeCell ref="J28:P28"/>
    <mergeCell ref="Q28:W28"/>
    <mergeCell ref="X28:AD28"/>
    <mergeCell ref="AE28:AF28"/>
    <mergeCell ref="BH32:BJ32"/>
    <mergeCell ref="BK32:BQ32"/>
    <mergeCell ref="BE32:BG32"/>
    <mergeCell ref="AJ32:AL32"/>
    <mergeCell ref="AS32:AU32"/>
    <mergeCell ref="AV32:AX32"/>
    <mergeCell ref="AY32:BA32"/>
    <mergeCell ref="AM32:AO32"/>
    <mergeCell ref="AP32:AR32"/>
    <mergeCell ref="AG32:AI32"/>
    <mergeCell ref="BB32:BD32"/>
    <mergeCell ref="AJ34:AL34"/>
    <mergeCell ref="AS34:AU34"/>
    <mergeCell ref="AV34:AX34"/>
    <mergeCell ref="AY34:BA34"/>
    <mergeCell ref="AM34:AO34"/>
    <mergeCell ref="AP34:AR34"/>
    <mergeCell ref="BB34:BD34"/>
    <mergeCell ref="B34:D34"/>
    <mergeCell ref="E34:I34"/>
    <mergeCell ref="J34:P34"/>
    <mergeCell ref="Q34:W34"/>
    <mergeCell ref="X34:AD34"/>
    <mergeCell ref="AE34:AF34"/>
    <mergeCell ref="AG34:AI34"/>
    <mergeCell ref="AJ35:AL35"/>
    <mergeCell ref="AS35:AU35"/>
    <mergeCell ref="AV35:AX35"/>
    <mergeCell ref="AY35:BA35"/>
    <mergeCell ref="AM35:AO35"/>
    <mergeCell ref="AP35:AR35"/>
    <mergeCell ref="BB35:BD35"/>
    <mergeCell ref="BH35:BJ35"/>
    <mergeCell ref="BE35:BG35"/>
    <mergeCell ref="AJ31:AL31"/>
    <mergeCell ref="B32:D32"/>
    <mergeCell ref="E32:I32"/>
    <mergeCell ref="J32:P32"/>
    <mergeCell ref="Q32:W32"/>
    <mergeCell ref="X32:AD32"/>
    <mergeCell ref="BH33:BJ33"/>
    <mergeCell ref="BK33:BQ33"/>
    <mergeCell ref="BE33:BG33"/>
    <mergeCell ref="AJ33:AL33"/>
    <mergeCell ref="AS33:AU33"/>
    <mergeCell ref="AV33:AX33"/>
    <mergeCell ref="AY33:BA33"/>
    <mergeCell ref="AM33:AO33"/>
    <mergeCell ref="AP33:AR33"/>
    <mergeCell ref="BB33:BD33"/>
    <mergeCell ref="B33:D33"/>
    <mergeCell ref="E33:I33"/>
    <mergeCell ref="J33:P33"/>
    <mergeCell ref="Q33:W33"/>
    <mergeCell ref="X33:AD33"/>
    <mergeCell ref="AE33:AF33"/>
    <mergeCell ref="AG33:AI33"/>
    <mergeCell ref="BH34:BJ34"/>
    <mergeCell ref="BK34:BQ34"/>
    <mergeCell ref="BK35:BQ35"/>
    <mergeCell ref="BE34:BG34"/>
    <mergeCell ref="B35:D35"/>
    <mergeCell ref="E35:I35"/>
    <mergeCell ref="J35:P35"/>
    <mergeCell ref="Q35:W35"/>
    <mergeCell ref="X35:AD35"/>
    <mergeCell ref="AE35:AF35"/>
    <mergeCell ref="AG35:AI35"/>
    <mergeCell ref="AE32:AF32"/>
    <mergeCell ref="AJ38:AL38"/>
    <mergeCell ref="AS38:AU38"/>
    <mergeCell ref="AV38:AX38"/>
    <mergeCell ref="AY38:BA38"/>
    <mergeCell ref="AM38:AO38"/>
    <mergeCell ref="AP38:AR38"/>
    <mergeCell ref="BB38:BD38"/>
    <mergeCell ref="BH38:BJ38"/>
    <mergeCell ref="BE38:BG38"/>
    <mergeCell ref="BH36:BJ36"/>
    <mergeCell ref="BK36:BQ36"/>
    <mergeCell ref="BE36:BG36"/>
    <mergeCell ref="AJ36:AL36"/>
    <mergeCell ref="AS36:AU36"/>
    <mergeCell ref="AV36:AX36"/>
    <mergeCell ref="AY36:BA36"/>
    <mergeCell ref="AM36:AO36"/>
    <mergeCell ref="AP36:AR36"/>
    <mergeCell ref="BB36:BD36"/>
    <mergeCell ref="B36:D36"/>
    <mergeCell ref="E36:I36"/>
    <mergeCell ref="J36:P36"/>
    <mergeCell ref="Q36:W36"/>
    <mergeCell ref="X36:AD36"/>
    <mergeCell ref="AE36:AF36"/>
    <mergeCell ref="AG36:AI36"/>
    <mergeCell ref="BH37:BJ37"/>
    <mergeCell ref="BK37:BQ37"/>
    <mergeCell ref="BK38:BQ38"/>
    <mergeCell ref="BE37:BG37"/>
    <mergeCell ref="AJ37:AL37"/>
    <mergeCell ref="AS37:AU37"/>
    <mergeCell ref="AV37:AX37"/>
    <mergeCell ref="AY37:BA37"/>
    <mergeCell ref="AM37:AO37"/>
    <mergeCell ref="AP37:AR37"/>
    <mergeCell ref="BB37:BD37"/>
    <mergeCell ref="B37:D37"/>
    <mergeCell ref="E37:I37"/>
    <mergeCell ref="J37:P37"/>
    <mergeCell ref="Q37:W37"/>
    <mergeCell ref="X37:AD37"/>
    <mergeCell ref="AE37:AF37"/>
    <mergeCell ref="AG37:AI37"/>
    <mergeCell ref="B38:D38"/>
    <mergeCell ref="E38:I38"/>
    <mergeCell ref="J38:P38"/>
    <mergeCell ref="Q38:W38"/>
    <mergeCell ref="X38:AD38"/>
    <mergeCell ref="AE38:AF38"/>
    <mergeCell ref="AG38:AI38"/>
    <mergeCell ref="AJ52:AL52"/>
    <mergeCell ref="AS52:AU52"/>
    <mergeCell ref="AV52:AX52"/>
    <mergeCell ref="AY52:BA52"/>
    <mergeCell ref="AM52:AO52"/>
    <mergeCell ref="AP52:AR52"/>
    <mergeCell ref="BB52:BD52"/>
    <mergeCell ref="BH52:BJ52"/>
    <mergeCell ref="BE52:BG52"/>
    <mergeCell ref="BH49:BJ49"/>
    <mergeCell ref="BK49:BQ49"/>
    <mergeCell ref="BE49:BG49"/>
    <mergeCell ref="AJ49:AL49"/>
    <mergeCell ref="AS49:AU49"/>
    <mergeCell ref="AV49:AX49"/>
    <mergeCell ref="AY49:BA49"/>
    <mergeCell ref="AM49:AO49"/>
    <mergeCell ref="AP49:AR49"/>
    <mergeCell ref="BB49:BD49"/>
    <mergeCell ref="E49:I49"/>
    <mergeCell ref="J49:P49"/>
    <mergeCell ref="Q49:W49"/>
    <mergeCell ref="X49:AD49"/>
    <mergeCell ref="AE49:AF49"/>
    <mergeCell ref="A50:BQ50"/>
    <mergeCell ref="AG49:AI49"/>
    <mergeCell ref="BH51:BJ51"/>
    <mergeCell ref="BK51:BQ51"/>
    <mergeCell ref="BK52:BQ52"/>
    <mergeCell ref="BB51:BD51"/>
    <mergeCell ref="BE51:BG51"/>
    <mergeCell ref="AJ51:AL51"/>
    <mergeCell ref="AS51:AU51"/>
    <mergeCell ref="AV51:AX51"/>
    <mergeCell ref="AY51:BA51"/>
    <mergeCell ref="AM51:AO51"/>
    <mergeCell ref="AP51:AR51"/>
    <mergeCell ref="AG51:AI51"/>
    <mergeCell ref="B49:D49"/>
    <mergeCell ref="B51:D51"/>
    <mergeCell ref="E51:I51"/>
    <mergeCell ref="J51:P51"/>
    <mergeCell ref="Q51:W51"/>
    <mergeCell ref="X51:AD51"/>
    <mergeCell ref="AE51:AF51"/>
    <mergeCell ref="B52:D52"/>
    <mergeCell ref="E52:I52"/>
    <mergeCell ref="J52:P52"/>
    <mergeCell ref="Q52:W52"/>
    <mergeCell ref="X52:AD52"/>
    <mergeCell ref="AE52:AF52"/>
    <mergeCell ref="AG52:AI52"/>
    <mergeCell ref="AJ55:AL55"/>
    <mergeCell ref="AS55:AU55"/>
    <mergeCell ref="AV55:AX55"/>
    <mergeCell ref="AY55:BA55"/>
    <mergeCell ref="AM55:AO55"/>
    <mergeCell ref="AP55:AR55"/>
    <mergeCell ref="BB55:BD55"/>
    <mergeCell ref="BH55:BJ55"/>
    <mergeCell ref="BE55:BG55"/>
    <mergeCell ref="BH53:BJ53"/>
    <mergeCell ref="BK53:BQ53"/>
    <mergeCell ref="BE53:BG53"/>
    <mergeCell ref="AJ53:AL53"/>
    <mergeCell ref="AS53:AU53"/>
    <mergeCell ref="AV53:AX53"/>
    <mergeCell ref="AY53:BA53"/>
    <mergeCell ref="AM53:AO53"/>
    <mergeCell ref="AP53:AR53"/>
    <mergeCell ref="BB53:BD53"/>
    <mergeCell ref="B53:D53"/>
    <mergeCell ref="E53:I53"/>
    <mergeCell ref="J53:P53"/>
    <mergeCell ref="Q53:W53"/>
    <mergeCell ref="X53:AD53"/>
    <mergeCell ref="AE53:AF53"/>
    <mergeCell ref="AG53:AI53"/>
    <mergeCell ref="BH54:BJ54"/>
    <mergeCell ref="BK54:BQ54"/>
    <mergeCell ref="BK55:BQ55"/>
    <mergeCell ref="BE54:BG54"/>
    <mergeCell ref="AJ54:AL54"/>
    <mergeCell ref="AS54:AU54"/>
    <mergeCell ref="AV54:AX54"/>
    <mergeCell ref="AY54:BA54"/>
    <mergeCell ref="AM54:AO54"/>
    <mergeCell ref="AP54:AR54"/>
    <mergeCell ref="BB54:BD54"/>
    <mergeCell ref="B54:D54"/>
    <mergeCell ref="E54:I54"/>
    <mergeCell ref="J54:P54"/>
    <mergeCell ref="Q54:W54"/>
    <mergeCell ref="X54:AD54"/>
    <mergeCell ref="AE54:AF54"/>
    <mergeCell ref="AG54:AI54"/>
    <mergeCell ref="B55:D55"/>
    <mergeCell ref="E55:I55"/>
    <mergeCell ref="J55:P55"/>
    <mergeCell ref="Q55:W55"/>
    <mergeCell ref="X55:AD55"/>
    <mergeCell ref="AE55:AF55"/>
    <mergeCell ref="AG55:AI55"/>
    <mergeCell ref="B58:D58"/>
    <mergeCell ref="B60:D60"/>
    <mergeCell ref="E60:I60"/>
    <mergeCell ref="J60:P60"/>
    <mergeCell ref="Q60:W60"/>
    <mergeCell ref="X60:AD60"/>
    <mergeCell ref="AE60:AF60"/>
    <mergeCell ref="BH60:BJ60"/>
    <mergeCell ref="BK60:BQ60"/>
    <mergeCell ref="AS60:AU60"/>
    <mergeCell ref="AV60:AX60"/>
    <mergeCell ref="AY60:BA60"/>
    <mergeCell ref="AM60:AO60"/>
    <mergeCell ref="AP60:AR60"/>
    <mergeCell ref="AG60:AI60"/>
    <mergeCell ref="BB60:BD60"/>
    <mergeCell ref="BE60:BG60"/>
    <mergeCell ref="AM58:AO58"/>
    <mergeCell ref="AP58:AR58"/>
    <mergeCell ref="BB58:BD58"/>
    <mergeCell ref="BE58:BG58"/>
    <mergeCell ref="E58:I58"/>
    <mergeCell ref="J58:P58"/>
    <mergeCell ref="Q58:W58"/>
    <mergeCell ref="X58:AD58"/>
    <mergeCell ref="AE58:AF58"/>
    <mergeCell ref="AG58:AI58"/>
    <mergeCell ref="A59:BQ59"/>
    <mergeCell ref="BH56:BJ56"/>
    <mergeCell ref="BK56:BQ56"/>
    <mergeCell ref="BE56:BG56"/>
    <mergeCell ref="AJ56:AL56"/>
    <mergeCell ref="AS56:AU56"/>
    <mergeCell ref="AV56:AX56"/>
    <mergeCell ref="AY56:BA56"/>
    <mergeCell ref="AM56:AO56"/>
    <mergeCell ref="AP56:AR56"/>
    <mergeCell ref="BB56:BD56"/>
    <mergeCell ref="B56:D56"/>
    <mergeCell ref="E56:I56"/>
    <mergeCell ref="J56:P56"/>
    <mergeCell ref="Q56:W56"/>
    <mergeCell ref="X56:AD56"/>
    <mergeCell ref="AE56:AF56"/>
    <mergeCell ref="AG56:AI56"/>
    <mergeCell ref="BH57:BJ57"/>
    <mergeCell ref="BK57:BQ57"/>
    <mergeCell ref="BK58:BQ58"/>
    <mergeCell ref="BE57:BG57"/>
    <mergeCell ref="AJ57:AL57"/>
    <mergeCell ref="AS57:AU57"/>
    <mergeCell ref="AV57:AX57"/>
    <mergeCell ref="AY57:BA57"/>
    <mergeCell ref="AM57:AO57"/>
    <mergeCell ref="AP57:AR57"/>
    <mergeCell ref="BB57:BD57"/>
    <mergeCell ref="B57:D57"/>
    <mergeCell ref="E57:I57"/>
    <mergeCell ref="J57:P57"/>
    <mergeCell ref="Q57:W57"/>
    <mergeCell ref="X57:AD57"/>
    <mergeCell ref="AE57:AF57"/>
    <mergeCell ref="AG57:AI57"/>
    <mergeCell ref="BH61:BJ61"/>
    <mergeCell ref="BK61:BQ61"/>
    <mergeCell ref="BE61:BG61"/>
    <mergeCell ref="AJ61:AL61"/>
    <mergeCell ref="AS61:AU61"/>
    <mergeCell ref="AV61:AX61"/>
    <mergeCell ref="AY61:BA61"/>
    <mergeCell ref="AM61:AO61"/>
    <mergeCell ref="AP61:AR61"/>
    <mergeCell ref="AG61:AI61"/>
    <mergeCell ref="BB61:BD61"/>
    <mergeCell ref="AJ63:AL63"/>
    <mergeCell ref="AS63:AU63"/>
    <mergeCell ref="AV63:AX63"/>
    <mergeCell ref="AY63:BA63"/>
    <mergeCell ref="AM63:AO63"/>
    <mergeCell ref="AP63:AR63"/>
    <mergeCell ref="BB63:BD63"/>
    <mergeCell ref="B63:D63"/>
    <mergeCell ref="E63:I63"/>
    <mergeCell ref="J63:P63"/>
    <mergeCell ref="Q63:W63"/>
    <mergeCell ref="X63:AD63"/>
    <mergeCell ref="AE63:AF63"/>
    <mergeCell ref="AG63:AI63"/>
    <mergeCell ref="AJ64:AL64"/>
    <mergeCell ref="AS64:AU64"/>
    <mergeCell ref="AV64:AX64"/>
    <mergeCell ref="AY64:BA64"/>
    <mergeCell ref="AM64:AO64"/>
    <mergeCell ref="AP64:AR64"/>
    <mergeCell ref="BB64:BD64"/>
    <mergeCell ref="BH64:BJ64"/>
    <mergeCell ref="BE64:BG64"/>
    <mergeCell ref="AJ60:AL60"/>
    <mergeCell ref="B61:D61"/>
    <mergeCell ref="E61:I61"/>
    <mergeCell ref="J61:P61"/>
    <mergeCell ref="Q61:W61"/>
    <mergeCell ref="X61:AD61"/>
    <mergeCell ref="BH62:BJ62"/>
    <mergeCell ref="BK62:BQ62"/>
    <mergeCell ref="BE62:BG62"/>
    <mergeCell ref="AJ62:AL62"/>
    <mergeCell ref="AS62:AU62"/>
    <mergeCell ref="AV62:AX62"/>
    <mergeCell ref="AY62:BA62"/>
    <mergeCell ref="AM62:AO62"/>
    <mergeCell ref="AP62:AR62"/>
    <mergeCell ref="BB62:BD62"/>
    <mergeCell ref="B62:D62"/>
    <mergeCell ref="E62:I62"/>
    <mergeCell ref="J62:P62"/>
    <mergeCell ref="Q62:W62"/>
    <mergeCell ref="X62:AD62"/>
    <mergeCell ref="AE62:AF62"/>
    <mergeCell ref="AG62:AI62"/>
    <mergeCell ref="BH63:BJ63"/>
    <mergeCell ref="BK63:BQ63"/>
    <mergeCell ref="BK64:BQ64"/>
    <mergeCell ref="BE63:BG63"/>
    <mergeCell ref="B64:D64"/>
    <mergeCell ref="E64:I64"/>
    <mergeCell ref="J64:P64"/>
    <mergeCell ref="Q64:W64"/>
    <mergeCell ref="X64:AD64"/>
    <mergeCell ref="AE64:AF64"/>
    <mergeCell ref="AG64:AI64"/>
    <mergeCell ref="AE61:AF61"/>
    <mergeCell ref="AJ67:AL67"/>
    <mergeCell ref="AS67:AU67"/>
    <mergeCell ref="AV67:AX67"/>
    <mergeCell ref="AY67:BA67"/>
    <mergeCell ref="AM67:AO67"/>
    <mergeCell ref="AP67:AR67"/>
    <mergeCell ref="BB67:BD67"/>
    <mergeCell ref="BH67:BJ67"/>
    <mergeCell ref="BE67:BG67"/>
    <mergeCell ref="B68:D68"/>
    <mergeCell ref="E68:I68"/>
    <mergeCell ref="J68:P68"/>
    <mergeCell ref="Q68:W68"/>
    <mergeCell ref="X68:AD68"/>
    <mergeCell ref="AE68:AF68"/>
    <mergeCell ref="AG68:AI68"/>
    <mergeCell ref="BH68:BJ68"/>
    <mergeCell ref="BK68:BQ68"/>
    <mergeCell ref="BE68:BG68"/>
    <mergeCell ref="AJ68:AL68"/>
    <mergeCell ref="AS68:AU68"/>
    <mergeCell ref="AV68:AX68"/>
    <mergeCell ref="AY68:BA68"/>
    <mergeCell ref="AM68:AO68"/>
    <mergeCell ref="AP68:AR68"/>
    <mergeCell ref="BB68:BD68"/>
    <mergeCell ref="BH65:BJ65"/>
    <mergeCell ref="BK65:BQ65"/>
    <mergeCell ref="BE65:BG65"/>
    <mergeCell ref="AJ65:AL65"/>
    <mergeCell ref="AS65:AU65"/>
    <mergeCell ref="AV65:AX65"/>
    <mergeCell ref="AY65:BA65"/>
    <mergeCell ref="AM65:AO65"/>
    <mergeCell ref="AP65:AR65"/>
    <mergeCell ref="BB65:BD65"/>
    <mergeCell ref="B65:D65"/>
    <mergeCell ref="E65:I65"/>
    <mergeCell ref="J65:P65"/>
    <mergeCell ref="Q65:W65"/>
    <mergeCell ref="X65:AD65"/>
    <mergeCell ref="AE65:AF65"/>
    <mergeCell ref="AG65:AI65"/>
    <mergeCell ref="BH66:BJ66"/>
    <mergeCell ref="BK66:BQ66"/>
    <mergeCell ref="BK67:BQ67"/>
    <mergeCell ref="BE66:BG66"/>
    <mergeCell ref="AJ66:AL66"/>
    <mergeCell ref="AS66:AU66"/>
    <mergeCell ref="AV66:AX66"/>
    <mergeCell ref="AY66:BA66"/>
    <mergeCell ref="AM66:AO66"/>
    <mergeCell ref="AP66:AR66"/>
    <mergeCell ref="BB66:BD66"/>
    <mergeCell ref="B66:D66"/>
    <mergeCell ref="E66:I66"/>
    <mergeCell ref="J66:P66"/>
    <mergeCell ref="Q66:W66"/>
    <mergeCell ref="X66:AD66"/>
    <mergeCell ref="AE66:AF66"/>
    <mergeCell ref="AG66:AI66"/>
    <mergeCell ref="B67:D67"/>
    <mergeCell ref="E67:I67"/>
    <mergeCell ref="J67:P67"/>
    <mergeCell ref="Q67:W67"/>
    <mergeCell ref="X67:AD67"/>
    <mergeCell ref="AE67:AF67"/>
    <mergeCell ref="AG67:AI67"/>
    <mergeCell ref="AJ41:AL41"/>
    <mergeCell ref="AS41:AU41"/>
    <mergeCell ref="AV41:AX41"/>
    <mergeCell ref="AY41:BA41"/>
    <mergeCell ref="AM41:AO41"/>
    <mergeCell ref="AP41:AR41"/>
    <mergeCell ref="BB41:BD41"/>
    <mergeCell ref="BH41:BJ41"/>
    <mergeCell ref="BE41:BG41"/>
    <mergeCell ref="BH39:BJ39"/>
    <mergeCell ref="BK39:BQ39"/>
    <mergeCell ref="BE39:BG39"/>
    <mergeCell ref="AJ39:AL39"/>
    <mergeCell ref="AS39:AU39"/>
    <mergeCell ref="AV39:AX39"/>
    <mergeCell ref="AY39:BA39"/>
    <mergeCell ref="AM39:AO39"/>
    <mergeCell ref="AP39:AR39"/>
    <mergeCell ref="BB39:BD39"/>
    <mergeCell ref="B39:D39"/>
    <mergeCell ref="E39:I39"/>
    <mergeCell ref="J39:P39"/>
    <mergeCell ref="Q39:W39"/>
    <mergeCell ref="X39:AD39"/>
    <mergeCell ref="AE39:AF39"/>
    <mergeCell ref="AG39:AI39"/>
    <mergeCell ref="BH40:BJ40"/>
    <mergeCell ref="BK40:BQ40"/>
    <mergeCell ref="BK41:BQ41"/>
    <mergeCell ref="BE40:BG40"/>
    <mergeCell ref="AJ40:AL40"/>
    <mergeCell ref="AS40:AU40"/>
    <mergeCell ref="AV40:AX40"/>
    <mergeCell ref="AY40:BA40"/>
    <mergeCell ref="AM40:AO40"/>
    <mergeCell ref="AP40:AR40"/>
    <mergeCell ref="BB40:BD40"/>
    <mergeCell ref="B40:D40"/>
    <mergeCell ref="E40:I40"/>
    <mergeCell ref="J40:P40"/>
    <mergeCell ref="Q40:W40"/>
    <mergeCell ref="X40:AD40"/>
    <mergeCell ref="AE40:AF40"/>
    <mergeCell ref="AG40:AI40"/>
    <mergeCell ref="B41:D41"/>
    <mergeCell ref="E41:I41"/>
    <mergeCell ref="J41:P41"/>
    <mergeCell ref="Q41:W41"/>
    <mergeCell ref="X41:AD41"/>
    <mergeCell ref="AE41:AF41"/>
    <mergeCell ref="AG41:AI41"/>
    <mergeCell ref="AJ45:AL45"/>
    <mergeCell ref="AS45:AU45"/>
    <mergeCell ref="AV45:AX45"/>
    <mergeCell ref="AY45:BA45"/>
    <mergeCell ref="AM45:AO45"/>
    <mergeCell ref="AP45:AR45"/>
    <mergeCell ref="BB45:BD45"/>
    <mergeCell ref="BH45:BJ45"/>
    <mergeCell ref="BE45:BG45"/>
    <mergeCell ref="BH42:BJ42"/>
    <mergeCell ref="BK42:BQ42"/>
    <mergeCell ref="BE42:BG42"/>
    <mergeCell ref="AJ42:AL42"/>
    <mergeCell ref="AS42:AU42"/>
    <mergeCell ref="AV42:AX42"/>
    <mergeCell ref="AY42:BA42"/>
    <mergeCell ref="AM42:AO42"/>
    <mergeCell ref="AP42:AR42"/>
    <mergeCell ref="BB42:BD42"/>
    <mergeCell ref="E42:I42"/>
    <mergeCell ref="J42:P42"/>
    <mergeCell ref="Q42:W42"/>
    <mergeCell ref="X42:AD42"/>
    <mergeCell ref="AE42:AF42"/>
    <mergeCell ref="A43:BQ43"/>
    <mergeCell ref="AG42:AI42"/>
    <mergeCell ref="BH44:BJ44"/>
    <mergeCell ref="BK44:BQ44"/>
    <mergeCell ref="BK45:BQ45"/>
    <mergeCell ref="BB44:BD44"/>
    <mergeCell ref="BE44:BG44"/>
    <mergeCell ref="AJ44:AL44"/>
    <mergeCell ref="AS44:AU44"/>
    <mergeCell ref="AV44:AX44"/>
    <mergeCell ref="AY44:BA44"/>
    <mergeCell ref="AM44:AO44"/>
    <mergeCell ref="AP44:AR44"/>
    <mergeCell ref="AG44:AI44"/>
    <mergeCell ref="B42:D42"/>
    <mergeCell ref="B44:D44"/>
    <mergeCell ref="E44:I44"/>
    <mergeCell ref="J44:P44"/>
    <mergeCell ref="Q44:W44"/>
    <mergeCell ref="X44:AD44"/>
    <mergeCell ref="AE44:AF44"/>
    <mergeCell ref="B45:D45"/>
    <mergeCell ref="E45:I45"/>
    <mergeCell ref="J45:P45"/>
    <mergeCell ref="Q45:W45"/>
    <mergeCell ref="X45:AD45"/>
    <mergeCell ref="AE45:AF45"/>
    <mergeCell ref="AG45:AI45"/>
    <mergeCell ref="AJ48:AL48"/>
    <mergeCell ref="AS48:AU48"/>
    <mergeCell ref="AV48:AX48"/>
    <mergeCell ref="AY48:BA48"/>
    <mergeCell ref="AM48:AO48"/>
    <mergeCell ref="AP48:AR48"/>
    <mergeCell ref="BB48:BD48"/>
    <mergeCell ref="BH48:BJ48"/>
    <mergeCell ref="BE48:BG48"/>
    <mergeCell ref="BH46:BJ46"/>
    <mergeCell ref="BK46:BQ46"/>
    <mergeCell ref="BE46:BG46"/>
    <mergeCell ref="AJ46:AL46"/>
    <mergeCell ref="AS46:AU46"/>
    <mergeCell ref="AV46:AX46"/>
    <mergeCell ref="AY46:BA46"/>
    <mergeCell ref="AM46:AO46"/>
    <mergeCell ref="AP46:AR46"/>
    <mergeCell ref="BB46:BD46"/>
    <mergeCell ref="B46:D46"/>
    <mergeCell ref="E46:I46"/>
    <mergeCell ref="J46:P46"/>
    <mergeCell ref="Q46:W46"/>
    <mergeCell ref="X46:AD46"/>
    <mergeCell ref="AE46:AF46"/>
    <mergeCell ref="AG46:AI46"/>
    <mergeCell ref="BH47:BJ47"/>
    <mergeCell ref="BK47:BQ47"/>
    <mergeCell ref="BK48:BQ48"/>
    <mergeCell ref="BE47:BG47"/>
    <mergeCell ref="AJ47:AL47"/>
    <mergeCell ref="AS47:AU47"/>
    <mergeCell ref="AV47:AX47"/>
    <mergeCell ref="AY47:BA47"/>
    <mergeCell ref="AM47:AO47"/>
    <mergeCell ref="AP47:AR47"/>
    <mergeCell ref="BB47:BD47"/>
    <mergeCell ref="B47:D47"/>
    <mergeCell ref="E47:I47"/>
    <mergeCell ref="J47:P47"/>
    <mergeCell ref="Q47:W47"/>
    <mergeCell ref="X47:AD47"/>
    <mergeCell ref="AE47:AF47"/>
    <mergeCell ref="AG47:AI47"/>
    <mergeCell ref="B48:D48"/>
    <mergeCell ref="E48:I48"/>
    <mergeCell ref="J48:P48"/>
    <mergeCell ref="Q48:W48"/>
    <mergeCell ref="X48:AD48"/>
    <mergeCell ref="AE48:AF48"/>
    <mergeCell ref="AG48:AI48"/>
    <mergeCell ref="AJ58:AL58"/>
    <mergeCell ref="AS58:AU58"/>
    <mergeCell ref="AV58:AX58"/>
    <mergeCell ref="AY58:BA58"/>
    <mergeCell ref="BH58:BJ58"/>
  </mergeCells>
  <dataValidations>
    <dataValidation type="list" allowBlank="1" sqref="F1">
      <formula1>"単体テスト,結合テスト,システムテスト"</formula1>
    </dataValidation>
    <dataValidation type="list" allowBlank="1" sqref="AG13:AG17 AV13:AV17 AG19:AG24 AV19:AV24 AG26:AG29 AV26:AV29 AG31:AG42 AV31:AV42 AG44:AG49 AV44:AV49 AG51:AG58 AV51:AV58 AG60:AG68 AV60:AV68">
      <formula1>"合格,不合格,未テスト,N/A"</formula1>
    </dataValidation>
    <dataValidation type="list" allowBlank="1" sqref="AE13:AE17 AE19:AE24 AE26:AE29 AE31:AE42 AE44:AE49 AE51:AE58 AE60:AE68">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2026-08-12T02:34:35Z</dcterms:created>
  <dc:creator>openpyxl</dc:creator>
</cp:coreProperties>
</file>