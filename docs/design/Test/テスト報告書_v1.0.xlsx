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表紙" sheetId="1" state="visible" r:id="rId1"/>
    <sheet name="変更履歴" sheetId="2" state="visible" r:id="rId2"/>
    <sheet name="テスト報告書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d\-mmm\-yyyy;@"/>
  </numFmts>
  <fonts count="17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Calibri"/>
      <family val="2"/>
      <sz val="11"/>
    </font>
    <font>
      <name val="MS PGothic"/>
      <family val="2"/>
      <color rgb="FF1F3864"/>
      <sz val="28"/>
    </font>
    <font>
      <name val="Arial"/>
      <family val="2"/>
      <color theme="1"/>
      <sz val="10"/>
    </font>
    <font>
      <name val="MS PGothic"/>
      <family val="2"/>
      <color theme="1"/>
      <sz val="10"/>
    </font>
    <font>
      <name val="MS PGothic"/>
      <family val="2"/>
      <b val="1"/>
      <color theme="1"/>
      <sz val="10"/>
    </font>
    <font>
      <name val="Arial"/>
      <family val="2"/>
      <i val="1"/>
      <color rgb="FFFF0000"/>
      <sz val="10"/>
    </font>
    <font>
      <name val="Calibri"/>
      <family val="2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Times New Roman"/>
      <family val="1"/>
      <color theme="1"/>
      <sz val="11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1"/>
    </font>
    <font>
      <name val="MS PGothic"/>
      <family val="2"/>
      <sz val="10"/>
    </font>
    <font>
      <name val="MS PGothic"/>
      <family val="2"/>
      <color theme="4" tint="-0.499984740745262"/>
      <sz val="25"/>
    </font>
  </fonts>
  <fills count="9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D9D9D9"/>
        <bgColor rgb="FFD9D9D9"/>
      </patternFill>
    </fill>
    <fill>
      <patternFill patternType="solid">
        <fgColor rgb="FF8EAADB"/>
        <bgColor rgb="FF8EAADB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7">
    <xf numFmtId="0" fontId="0" fillId="0" borderId="31"/>
    <xf numFmtId="0" fontId="1" fillId="0" borderId="31"/>
    <xf numFmtId="0" fontId="1" fillId="0" borderId="31"/>
    <xf numFmtId="0" fontId="1" fillId="0" borderId="31"/>
    <xf numFmtId="0" fontId="1" fillId="0" borderId="31"/>
    <xf numFmtId="165" fontId="15" fillId="0" borderId="31" applyAlignment="1">
      <alignment horizontal="center" vertical="center"/>
    </xf>
    <xf numFmtId="9" fontId="1" fillId="0" borderId="31"/>
  </cellStyleXfs>
  <cellXfs count="138">
    <xf numFmtId="0" fontId="0" fillId="0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3" pivotButton="0" quotePrefix="0" xfId="0"/>
    <xf numFmtId="0" fontId="2" fillId="2" borderId="4" pivotButton="0" quotePrefix="0" xfId="0"/>
    <xf numFmtId="0" fontId="2" fillId="2" borderId="5" pivotButton="0" quotePrefix="0" xfId="0"/>
    <xf numFmtId="0" fontId="2" fillId="2" borderId="6" pivotButton="0" quotePrefix="0" xfId="0"/>
    <xf numFmtId="0" fontId="5" fillId="2" borderId="1" pivotButton="0" quotePrefix="0" xfId="0"/>
    <xf numFmtId="0" fontId="2" fillId="2" borderId="13" pivotButton="0" quotePrefix="0" xfId="0"/>
    <xf numFmtId="0" fontId="2" fillId="2" borderId="14" pivotButton="0" quotePrefix="0" xfId="0"/>
    <xf numFmtId="0" fontId="2" fillId="2" borderId="15" pivotButton="0" quotePrefix="0" xfId="0"/>
    <xf numFmtId="0" fontId="7" fillId="2" borderId="1" applyAlignment="1" pivotButton="0" quotePrefix="0" xfId="0">
      <alignment vertical="top"/>
    </xf>
    <xf numFmtId="0" fontId="8" fillId="2" borderId="1" applyAlignment="1" pivotButton="0" quotePrefix="0" xfId="0">
      <alignment vertical="center"/>
    </xf>
    <xf numFmtId="0" fontId="7" fillId="4" borderId="16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top" wrapText="1"/>
    </xf>
    <xf numFmtId="0" fontId="9" fillId="2" borderId="1" pivotButton="0" quotePrefix="0" xfId="0"/>
    <xf numFmtId="0" fontId="5" fillId="2" borderId="1" applyAlignment="1" pivotButton="0" quotePrefix="0" xfId="0">
      <alignment vertical="center"/>
    </xf>
    <xf numFmtId="0" fontId="11" fillId="2" borderId="26" applyAlignment="1" pivotButton="0" quotePrefix="0" xfId="0">
      <alignment vertical="center"/>
    </xf>
    <xf numFmtId="0" fontId="11" fillId="2" borderId="27" applyAlignment="1" pivotButton="0" quotePrefix="0" xfId="0">
      <alignment vertical="center"/>
    </xf>
    <xf numFmtId="0" fontId="11" fillId="2" borderId="28" applyAlignment="1" pivotButton="0" quotePrefix="0" xfId="0">
      <alignment vertical="center"/>
    </xf>
    <xf numFmtId="0" fontId="5" fillId="2" borderId="16" applyAlignment="1" pivotButton="0" quotePrefix="0" xfId="0">
      <alignment horizontal="center" vertical="center"/>
    </xf>
    <xf numFmtId="0" fontId="5" fillId="2" borderId="27" applyAlignment="1" pivotButton="0" quotePrefix="0" xfId="0">
      <alignment horizontal="left" vertical="center"/>
    </xf>
    <xf numFmtId="0" fontId="5" fillId="2" borderId="27" applyAlignment="1" pivotButton="0" quotePrefix="0" xfId="0">
      <alignment horizontal="left" vertical="center" wrapText="1"/>
    </xf>
    <xf numFmtId="0" fontId="5" fillId="6" borderId="16" applyAlignment="1" pivotButton="0" quotePrefix="0" xfId="0">
      <alignment vertical="center"/>
    </xf>
    <xf numFmtId="0" fontId="11" fillId="6" borderId="27" applyAlignment="1" pivotButton="0" quotePrefix="0" xfId="0">
      <alignment horizontal="center" vertical="center"/>
    </xf>
    <xf numFmtId="0" fontId="5" fillId="2" borderId="31" applyAlignment="1" pivotButton="0" quotePrefix="0" xfId="0">
      <alignment vertical="center"/>
    </xf>
    <xf numFmtId="0" fontId="12" fillId="0" borderId="0" pivotButton="0" quotePrefix="0" xfId="0"/>
    <xf numFmtId="0" fontId="12" fillId="2" borderId="36" applyAlignment="1" pivotButton="0" quotePrefix="0" xfId="0">
      <alignment horizontal="center" vertical="center"/>
    </xf>
    <xf numFmtId="0" fontId="12" fillId="6" borderId="39" applyAlignment="1" pivotButton="0" quotePrefix="0" xfId="0">
      <alignment vertical="center"/>
    </xf>
    <xf numFmtId="0" fontId="12" fillId="2" borderId="32" applyAlignment="1" pivotButton="0" quotePrefix="0" xfId="0">
      <alignment horizontal="center" vertical="center"/>
    </xf>
    <xf numFmtId="0" fontId="12" fillId="6" borderId="16" applyAlignment="1" pivotButton="0" quotePrefix="0" xfId="0">
      <alignment vertical="center"/>
    </xf>
    <xf numFmtId="0" fontId="9" fillId="0" borderId="0" pivotButton="0" quotePrefix="0" xfId="0"/>
    <xf numFmtId="0" fontId="6" fillId="3" borderId="10" applyAlignment="1" pivotButton="0" quotePrefix="0" xfId="0">
      <alignment horizontal="left" vertical="top"/>
    </xf>
    <xf numFmtId="0" fontId="3" fillId="0" borderId="11" pivotButton="0" quotePrefix="0" xfId="0"/>
    <xf numFmtId="0" fontId="3" fillId="0" borderId="12" pivotButton="0" quotePrefix="0" xfId="0"/>
    <xf numFmtId="14" fontId="6" fillId="3" borderId="10" applyAlignment="1" pivotButton="0" quotePrefix="0" xfId="0">
      <alignment horizontal="center"/>
    </xf>
    <xf numFmtId="0" fontId="3" fillId="0" borderId="8" pivotButton="0" quotePrefix="0" xfId="0"/>
    <xf numFmtId="0" fontId="3" fillId="0" borderId="9" pivotButton="0" quotePrefix="0" xfId="0"/>
    <xf numFmtId="0" fontId="4" fillId="2" borderId="7" applyAlignment="1" pivotButton="0" quotePrefix="0" xfId="0">
      <alignment horizontal="center"/>
    </xf>
    <xf numFmtId="0" fontId="6" fillId="3" borderId="10" applyAlignment="1" pivotButton="0" quotePrefix="0" xfId="0">
      <alignment horizontal="center"/>
    </xf>
    <xf numFmtId="164" fontId="6" fillId="3" borderId="10" applyAlignment="1" pivotButton="0" quotePrefix="0" xfId="0">
      <alignment horizontal="center"/>
    </xf>
    <xf numFmtId="0" fontId="7" fillId="4" borderId="10" applyAlignment="1" pivotButton="0" quotePrefix="0" xfId="0">
      <alignment horizontal="center" vertical="center" wrapText="1"/>
    </xf>
    <xf numFmtId="14" fontId="5" fillId="2" borderId="10" applyAlignment="1" pivotButton="0" quotePrefix="0" xfId="0">
      <alignment horizontal="center" vertical="top" wrapText="1"/>
    </xf>
    <xf numFmtId="0" fontId="5" fillId="2" borderId="10" applyAlignment="1" pivotButton="0" quotePrefix="0" xfId="0">
      <alignment horizontal="center" vertical="top" wrapText="1"/>
    </xf>
    <xf numFmtId="164" fontId="5" fillId="2" borderId="10" applyAlignment="1" pivotButton="0" quotePrefix="0" xfId="0">
      <alignment horizontal="center" vertical="top" wrapText="1"/>
    </xf>
    <xf numFmtId="0" fontId="5" fillId="0" borderId="10" applyAlignment="1" pivotButton="0" quotePrefix="0" xfId="0">
      <alignment horizontal="left" vertical="top" wrapText="1"/>
    </xf>
    <xf numFmtId="0" fontId="5" fillId="2" borderId="10" applyAlignment="1" pivotButton="0" quotePrefix="0" xfId="0">
      <alignment horizontal="center" vertical="center"/>
    </xf>
    <xf numFmtId="0" fontId="10" fillId="5" borderId="17" applyAlignment="1" pivotButton="0" quotePrefix="0" xfId="0">
      <alignment horizontal="center" vertical="center" wrapText="1"/>
    </xf>
    <xf numFmtId="0" fontId="6" fillId="6" borderId="10" applyAlignment="1" pivotButton="0" quotePrefix="0" xfId="0">
      <alignment horizontal="center" vertical="center"/>
    </xf>
    <xf numFmtId="0" fontId="6" fillId="6" borderId="18" applyAlignment="1" pivotButton="0" quotePrefix="0" xfId="0">
      <alignment horizontal="center" vertical="center" wrapText="1"/>
    </xf>
    <xf numFmtId="0" fontId="3" fillId="0" borderId="22" pivotButton="0" quotePrefix="0" xfId="0"/>
    <xf numFmtId="0" fontId="5" fillId="6" borderId="19" applyAlignment="1" pivotButton="0" quotePrefix="0" xfId="0">
      <alignment horizontal="center" vertical="center" wrapText="1"/>
    </xf>
    <xf numFmtId="0" fontId="3" fillId="0" borderId="20" pivotButton="0" quotePrefix="0" xfId="0"/>
    <xf numFmtId="0" fontId="3" fillId="0" borderId="21" pivotButton="0" quotePrefix="0" xfId="0"/>
    <xf numFmtId="0" fontId="3" fillId="0" borderId="23" pivotButton="0" quotePrefix="0" xfId="0"/>
    <xf numFmtId="0" fontId="3" fillId="0" borderId="24" pivotButton="0" quotePrefix="0" xfId="0"/>
    <xf numFmtId="0" fontId="3" fillId="0" borderId="25" pivotButton="0" quotePrefix="0" xfId="0"/>
    <xf numFmtId="0" fontId="5" fillId="6" borderId="18" applyAlignment="1" pivotButton="0" quotePrefix="0" xfId="0">
      <alignment horizontal="center" vertical="center" wrapText="1"/>
    </xf>
    <xf numFmtId="0" fontId="6" fillId="6" borderId="10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14" fontId="5" fillId="2" borderId="10" applyAlignment="1" pivotButton="0" quotePrefix="0" xfId="0">
      <alignment horizontal="center" vertical="center"/>
    </xf>
    <xf numFmtId="9" fontId="5" fillId="2" borderId="10" applyAlignment="1" pivotButton="0" quotePrefix="0" xfId="0">
      <alignment horizontal="center" vertical="center"/>
    </xf>
    <xf numFmtId="0" fontId="5" fillId="2" borderId="19" applyAlignment="1" pivotButton="0" quotePrefix="0" xfId="0">
      <alignment horizontal="center" vertical="center"/>
    </xf>
    <xf numFmtId="0" fontId="3" fillId="0" borderId="29" pivotButton="0" quotePrefix="0" xfId="0"/>
    <xf numFmtId="0" fontId="0" fillId="0" borderId="0" pivotButton="0" quotePrefix="0" xfId="0"/>
    <xf numFmtId="0" fontId="3" fillId="0" borderId="30" pivotButton="0" quotePrefix="0" xfId="0"/>
    <xf numFmtId="0" fontId="5" fillId="2" borderId="19" applyAlignment="1" pivotButton="0" quotePrefix="0" xfId="0">
      <alignment vertical="center"/>
    </xf>
    <xf numFmtId="0" fontId="11" fillId="6" borderId="10" applyAlignment="1" pivotButton="0" quotePrefix="0" xfId="0">
      <alignment horizontal="center" vertical="center"/>
    </xf>
    <xf numFmtId="9" fontId="5" fillId="6" borderId="10" applyAlignment="1" pivotButton="0" quotePrefix="0" xfId="0">
      <alignment horizontal="center" vertical="center"/>
    </xf>
    <xf numFmtId="0" fontId="7" fillId="6" borderId="10" applyAlignment="1" pivotButton="0" quotePrefix="0" xfId="0">
      <alignment horizontal="center" vertical="center"/>
    </xf>
    <xf numFmtId="0" fontId="12" fillId="2" borderId="10" applyAlignment="1" pivotButton="0" quotePrefix="0" xfId="0">
      <alignment horizontal="center" vertical="center"/>
    </xf>
    <xf numFmtId="9" fontId="12" fillId="2" borderId="38" applyAlignment="1" pivotButton="0" quotePrefix="0" xfId="0">
      <alignment horizontal="center" vertical="center"/>
    </xf>
    <xf numFmtId="0" fontId="12" fillId="7" borderId="10" applyAlignment="1" pivotButton="0" quotePrefix="0" xfId="0">
      <alignment vertical="center" wrapText="1"/>
    </xf>
    <xf numFmtId="0" fontId="12" fillId="7" borderId="10" applyAlignment="1" pivotButton="0" quotePrefix="0" xfId="0">
      <alignment horizontal="center" vertical="center"/>
    </xf>
    <xf numFmtId="0" fontId="11" fillId="2" borderId="10" applyAlignment="1" pivotButton="0" quotePrefix="0" xfId="0">
      <alignment horizontal="center" vertical="center"/>
    </xf>
    <xf numFmtId="0" fontId="12" fillId="6" borderId="40" applyAlignment="1" pivotButton="0" quotePrefix="0" xfId="0">
      <alignment horizontal="center" vertical="center"/>
    </xf>
    <xf numFmtId="0" fontId="3" fillId="0" borderId="41" pivotButton="0" quotePrefix="0" xfId="0"/>
    <xf numFmtId="0" fontId="3" fillId="0" borderId="42" pivotButton="0" quotePrefix="0" xfId="0"/>
    <xf numFmtId="0" fontId="14" fillId="6" borderId="7" applyAlignment="1" pivotButton="0" quotePrefix="0" xfId="0">
      <alignment horizontal="center" vertical="center"/>
    </xf>
    <xf numFmtId="0" fontId="11" fillId="2" borderId="10" applyAlignment="1" pivotButton="0" quotePrefix="0" xfId="0">
      <alignment horizontal="left" vertical="center"/>
    </xf>
    <xf numFmtId="0" fontId="12" fillId="7" borderId="32" applyAlignment="1" pivotButton="0" quotePrefix="0" xfId="0">
      <alignment vertical="center" wrapText="1"/>
    </xf>
    <xf numFmtId="0" fontId="3" fillId="0" borderId="33" pivotButton="0" quotePrefix="0" xfId="0"/>
    <xf numFmtId="0" fontId="3" fillId="0" borderId="34" pivotButton="0" quotePrefix="0" xfId="0"/>
    <xf numFmtId="0" fontId="11" fillId="2" borderId="11" applyAlignment="1" pivotButton="0" quotePrefix="0" xfId="0">
      <alignment horizontal="center" vertical="center"/>
    </xf>
    <xf numFmtId="0" fontId="12" fillId="2" borderId="32" applyAlignment="1" pivotButton="0" quotePrefix="0" xfId="0">
      <alignment horizontal="center" vertical="center"/>
    </xf>
    <xf numFmtId="9" fontId="12" fillId="2" borderId="10" applyAlignment="1" pivotButton="0" quotePrefix="0" xfId="0">
      <alignment horizontal="center" vertical="center"/>
    </xf>
    <xf numFmtId="9" fontId="12" fillId="6" borderId="4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9" fontId="12" fillId="6" borderId="10" applyAlignment="1" pivotButton="0" quotePrefix="0" xfId="0">
      <alignment horizontal="center" vertical="center"/>
    </xf>
    <xf numFmtId="0" fontId="14" fillId="6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 wrapText="1"/>
    </xf>
    <xf numFmtId="0" fontId="12" fillId="2" borderId="32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center" vertical="center" wrapText="1"/>
    </xf>
    <xf numFmtId="0" fontId="3" fillId="0" borderId="35" pivotButton="0" quotePrefix="0" xfId="0"/>
    <xf numFmtId="9" fontId="12" fillId="2" borderId="37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 wrapText="1"/>
    </xf>
    <xf numFmtId="0" fontId="12" fillId="2" borderId="11" applyAlignment="1" pivotButton="0" quotePrefix="0" xfId="0">
      <alignment horizontal="center" vertical="center"/>
    </xf>
    <xf numFmtId="9" fontId="12" fillId="2" borderId="11" applyAlignment="1" pivotButton="0" quotePrefix="0" xfId="0">
      <alignment horizontal="center" vertical="center"/>
    </xf>
    <xf numFmtId="0" fontId="5" fillId="2" borderId="38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12" fillId="7" borderId="11" applyAlignment="1" pivotButton="0" quotePrefix="0" xfId="0">
      <alignment horizontal="center" vertical="center"/>
    </xf>
    <xf numFmtId="0" fontId="12" fillId="7" borderId="33" applyAlignment="1" pivotButton="0" quotePrefix="0" xfId="0">
      <alignment horizontal="center" vertical="center"/>
    </xf>
    <xf numFmtId="9" fontId="12" fillId="2" borderId="33" applyAlignment="1" pivotButton="0" quotePrefix="0" xfId="0">
      <alignment horizontal="center" vertical="center"/>
    </xf>
    <xf numFmtId="0" fontId="16" fillId="8" borderId="43" applyAlignment="1" pivotButton="0" quotePrefix="0" xfId="3">
      <alignment horizontal="center"/>
    </xf>
    <xf numFmtId="0" fontId="16" fillId="8" borderId="31" applyAlignment="1" pivotButton="0" quotePrefix="0" xfId="3">
      <alignment horizontal="center"/>
    </xf>
    <xf numFmtId="0" fontId="16" fillId="8" borderId="44" applyAlignment="1" pivotButton="0" quotePrefix="0" xfId="3">
      <alignment horizontal="center"/>
    </xf>
    <xf numFmtId="0" fontId="16" fillId="8" borderId="45" applyAlignment="1" pivotButton="0" quotePrefix="0" xfId="3">
      <alignment horizontal="center"/>
    </xf>
    <xf numFmtId="0" fontId="0" fillId="0" borderId="44" pivotButton="0" quotePrefix="0" xfId="0"/>
    <xf numFmtId="0" fontId="4" fillId="2" borderId="35" applyAlignment="1" pivotButton="0" quotePrefix="0" xfId="0">
      <alignment horizontal="center"/>
    </xf>
    <xf numFmtId="0" fontId="0" fillId="0" borderId="30" pivotButton="0" quotePrefix="0" xfId="0"/>
    <xf numFmtId="0" fontId="6" fillId="3" borderId="16" applyAlignment="1" pivotButton="0" quotePrefix="0" xfId="0">
      <alignment horizontal="left" vertical="top"/>
    </xf>
    <xf numFmtId="0" fontId="0" fillId="0" borderId="38" pivotButton="0" quotePrefix="0" xfId="0"/>
    <xf numFmtId="0" fontId="0" fillId="0" borderId="28" pivotButton="0" quotePrefix="0" xfId="0"/>
    <xf numFmtId="0" fontId="6" fillId="3" borderId="16" applyAlignment="1" pivotButton="0" quotePrefix="0" xfId="0">
      <alignment horizontal="center"/>
    </xf>
    <xf numFmtId="164" fontId="6" fillId="3" borderId="16" applyAlignment="1" pivotButton="0" quotePrefix="0" xfId="0">
      <alignment horizontal="center"/>
    </xf>
    <xf numFmtId="14" fontId="6" fillId="3" borderId="16" applyAlignment="1" pivotButton="0" quotePrefix="0" xfId="0">
      <alignment horizontal="center"/>
    </xf>
    <xf numFmtId="14" fontId="5" fillId="2" borderId="16" applyAlignment="1" pivotButton="0" quotePrefix="0" xfId="0">
      <alignment horizontal="center" vertical="top" wrapText="1"/>
    </xf>
    <xf numFmtId="164" fontId="5" fillId="2" borderId="16" applyAlignment="1" pivotButton="0" quotePrefix="0" xfId="0">
      <alignment horizontal="center" vertical="top" wrapText="1"/>
    </xf>
    <xf numFmtId="0" fontId="5" fillId="0" borderId="16" applyAlignment="1" pivotButton="0" quotePrefix="0" xfId="0">
      <alignment horizontal="left" vertical="top" wrapText="1"/>
    </xf>
    <xf numFmtId="0" fontId="10" fillId="5" borderId="31" applyAlignment="1" pivotButton="0" quotePrefix="0" xfId="0">
      <alignment horizontal="center" vertical="center" wrapText="1"/>
    </xf>
    <xf numFmtId="0" fontId="6" fillId="6" borderId="16" applyAlignment="1" pivotButton="0" quotePrefix="0" xfId="0">
      <alignment horizontal="center" vertical="center"/>
    </xf>
    <xf numFmtId="14" fontId="5" fillId="2" borderId="16" applyAlignment="1" pivotButton="0" quotePrefix="0" xfId="0">
      <alignment horizontal="center" vertical="center"/>
    </xf>
    <xf numFmtId="0" fontId="6" fillId="6" borderId="16" applyAlignment="1" pivotButton="0" quotePrefix="0" xfId="0">
      <alignment horizontal="center" vertical="center" wrapText="1"/>
    </xf>
    <xf numFmtId="0" fontId="5" fillId="6" borderId="16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7" fillId="6" borderId="16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2" pivotButton="0" quotePrefix="0" xfId="0"/>
    <xf numFmtId="0" fontId="0" fillId="0" borderId="37" pivotButton="0" quotePrefix="0" xfId="0"/>
    <xf numFmtId="0" fontId="0" fillId="0" borderId="34" pivotButton="0" quotePrefix="0" xfId="0"/>
    <xf numFmtId="0" fontId="5" fillId="2" borderId="46" applyAlignment="1" pivotButton="0" quotePrefix="0" xfId="0">
      <alignment horizontal="center" vertical="center"/>
    </xf>
    <xf numFmtId="0" fontId="5" fillId="2" borderId="46" applyAlignment="1" pivotButton="0" quotePrefix="0" xfId="0">
      <alignment vertical="center"/>
    </xf>
    <xf numFmtId="0" fontId="5" fillId="2" borderId="47" applyAlignment="1" pivotButton="0" quotePrefix="0" xfId="0">
      <alignment horizontal="left" vertical="center"/>
    </xf>
    <xf numFmtId="9" fontId="5" fillId="2" borderId="16" applyAlignment="1" pivotButton="0" quotePrefix="0" xfId="0">
      <alignment horizontal="center" vertical="center"/>
    </xf>
    <xf numFmtId="0" fontId="7" fillId="6" borderId="16" applyAlignment="1" pivotButton="0" quotePrefix="0" xfId="0">
      <alignment horizontal="center" vertical="center"/>
    </xf>
    <xf numFmtId="0" fontId="11" fillId="6" borderId="16" applyAlignment="1" pivotButton="0" quotePrefix="0" xfId="0">
      <alignment horizontal="center" vertical="center"/>
    </xf>
    <xf numFmtId="9" fontId="5" fillId="6" borderId="16" applyAlignment="1" pivotButton="0" quotePrefix="0" xfId="0">
      <alignment horizontal="center" vertical="center"/>
    </xf>
  </cellXfs>
  <cellStyles count="7">
    <cellStyle name="Normal" xfId="0" builtinId="0"/>
    <cellStyle name="Normal 2" xfId="1"/>
    <cellStyle name="Normal 19 2" xfId="2"/>
    <cellStyle name="Normal 20 2" xfId="3"/>
    <cellStyle name="Normal 23" xfId="4"/>
    <cellStyle name="Normal 9" xfId="5"/>
    <cellStyle name="Percent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28575</colOff>
      <row>2</row>
      <rowOff>152400</rowOff>
    </from>
    <ext cx="1333500" cy="485775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2"/>
  <sheetViews>
    <sheetView tabSelected="1" view="pageBreakPreview" zoomScaleNormal="100" zoomScaleSheetLayoutView="100" workbookViewId="0">
      <selection activeCell="A1" sqref="A1"/>
    </sheetView>
  </sheetViews>
  <sheetFormatPr baseColWidth="8" defaultColWidth="14.453125" defaultRowHeight="15" customHeight="1"/>
  <cols>
    <col width="3.7265625" customWidth="1" style="64" min="1" max="35"/>
  </cols>
  <sheetData>
    <row r="1" ht="19.5" customHeight="1" s="64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13.5" customHeight="1" s="64">
      <c r="A2" s="1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4" t="n"/>
    </row>
    <row r="3" ht="13.5" customHeight="1" s="64">
      <c r="A3" s="1" t="n"/>
      <c r="B3" s="5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6" t="n"/>
    </row>
    <row r="4" ht="13.5" customHeight="1" s="64">
      <c r="A4" s="1" t="n"/>
      <c r="B4" s="5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6" t="n"/>
    </row>
    <row r="5" ht="13.5" customHeight="1" s="64">
      <c r="A5" s="1" t="n"/>
      <c r="B5" s="5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6" t="n"/>
    </row>
    <row r="6" ht="13.5" customHeight="1" s="64">
      <c r="A6" s="1" t="n"/>
      <c r="B6" s="5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6" t="n"/>
    </row>
    <row r="7" ht="13.5" customHeight="1" s="64">
      <c r="A7" s="1" t="n"/>
      <c r="B7" s="5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6" t="n"/>
    </row>
    <row r="8" ht="13.5" customHeight="1" s="64">
      <c r="A8" s="1" t="n"/>
      <c r="B8" s="5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6" t="n"/>
    </row>
    <row r="9" ht="13.5" customHeight="1" s="64">
      <c r="A9" s="1" t="n"/>
      <c r="B9" s="5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6" t="n"/>
    </row>
    <row r="10" ht="26.25" customHeight="1" s="64">
      <c r="A10" s="1" t="n"/>
      <c r="B10" s="106" t="inlineStr">
        <is>
          <t>クラウド版購読者管理システム</t>
        </is>
      </c>
      <c r="AI10" s="107" t="n"/>
    </row>
    <row r="11" ht="18" customHeight="1" s="64">
      <c r="A11" s="1" t="n"/>
      <c r="B11" s="5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6" t="n"/>
    </row>
    <row r="12" ht="39" customHeight="1" s="64">
      <c r="A12" s="1" t="n"/>
      <c r="B12" s="108" t="inlineStr">
        <is>
          <t>テスト報告書</t>
        </is>
      </c>
      <c r="AI12" s="109" t="n"/>
    </row>
    <row r="13" ht="13.5" customHeight="1" s="64">
      <c r="A13" s="1" t="n"/>
      <c r="B13" s="5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6" t="n"/>
    </row>
    <row r="14" ht="13.5" customHeight="1" s="64">
      <c r="A14" s="1" t="n"/>
      <c r="B14" s="5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6" t="n"/>
    </row>
    <row r="15" ht="13.5" customHeight="1" s="64">
      <c r="A15" s="1" t="n"/>
      <c r="B15" s="5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6" t="n"/>
    </row>
    <row r="16" ht="13.5" customHeight="1" s="64">
      <c r="A16" s="1" t="n"/>
      <c r="B16" s="5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6" t="n"/>
    </row>
    <row r="17" ht="13.5" customHeight="1" s="64">
      <c r="A17" s="1" t="n"/>
      <c r="B17" s="5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7" t="n"/>
      <c r="P17" s="7" t="n"/>
      <c r="Q17" s="7" t="n"/>
      <c r="R17" s="7" t="n"/>
      <c r="S17" s="7" t="n"/>
      <c r="T17" s="7" t="n"/>
      <c r="U17" s="7" t="n"/>
      <c r="V17" s="7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6" t="n"/>
    </row>
    <row r="18" ht="13.5" customHeight="1" s="64">
      <c r="A18" s="1" t="n"/>
      <c r="B18" s="5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10" t="inlineStr">
        <is>
          <t>VTI資料コード</t>
        </is>
      </c>
      <c r="O18" s="111" t="n"/>
      <c r="P18" s="111" t="n"/>
      <c r="Q18" s="111" t="n"/>
      <c r="R18" s="112" t="n"/>
      <c r="S18" s="113" t="inlineStr">
        <is>
          <t>08-BM/PM/VTI</t>
        </is>
      </c>
      <c r="T18" s="111" t="n"/>
      <c r="U18" s="111" t="n"/>
      <c r="V18" s="111" t="n"/>
      <c r="W18" s="112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6" t="n"/>
    </row>
    <row r="19" ht="13.5" customHeight="1" s="64">
      <c r="A19" s="1" t="n"/>
      <c r="B19" s="5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10" t="inlineStr">
        <is>
          <t>VTI資料バージョン</t>
        </is>
      </c>
      <c r="O19" s="111" t="n"/>
      <c r="P19" s="111" t="n"/>
      <c r="Q19" s="111" t="n"/>
      <c r="R19" s="112" t="n"/>
      <c r="S19" s="114" t="n">
        <v>1</v>
      </c>
      <c r="T19" s="111" t="n"/>
      <c r="U19" s="111" t="n"/>
      <c r="V19" s="111" t="n"/>
      <c r="W19" s="112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6" t="n"/>
    </row>
    <row r="20" ht="13.5" customHeight="1" s="64">
      <c r="A20" s="1" t="n"/>
      <c r="B20" s="5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10" t="inlineStr">
        <is>
          <t>VTI資料発行日</t>
        </is>
      </c>
      <c r="O20" s="111" t="n"/>
      <c r="P20" s="111" t="n"/>
      <c r="Q20" s="111" t="n"/>
      <c r="R20" s="112" t="n"/>
      <c r="S20" s="115" t="n">
        <v>45862</v>
      </c>
      <c r="T20" s="111" t="n"/>
      <c r="U20" s="111" t="n"/>
      <c r="V20" s="111" t="n"/>
      <c r="W20" s="112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6" t="n"/>
    </row>
    <row r="21" ht="13.5" customHeight="1" s="64">
      <c r="A21" s="1" t="n"/>
      <c r="B21" s="5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6" t="n"/>
    </row>
    <row r="22" ht="13.5" customHeight="1" s="64">
      <c r="A22" s="1" t="n"/>
      <c r="B22" s="5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6" t="n"/>
    </row>
    <row r="23" ht="13.5" customHeight="1" s="64">
      <c r="A23" s="1" t="n"/>
      <c r="B23" s="5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6" t="n"/>
    </row>
    <row r="24" ht="13.5" customHeight="1" s="64">
      <c r="A24" s="1" t="n"/>
      <c r="B24" s="5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6" t="n"/>
    </row>
    <row r="25" ht="13.5" customHeight="1" s="64">
      <c r="A25" s="1" t="n"/>
      <c r="B25" s="5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6" t="n"/>
    </row>
    <row r="26" ht="13.5" customHeight="1" s="64">
      <c r="A26" s="1" t="n"/>
      <c r="B26" s="5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6" t="n"/>
    </row>
    <row r="27" ht="13.5" customHeight="1" s="64">
      <c r="A27" s="1" t="n"/>
      <c r="B27" s="5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6" t="n"/>
    </row>
    <row r="28" ht="13.5" customHeight="1" s="64">
      <c r="A28" s="1" t="n"/>
      <c r="B28" s="5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6" t="n"/>
    </row>
    <row r="29" ht="13.5" customHeight="1" s="64">
      <c r="A29" s="1" t="n"/>
      <c r="B29" s="5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6" t="n"/>
    </row>
    <row r="30" ht="13.5" customHeight="1" s="64">
      <c r="A30" s="1" t="n"/>
      <c r="B30" s="5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6" t="n"/>
    </row>
    <row r="31" ht="13.5" customHeight="1" s="64">
      <c r="A31" s="1" t="n"/>
      <c r="B31" s="8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10" t="n"/>
    </row>
    <row r="32" ht="13.5" customHeight="1" s="64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</row>
  </sheetData>
  <mergeCells count="8">
    <mergeCell ref="N20:R20"/>
    <mergeCell ref="S20:W20"/>
    <mergeCell ref="B10:AI10"/>
    <mergeCell ref="S19:W19"/>
    <mergeCell ref="N18:R18"/>
    <mergeCell ref="N19:R19"/>
    <mergeCell ref="S18:W18"/>
    <mergeCell ref="B12:AI12"/>
  </mergeCells>
  <pageMargins left="0.7086614173228347" right="0.7086614173228347" top="0.7480314960629921" bottom="0.7480314960629921" header="0" footer="0"/>
  <pageSetup orientation="landscape" paperSize="9" scale="97"/>
  <headerFooter>
    <oddHeader>&amp;L&amp;F</oddHeader>
    <oddFooter>&amp;L08-BM/PM/VTI&amp;CInternal Use&amp;R&amp;P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9"/>
  <sheetViews>
    <sheetView view="pageBreakPreview" zoomScaleNormal="100" zoomScaleSheetLayoutView="100" workbookViewId="0">
      <selection activeCell="AH3" sqref="AH3:AM3"/>
    </sheetView>
  </sheetViews>
  <sheetFormatPr baseColWidth="8" defaultColWidth="14.453125" defaultRowHeight="15" customHeight="1"/>
  <cols>
    <col width="5.1796875" customWidth="1" style="64" min="1" max="1"/>
    <col width="3.7265625" customWidth="1" style="64" min="2" max="40"/>
  </cols>
  <sheetData>
    <row r="1" ht="14.5" customHeight="1" s="64">
      <c r="A1" s="11" t="inlineStr">
        <is>
          <t>変更履歴</t>
        </is>
      </c>
      <c r="B1" s="7" t="n"/>
      <c r="C1" s="7" t="n"/>
      <c r="D1" s="7" t="n"/>
      <c r="E1" s="7" t="n"/>
      <c r="F1" s="7" t="n"/>
      <c r="G1" s="7" t="n"/>
      <c r="H1" s="7" t="n"/>
      <c r="I1" s="12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</row>
    <row r="2" ht="15" customHeight="1" s="64">
      <c r="A2" s="13" t="inlineStr">
        <is>
          <t>項番</t>
        </is>
      </c>
      <c r="B2" s="13" t="inlineStr">
        <is>
          <t>発行日</t>
        </is>
      </c>
      <c r="C2" s="111" t="n"/>
      <c r="D2" s="111" t="n"/>
      <c r="E2" s="112" t="n"/>
      <c r="F2" s="13" t="inlineStr">
        <is>
          <t>バージョン</t>
        </is>
      </c>
      <c r="G2" s="111" t="n"/>
      <c r="H2" s="112" t="n"/>
      <c r="I2" s="13" t="inlineStr">
        <is>
          <t>担当者</t>
        </is>
      </c>
      <c r="J2" s="111" t="n"/>
      <c r="K2" s="111" t="n"/>
      <c r="L2" s="111" t="n"/>
      <c r="M2" s="111" t="n"/>
      <c r="N2" s="112" t="n"/>
      <c r="O2" s="13" t="inlineStr">
        <is>
          <t>変更内容</t>
        </is>
      </c>
      <c r="P2" s="111" t="n"/>
      <c r="Q2" s="111" t="n"/>
      <c r="R2" s="111" t="n"/>
      <c r="S2" s="111" t="n"/>
      <c r="T2" s="111" t="n"/>
      <c r="U2" s="111" t="n"/>
      <c r="V2" s="111" t="n"/>
      <c r="W2" s="111" t="n"/>
      <c r="X2" s="111" t="n"/>
      <c r="Y2" s="111" t="n"/>
      <c r="Z2" s="111" t="n"/>
      <c r="AA2" s="112" t="n"/>
      <c r="AB2" s="13" t="inlineStr">
        <is>
          <t>確認者</t>
        </is>
      </c>
      <c r="AC2" s="111" t="n"/>
      <c r="AD2" s="111" t="n"/>
      <c r="AE2" s="111" t="n"/>
      <c r="AF2" s="111" t="n"/>
      <c r="AG2" s="112" t="n"/>
      <c r="AH2" s="13" t="inlineStr">
        <is>
          <t>承認者</t>
        </is>
      </c>
      <c r="AI2" s="111" t="n"/>
      <c r="AJ2" s="111" t="n"/>
      <c r="AK2" s="111" t="n"/>
      <c r="AL2" s="111" t="n"/>
      <c r="AM2" s="112" t="n"/>
      <c r="AN2" s="7" t="n"/>
    </row>
    <row r="3" ht="15" customHeight="1" s="64">
      <c r="A3" s="14" t="n">
        <v>1</v>
      </c>
      <c r="B3" s="116" t="inlineStr">
        <is>
          <t>2026/08/28</t>
        </is>
      </c>
      <c r="C3" s="111" t="n"/>
      <c r="D3" s="111" t="n"/>
      <c r="E3" s="112" t="n"/>
      <c r="F3" s="117" t="inlineStr">
        <is>
          <t>1.0</t>
        </is>
      </c>
      <c r="G3" s="111" t="n"/>
      <c r="H3" s="112" t="n"/>
      <c r="I3" s="14" t="inlineStr">
        <is>
          <t>Kieu Thi Diem / Tran Duc Tuyen</t>
        </is>
      </c>
      <c r="J3" s="111" t="n"/>
      <c r="K3" s="111" t="n"/>
      <c r="L3" s="111" t="n"/>
      <c r="M3" s="111" t="n"/>
      <c r="N3" s="112" t="n"/>
      <c r="O3" s="118" t="inlineStr">
        <is>
          <t>全画面（ACSMS-SCR-001〜031）のテスト結果を集約し初版作成</t>
        </is>
      </c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2" t="n"/>
      <c r="AB3" s="14" t="n"/>
      <c r="AC3" s="111" t="n"/>
      <c r="AD3" s="111" t="n"/>
      <c r="AE3" s="111" t="n"/>
      <c r="AF3" s="111" t="n"/>
      <c r="AG3" s="112" t="n"/>
      <c r="AH3" s="14" t="n"/>
      <c r="AI3" s="111" t="n"/>
      <c r="AJ3" s="111" t="n"/>
      <c r="AK3" s="111" t="n"/>
      <c r="AL3" s="111" t="n"/>
      <c r="AM3" s="112" t="n"/>
      <c r="AN3" s="7" t="n"/>
    </row>
    <row r="4" ht="14.5" customHeight="1" s="64">
      <c r="A4" s="14" t="n"/>
      <c r="B4" s="116" t="n"/>
      <c r="C4" s="111" t="n"/>
      <c r="D4" s="111" t="n"/>
      <c r="E4" s="112" t="n"/>
      <c r="F4" s="117" t="n"/>
      <c r="G4" s="111" t="n"/>
      <c r="H4" s="112" t="n"/>
      <c r="I4" s="14" t="n"/>
      <c r="J4" s="111" t="n"/>
      <c r="K4" s="111" t="n"/>
      <c r="L4" s="111" t="n"/>
      <c r="M4" s="111" t="n"/>
      <c r="N4" s="112" t="n"/>
      <c r="O4" s="118" t="n"/>
      <c r="P4" s="111" t="n"/>
      <c r="Q4" s="111" t="n"/>
      <c r="R4" s="111" t="n"/>
      <c r="S4" s="111" t="n"/>
      <c r="T4" s="111" t="n"/>
      <c r="U4" s="111" t="n"/>
      <c r="V4" s="111" t="n"/>
      <c r="W4" s="111" t="n"/>
      <c r="X4" s="111" t="n"/>
      <c r="Y4" s="111" t="n"/>
      <c r="Z4" s="111" t="n"/>
      <c r="AA4" s="112" t="n"/>
      <c r="AB4" s="14" t="n"/>
      <c r="AC4" s="111" t="n"/>
      <c r="AD4" s="111" t="n"/>
      <c r="AE4" s="111" t="n"/>
      <c r="AF4" s="111" t="n"/>
      <c r="AG4" s="112" t="n"/>
      <c r="AH4" s="14" t="n"/>
      <c r="AI4" s="111" t="n"/>
      <c r="AJ4" s="111" t="n"/>
      <c r="AK4" s="111" t="n"/>
      <c r="AL4" s="111" t="n"/>
      <c r="AM4" s="112" t="n"/>
      <c r="AN4" s="7" t="n"/>
    </row>
    <row r="5" ht="14.5" customHeight="1" s="64">
      <c r="A5" s="14" t="n"/>
      <c r="B5" s="116" t="n"/>
      <c r="C5" s="111" t="n"/>
      <c r="D5" s="111" t="n"/>
      <c r="E5" s="112" t="n"/>
      <c r="F5" s="117" t="n"/>
      <c r="G5" s="111" t="n"/>
      <c r="H5" s="112" t="n"/>
      <c r="I5" s="14" t="n"/>
      <c r="J5" s="111" t="n"/>
      <c r="K5" s="111" t="n"/>
      <c r="L5" s="111" t="n"/>
      <c r="M5" s="111" t="n"/>
      <c r="N5" s="112" t="n"/>
      <c r="O5" s="118" t="n"/>
      <c r="P5" s="111" t="n"/>
      <c r="Q5" s="111" t="n"/>
      <c r="R5" s="111" t="n"/>
      <c r="S5" s="111" t="n"/>
      <c r="T5" s="111" t="n"/>
      <c r="U5" s="111" t="n"/>
      <c r="V5" s="111" t="n"/>
      <c r="W5" s="111" t="n"/>
      <c r="X5" s="111" t="n"/>
      <c r="Y5" s="111" t="n"/>
      <c r="Z5" s="111" t="n"/>
      <c r="AA5" s="112" t="n"/>
      <c r="AB5" s="14" t="n"/>
      <c r="AC5" s="111" t="n"/>
      <c r="AD5" s="111" t="n"/>
      <c r="AE5" s="111" t="n"/>
      <c r="AF5" s="111" t="n"/>
      <c r="AG5" s="112" t="n"/>
      <c r="AH5" s="14" t="n"/>
      <c r="AI5" s="111" t="n"/>
      <c r="AJ5" s="111" t="n"/>
      <c r="AK5" s="111" t="n"/>
      <c r="AL5" s="111" t="n"/>
      <c r="AM5" s="112" t="n"/>
      <c r="AN5" s="7" t="n"/>
    </row>
    <row r="6" ht="14.5" customHeight="1" s="64">
      <c r="A6" s="14" t="n"/>
      <c r="B6" s="116" t="n"/>
      <c r="C6" s="111" t="n"/>
      <c r="D6" s="111" t="n"/>
      <c r="E6" s="112" t="n"/>
      <c r="F6" s="117" t="n"/>
      <c r="G6" s="111" t="n"/>
      <c r="H6" s="112" t="n"/>
      <c r="I6" s="14" t="n"/>
      <c r="J6" s="111" t="n"/>
      <c r="K6" s="111" t="n"/>
      <c r="L6" s="111" t="n"/>
      <c r="M6" s="111" t="n"/>
      <c r="N6" s="112" t="n"/>
      <c r="O6" s="118" t="n"/>
      <c r="P6" s="111" t="n"/>
      <c r="Q6" s="111" t="n"/>
      <c r="R6" s="111" t="n"/>
      <c r="S6" s="111" t="n"/>
      <c r="T6" s="111" t="n"/>
      <c r="U6" s="111" t="n"/>
      <c r="V6" s="111" t="n"/>
      <c r="W6" s="111" t="n"/>
      <c r="X6" s="111" t="n"/>
      <c r="Y6" s="111" t="n"/>
      <c r="Z6" s="111" t="n"/>
      <c r="AA6" s="112" t="n"/>
      <c r="AB6" s="14" t="n"/>
      <c r="AC6" s="111" t="n"/>
      <c r="AD6" s="111" t="n"/>
      <c r="AE6" s="111" t="n"/>
      <c r="AF6" s="111" t="n"/>
      <c r="AG6" s="112" t="n"/>
      <c r="AH6" s="14" t="n"/>
      <c r="AI6" s="111" t="n"/>
      <c r="AJ6" s="111" t="n"/>
      <c r="AK6" s="111" t="n"/>
      <c r="AL6" s="111" t="n"/>
      <c r="AM6" s="112" t="n"/>
      <c r="AN6" s="7" t="n"/>
    </row>
    <row r="7" ht="14.5" customHeight="1" s="64">
      <c r="A7" s="14" t="n"/>
      <c r="B7" s="116" t="n"/>
      <c r="C7" s="111" t="n"/>
      <c r="D7" s="111" t="n"/>
      <c r="E7" s="112" t="n"/>
      <c r="F7" s="117" t="n"/>
      <c r="G7" s="111" t="n"/>
      <c r="H7" s="112" t="n"/>
      <c r="I7" s="14" t="n"/>
      <c r="J7" s="111" t="n"/>
      <c r="K7" s="111" t="n"/>
      <c r="L7" s="111" t="n"/>
      <c r="M7" s="111" t="n"/>
      <c r="N7" s="112" t="n"/>
      <c r="O7" s="118" t="n"/>
      <c r="P7" s="111" t="n"/>
      <c r="Q7" s="111" t="n"/>
      <c r="R7" s="111" t="n"/>
      <c r="S7" s="111" t="n"/>
      <c r="T7" s="111" t="n"/>
      <c r="U7" s="111" t="n"/>
      <c r="V7" s="111" t="n"/>
      <c r="W7" s="111" t="n"/>
      <c r="X7" s="111" t="n"/>
      <c r="Y7" s="111" t="n"/>
      <c r="Z7" s="111" t="n"/>
      <c r="AA7" s="112" t="n"/>
      <c r="AB7" s="14" t="n"/>
      <c r="AC7" s="111" t="n"/>
      <c r="AD7" s="111" t="n"/>
      <c r="AE7" s="111" t="n"/>
      <c r="AF7" s="111" t="n"/>
      <c r="AG7" s="112" t="n"/>
      <c r="AH7" s="14" t="n"/>
      <c r="AI7" s="111" t="n"/>
      <c r="AJ7" s="111" t="n"/>
      <c r="AK7" s="111" t="n"/>
      <c r="AL7" s="111" t="n"/>
      <c r="AM7" s="112" t="n"/>
      <c r="AN7" s="7" t="n"/>
    </row>
    <row r="8" ht="14.5" customHeight="1" s="64">
      <c r="A8" s="14" t="n"/>
      <c r="B8" s="116" t="n"/>
      <c r="C8" s="111" t="n"/>
      <c r="D8" s="111" t="n"/>
      <c r="E8" s="112" t="n"/>
      <c r="F8" s="117" t="n"/>
      <c r="G8" s="111" t="n"/>
      <c r="H8" s="112" t="n"/>
      <c r="I8" s="14" t="n"/>
      <c r="J8" s="111" t="n"/>
      <c r="K8" s="111" t="n"/>
      <c r="L8" s="111" t="n"/>
      <c r="M8" s="111" t="n"/>
      <c r="N8" s="112" t="n"/>
      <c r="O8" s="118" t="n"/>
      <c r="P8" s="111" t="n"/>
      <c r="Q8" s="111" t="n"/>
      <c r="R8" s="111" t="n"/>
      <c r="S8" s="111" t="n"/>
      <c r="T8" s="111" t="n"/>
      <c r="U8" s="111" t="n"/>
      <c r="V8" s="111" t="n"/>
      <c r="W8" s="111" t="n"/>
      <c r="X8" s="111" t="n"/>
      <c r="Y8" s="111" t="n"/>
      <c r="Z8" s="111" t="n"/>
      <c r="AA8" s="112" t="n"/>
      <c r="AB8" s="14" t="n"/>
      <c r="AC8" s="111" t="n"/>
      <c r="AD8" s="111" t="n"/>
      <c r="AE8" s="111" t="n"/>
      <c r="AF8" s="111" t="n"/>
      <c r="AG8" s="112" t="n"/>
      <c r="AH8" s="14" t="n"/>
      <c r="AI8" s="111" t="n"/>
      <c r="AJ8" s="111" t="n"/>
      <c r="AK8" s="111" t="n"/>
      <c r="AL8" s="111" t="n"/>
      <c r="AM8" s="112" t="n"/>
      <c r="AN8" s="7" t="n"/>
    </row>
    <row r="9" ht="14.5" customHeight="1" s="64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</row>
  </sheetData>
  <mergeCells count="42">
    <mergeCell ref="I7:N7"/>
    <mergeCell ref="AH4:AM4"/>
    <mergeCell ref="AB4:AG4"/>
    <mergeCell ref="F5:H5"/>
    <mergeCell ref="B6:E6"/>
    <mergeCell ref="F8:H8"/>
    <mergeCell ref="F2:H2"/>
    <mergeCell ref="I3:N3"/>
    <mergeCell ref="B5:E5"/>
    <mergeCell ref="O8:AA8"/>
    <mergeCell ref="O2:AA2"/>
    <mergeCell ref="AB2:AG2"/>
    <mergeCell ref="AH6:AM6"/>
    <mergeCell ref="B4:E4"/>
    <mergeCell ref="I5:N5"/>
    <mergeCell ref="O7:AA7"/>
    <mergeCell ref="B7:E7"/>
    <mergeCell ref="O3:AA3"/>
    <mergeCell ref="I8:N8"/>
    <mergeCell ref="B3:E3"/>
    <mergeCell ref="AB8:AG8"/>
    <mergeCell ref="I4:N4"/>
    <mergeCell ref="O6:AA6"/>
    <mergeCell ref="AB7:AG7"/>
    <mergeCell ref="AH7:AM7"/>
    <mergeCell ref="AH2:AM2"/>
    <mergeCell ref="F4:H4"/>
    <mergeCell ref="AB3:AG3"/>
    <mergeCell ref="B2:E2"/>
    <mergeCell ref="I6:N6"/>
    <mergeCell ref="AH3:AM3"/>
    <mergeCell ref="AB6:AG6"/>
    <mergeCell ref="O5:AA5"/>
    <mergeCell ref="F6:H6"/>
    <mergeCell ref="B8:E8"/>
    <mergeCell ref="AB5:AG5"/>
    <mergeCell ref="I2:N2"/>
    <mergeCell ref="O4:AA4"/>
    <mergeCell ref="AH5:AM5"/>
    <mergeCell ref="AH8:AM8"/>
    <mergeCell ref="F7:H7"/>
    <mergeCell ref="F3:H3"/>
  </mergeCells>
  <pageMargins left="0.7086614173228347" right="0.7086614173228347" top="0.7480314960629921" bottom="0.7480314960629921" header="0" footer="0"/>
  <pageSetup orientation="portrait" paperSize="9" scale="57"/>
  <headerFooter>
    <oddHeader>&amp;L&amp;F</oddHeader>
    <oddFooter>&amp;L08-BM/PM/VTI&amp;CInternal Use&amp;R&amp;P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O73"/>
  <sheetViews>
    <sheetView view="pageBreakPreview" zoomScaleNormal="100" zoomScaleSheetLayoutView="100" workbookViewId="0">
      <selection activeCell="Y4" sqref="Y4:AI4"/>
    </sheetView>
  </sheetViews>
  <sheetFormatPr baseColWidth="8" defaultColWidth="14.453125" defaultRowHeight="15" customHeight="1"/>
  <cols>
    <col width="5.7265625" customWidth="1" style="64" min="1" max="1"/>
    <col width="3.7265625" customWidth="1" style="64" min="2" max="4"/>
    <col width="1.453125" customWidth="1" style="64" min="5" max="5"/>
    <col width="3.7265625" customWidth="1" style="64" min="6" max="6"/>
    <col width="5" customWidth="1" style="64" min="7" max="7"/>
    <col width="2.81640625" customWidth="1" style="64" min="8" max="8"/>
    <col width="3.7265625" customWidth="1" style="64" min="9" max="12"/>
    <col width="1.81640625" customWidth="1" style="64" min="13" max="13"/>
    <col width="31.7265625" customWidth="1" style="64" min="14" max="14"/>
    <col width="3.7265625" customWidth="1" style="64" min="15" max="41"/>
  </cols>
  <sheetData>
    <row r="1" ht="19.5" customHeight="1" s="64">
      <c r="A1" s="119" t="inlineStr">
        <is>
          <t>結合テスト報告書</t>
        </is>
      </c>
      <c r="AJ1" s="16" t="n"/>
      <c r="AK1" s="16" t="n"/>
      <c r="AL1" s="16" t="n"/>
      <c r="AM1" s="16" t="n"/>
      <c r="AN1" s="16" t="n"/>
      <c r="AO1" s="16" t="n"/>
    </row>
    <row r="2" ht="19.5" customHeight="1" s="64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  <c r="AE2" s="16" t="n"/>
      <c r="AF2" s="16" t="n"/>
      <c r="AG2" s="16" t="n"/>
      <c r="AH2" s="16" t="n"/>
      <c r="AI2" s="16" t="n"/>
      <c r="AJ2" s="16" t="n"/>
      <c r="AK2" s="16" t="n"/>
      <c r="AL2" s="16" t="n"/>
      <c r="AM2" s="16" t="n"/>
      <c r="AN2" s="16" t="n"/>
      <c r="AO2" s="16" t="n"/>
    </row>
    <row r="3" ht="19.5" customHeight="1" s="64">
      <c r="A3" s="120" t="inlineStr">
        <is>
          <t>プロジェクト名</t>
        </is>
      </c>
      <c r="B3" s="111" t="n"/>
      <c r="C3" s="111" t="n"/>
      <c r="D3" s="111" t="n"/>
      <c r="E3" s="111" t="n"/>
      <c r="F3" s="112" t="n"/>
      <c r="G3" s="20" t="inlineStr">
        <is>
          <t>クラウド版購読者管理システム</t>
        </is>
      </c>
      <c r="H3" s="111" t="n"/>
      <c r="I3" s="111" t="n"/>
      <c r="J3" s="111" t="n"/>
      <c r="K3" s="111" t="n"/>
      <c r="L3" s="111" t="n"/>
      <c r="M3" s="111" t="n"/>
      <c r="N3" s="111" t="n"/>
      <c r="O3" s="111" t="n"/>
      <c r="P3" s="112" t="n"/>
      <c r="Q3" s="120" t="inlineStr">
        <is>
          <t>プロジェクトマネージャ</t>
        </is>
      </c>
      <c r="R3" s="111" t="n"/>
      <c r="S3" s="111" t="n"/>
      <c r="T3" s="111" t="n"/>
      <c r="U3" s="111" t="n"/>
      <c r="V3" s="111" t="n"/>
      <c r="W3" s="111" t="n"/>
      <c r="X3" s="112" t="n"/>
      <c r="Y3" s="20" t="inlineStr">
        <is>
          <t>Nguyen Huy Dat</t>
        </is>
      </c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2" t="n"/>
      <c r="AJ3" s="16" t="n"/>
      <c r="AK3" s="16" t="n"/>
      <c r="AL3" s="16" t="n"/>
      <c r="AM3" s="16" t="n"/>
      <c r="AN3" s="16" t="n"/>
      <c r="AO3" s="16" t="n"/>
    </row>
    <row r="4" ht="19.5" customHeight="1" s="64">
      <c r="A4" s="120" t="inlineStr">
        <is>
          <t>担当者</t>
        </is>
      </c>
      <c r="B4" s="111" t="n"/>
      <c r="C4" s="111" t="n"/>
      <c r="D4" s="111" t="n"/>
      <c r="E4" s="111" t="n"/>
      <c r="F4" s="112" t="n"/>
      <c r="G4" s="20" t="inlineStr">
        <is>
          <t>Kieu Thi Diem / Tran Duc Tuyen</t>
        </is>
      </c>
      <c r="H4" s="111" t="n"/>
      <c r="I4" s="111" t="n"/>
      <c r="J4" s="111" t="n"/>
      <c r="K4" s="111" t="n"/>
      <c r="L4" s="111" t="n"/>
      <c r="M4" s="111" t="n"/>
      <c r="N4" s="111" t="n"/>
      <c r="O4" s="111" t="n"/>
      <c r="P4" s="112" t="n"/>
      <c r="Q4" s="120" t="inlineStr">
        <is>
          <t>作成日</t>
        </is>
      </c>
      <c r="R4" s="111" t="n"/>
      <c r="S4" s="111" t="n"/>
      <c r="T4" s="111" t="n"/>
      <c r="U4" s="111" t="n"/>
      <c r="V4" s="111" t="n"/>
      <c r="W4" s="111" t="n"/>
      <c r="X4" s="112" t="n"/>
      <c r="Y4" s="121" t="inlineStr">
        <is>
          <t>2026/08/28</t>
        </is>
      </c>
      <c r="Z4" s="111" t="n"/>
      <c r="AA4" s="111" t="n"/>
      <c r="AB4" s="111" t="n"/>
      <c r="AC4" s="111" t="n"/>
      <c r="AD4" s="111" t="n"/>
      <c r="AE4" s="111" t="n"/>
      <c r="AF4" s="111" t="n"/>
      <c r="AG4" s="111" t="n"/>
      <c r="AH4" s="111" t="n"/>
      <c r="AI4" s="112" t="n"/>
      <c r="AJ4" s="16" t="n"/>
      <c r="AK4" s="16" t="n"/>
      <c r="AL4" s="16" t="n"/>
      <c r="AM4" s="16" t="n"/>
      <c r="AN4" s="16" t="n"/>
      <c r="AO4" s="16" t="n"/>
    </row>
    <row r="5" ht="19.5" customHeight="1" s="64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</row>
    <row r="6" ht="19.5" customHeight="1" s="64">
      <c r="A6" s="122" t="inlineStr">
        <is>
          <t>#</t>
        </is>
      </c>
      <c r="B6" s="123" t="inlineStr">
        <is>
          <t>機能名（大項目）</t>
        </is>
      </c>
      <c r="C6" s="124" t="n"/>
      <c r="D6" s="124" t="n"/>
      <c r="E6" s="124" t="n"/>
      <c r="F6" s="124" t="n"/>
      <c r="G6" s="125" t="n"/>
      <c r="H6" s="123" t="inlineStr">
        <is>
          <t>機能名（中項目）</t>
        </is>
      </c>
      <c r="I6" s="124" t="n"/>
      <c r="J6" s="124" t="n"/>
      <c r="K6" s="124" t="n"/>
      <c r="L6" s="124" t="n"/>
      <c r="M6" s="125" t="n"/>
      <c r="N6" s="123" t="inlineStr">
        <is>
          <t>機能名（小項目）</t>
        </is>
      </c>
      <c r="O6" s="122" t="inlineStr">
        <is>
          <t>テストケース分類</t>
        </is>
      </c>
      <c r="P6" s="111" t="n"/>
      <c r="Q6" s="111" t="n"/>
      <c r="R6" s="111" t="n"/>
      <c r="S6" s="111" t="n"/>
      <c r="T6" s="111" t="n"/>
      <c r="U6" s="111" t="n"/>
      <c r="V6" s="111" t="n"/>
      <c r="W6" s="112" t="n"/>
      <c r="X6" s="126" t="inlineStr">
        <is>
          <t>合計</t>
        </is>
      </c>
      <c r="Y6" s="124" t="n"/>
      <c r="Z6" s="125" t="n"/>
      <c r="AA6" s="122" t="inlineStr">
        <is>
          <t>テスト結果</t>
        </is>
      </c>
      <c r="AB6" s="111" t="n"/>
      <c r="AC6" s="111" t="n"/>
      <c r="AD6" s="111" t="n"/>
      <c r="AE6" s="111" t="n"/>
      <c r="AF6" s="111" t="n"/>
      <c r="AG6" s="111" t="n"/>
      <c r="AH6" s="111" t="n"/>
      <c r="AI6" s="111" t="n"/>
      <c r="AJ6" s="111" t="n"/>
      <c r="AK6" s="111" t="n"/>
      <c r="AL6" s="111" t="n"/>
      <c r="AM6" s="111" t="n"/>
      <c r="AN6" s="111" t="n"/>
      <c r="AO6" s="112" t="n"/>
    </row>
    <row r="7" ht="35.25" customHeight="1" s="64">
      <c r="A7" s="127" t="n"/>
      <c r="B7" s="128" t="n"/>
      <c r="C7" s="129" t="n"/>
      <c r="D7" s="129" t="n"/>
      <c r="E7" s="129" t="n"/>
      <c r="F7" s="129" t="n"/>
      <c r="G7" s="130" t="n"/>
      <c r="H7" s="128" t="n"/>
      <c r="I7" s="129" t="n"/>
      <c r="J7" s="129" t="n"/>
      <c r="K7" s="129" t="n"/>
      <c r="L7" s="129" t="n"/>
      <c r="M7" s="130" t="n"/>
      <c r="N7" s="127" t="n"/>
      <c r="O7" s="122" t="inlineStr">
        <is>
          <t>正常</t>
        </is>
      </c>
      <c r="P7" s="111" t="n"/>
      <c r="Q7" s="112" t="n"/>
      <c r="R7" s="122" t="inlineStr">
        <is>
          <t>異常</t>
        </is>
      </c>
      <c r="S7" s="111" t="n"/>
      <c r="T7" s="112" t="n"/>
      <c r="U7" s="122" t="inlineStr">
        <is>
          <t>境界</t>
        </is>
      </c>
      <c r="V7" s="111" t="n"/>
      <c r="W7" s="112" t="n"/>
      <c r="X7" s="128" t="n"/>
      <c r="Y7" s="129" t="n"/>
      <c r="Z7" s="130" t="n"/>
      <c r="AA7" s="122" t="inlineStr">
        <is>
          <t>合格</t>
        </is>
      </c>
      <c r="AB7" s="111" t="n"/>
      <c r="AC7" s="112" t="n"/>
      <c r="AD7" s="122" t="inlineStr">
        <is>
          <t>不合格</t>
        </is>
      </c>
      <c r="AE7" s="111" t="n"/>
      <c r="AF7" s="112" t="n"/>
      <c r="AG7" s="122" t="inlineStr">
        <is>
          <t>未テスト</t>
        </is>
      </c>
      <c r="AH7" s="111" t="n"/>
      <c r="AI7" s="112" t="n"/>
      <c r="AJ7" s="122" t="inlineStr">
        <is>
          <t>N/A</t>
        </is>
      </c>
      <c r="AK7" s="111" t="n"/>
      <c r="AL7" s="112" t="n"/>
      <c r="AM7" s="122" t="inlineStr">
        <is>
          <t>進捗（%）</t>
        </is>
      </c>
      <c r="AN7" s="111" t="n"/>
      <c r="AO7" s="112" t="n"/>
    </row>
    <row r="8" ht="19.5" customHeight="1" s="64">
      <c r="A8" s="17" t="inlineStr">
        <is>
          <t>テスト1回目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9" t="n"/>
    </row>
    <row r="9" ht="19.5" customHeight="1" s="64">
      <c r="A9" s="20" t="n">
        <v>1</v>
      </c>
      <c r="B9" s="131" t="inlineStr">
        <is>
          <t>認証・共通</t>
        </is>
      </c>
      <c r="C9" s="111" t="n"/>
      <c r="D9" s="111" t="n"/>
      <c r="E9" s="111" t="n"/>
      <c r="F9" s="111" t="n"/>
      <c r="G9" s="112" t="n"/>
      <c r="H9" s="132" t="inlineStr">
        <is>
          <t>ログイン画面</t>
        </is>
      </c>
      <c r="I9" s="111" t="n"/>
      <c r="J9" s="111" t="n"/>
      <c r="K9" s="111" t="n"/>
      <c r="L9" s="111" t="n"/>
      <c r="M9" s="112" t="n"/>
      <c r="N9" s="133" t="inlineStr">
        <is>
          <t>ACSMS-SCR-001</t>
        </is>
      </c>
      <c r="O9" s="20" t="n">
        <v>26</v>
      </c>
      <c r="P9" s="111" t="n"/>
      <c r="Q9" s="112" t="n"/>
      <c r="R9" s="20" t="n">
        <v>23</v>
      </c>
      <c r="S9" s="111" t="n"/>
      <c r="T9" s="112" t="n"/>
      <c r="U9" s="20" t="n">
        <v>3</v>
      </c>
      <c r="V9" s="111" t="n"/>
      <c r="W9" s="112" t="n"/>
      <c r="X9" s="20" t="n">
        <v>52</v>
      </c>
      <c r="Y9" s="111" t="n"/>
      <c r="Z9" s="112" t="n"/>
      <c r="AA9" s="20" t="n">
        <v>48</v>
      </c>
      <c r="AB9" s="111" t="n"/>
      <c r="AC9" s="112" t="n"/>
      <c r="AD9" s="20" t="n">
        <v>0</v>
      </c>
      <c r="AE9" s="111" t="n"/>
      <c r="AF9" s="112" t="n"/>
      <c r="AG9" s="20" t="n">
        <v>4</v>
      </c>
      <c r="AH9" s="111" t="n"/>
      <c r="AI9" s="112" t="n"/>
      <c r="AJ9" s="20" t="n">
        <v>0</v>
      </c>
      <c r="AK9" s="111" t="n"/>
      <c r="AL9" s="112" t="n"/>
      <c r="AM9" s="134">
        <f>IFERROR((AA9+AD9+AJ9)/X9,0)</f>
        <v>0.923076923077</v>
      </c>
      <c r="AN9" s="111" t="n"/>
      <c r="AO9" s="112" t="n"/>
    </row>
    <row r="10" ht="19.5" customHeight="1" s="64">
      <c r="A10" s="20" t="n">
        <v>2</v>
      </c>
      <c r="B10" s="131" t="inlineStr">
        <is>
          <t>認証・共通</t>
        </is>
      </c>
      <c r="C10" s="111" t="n"/>
      <c r="D10" s="111" t="n"/>
      <c r="E10" s="111" t="n"/>
      <c r="F10" s="111" t="n"/>
      <c r="G10" s="112" t="n"/>
      <c r="H10" s="132" t="inlineStr">
        <is>
          <t>メニュー画面</t>
        </is>
      </c>
      <c r="I10" s="111" t="n"/>
      <c r="J10" s="111" t="n"/>
      <c r="K10" s="111" t="n"/>
      <c r="L10" s="111" t="n"/>
      <c r="M10" s="112" t="n"/>
      <c r="N10" s="133" t="inlineStr">
        <is>
          <t>ACSMS-SCR-010</t>
        </is>
      </c>
      <c r="O10" s="20" t="n">
        <v>20</v>
      </c>
      <c r="P10" s="111" t="n"/>
      <c r="Q10" s="112" t="n"/>
      <c r="R10" s="20" t="n">
        <v>9</v>
      </c>
      <c r="S10" s="111" t="n"/>
      <c r="T10" s="112" t="n"/>
      <c r="U10" s="20" t="n">
        <v>0</v>
      </c>
      <c r="V10" s="111" t="n"/>
      <c r="W10" s="112" t="n"/>
      <c r="X10" s="20" t="n">
        <v>29</v>
      </c>
      <c r="Y10" s="111" t="n"/>
      <c r="Z10" s="112" t="n"/>
      <c r="AA10" s="20" t="n">
        <v>25</v>
      </c>
      <c r="AB10" s="111" t="n"/>
      <c r="AC10" s="112" t="n"/>
      <c r="AD10" s="20" t="n">
        <v>0</v>
      </c>
      <c r="AE10" s="111" t="n"/>
      <c r="AF10" s="112" t="n"/>
      <c r="AG10" s="20" t="n">
        <v>3</v>
      </c>
      <c r="AH10" s="111" t="n"/>
      <c r="AI10" s="112" t="n"/>
      <c r="AJ10" s="20" t="n">
        <v>1</v>
      </c>
      <c r="AK10" s="111" t="n"/>
      <c r="AL10" s="112" t="n"/>
      <c r="AM10" s="134">
        <f>IFERROR((AA10+AD10+AJ10)/X10,0)</f>
        <v>0.896551724138</v>
      </c>
      <c r="AN10" s="111" t="n"/>
      <c r="AO10" s="112" t="n"/>
    </row>
    <row r="11" ht="19.5" customHeight="1" s="64">
      <c r="A11" s="20" t="n">
        <v>3</v>
      </c>
      <c r="B11" s="131" t="inlineStr">
        <is>
          <t>認証・共通</t>
        </is>
      </c>
      <c r="C11" s="111" t="n"/>
      <c r="D11" s="111" t="n"/>
      <c r="E11" s="111" t="n"/>
      <c r="F11" s="111" t="n"/>
      <c r="G11" s="112" t="n"/>
      <c r="H11" s="132" t="inlineStr">
        <is>
          <t>パスワードの再設定・パスワードの変更</t>
        </is>
      </c>
      <c r="I11" s="111" t="n"/>
      <c r="J11" s="111" t="n"/>
      <c r="K11" s="111" t="n"/>
      <c r="L11" s="111" t="n"/>
      <c r="M11" s="112" t="n"/>
      <c r="N11" s="133" t="inlineStr">
        <is>
          <t>ACSMS-SCR-012</t>
        </is>
      </c>
      <c r="O11" s="20" t="n">
        <v>21</v>
      </c>
      <c r="P11" s="111" t="n"/>
      <c r="Q11" s="112" t="n"/>
      <c r="R11" s="20" t="n">
        <v>27</v>
      </c>
      <c r="S11" s="111" t="n"/>
      <c r="T11" s="112" t="n"/>
      <c r="U11" s="20" t="n">
        <v>2</v>
      </c>
      <c r="V11" s="111" t="n"/>
      <c r="W11" s="112" t="n"/>
      <c r="X11" s="20" t="n">
        <v>50</v>
      </c>
      <c r="Y11" s="111" t="n"/>
      <c r="Z11" s="112" t="n"/>
      <c r="AA11" s="20" t="n">
        <v>44</v>
      </c>
      <c r="AB11" s="111" t="n"/>
      <c r="AC11" s="112" t="n"/>
      <c r="AD11" s="20" t="n">
        <v>0</v>
      </c>
      <c r="AE11" s="111" t="n"/>
      <c r="AF11" s="112" t="n"/>
      <c r="AG11" s="20" t="n">
        <v>3</v>
      </c>
      <c r="AH11" s="111" t="n"/>
      <c r="AI11" s="112" t="n"/>
      <c r="AJ11" s="20" t="n">
        <v>3</v>
      </c>
      <c r="AK11" s="111" t="n"/>
      <c r="AL11" s="112" t="n"/>
      <c r="AM11" s="134">
        <f>IFERROR((AA11+AD11+AJ11)/X11,0)</f>
        <v>0.94</v>
      </c>
      <c r="AN11" s="111" t="n"/>
      <c r="AO11" s="112" t="n"/>
    </row>
    <row r="12" ht="19.5" customHeight="1" s="64">
      <c r="A12" s="20" t="n">
        <v>4</v>
      </c>
      <c r="B12" s="131" t="inlineStr">
        <is>
          <t>マスタ管理</t>
        </is>
      </c>
      <c r="C12" s="111" t="n"/>
      <c r="D12" s="111" t="n"/>
      <c r="E12" s="111" t="n"/>
      <c r="F12" s="111" t="n"/>
      <c r="G12" s="112" t="n"/>
      <c r="H12" s="132" t="inlineStr">
        <is>
          <t>単価マスタ明細検索画面</t>
        </is>
      </c>
      <c r="I12" s="111" t="n"/>
      <c r="J12" s="111" t="n"/>
      <c r="K12" s="111" t="n"/>
      <c r="L12" s="111" t="n"/>
      <c r="M12" s="112" t="n"/>
      <c r="N12" s="133" t="inlineStr">
        <is>
          <t>ACSMS-SCR-002</t>
        </is>
      </c>
      <c r="O12" s="20" t="n">
        <v>48</v>
      </c>
      <c r="P12" s="111" t="n"/>
      <c r="Q12" s="112" t="n"/>
      <c r="R12" s="20" t="n">
        <v>21</v>
      </c>
      <c r="S12" s="111" t="n"/>
      <c r="T12" s="112" t="n"/>
      <c r="U12" s="20" t="n">
        <v>1</v>
      </c>
      <c r="V12" s="111" t="n"/>
      <c r="W12" s="112" t="n"/>
      <c r="X12" s="20" t="n">
        <v>70</v>
      </c>
      <c r="Y12" s="111" t="n"/>
      <c r="Z12" s="112" t="n"/>
      <c r="AA12" s="20" t="n">
        <v>65</v>
      </c>
      <c r="AB12" s="111" t="n"/>
      <c r="AC12" s="112" t="n"/>
      <c r="AD12" s="20" t="n">
        <v>0</v>
      </c>
      <c r="AE12" s="111" t="n"/>
      <c r="AF12" s="112" t="n"/>
      <c r="AG12" s="20" t="n">
        <v>4</v>
      </c>
      <c r="AH12" s="111" t="n"/>
      <c r="AI12" s="112" t="n"/>
      <c r="AJ12" s="20" t="n">
        <v>1</v>
      </c>
      <c r="AK12" s="111" t="n"/>
      <c r="AL12" s="112" t="n"/>
      <c r="AM12" s="134">
        <f>IFERROR((AA12+AD12+AJ12)/X12,0)</f>
        <v>0.942857142857</v>
      </c>
      <c r="AN12" s="111" t="n"/>
      <c r="AO12" s="112" t="n"/>
    </row>
    <row r="13" ht="19.5" customHeight="1" s="64">
      <c r="A13" s="20" t="n">
        <v>5</v>
      </c>
      <c r="B13" s="131" t="inlineStr">
        <is>
          <t>マスタ管理</t>
        </is>
      </c>
      <c r="C13" s="111" t="n"/>
      <c r="D13" s="111" t="n"/>
      <c r="E13" s="111" t="n"/>
      <c r="F13" s="111" t="n"/>
      <c r="G13" s="112" t="n"/>
      <c r="H13" s="132" t="inlineStr">
        <is>
          <t>単価マスタ登録画面</t>
        </is>
      </c>
      <c r="I13" s="111" t="n"/>
      <c r="J13" s="111" t="n"/>
      <c r="K13" s="111" t="n"/>
      <c r="L13" s="111" t="n"/>
      <c r="M13" s="112" t="n"/>
      <c r="N13" s="133" t="inlineStr">
        <is>
          <t>ACSMS-SCR-003</t>
        </is>
      </c>
      <c r="O13" s="20" t="n">
        <v>42</v>
      </c>
      <c r="P13" s="111" t="n"/>
      <c r="Q13" s="112" t="n"/>
      <c r="R13" s="20" t="n">
        <v>30</v>
      </c>
      <c r="S13" s="111" t="n"/>
      <c r="T13" s="112" t="n"/>
      <c r="U13" s="20" t="n">
        <v>6</v>
      </c>
      <c r="V13" s="111" t="n"/>
      <c r="W13" s="112" t="n"/>
      <c r="X13" s="20" t="n">
        <v>78</v>
      </c>
      <c r="Y13" s="111" t="n"/>
      <c r="Z13" s="112" t="n"/>
      <c r="AA13" s="20" t="n">
        <v>69</v>
      </c>
      <c r="AB13" s="111" t="n"/>
      <c r="AC13" s="112" t="n"/>
      <c r="AD13" s="20" t="n">
        <v>0</v>
      </c>
      <c r="AE13" s="111" t="n"/>
      <c r="AF13" s="112" t="n"/>
      <c r="AG13" s="20" t="n">
        <v>3</v>
      </c>
      <c r="AH13" s="111" t="n"/>
      <c r="AI13" s="112" t="n"/>
      <c r="AJ13" s="20" t="n">
        <v>6</v>
      </c>
      <c r="AK13" s="111" t="n"/>
      <c r="AL13" s="112" t="n"/>
      <c r="AM13" s="134">
        <f>IFERROR((AA13+AD13+AJ13)/X13,0)</f>
        <v>0.961538461538</v>
      </c>
      <c r="AN13" s="111" t="n"/>
      <c r="AO13" s="112" t="n"/>
    </row>
    <row r="14" ht="19.5" customHeight="1" s="64">
      <c r="A14" s="20" t="n">
        <v>6</v>
      </c>
      <c r="B14" s="131" t="inlineStr">
        <is>
          <t>マスタ管理</t>
        </is>
      </c>
      <c r="C14" s="111" t="n"/>
      <c r="D14" s="111" t="n"/>
      <c r="E14" s="111" t="n"/>
      <c r="F14" s="111" t="n"/>
      <c r="G14" s="112" t="n"/>
      <c r="H14" s="132" t="inlineStr">
        <is>
          <t>JAマスタ明細検索画面</t>
        </is>
      </c>
      <c r="I14" s="111" t="n"/>
      <c r="J14" s="111" t="n"/>
      <c r="K14" s="111" t="n"/>
      <c r="L14" s="111" t="n"/>
      <c r="M14" s="112" t="n"/>
      <c r="N14" s="133" t="inlineStr">
        <is>
          <t>ACSMS-SCR-004</t>
        </is>
      </c>
      <c r="O14" s="20" t="n">
        <v>27</v>
      </c>
      <c r="P14" s="111" t="n"/>
      <c r="Q14" s="112" t="n"/>
      <c r="R14" s="20" t="n">
        <v>15</v>
      </c>
      <c r="S14" s="111" t="n"/>
      <c r="T14" s="112" t="n"/>
      <c r="U14" s="20" t="n">
        <v>1</v>
      </c>
      <c r="V14" s="111" t="n"/>
      <c r="W14" s="112" t="n"/>
      <c r="X14" s="20" t="n">
        <v>43</v>
      </c>
      <c r="Y14" s="111" t="n"/>
      <c r="Z14" s="112" t="n"/>
      <c r="AA14" s="20" t="n">
        <v>40</v>
      </c>
      <c r="AB14" s="111" t="n"/>
      <c r="AC14" s="112" t="n"/>
      <c r="AD14" s="20" t="n">
        <v>0</v>
      </c>
      <c r="AE14" s="111" t="n"/>
      <c r="AF14" s="112" t="n"/>
      <c r="AG14" s="20" t="n">
        <v>3</v>
      </c>
      <c r="AH14" s="111" t="n"/>
      <c r="AI14" s="112" t="n"/>
      <c r="AJ14" s="20" t="n">
        <v>0</v>
      </c>
      <c r="AK14" s="111" t="n"/>
      <c r="AL14" s="112" t="n"/>
      <c r="AM14" s="134">
        <f>IFERROR((AA14+AD14+AJ14)/X14,0)</f>
        <v>0.93023255814</v>
      </c>
      <c r="AN14" s="111" t="n"/>
      <c r="AO14" s="112" t="n"/>
    </row>
    <row r="15" ht="19.5" customHeight="1" s="64">
      <c r="A15" s="20" t="n">
        <v>7</v>
      </c>
      <c r="B15" s="131" t="inlineStr">
        <is>
          <t>マスタ管理</t>
        </is>
      </c>
      <c r="C15" s="111" t="n"/>
      <c r="D15" s="111" t="n"/>
      <c r="E15" s="111" t="n"/>
      <c r="F15" s="111" t="n"/>
      <c r="G15" s="112" t="n"/>
      <c r="H15" s="132" t="inlineStr">
        <is>
          <t>JAマスタ登録画面</t>
        </is>
      </c>
      <c r="I15" s="111" t="n"/>
      <c r="J15" s="111" t="n"/>
      <c r="K15" s="111" t="n"/>
      <c r="L15" s="111" t="n"/>
      <c r="M15" s="112" t="n"/>
      <c r="N15" s="133" t="inlineStr">
        <is>
          <t>ACSMS-SCR-005</t>
        </is>
      </c>
      <c r="O15" s="20" t="n">
        <v>21</v>
      </c>
      <c r="P15" s="111" t="n"/>
      <c r="Q15" s="112" t="n"/>
      <c r="R15" s="20" t="n">
        <v>29</v>
      </c>
      <c r="S15" s="111" t="n"/>
      <c r="T15" s="112" t="n"/>
      <c r="U15" s="20" t="n">
        <v>12</v>
      </c>
      <c r="V15" s="111" t="n"/>
      <c r="W15" s="112" t="n"/>
      <c r="X15" s="20" t="n">
        <v>62</v>
      </c>
      <c r="Y15" s="111" t="n"/>
      <c r="Z15" s="112" t="n"/>
      <c r="AA15" s="20" t="n">
        <v>56</v>
      </c>
      <c r="AB15" s="111" t="n"/>
      <c r="AC15" s="112" t="n"/>
      <c r="AD15" s="20" t="n">
        <v>0</v>
      </c>
      <c r="AE15" s="111" t="n"/>
      <c r="AF15" s="112" t="n"/>
      <c r="AG15" s="20" t="n">
        <v>5</v>
      </c>
      <c r="AH15" s="111" t="n"/>
      <c r="AI15" s="112" t="n"/>
      <c r="AJ15" s="20" t="n">
        <v>0</v>
      </c>
      <c r="AK15" s="111" t="n"/>
      <c r="AL15" s="112" t="n"/>
      <c r="AM15" s="134">
        <f>IFERROR((AA15+AD15+AJ15)/X15,0)</f>
        <v>0.903225806452</v>
      </c>
      <c r="AN15" s="111" t="n"/>
      <c r="AO15" s="112" t="n"/>
    </row>
    <row r="16" ht="19.5" customHeight="1" s="64">
      <c r="A16" s="20" t="n">
        <v>8</v>
      </c>
      <c r="B16" s="131" t="inlineStr">
        <is>
          <t>マスタ管理</t>
        </is>
      </c>
      <c r="C16" s="111" t="n"/>
      <c r="D16" s="111" t="n"/>
      <c r="E16" s="111" t="n"/>
      <c r="F16" s="111" t="n"/>
      <c r="G16" s="112" t="n"/>
      <c r="H16" s="132" t="inlineStr">
        <is>
          <t>支店マスタ明細検索画面</t>
        </is>
      </c>
      <c r="I16" s="111" t="n"/>
      <c r="J16" s="111" t="n"/>
      <c r="K16" s="111" t="n"/>
      <c r="L16" s="111" t="n"/>
      <c r="M16" s="112" t="n"/>
      <c r="N16" s="133" t="inlineStr">
        <is>
          <t>ACSMS-SCR-006</t>
        </is>
      </c>
      <c r="O16" s="20" t="n">
        <v>38</v>
      </c>
      <c r="P16" s="111" t="n"/>
      <c r="Q16" s="112" t="n"/>
      <c r="R16" s="20" t="n">
        <v>21</v>
      </c>
      <c r="S16" s="111" t="n"/>
      <c r="T16" s="112" t="n"/>
      <c r="U16" s="20" t="n">
        <v>1</v>
      </c>
      <c r="V16" s="111" t="n"/>
      <c r="W16" s="112" t="n"/>
      <c r="X16" s="20" t="n">
        <v>60</v>
      </c>
      <c r="Y16" s="111" t="n"/>
      <c r="Z16" s="112" t="n"/>
      <c r="AA16" s="20" t="n">
        <v>55</v>
      </c>
      <c r="AB16" s="111" t="n"/>
      <c r="AC16" s="112" t="n"/>
      <c r="AD16" s="20" t="n">
        <v>0</v>
      </c>
      <c r="AE16" s="111" t="n"/>
      <c r="AF16" s="112" t="n"/>
      <c r="AG16" s="20" t="n">
        <v>4</v>
      </c>
      <c r="AH16" s="111" t="n"/>
      <c r="AI16" s="112" t="n"/>
      <c r="AJ16" s="20" t="n">
        <v>1</v>
      </c>
      <c r="AK16" s="111" t="n"/>
      <c r="AL16" s="112" t="n"/>
      <c r="AM16" s="134">
        <f>IFERROR((AA16+AD16+AJ16)/X16,0)</f>
        <v>0.933333333333</v>
      </c>
      <c r="AN16" s="111" t="n"/>
      <c r="AO16" s="112" t="n"/>
    </row>
    <row r="17" ht="19.5" customHeight="1" s="64">
      <c r="A17" s="20" t="n">
        <v>9</v>
      </c>
      <c r="B17" s="131" t="inlineStr">
        <is>
          <t>マスタ管理</t>
        </is>
      </c>
      <c r="C17" s="111" t="n"/>
      <c r="D17" s="111" t="n"/>
      <c r="E17" s="111" t="n"/>
      <c r="F17" s="111" t="n"/>
      <c r="G17" s="112" t="n"/>
      <c r="H17" s="132" t="inlineStr">
        <is>
          <t>支店マスタ登録画面</t>
        </is>
      </c>
      <c r="I17" s="111" t="n"/>
      <c r="J17" s="111" t="n"/>
      <c r="K17" s="111" t="n"/>
      <c r="L17" s="111" t="n"/>
      <c r="M17" s="112" t="n"/>
      <c r="N17" s="133" t="inlineStr">
        <is>
          <t>ACSMS-SCR-007</t>
        </is>
      </c>
      <c r="O17" s="20" t="n">
        <v>32</v>
      </c>
      <c r="P17" s="111" t="n"/>
      <c r="Q17" s="112" t="n"/>
      <c r="R17" s="20" t="n">
        <v>25</v>
      </c>
      <c r="S17" s="111" t="n"/>
      <c r="T17" s="112" t="n"/>
      <c r="U17" s="20" t="n">
        <v>4</v>
      </c>
      <c r="V17" s="111" t="n"/>
      <c r="W17" s="112" t="n"/>
      <c r="X17" s="20" t="n">
        <v>61</v>
      </c>
      <c r="Y17" s="111" t="n"/>
      <c r="Z17" s="112" t="n"/>
      <c r="AA17" s="20" t="n">
        <v>53</v>
      </c>
      <c r="AB17" s="111" t="n"/>
      <c r="AC17" s="112" t="n"/>
      <c r="AD17" s="20" t="n">
        <v>0</v>
      </c>
      <c r="AE17" s="111" t="n"/>
      <c r="AF17" s="112" t="n"/>
      <c r="AG17" s="20" t="n">
        <v>3</v>
      </c>
      <c r="AH17" s="111" t="n"/>
      <c r="AI17" s="112" t="n"/>
      <c r="AJ17" s="20" t="n">
        <v>5</v>
      </c>
      <c r="AK17" s="111" t="n"/>
      <c r="AL17" s="112" t="n"/>
      <c r="AM17" s="134">
        <f>IFERROR((AA17+AD17+AJ17)/X17,0)</f>
        <v>0.950819672131</v>
      </c>
      <c r="AN17" s="111" t="n"/>
      <c r="AO17" s="112" t="n"/>
    </row>
    <row r="18" ht="19.5" customHeight="1" s="64">
      <c r="A18" s="20" t="n">
        <v>10</v>
      </c>
      <c r="B18" s="131" t="inlineStr">
        <is>
          <t>マスタ管理</t>
        </is>
      </c>
      <c r="C18" s="111" t="n"/>
      <c r="D18" s="111" t="n"/>
      <c r="E18" s="111" t="n"/>
      <c r="F18" s="111" t="n"/>
      <c r="G18" s="112" t="n"/>
      <c r="H18" s="132" t="inlineStr">
        <is>
          <t>管理支店マスタ明細検索画面</t>
        </is>
      </c>
      <c r="I18" s="111" t="n"/>
      <c r="J18" s="111" t="n"/>
      <c r="K18" s="111" t="n"/>
      <c r="L18" s="111" t="n"/>
      <c r="M18" s="112" t="n"/>
      <c r="N18" s="133" t="inlineStr">
        <is>
          <t>ACSMS-SCR-008</t>
        </is>
      </c>
      <c r="O18" s="20" t="n">
        <v>40</v>
      </c>
      <c r="P18" s="111" t="n"/>
      <c r="Q18" s="112" t="n"/>
      <c r="R18" s="20" t="n">
        <v>24</v>
      </c>
      <c r="S18" s="111" t="n"/>
      <c r="T18" s="112" t="n"/>
      <c r="U18" s="20" t="n">
        <v>4</v>
      </c>
      <c r="V18" s="111" t="n"/>
      <c r="W18" s="112" t="n"/>
      <c r="X18" s="20" t="n">
        <v>68</v>
      </c>
      <c r="Y18" s="111" t="n"/>
      <c r="Z18" s="112" t="n"/>
      <c r="AA18" s="20" t="n">
        <v>57</v>
      </c>
      <c r="AB18" s="111" t="n"/>
      <c r="AC18" s="112" t="n"/>
      <c r="AD18" s="20" t="n">
        <v>0</v>
      </c>
      <c r="AE18" s="111" t="n"/>
      <c r="AF18" s="112" t="n"/>
      <c r="AG18" s="20" t="n">
        <v>6</v>
      </c>
      <c r="AH18" s="111" t="n"/>
      <c r="AI18" s="112" t="n"/>
      <c r="AJ18" s="20" t="n">
        <v>4</v>
      </c>
      <c r="AK18" s="111" t="n"/>
      <c r="AL18" s="112" t="n"/>
      <c r="AM18" s="134">
        <f>IFERROR((AA18+AD18+AJ18)/X18,0)</f>
        <v>0.897058823529</v>
      </c>
      <c r="AN18" s="111" t="n"/>
      <c r="AO18" s="112" t="n"/>
    </row>
    <row r="19" ht="19.5" customHeight="1" s="64">
      <c r="A19" s="20" t="n">
        <v>11</v>
      </c>
      <c r="B19" s="131" t="inlineStr">
        <is>
          <t>マスタ管理</t>
        </is>
      </c>
      <c r="C19" s="111" t="n"/>
      <c r="D19" s="111" t="n"/>
      <c r="E19" s="111" t="n"/>
      <c r="F19" s="111" t="n"/>
      <c r="G19" s="112" t="n"/>
      <c r="H19" s="132" t="inlineStr">
        <is>
          <t>管理支店マスタ登録画面</t>
        </is>
      </c>
      <c r="I19" s="111" t="n"/>
      <c r="J19" s="111" t="n"/>
      <c r="K19" s="111" t="n"/>
      <c r="L19" s="111" t="n"/>
      <c r="M19" s="112" t="n"/>
      <c r="N19" s="133" t="inlineStr">
        <is>
          <t>ACSMS-SCR-009</t>
        </is>
      </c>
      <c r="O19" s="20" t="n">
        <v>34</v>
      </c>
      <c r="P19" s="111" t="n"/>
      <c r="Q19" s="112" t="n"/>
      <c r="R19" s="20" t="n">
        <v>33</v>
      </c>
      <c r="S19" s="111" t="n"/>
      <c r="T19" s="112" t="n"/>
      <c r="U19" s="20" t="n">
        <v>5</v>
      </c>
      <c r="V19" s="111" t="n"/>
      <c r="W19" s="112" t="n"/>
      <c r="X19" s="20" t="n">
        <v>72</v>
      </c>
      <c r="Y19" s="111" t="n"/>
      <c r="Z19" s="112" t="n"/>
      <c r="AA19" s="20" t="n">
        <v>72</v>
      </c>
      <c r="AB19" s="111" t="n"/>
      <c r="AC19" s="112" t="n"/>
      <c r="AD19" s="20" t="n">
        <v>0</v>
      </c>
      <c r="AE19" s="111" t="n"/>
      <c r="AF19" s="112" t="n"/>
      <c r="AG19" s="20" t="n">
        <v>0</v>
      </c>
      <c r="AH19" s="111" t="n"/>
      <c r="AI19" s="112" t="n"/>
      <c r="AJ19" s="20" t="n">
        <v>0</v>
      </c>
      <c r="AK19" s="111" t="n"/>
      <c r="AL19" s="112" t="n"/>
      <c r="AM19" s="134">
        <f>IFERROR((AA19+AD19+AJ19)/X19,0)</f>
        <v>1.0</v>
      </c>
      <c r="AN19" s="111" t="n"/>
      <c r="AO19" s="112" t="n"/>
    </row>
    <row r="20" ht="19.5" customHeight="1" s="64">
      <c r="A20" s="20" t="n">
        <v>12</v>
      </c>
      <c r="B20" s="131" t="inlineStr">
        <is>
          <t>マスタ管理</t>
        </is>
      </c>
      <c r="C20" s="111" t="n"/>
      <c r="D20" s="111" t="n"/>
      <c r="E20" s="111" t="n"/>
      <c r="F20" s="111" t="n"/>
      <c r="G20" s="112" t="n"/>
      <c r="H20" s="132" t="inlineStr">
        <is>
          <t>アカウントマスタ明細検索画面</t>
        </is>
      </c>
      <c r="I20" s="111" t="n"/>
      <c r="J20" s="111" t="n"/>
      <c r="K20" s="111" t="n"/>
      <c r="L20" s="111" t="n"/>
      <c r="M20" s="112" t="n"/>
      <c r="N20" s="133" t="inlineStr">
        <is>
          <t>ACSMS-SCR-024</t>
        </is>
      </c>
      <c r="O20" s="20" t="n">
        <v>29</v>
      </c>
      <c r="P20" s="111" t="n"/>
      <c r="Q20" s="112" t="n"/>
      <c r="R20" s="20" t="n">
        <v>14</v>
      </c>
      <c r="S20" s="111" t="n"/>
      <c r="T20" s="112" t="n"/>
      <c r="U20" s="20" t="n">
        <v>8</v>
      </c>
      <c r="V20" s="111" t="n"/>
      <c r="W20" s="112" t="n"/>
      <c r="X20" s="20" t="n">
        <v>51</v>
      </c>
      <c r="Y20" s="111" t="n"/>
      <c r="Z20" s="112" t="n"/>
      <c r="AA20" s="20" t="n">
        <v>48</v>
      </c>
      <c r="AB20" s="111" t="n"/>
      <c r="AC20" s="112" t="n"/>
      <c r="AD20" s="20" t="n">
        <v>0</v>
      </c>
      <c r="AE20" s="111" t="n"/>
      <c r="AF20" s="112" t="n"/>
      <c r="AG20" s="20" t="n">
        <v>2</v>
      </c>
      <c r="AH20" s="111" t="n"/>
      <c r="AI20" s="112" t="n"/>
      <c r="AJ20" s="20" t="n">
        <v>1</v>
      </c>
      <c r="AK20" s="111" t="n"/>
      <c r="AL20" s="112" t="n"/>
      <c r="AM20" s="134">
        <f>IFERROR((AA20+AD20+AJ20)/X20,0)</f>
        <v>0.960784313725</v>
      </c>
      <c r="AN20" s="111" t="n"/>
      <c r="AO20" s="112" t="n"/>
    </row>
    <row r="21" ht="19.5" customHeight="1" s="64">
      <c r="A21" s="20" t="n">
        <v>13</v>
      </c>
      <c r="B21" s="131" t="inlineStr">
        <is>
          <t>マスタ管理</t>
        </is>
      </c>
      <c r="C21" s="111" t="n"/>
      <c r="D21" s="111" t="n"/>
      <c r="E21" s="111" t="n"/>
      <c r="F21" s="111" t="n"/>
      <c r="G21" s="112" t="n"/>
      <c r="H21" s="132" t="inlineStr">
        <is>
          <t>アカウントマスタ登録画面</t>
        </is>
      </c>
      <c r="I21" s="111" t="n"/>
      <c r="J21" s="111" t="n"/>
      <c r="K21" s="111" t="n"/>
      <c r="L21" s="111" t="n"/>
      <c r="M21" s="112" t="n"/>
      <c r="N21" s="133" t="inlineStr">
        <is>
          <t>ACSMS-SCR-025</t>
        </is>
      </c>
      <c r="O21" s="20" t="n">
        <v>30</v>
      </c>
      <c r="P21" s="111" t="n"/>
      <c r="Q21" s="112" t="n"/>
      <c r="R21" s="20" t="n">
        <v>38</v>
      </c>
      <c r="S21" s="111" t="n"/>
      <c r="T21" s="112" t="n"/>
      <c r="U21" s="20" t="n">
        <v>0</v>
      </c>
      <c r="V21" s="111" t="n"/>
      <c r="W21" s="112" t="n"/>
      <c r="X21" s="20" t="n">
        <v>68</v>
      </c>
      <c r="Y21" s="111" t="n"/>
      <c r="Z21" s="112" t="n"/>
      <c r="AA21" s="20" t="n">
        <v>66</v>
      </c>
      <c r="AB21" s="111" t="n"/>
      <c r="AC21" s="112" t="n"/>
      <c r="AD21" s="20" t="n">
        <v>0</v>
      </c>
      <c r="AE21" s="111" t="n"/>
      <c r="AF21" s="112" t="n"/>
      <c r="AG21" s="20" t="n">
        <v>0</v>
      </c>
      <c r="AH21" s="111" t="n"/>
      <c r="AI21" s="112" t="n"/>
      <c r="AJ21" s="20" t="n">
        <v>2</v>
      </c>
      <c r="AK21" s="111" t="n"/>
      <c r="AL21" s="112" t="n"/>
      <c r="AM21" s="134">
        <f>IFERROR((AA21+AD21+AJ21)/X21,0)</f>
        <v>1.0</v>
      </c>
      <c r="AN21" s="111" t="n"/>
      <c r="AO21" s="112" t="n"/>
    </row>
    <row r="22" ht="19.5" customHeight="1" s="64">
      <c r="A22" s="20" t="n">
        <v>14</v>
      </c>
      <c r="B22" s="131" t="inlineStr">
        <is>
          <t>マスタ管理</t>
        </is>
      </c>
      <c r="C22" s="111" t="n"/>
      <c r="D22" s="111" t="n"/>
      <c r="E22" s="111" t="n"/>
      <c r="F22" s="111" t="n"/>
      <c r="G22" s="112" t="n"/>
      <c r="H22" s="132" t="inlineStr">
        <is>
          <t>ロール管理画面</t>
        </is>
      </c>
      <c r="I22" s="111" t="n"/>
      <c r="J22" s="111" t="n"/>
      <c r="K22" s="111" t="n"/>
      <c r="L22" s="111" t="n"/>
      <c r="M22" s="112" t="n"/>
      <c r="N22" s="133" t="inlineStr">
        <is>
          <t>ACSMS-SCR-027</t>
        </is>
      </c>
      <c r="O22" s="20" t="n">
        <v>21</v>
      </c>
      <c r="P22" s="111" t="n"/>
      <c r="Q22" s="112" t="n"/>
      <c r="R22" s="20" t="n">
        <v>17</v>
      </c>
      <c r="S22" s="111" t="n"/>
      <c r="T22" s="112" t="n"/>
      <c r="U22" s="20" t="n">
        <v>5</v>
      </c>
      <c r="V22" s="111" t="n"/>
      <c r="W22" s="112" t="n"/>
      <c r="X22" s="20" t="n">
        <v>43</v>
      </c>
      <c r="Y22" s="111" t="n"/>
      <c r="Z22" s="112" t="n"/>
      <c r="AA22" s="20" t="n">
        <v>39</v>
      </c>
      <c r="AB22" s="111" t="n"/>
      <c r="AC22" s="112" t="n"/>
      <c r="AD22" s="20" t="n">
        <v>0</v>
      </c>
      <c r="AE22" s="111" t="n"/>
      <c r="AF22" s="112" t="n"/>
      <c r="AG22" s="20" t="n">
        <v>2</v>
      </c>
      <c r="AH22" s="111" t="n"/>
      <c r="AI22" s="112" t="n"/>
      <c r="AJ22" s="20" t="n">
        <v>2</v>
      </c>
      <c r="AK22" s="111" t="n"/>
      <c r="AL22" s="112" t="n"/>
      <c r="AM22" s="134">
        <f>IFERROR((AA22+AD22+AJ22)/X22,0)</f>
        <v>0.953488372093</v>
      </c>
      <c r="AN22" s="111" t="n"/>
      <c r="AO22" s="112" t="n"/>
    </row>
    <row r="23" ht="19.5" customHeight="1" s="64">
      <c r="A23" s="20" t="n">
        <v>15</v>
      </c>
      <c r="B23" s="131" t="inlineStr">
        <is>
          <t>購読者管理</t>
        </is>
      </c>
      <c r="C23" s="111" t="n"/>
      <c r="D23" s="111" t="n"/>
      <c r="E23" s="111" t="n"/>
      <c r="F23" s="111" t="n"/>
      <c r="G23" s="112" t="n"/>
      <c r="H23" s="132" t="inlineStr">
        <is>
          <t>購読者情報登録画面</t>
        </is>
      </c>
      <c r="I23" s="111" t="n"/>
      <c r="J23" s="111" t="n"/>
      <c r="K23" s="111" t="n"/>
      <c r="L23" s="111" t="n"/>
      <c r="M23" s="112" t="n"/>
      <c r="N23" s="133" t="inlineStr">
        <is>
          <t>ACSMS-SCR-011</t>
        </is>
      </c>
      <c r="O23" s="20" t="n">
        <v>25</v>
      </c>
      <c r="P23" s="111" t="n"/>
      <c r="Q23" s="112" t="n"/>
      <c r="R23" s="20" t="n">
        <v>27</v>
      </c>
      <c r="S23" s="111" t="n"/>
      <c r="T23" s="112" t="n"/>
      <c r="U23" s="20" t="n">
        <v>0</v>
      </c>
      <c r="V23" s="111" t="n"/>
      <c r="W23" s="112" t="n"/>
      <c r="X23" s="20" t="n">
        <v>52</v>
      </c>
      <c r="Y23" s="111" t="n"/>
      <c r="Z23" s="112" t="n"/>
      <c r="AA23" s="20" t="n">
        <v>40</v>
      </c>
      <c r="AB23" s="111" t="n"/>
      <c r="AC23" s="112" t="n"/>
      <c r="AD23" s="20" t="n">
        <v>0</v>
      </c>
      <c r="AE23" s="111" t="n"/>
      <c r="AF23" s="112" t="n"/>
      <c r="AG23" s="20" t="n">
        <v>0</v>
      </c>
      <c r="AH23" s="111" t="n"/>
      <c r="AI23" s="112" t="n"/>
      <c r="AJ23" s="20" t="n">
        <v>12</v>
      </c>
      <c r="AK23" s="111" t="n"/>
      <c r="AL23" s="112" t="n"/>
      <c r="AM23" s="134">
        <f>IFERROR((AA23+AD23+AJ23)/X23,0)</f>
        <v>1.0</v>
      </c>
      <c r="AN23" s="111" t="n"/>
      <c r="AO23" s="112" t="n"/>
    </row>
    <row r="24" ht="19.5" customHeight="1" s="64">
      <c r="A24" s="20" t="n">
        <v>16</v>
      </c>
      <c r="B24" s="131" t="inlineStr">
        <is>
          <t>購読者管理</t>
        </is>
      </c>
      <c r="C24" s="111" t="n"/>
      <c r="D24" s="111" t="n"/>
      <c r="E24" s="111" t="n"/>
      <c r="F24" s="111" t="n"/>
      <c r="G24" s="112" t="n"/>
      <c r="H24" s="132" t="inlineStr">
        <is>
          <t>購読者履歴情報画面</t>
        </is>
      </c>
      <c r="I24" s="111" t="n"/>
      <c r="J24" s="111" t="n"/>
      <c r="K24" s="111" t="n"/>
      <c r="L24" s="111" t="n"/>
      <c r="M24" s="112" t="n"/>
      <c r="N24" s="133" t="inlineStr">
        <is>
          <t>ACSMS-SCR-013</t>
        </is>
      </c>
      <c r="O24" s="20" t="n">
        <v>16</v>
      </c>
      <c r="P24" s="111" t="n"/>
      <c r="Q24" s="112" t="n"/>
      <c r="R24" s="20" t="n">
        <v>15</v>
      </c>
      <c r="S24" s="111" t="n"/>
      <c r="T24" s="112" t="n"/>
      <c r="U24" s="20" t="n">
        <v>2</v>
      </c>
      <c r="V24" s="111" t="n"/>
      <c r="W24" s="112" t="n"/>
      <c r="X24" s="20" t="n">
        <v>33</v>
      </c>
      <c r="Y24" s="111" t="n"/>
      <c r="Z24" s="112" t="n"/>
      <c r="AA24" s="20" t="n">
        <v>23</v>
      </c>
      <c r="AB24" s="111" t="n"/>
      <c r="AC24" s="112" t="n"/>
      <c r="AD24" s="20" t="n">
        <v>0</v>
      </c>
      <c r="AE24" s="111" t="n"/>
      <c r="AF24" s="112" t="n"/>
      <c r="AG24" s="20" t="n">
        <v>1</v>
      </c>
      <c r="AH24" s="111" t="n"/>
      <c r="AI24" s="112" t="n"/>
      <c r="AJ24" s="20" t="n">
        <v>9</v>
      </c>
      <c r="AK24" s="111" t="n"/>
      <c r="AL24" s="112" t="n"/>
      <c r="AM24" s="134">
        <f>IFERROR((AA24+AD24+AJ24)/X24,0)</f>
        <v>0.969696969697</v>
      </c>
      <c r="AN24" s="111" t="n"/>
      <c r="AO24" s="112" t="n"/>
    </row>
    <row r="25" ht="19.5" customHeight="1" s="64">
      <c r="A25" s="20" t="n">
        <v>17</v>
      </c>
      <c r="B25" s="131" t="inlineStr">
        <is>
          <t>購読者管理</t>
        </is>
      </c>
      <c r="C25" s="111" t="n"/>
      <c r="D25" s="111" t="n"/>
      <c r="E25" s="111" t="n"/>
      <c r="F25" s="111" t="n"/>
      <c r="G25" s="112" t="n"/>
      <c r="H25" s="132" t="inlineStr">
        <is>
          <t>購読者明細検索画面</t>
        </is>
      </c>
      <c r="I25" s="111" t="n"/>
      <c r="J25" s="111" t="n"/>
      <c r="K25" s="111" t="n"/>
      <c r="L25" s="111" t="n"/>
      <c r="M25" s="112" t="n"/>
      <c r="N25" s="133" t="inlineStr">
        <is>
          <t>ACSMS-SCR-014</t>
        </is>
      </c>
      <c r="O25" s="20" t="n">
        <v>28</v>
      </c>
      <c r="P25" s="111" t="n"/>
      <c r="Q25" s="112" t="n"/>
      <c r="R25" s="20" t="n">
        <v>19</v>
      </c>
      <c r="S25" s="111" t="n"/>
      <c r="T25" s="112" t="n"/>
      <c r="U25" s="20" t="n">
        <v>3</v>
      </c>
      <c r="V25" s="111" t="n"/>
      <c r="W25" s="112" t="n"/>
      <c r="X25" s="20" t="n">
        <v>50</v>
      </c>
      <c r="Y25" s="111" t="n"/>
      <c r="Z25" s="112" t="n"/>
      <c r="AA25" s="20" t="n">
        <v>42</v>
      </c>
      <c r="AB25" s="111" t="n"/>
      <c r="AC25" s="112" t="n"/>
      <c r="AD25" s="20" t="n">
        <v>0</v>
      </c>
      <c r="AE25" s="111" t="n"/>
      <c r="AF25" s="112" t="n"/>
      <c r="AG25" s="20" t="n">
        <v>3</v>
      </c>
      <c r="AH25" s="111" t="n"/>
      <c r="AI25" s="112" t="n"/>
      <c r="AJ25" s="20" t="n">
        <v>5</v>
      </c>
      <c r="AK25" s="111" t="n"/>
      <c r="AL25" s="112" t="n"/>
      <c r="AM25" s="134">
        <f>IFERROR((AA25+AD25+AJ25)/X25,0)</f>
        <v>0.94</v>
      </c>
      <c r="AN25" s="111" t="n"/>
      <c r="AO25" s="112" t="n"/>
    </row>
    <row r="26" ht="19.5" customHeight="1" s="64">
      <c r="A26" s="20" t="n">
        <v>18</v>
      </c>
      <c r="B26" s="131" t="inlineStr">
        <is>
          <t>購読者管理</t>
        </is>
      </c>
      <c r="C26" s="111" t="n"/>
      <c r="D26" s="111" t="n"/>
      <c r="E26" s="111" t="n"/>
      <c r="F26" s="111" t="n"/>
      <c r="G26" s="112" t="n"/>
      <c r="H26" s="132" t="inlineStr">
        <is>
          <t>購読者販売店一括置換画面</t>
        </is>
      </c>
      <c r="I26" s="111" t="n"/>
      <c r="J26" s="111" t="n"/>
      <c r="K26" s="111" t="n"/>
      <c r="L26" s="111" t="n"/>
      <c r="M26" s="112" t="n"/>
      <c r="N26" s="133" t="inlineStr">
        <is>
          <t>ACSMS-SCR-015</t>
        </is>
      </c>
      <c r="O26" s="20" t="n">
        <v>26</v>
      </c>
      <c r="P26" s="111" t="n"/>
      <c r="Q26" s="112" t="n"/>
      <c r="R26" s="20" t="n">
        <v>19</v>
      </c>
      <c r="S26" s="111" t="n"/>
      <c r="T26" s="112" t="n"/>
      <c r="U26" s="20" t="n">
        <v>5</v>
      </c>
      <c r="V26" s="111" t="n"/>
      <c r="W26" s="112" t="n"/>
      <c r="X26" s="20" t="n">
        <v>50</v>
      </c>
      <c r="Y26" s="111" t="n"/>
      <c r="Z26" s="112" t="n"/>
      <c r="AA26" s="20" t="n">
        <v>43</v>
      </c>
      <c r="AB26" s="111" t="n"/>
      <c r="AC26" s="112" t="n"/>
      <c r="AD26" s="20" t="n">
        <v>0</v>
      </c>
      <c r="AE26" s="111" t="n"/>
      <c r="AF26" s="112" t="n"/>
      <c r="AG26" s="20" t="n">
        <v>5</v>
      </c>
      <c r="AH26" s="111" t="n"/>
      <c r="AI26" s="112" t="n"/>
      <c r="AJ26" s="20" t="n">
        <v>2</v>
      </c>
      <c r="AK26" s="111" t="n"/>
      <c r="AL26" s="112" t="n"/>
      <c r="AM26" s="134">
        <f>IFERROR((AA26+AD26+AJ26)/X26,0)</f>
        <v>0.9</v>
      </c>
      <c r="AN26" s="111" t="n"/>
      <c r="AO26" s="112" t="n"/>
    </row>
    <row r="27" ht="19.5" customHeight="1" s="64">
      <c r="A27" s="20" t="n">
        <v>19</v>
      </c>
      <c r="B27" s="131" t="inlineStr">
        <is>
          <t>購読者管理</t>
        </is>
      </c>
      <c r="C27" s="111" t="n"/>
      <c r="D27" s="111" t="n"/>
      <c r="E27" s="111" t="n"/>
      <c r="F27" s="111" t="n"/>
      <c r="G27" s="112" t="n"/>
      <c r="H27" s="132" t="inlineStr">
        <is>
          <t>購読者Excelデータ取込画面</t>
        </is>
      </c>
      <c r="I27" s="111" t="n"/>
      <c r="J27" s="111" t="n"/>
      <c r="K27" s="111" t="n"/>
      <c r="L27" s="111" t="n"/>
      <c r="M27" s="112" t="n"/>
      <c r="N27" s="133" t="inlineStr">
        <is>
          <t>ACSMS-SCR-016</t>
        </is>
      </c>
      <c r="O27" s="20" t="n">
        <v>35</v>
      </c>
      <c r="P27" s="111" t="n"/>
      <c r="Q27" s="112" t="n"/>
      <c r="R27" s="20" t="n">
        <v>35</v>
      </c>
      <c r="S27" s="111" t="n"/>
      <c r="T27" s="112" t="n"/>
      <c r="U27" s="20" t="n">
        <v>7</v>
      </c>
      <c r="V27" s="111" t="n"/>
      <c r="W27" s="112" t="n"/>
      <c r="X27" s="20" t="n">
        <v>77</v>
      </c>
      <c r="Y27" s="111" t="n"/>
      <c r="Z27" s="112" t="n"/>
      <c r="AA27" s="20" t="n">
        <v>77</v>
      </c>
      <c r="AB27" s="111" t="n"/>
      <c r="AC27" s="112" t="n"/>
      <c r="AD27" s="20" t="n">
        <v>0</v>
      </c>
      <c r="AE27" s="111" t="n"/>
      <c r="AF27" s="112" t="n"/>
      <c r="AG27" s="20" t="n">
        <v>0</v>
      </c>
      <c r="AH27" s="111" t="n"/>
      <c r="AI27" s="112" t="n"/>
      <c r="AJ27" s="20" t="n">
        <v>0</v>
      </c>
      <c r="AK27" s="111" t="n"/>
      <c r="AL27" s="112" t="n"/>
      <c r="AM27" s="134">
        <f>IFERROR((AA27+AD27+AJ27)/X27,0)</f>
        <v>1.0</v>
      </c>
      <c r="AN27" s="111" t="n"/>
      <c r="AO27" s="112" t="n"/>
    </row>
    <row r="28" ht="19.5" customHeight="1" s="64">
      <c r="A28" s="20" t="n">
        <v>20</v>
      </c>
      <c r="B28" s="131" t="inlineStr">
        <is>
          <t>販売店管理</t>
        </is>
      </c>
      <c r="C28" s="111" t="n"/>
      <c r="D28" s="111" t="n"/>
      <c r="E28" s="111" t="n"/>
      <c r="F28" s="111" t="n"/>
      <c r="G28" s="112" t="n"/>
      <c r="H28" s="132" t="inlineStr">
        <is>
          <t>販売店情報登録画面</t>
        </is>
      </c>
      <c r="I28" s="111" t="n"/>
      <c r="J28" s="111" t="n"/>
      <c r="K28" s="111" t="n"/>
      <c r="L28" s="111" t="n"/>
      <c r="M28" s="112" t="n"/>
      <c r="N28" s="133" t="inlineStr">
        <is>
          <t>ACSMS-SCR-017</t>
        </is>
      </c>
      <c r="O28" s="20" t="n">
        <v>26</v>
      </c>
      <c r="P28" s="111" t="n"/>
      <c r="Q28" s="112" t="n"/>
      <c r="R28" s="20" t="n">
        <v>31</v>
      </c>
      <c r="S28" s="111" t="n"/>
      <c r="T28" s="112" t="n"/>
      <c r="U28" s="20" t="n">
        <v>13</v>
      </c>
      <c r="V28" s="111" t="n"/>
      <c r="W28" s="112" t="n"/>
      <c r="X28" s="20" t="n">
        <v>70</v>
      </c>
      <c r="Y28" s="111" t="n"/>
      <c r="Z28" s="112" t="n"/>
      <c r="AA28" s="20" t="n">
        <v>67</v>
      </c>
      <c r="AB28" s="111" t="n"/>
      <c r="AC28" s="112" t="n"/>
      <c r="AD28" s="20" t="n">
        <v>0</v>
      </c>
      <c r="AE28" s="111" t="n"/>
      <c r="AF28" s="112" t="n"/>
      <c r="AG28" s="20" t="n">
        <v>1</v>
      </c>
      <c r="AH28" s="111" t="n"/>
      <c r="AI28" s="112" t="n"/>
      <c r="AJ28" s="20" t="n">
        <v>2</v>
      </c>
      <c r="AK28" s="111" t="n"/>
      <c r="AL28" s="112" t="n"/>
      <c r="AM28" s="134">
        <f>IFERROR((AA28+AD28+AJ28)/X28,0)</f>
        <v>0.985714285714</v>
      </c>
      <c r="AN28" s="111" t="n"/>
      <c r="AO28" s="112" t="n"/>
    </row>
    <row r="29" ht="19.5" customHeight="1" s="64">
      <c r="A29" s="20" t="n">
        <v>21</v>
      </c>
      <c r="B29" s="131" t="inlineStr">
        <is>
          <t>販売店管理</t>
        </is>
      </c>
      <c r="C29" s="111" t="n"/>
      <c r="D29" s="111" t="n"/>
      <c r="E29" s="111" t="n"/>
      <c r="F29" s="111" t="n"/>
      <c r="G29" s="112" t="n"/>
      <c r="H29" s="132" t="inlineStr">
        <is>
          <t>販売店明細検索画面</t>
        </is>
      </c>
      <c r="I29" s="111" t="n"/>
      <c r="J29" s="111" t="n"/>
      <c r="K29" s="111" t="n"/>
      <c r="L29" s="111" t="n"/>
      <c r="M29" s="112" t="n"/>
      <c r="N29" s="133" t="inlineStr">
        <is>
          <t>ACSMS-SCR-018</t>
        </is>
      </c>
      <c r="O29" s="20" t="n">
        <v>38</v>
      </c>
      <c r="P29" s="111" t="n"/>
      <c r="Q29" s="112" t="n"/>
      <c r="R29" s="20" t="n">
        <v>12</v>
      </c>
      <c r="S29" s="111" t="n"/>
      <c r="T29" s="112" t="n"/>
      <c r="U29" s="20" t="n">
        <v>3</v>
      </c>
      <c r="V29" s="111" t="n"/>
      <c r="W29" s="112" t="n"/>
      <c r="X29" s="20" t="n">
        <v>53</v>
      </c>
      <c r="Y29" s="111" t="n"/>
      <c r="Z29" s="112" t="n"/>
      <c r="AA29" s="20" t="n">
        <v>51</v>
      </c>
      <c r="AB29" s="111" t="n"/>
      <c r="AC29" s="112" t="n"/>
      <c r="AD29" s="20" t="n">
        <v>0</v>
      </c>
      <c r="AE29" s="111" t="n"/>
      <c r="AF29" s="112" t="n"/>
      <c r="AG29" s="20" t="n">
        <v>2</v>
      </c>
      <c r="AH29" s="111" t="n"/>
      <c r="AI29" s="112" t="n"/>
      <c r="AJ29" s="20" t="n">
        <v>0</v>
      </c>
      <c r="AK29" s="111" t="n"/>
      <c r="AL29" s="112" t="n"/>
      <c r="AM29" s="134">
        <f>IFERROR((AA29+AD29+AJ29)/X29,0)</f>
        <v>0.962264150943</v>
      </c>
      <c r="AN29" s="111" t="n"/>
      <c r="AO29" s="112" t="n"/>
    </row>
    <row r="30" ht="19.5" customHeight="1" s="64">
      <c r="A30" s="20" t="n">
        <v>22</v>
      </c>
      <c r="B30" s="131" t="inlineStr">
        <is>
          <t>販売店管理</t>
        </is>
      </c>
      <c r="C30" s="111" t="n"/>
      <c r="D30" s="111" t="n"/>
      <c r="E30" s="111" t="n"/>
      <c r="F30" s="111" t="n"/>
      <c r="G30" s="112" t="n"/>
      <c r="H30" s="132" t="inlineStr">
        <is>
          <t>販売店Excelデータ取込画面</t>
        </is>
      </c>
      <c r="I30" s="111" t="n"/>
      <c r="J30" s="111" t="n"/>
      <c r="K30" s="111" t="n"/>
      <c r="L30" s="111" t="n"/>
      <c r="M30" s="112" t="n"/>
      <c r="N30" s="133" t="inlineStr">
        <is>
          <t>ACSMS-SCR-019</t>
        </is>
      </c>
      <c r="O30" s="20" t="n">
        <v>24</v>
      </c>
      <c r="P30" s="111" t="n"/>
      <c r="Q30" s="112" t="n"/>
      <c r="R30" s="20" t="n">
        <v>20</v>
      </c>
      <c r="S30" s="111" t="n"/>
      <c r="T30" s="112" t="n"/>
      <c r="U30" s="20" t="n">
        <v>3</v>
      </c>
      <c r="V30" s="111" t="n"/>
      <c r="W30" s="112" t="n"/>
      <c r="X30" s="20" t="n">
        <v>47</v>
      </c>
      <c r="Y30" s="111" t="n"/>
      <c r="Z30" s="112" t="n"/>
      <c r="AA30" s="20" t="n">
        <v>47</v>
      </c>
      <c r="AB30" s="111" t="n"/>
      <c r="AC30" s="112" t="n"/>
      <c r="AD30" s="20" t="n">
        <v>0</v>
      </c>
      <c r="AE30" s="111" t="n"/>
      <c r="AF30" s="112" t="n"/>
      <c r="AG30" s="20" t="n">
        <v>0</v>
      </c>
      <c r="AH30" s="111" t="n"/>
      <c r="AI30" s="112" t="n"/>
      <c r="AJ30" s="20" t="n">
        <v>0</v>
      </c>
      <c r="AK30" s="111" t="n"/>
      <c r="AL30" s="112" t="n"/>
      <c r="AM30" s="134">
        <f>IFERROR((AA30+AD30+AJ30)/X30,0)</f>
        <v>1.0</v>
      </c>
      <c r="AN30" s="111" t="n"/>
      <c r="AO30" s="112" t="n"/>
    </row>
    <row r="31" ht="19.5" customHeight="1" s="64">
      <c r="A31" s="20" t="n">
        <v>23</v>
      </c>
      <c r="B31" s="131" t="inlineStr">
        <is>
          <t>帳票・データ出力</t>
        </is>
      </c>
      <c r="C31" s="111" t="n"/>
      <c r="D31" s="111" t="n"/>
      <c r="E31" s="111" t="n"/>
      <c r="F31" s="111" t="n"/>
      <c r="G31" s="112" t="n"/>
      <c r="H31" s="132" t="inlineStr">
        <is>
          <t>口座振替データ出力画面</t>
        </is>
      </c>
      <c r="I31" s="111" t="n"/>
      <c r="J31" s="111" t="n"/>
      <c r="K31" s="111" t="n"/>
      <c r="L31" s="111" t="n"/>
      <c r="M31" s="112" t="n"/>
      <c r="N31" s="133" t="inlineStr">
        <is>
          <t>ACSMS-SCR-020</t>
        </is>
      </c>
      <c r="O31" s="20" t="n">
        <v>25</v>
      </c>
      <c r="P31" s="111" t="n"/>
      <c r="Q31" s="112" t="n"/>
      <c r="R31" s="20" t="n">
        <v>25</v>
      </c>
      <c r="S31" s="111" t="n"/>
      <c r="T31" s="112" t="n"/>
      <c r="U31" s="20" t="n">
        <v>7</v>
      </c>
      <c r="V31" s="111" t="n"/>
      <c r="W31" s="112" t="n"/>
      <c r="X31" s="20" t="n">
        <v>57</v>
      </c>
      <c r="Y31" s="111" t="n"/>
      <c r="Z31" s="112" t="n"/>
      <c r="AA31" s="20" t="n">
        <v>45</v>
      </c>
      <c r="AB31" s="111" t="n"/>
      <c r="AC31" s="112" t="n"/>
      <c r="AD31" s="20" t="n">
        <v>0</v>
      </c>
      <c r="AE31" s="111" t="n"/>
      <c r="AF31" s="112" t="n"/>
      <c r="AG31" s="20" t="n">
        <v>0</v>
      </c>
      <c r="AH31" s="111" t="n"/>
      <c r="AI31" s="112" t="n"/>
      <c r="AJ31" s="20" t="n">
        <v>12</v>
      </c>
      <c r="AK31" s="111" t="n"/>
      <c r="AL31" s="112" t="n"/>
      <c r="AM31" s="134">
        <f>IFERROR((AA31+AD31+AJ31)/X31,0)</f>
        <v>1.0</v>
      </c>
      <c r="AN31" s="111" t="n"/>
      <c r="AO31" s="112" t="n"/>
    </row>
    <row r="32" ht="19.5" customHeight="1" s="64">
      <c r="A32" s="20" t="n">
        <v>24</v>
      </c>
      <c r="B32" s="131" t="inlineStr">
        <is>
          <t>帳票・データ出力</t>
        </is>
      </c>
      <c r="C32" s="111" t="n"/>
      <c r="D32" s="111" t="n"/>
      <c r="E32" s="111" t="n"/>
      <c r="F32" s="111" t="n"/>
      <c r="G32" s="112" t="n"/>
      <c r="H32" s="132" t="inlineStr">
        <is>
          <t>配達手数料支払情報出力画面</t>
        </is>
      </c>
      <c r="I32" s="111" t="n"/>
      <c r="J32" s="111" t="n"/>
      <c r="K32" s="111" t="n"/>
      <c r="L32" s="111" t="n"/>
      <c r="M32" s="112" t="n"/>
      <c r="N32" s="133" t="inlineStr">
        <is>
          <t>ACSMS-SCR-021</t>
        </is>
      </c>
      <c r="O32" s="20" t="n">
        <v>24</v>
      </c>
      <c r="P32" s="111" t="n"/>
      <c r="Q32" s="112" t="n"/>
      <c r="R32" s="20" t="n">
        <v>17</v>
      </c>
      <c r="S32" s="111" t="n"/>
      <c r="T32" s="112" t="n"/>
      <c r="U32" s="20" t="n">
        <v>1</v>
      </c>
      <c r="V32" s="111" t="n"/>
      <c r="W32" s="112" t="n"/>
      <c r="X32" s="20" t="n">
        <v>42</v>
      </c>
      <c r="Y32" s="111" t="n"/>
      <c r="Z32" s="112" t="n"/>
      <c r="AA32" s="20" t="n">
        <v>36</v>
      </c>
      <c r="AB32" s="111" t="n"/>
      <c r="AC32" s="112" t="n"/>
      <c r="AD32" s="20" t="n">
        <v>0</v>
      </c>
      <c r="AE32" s="111" t="n"/>
      <c r="AF32" s="112" t="n"/>
      <c r="AG32" s="20" t="n">
        <v>0</v>
      </c>
      <c r="AH32" s="111" t="n"/>
      <c r="AI32" s="112" t="n"/>
      <c r="AJ32" s="20" t="n">
        <v>6</v>
      </c>
      <c r="AK32" s="111" t="n"/>
      <c r="AL32" s="112" t="n"/>
      <c r="AM32" s="134">
        <f>IFERROR((AA32+AD32+AJ32)/X32,0)</f>
        <v>1.0</v>
      </c>
      <c r="AN32" s="111" t="n"/>
      <c r="AO32" s="112" t="n"/>
    </row>
    <row r="33" ht="19.5" customHeight="1" s="64">
      <c r="A33" s="20" t="n">
        <v>25</v>
      </c>
      <c r="B33" s="131" t="inlineStr">
        <is>
          <t>帳票・データ出力</t>
        </is>
      </c>
      <c r="C33" s="111" t="n"/>
      <c r="D33" s="111" t="n"/>
      <c r="E33" s="111" t="n"/>
      <c r="F33" s="111" t="n"/>
      <c r="G33" s="112" t="n"/>
      <c r="H33" s="132" t="inlineStr">
        <is>
          <t>購読者名簿出力画面</t>
        </is>
      </c>
      <c r="I33" s="111" t="n"/>
      <c r="J33" s="111" t="n"/>
      <c r="K33" s="111" t="n"/>
      <c r="L33" s="111" t="n"/>
      <c r="M33" s="112" t="n"/>
      <c r="N33" s="133" t="inlineStr">
        <is>
          <t>ACSMS-SCR-026</t>
        </is>
      </c>
      <c r="O33" s="20" t="n">
        <v>25</v>
      </c>
      <c r="P33" s="111" t="n"/>
      <c r="Q33" s="112" t="n"/>
      <c r="R33" s="20" t="n">
        <v>19</v>
      </c>
      <c r="S33" s="111" t="n"/>
      <c r="T33" s="112" t="n"/>
      <c r="U33" s="20" t="n">
        <v>0</v>
      </c>
      <c r="V33" s="111" t="n"/>
      <c r="W33" s="112" t="n"/>
      <c r="X33" s="20" t="n">
        <v>44</v>
      </c>
      <c r="Y33" s="111" t="n"/>
      <c r="Z33" s="112" t="n"/>
      <c r="AA33" s="20" t="n">
        <v>44</v>
      </c>
      <c r="AB33" s="111" t="n"/>
      <c r="AC33" s="112" t="n"/>
      <c r="AD33" s="20" t="n">
        <v>0</v>
      </c>
      <c r="AE33" s="111" t="n"/>
      <c r="AF33" s="112" t="n"/>
      <c r="AG33" s="20" t="n">
        <v>0</v>
      </c>
      <c r="AH33" s="111" t="n"/>
      <c r="AI33" s="112" t="n"/>
      <c r="AJ33" s="20" t="n">
        <v>0</v>
      </c>
      <c r="AK33" s="111" t="n"/>
      <c r="AL33" s="112" t="n"/>
      <c r="AM33" s="134">
        <f>IFERROR((AA33+AD33+AJ33)/X33,0)</f>
        <v>1.0</v>
      </c>
      <c r="AN33" s="111" t="n"/>
      <c r="AO33" s="112" t="n"/>
    </row>
    <row r="34" ht="19.5" customHeight="1" s="64">
      <c r="A34" s="20" t="n">
        <v>26</v>
      </c>
      <c r="B34" s="131" t="inlineStr">
        <is>
          <t>帳票・データ出力</t>
        </is>
      </c>
      <c r="C34" s="111" t="n"/>
      <c r="D34" s="111" t="n"/>
      <c r="E34" s="111" t="n"/>
      <c r="F34" s="111" t="n"/>
      <c r="G34" s="112" t="n"/>
      <c r="H34" s="132" t="inlineStr">
        <is>
          <t>増減連絡票（販売店）出力画面</t>
        </is>
      </c>
      <c r="I34" s="111" t="n"/>
      <c r="J34" s="111" t="n"/>
      <c r="K34" s="111" t="n"/>
      <c r="L34" s="111" t="n"/>
      <c r="M34" s="112" t="n"/>
      <c r="N34" s="133" t="inlineStr">
        <is>
          <t>ACSMS-SCR-028</t>
        </is>
      </c>
      <c r="O34" s="20" t="n">
        <v>29</v>
      </c>
      <c r="P34" s="111" t="n"/>
      <c r="Q34" s="112" t="n"/>
      <c r="R34" s="20" t="n">
        <v>18</v>
      </c>
      <c r="S34" s="111" t="n"/>
      <c r="T34" s="112" t="n"/>
      <c r="U34" s="20" t="n">
        <v>0</v>
      </c>
      <c r="V34" s="111" t="n"/>
      <c r="W34" s="112" t="n"/>
      <c r="X34" s="20" t="n">
        <v>47</v>
      </c>
      <c r="Y34" s="111" t="n"/>
      <c r="Z34" s="112" t="n"/>
      <c r="AA34" s="20" t="n">
        <v>46</v>
      </c>
      <c r="AB34" s="111" t="n"/>
      <c r="AC34" s="112" t="n"/>
      <c r="AD34" s="20" t="n">
        <v>0</v>
      </c>
      <c r="AE34" s="111" t="n"/>
      <c r="AF34" s="112" t="n"/>
      <c r="AG34" s="20" t="n">
        <v>0</v>
      </c>
      <c r="AH34" s="111" t="n"/>
      <c r="AI34" s="112" t="n"/>
      <c r="AJ34" s="20" t="n">
        <v>1</v>
      </c>
      <c r="AK34" s="111" t="n"/>
      <c r="AL34" s="112" t="n"/>
      <c r="AM34" s="134">
        <f>IFERROR((AA34+AD34+AJ34)/X34,0)</f>
        <v>1.0</v>
      </c>
      <c r="AN34" s="111" t="n"/>
      <c r="AO34" s="112" t="n"/>
    </row>
    <row r="35" ht="19.5" customHeight="1" s="64">
      <c r="A35" s="20" t="n">
        <v>27</v>
      </c>
      <c r="B35" s="131" t="inlineStr">
        <is>
          <t>帳票・データ出力</t>
        </is>
      </c>
      <c r="C35" s="111" t="n"/>
      <c r="D35" s="111" t="n"/>
      <c r="E35" s="111" t="n"/>
      <c r="F35" s="111" t="n"/>
      <c r="G35" s="112" t="n"/>
      <c r="H35" s="132" t="inlineStr">
        <is>
          <t>増減通知（日本農業新聞）出力画面</t>
        </is>
      </c>
      <c r="I35" s="111" t="n"/>
      <c r="J35" s="111" t="n"/>
      <c r="K35" s="111" t="n"/>
      <c r="L35" s="111" t="n"/>
      <c r="M35" s="112" t="n"/>
      <c r="N35" s="133" t="inlineStr">
        <is>
          <t>ACSMS-SCR-029</t>
        </is>
      </c>
      <c r="O35" s="20" t="n">
        <v>29</v>
      </c>
      <c r="P35" s="111" t="n"/>
      <c r="Q35" s="112" t="n"/>
      <c r="R35" s="20" t="n">
        <v>18</v>
      </c>
      <c r="S35" s="111" t="n"/>
      <c r="T35" s="112" t="n"/>
      <c r="U35" s="20" t="n">
        <v>1</v>
      </c>
      <c r="V35" s="111" t="n"/>
      <c r="W35" s="112" t="n"/>
      <c r="X35" s="20" t="n">
        <v>48</v>
      </c>
      <c r="Y35" s="111" t="n"/>
      <c r="Z35" s="112" t="n"/>
      <c r="AA35" s="20" t="n">
        <v>47</v>
      </c>
      <c r="AB35" s="111" t="n"/>
      <c r="AC35" s="112" t="n"/>
      <c r="AD35" s="20" t="n">
        <v>0</v>
      </c>
      <c r="AE35" s="111" t="n"/>
      <c r="AF35" s="112" t="n"/>
      <c r="AG35" s="20" t="n">
        <v>0</v>
      </c>
      <c r="AH35" s="111" t="n"/>
      <c r="AI35" s="112" t="n"/>
      <c r="AJ35" s="20" t="n">
        <v>1</v>
      </c>
      <c r="AK35" s="111" t="n"/>
      <c r="AL35" s="112" t="n"/>
      <c r="AM35" s="134">
        <f>IFERROR((AA35+AD35+AJ35)/X35,0)</f>
        <v>1.0</v>
      </c>
      <c r="AN35" s="111" t="n"/>
      <c r="AO35" s="112" t="n"/>
    </row>
    <row r="36" ht="19.5" customHeight="1" s="64">
      <c r="A36" s="20" t="n">
        <v>28</v>
      </c>
      <c r="B36" s="131" t="inlineStr">
        <is>
          <t>ファイル管理</t>
        </is>
      </c>
      <c r="C36" s="111" t="n"/>
      <c r="D36" s="111" t="n"/>
      <c r="E36" s="111" t="n"/>
      <c r="F36" s="111" t="n"/>
      <c r="G36" s="112" t="n"/>
      <c r="H36" s="132" t="inlineStr">
        <is>
          <t>ファイルダウンロード画面</t>
        </is>
      </c>
      <c r="I36" s="111" t="n"/>
      <c r="J36" s="111" t="n"/>
      <c r="K36" s="111" t="n"/>
      <c r="L36" s="111" t="n"/>
      <c r="M36" s="112" t="n"/>
      <c r="N36" s="133" t="inlineStr">
        <is>
          <t>ACSMS-SCR-022</t>
        </is>
      </c>
      <c r="O36" s="20" t="n">
        <v>44</v>
      </c>
      <c r="P36" s="111" t="n"/>
      <c r="Q36" s="112" t="n"/>
      <c r="R36" s="20" t="n">
        <v>31</v>
      </c>
      <c r="S36" s="111" t="n"/>
      <c r="T36" s="112" t="n"/>
      <c r="U36" s="20" t="n">
        <v>6</v>
      </c>
      <c r="V36" s="111" t="n"/>
      <c r="W36" s="112" t="n"/>
      <c r="X36" s="20" t="n">
        <v>81</v>
      </c>
      <c r="Y36" s="111" t="n"/>
      <c r="Z36" s="112" t="n"/>
      <c r="AA36" s="20" t="n">
        <v>77</v>
      </c>
      <c r="AB36" s="111" t="n"/>
      <c r="AC36" s="112" t="n"/>
      <c r="AD36" s="20" t="n">
        <v>0</v>
      </c>
      <c r="AE36" s="111" t="n"/>
      <c r="AF36" s="112" t="n"/>
      <c r="AG36" s="20" t="n">
        <v>0</v>
      </c>
      <c r="AH36" s="111" t="n"/>
      <c r="AI36" s="112" t="n"/>
      <c r="AJ36" s="20" t="n">
        <v>4</v>
      </c>
      <c r="AK36" s="111" t="n"/>
      <c r="AL36" s="112" t="n"/>
      <c r="AM36" s="134">
        <f>IFERROR((AA36+AD36+AJ36)/X36,0)</f>
        <v>1.0</v>
      </c>
      <c r="AN36" s="111" t="n"/>
      <c r="AO36" s="112" t="n"/>
    </row>
    <row r="37" ht="19.5" customHeight="1" s="64">
      <c r="A37" s="20" t="n">
        <v>29</v>
      </c>
      <c r="B37" s="131" t="inlineStr">
        <is>
          <t>ファイル管理</t>
        </is>
      </c>
      <c r="C37" s="111" t="n"/>
      <c r="D37" s="111" t="n"/>
      <c r="E37" s="111" t="n"/>
      <c r="F37" s="111" t="n"/>
      <c r="G37" s="112" t="n"/>
      <c r="H37" s="132" t="inlineStr">
        <is>
          <t>ファイルアップロード画面</t>
        </is>
      </c>
      <c r="I37" s="111" t="n"/>
      <c r="J37" s="111" t="n"/>
      <c r="K37" s="111" t="n"/>
      <c r="L37" s="111" t="n"/>
      <c r="M37" s="112" t="n"/>
      <c r="N37" s="133" t="inlineStr">
        <is>
          <t>ACSMS-SCR-023</t>
        </is>
      </c>
      <c r="O37" s="20" t="n">
        <v>36</v>
      </c>
      <c r="P37" s="111" t="n"/>
      <c r="Q37" s="112" t="n"/>
      <c r="R37" s="20" t="n">
        <v>28</v>
      </c>
      <c r="S37" s="111" t="n"/>
      <c r="T37" s="112" t="n"/>
      <c r="U37" s="20" t="n">
        <v>6</v>
      </c>
      <c r="V37" s="111" t="n"/>
      <c r="W37" s="112" t="n"/>
      <c r="X37" s="20" t="n">
        <v>70</v>
      </c>
      <c r="Y37" s="111" t="n"/>
      <c r="Z37" s="112" t="n"/>
      <c r="AA37" s="20" t="n">
        <v>70</v>
      </c>
      <c r="AB37" s="111" t="n"/>
      <c r="AC37" s="112" t="n"/>
      <c r="AD37" s="20" t="n">
        <v>0</v>
      </c>
      <c r="AE37" s="111" t="n"/>
      <c r="AF37" s="112" t="n"/>
      <c r="AG37" s="20" t="n">
        <v>0</v>
      </c>
      <c r="AH37" s="111" t="n"/>
      <c r="AI37" s="112" t="n"/>
      <c r="AJ37" s="20" t="n">
        <v>0</v>
      </c>
      <c r="AK37" s="111" t="n"/>
      <c r="AL37" s="112" t="n"/>
      <c r="AM37" s="134">
        <f>IFERROR((AA37+AD37+AJ37)/X37,0)</f>
        <v>1.0</v>
      </c>
      <c r="AN37" s="111" t="n"/>
      <c r="AO37" s="112" t="n"/>
    </row>
    <row r="38" ht="19.5" customHeight="1" s="64">
      <c r="A38" s="20" t="n">
        <v>30</v>
      </c>
      <c r="B38" s="131" t="inlineStr">
        <is>
          <t>システム管理</t>
        </is>
      </c>
      <c r="C38" s="111" t="n"/>
      <c r="D38" s="111" t="n"/>
      <c r="E38" s="111" t="n"/>
      <c r="F38" s="111" t="n"/>
      <c r="G38" s="112" t="n"/>
      <c r="H38" s="132" t="inlineStr">
        <is>
          <t>ログ参照画面</t>
        </is>
      </c>
      <c r="I38" s="111" t="n"/>
      <c r="J38" s="111" t="n"/>
      <c r="K38" s="111" t="n"/>
      <c r="L38" s="111" t="n"/>
      <c r="M38" s="112" t="n"/>
      <c r="N38" s="133" t="inlineStr">
        <is>
          <t>ACSMS-SCR-030</t>
        </is>
      </c>
      <c r="O38" s="20" t="n">
        <v>32</v>
      </c>
      <c r="P38" s="111" t="n"/>
      <c r="Q38" s="112" t="n"/>
      <c r="R38" s="20" t="n">
        <v>12</v>
      </c>
      <c r="S38" s="111" t="n"/>
      <c r="T38" s="112" t="n"/>
      <c r="U38" s="20" t="n">
        <v>1</v>
      </c>
      <c r="V38" s="111" t="n"/>
      <c r="W38" s="112" t="n"/>
      <c r="X38" s="20" t="n">
        <v>45</v>
      </c>
      <c r="Y38" s="111" t="n"/>
      <c r="Z38" s="112" t="n"/>
      <c r="AA38" s="20" t="n">
        <v>40</v>
      </c>
      <c r="AB38" s="111" t="n"/>
      <c r="AC38" s="112" t="n"/>
      <c r="AD38" s="20" t="n">
        <v>0</v>
      </c>
      <c r="AE38" s="111" t="n"/>
      <c r="AF38" s="112" t="n"/>
      <c r="AG38" s="20" t="n">
        <v>4</v>
      </c>
      <c r="AH38" s="111" t="n"/>
      <c r="AI38" s="112" t="n"/>
      <c r="AJ38" s="20" t="n">
        <v>1</v>
      </c>
      <c r="AK38" s="111" t="n"/>
      <c r="AL38" s="112" t="n"/>
      <c r="AM38" s="134">
        <f>IFERROR((AA38+AD38+AJ38)/X38,0)</f>
        <v>0.911111111111</v>
      </c>
      <c r="AN38" s="111" t="n"/>
      <c r="AO38" s="112" t="n"/>
    </row>
    <row r="39" ht="19.5" customHeight="1" s="64">
      <c r="A39" s="20" t="n">
        <v>31</v>
      </c>
      <c r="B39" s="131" t="inlineStr">
        <is>
          <t>システム管理</t>
        </is>
      </c>
      <c r="C39" s="111" t="n"/>
      <c r="D39" s="111" t="n"/>
      <c r="E39" s="111" t="n"/>
      <c r="F39" s="111" t="n"/>
      <c r="G39" s="112" t="n"/>
      <c r="H39" s="132" t="inlineStr">
        <is>
          <t>お知らせ一覧画面</t>
        </is>
      </c>
      <c r="I39" s="111" t="n"/>
      <c r="J39" s="111" t="n"/>
      <c r="K39" s="111" t="n"/>
      <c r="L39" s="111" t="n"/>
      <c r="M39" s="112" t="n"/>
      <c r="N39" s="133" t="inlineStr">
        <is>
          <t>ACSMS-SCR-031</t>
        </is>
      </c>
      <c r="O39" s="20" t="n">
        <v>26</v>
      </c>
      <c r="P39" s="111" t="n"/>
      <c r="Q39" s="112" t="n"/>
      <c r="R39" s="20" t="n">
        <v>23</v>
      </c>
      <c r="S39" s="111" t="n"/>
      <c r="T39" s="112" t="n"/>
      <c r="U39" s="20" t="n">
        <v>3</v>
      </c>
      <c r="V39" s="111" t="n"/>
      <c r="W39" s="112" t="n"/>
      <c r="X39" s="20" t="n">
        <v>52</v>
      </c>
      <c r="Y39" s="111" t="n"/>
      <c r="Z39" s="112" t="n"/>
      <c r="AA39" s="20" t="n">
        <v>44</v>
      </c>
      <c r="AB39" s="111" t="n"/>
      <c r="AC39" s="112" t="n"/>
      <c r="AD39" s="20" t="n">
        <v>0</v>
      </c>
      <c r="AE39" s="111" t="n"/>
      <c r="AF39" s="112" t="n"/>
      <c r="AG39" s="20" t="n">
        <v>4</v>
      </c>
      <c r="AH39" s="111" t="n"/>
      <c r="AI39" s="112" t="n"/>
      <c r="AJ39" s="20" t="n">
        <v>4</v>
      </c>
      <c r="AK39" s="111" t="n"/>
      <c r="AL39" s="112" t="n"/>
      <c r="AM39" s="134">
        <f>IFERROR((AA39+AD39+AJ39)/X39,0)</f>
        <v>0.923076923077</v>
      </c>
      <c r="AN39" s="111" t="n"/>
      <c r="AO39" s="112" t="n"/>
    </row>
    <row r="40" ht="19.5" customHeight="1" s="64">
      <c r="A40" s="23" t="n"/>
      <c r="B40" s="120" t="n"/>
      <c r="C40" s="111" t="n"/>
      <c r="D40" s="111" t="n"/>
      <c r="E40" s="111" t="n"/>
      <c r="F40" s="111" t="n"/>
      <c r="G40" s="112" t="n"/>
      <c r="H40" s="135" t="inlineStr">
        <is>
          <t>合計</t>
        </is>
      </c>
      <c r="I40" s="111" t="n"/>
      <c r="J40" s="111" t="n"/>
      <c r="K40" s="111" t="n"/>
      <c r="L40" s="111" t="n"/>
      <c r="M40" s="112" t="n"/>
      <c r="N40" s="24" t="n"/>
      <c r="O40" s="136">
        <f>SUM(O9:O39)</f>
        <v>917</v>
      </c>
      <c r="P40" s="111" t="n"/>
      <c r="Q40" s="112" t="n"/>
      <c r="R40" s="136">
        <f>SUM(R9:R39)</f>
        <v>695</v>
      </c>
      <c r="S40" s="111" t="n"/>
      <c r="T40" s="112" t="n"/>
      <c r="U40" s="136">
        <f>SUM(U9:U39)</f>
        <v>113</v>
      </c>
      <c r="V40" s="111" t="n"/>
      <c r="W40" s="112" t="n"/>
      <c r="X40" s="136">
        <f>SUM(X9:X39)</f>
        <v>1725</v>
      </c>
      <c r="Y40" s="111" t="n"/>
      <c r="Z40" s="112" t="n"/>
      <c r="AA40" s="136">
        <f>SUM(AA9:AA39)</f>
        <v>1576</v>
      </c>
      <c r="AB40" s="111" t="n"/>
      <c r="AC40" s="112" t="n"/>
      <c r="AD40" s="136">
        <f>SUM(AD9:AD39)</f>
        <v>0</v>
      </c>
      <c r="AE40" s="111" t="n"/>
      <c r="AF40" s="112" t="n"/>
      <c r="AG40" s="136">
        <f>SUM(AG9:AG39)</f>
        <v>62</v>
      </c>
      <c r="AH40" s="111" t="n"/>
      <c r="AI40" s="112" t="n"/>
      <c r="AJ40" s="136">
        <f>SUM(AJ9:AJ39)</f>
        <v>85</v>
      </c>
      <c r="AK40" s="111" t="n"/>
      <c r="AL40" s="112" t="n"/>
      <c r="AM40" s="137">
        <f>IFERROR((AA40+AD40+AJ40)/X40,0)</f>
        <v>0.962898550725</v>
      </c>
      <c r="AN40" s="111" t="n"/>
      <c r="AO40" s="112" t="n"/>
    </row>
    <row r="41" ht="19.5" customHeight="1" s="64">
      <c r="A41" s="17" t="inlineStr">
        <is>
          <t>テスト2回目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9" t="n"/>
    </row>
    <row r="42" ht="19.5" customHeight="1" s="64">
      <c r="A42" s="20" t="n">
        <v>1</v>
      </c>
      <c r="B42" s="131" t="inlineStr">
        <is>
          <t>認証・共通</t>
        </is>
      </c>
      <c r="C42" s="111" t="n"/>
      <c r="D42" s="111" t="n"/>
      <c r="E42" s="111" t="n"/>
      <c r="F42" s="111" t="n"/>
      <c r="G42" s="112" t="n"/>
      <c r="H42" s="132" t="inlineStr">
        <is>
          <t>ログイン画面</t>
        </is>
      </c>
      <c r="I42" s="111" t="n"/>
      <c r="J42" s="111" t="n"/>
      <c r="K42" s="111" t="n"/>
      <c r="L42" s="111" t="n"/>
      <c r="M42" s="112" t="n"/>
      <c r="N42" s="133" t="inlineStr">
        <is>
          <t>ACSMS-SCR-001</t>
        </is>
      </c>
      <c r="O42" s="20" t="n">
        <v>26</v>
      </c>
      <c r="P42" s="111" t="n"/>
      <c r="Q42" s="112" t="n"/>
      <c r="R42" s="20" t="n">
        <v>23</v>
      </c>
      <c r="S42" s="111" t="n"/>
      <c r="T42" s="112" t="n"/>
      <c r="U42" s="20" t="n">
        <v>3</v>
      </c>
      <c r="V42" s="111" t="n"/>
      <c r="W42" s="112" t="n"/>
      <c r="X42" s="20" t="n">
        <v>52</v>
      </c>
      <c r="Y42" s="111" t="n"/>
      <c r="Z42" s="112" t="n"/>
      <c r="AA42" s="20" t="n">
        <v>52</v>
      </c>
      <c r="AB42" s="111" t="n"/>
      <c r="AC42" s="112" t="n"/>
      <c r="AD42" s="20" t="n">
        <v>0</v>
      </c>
      <c r="AE42" s="111" t="n"/>
      <c r="AF42" s="112" t="n"/>
      <c r="AG42" s="20" t="n">
        <v>0</v>
      </c>
      <c r="AH42" s="111" t="n"/>
      <c r="AI42" s="112" t="n"/>
      <c r="AJ42" s="20" t="n">
        <v>0</v>
      </c>
      <c r="AK42" s="111" t="n"/>
      <c r="AL42" s="112" t="n"/>
      <c r="AM42" s="134">
        <f>IFERROR((AA42+AD42+AJ42)/X42,0)</f>
        <v>1.0</v>
      </c>
      <c r="AN42" s="111" t="n"/>
      <c r="AO42" s="112" t="n"/>
    </row>
    <row r="43" ht="19.5" customHeight="1" s="64">
      <c r="A43" s="20" t="n">
        <v>2</v>
      </c>
      <c r="B43" s="131" t="inlineStr">
        <is>
          <t>認証・共通</t>
        </is>
      </c>
      <c r="C43" s="111" t="n"/>
      <c r="D43" s="111" t="n"/>
      <c r="E43" s="111" t="n"/>
      <c r="F43" s="111" t="n"/>
      <c r="G43" s="112" t="n"/>
      <c r="H43" s="132" t="inlineStr">
        <is>
          <t>メニュー画面</t>
        </is>
      </c>
      <c r="I43" s="111" t="n"/>
      <c r="J43" s="111" t="n"/>
      <c r="K43" s="111" t="n"/>
      <c r="L43" s="111" t="n"/>
      <c r="M43" s="112" t="n"/>
      <c r="N43" s="133" t="inlineStr">
        <is>
          <t>ACSMS-SCR-010</t>
        </is>
      </c>
      <c r="O43" s="20" t="n">
        <v>20</v>
      </c>
      <c r="P43" s="111" t="n"/>
      <c r="Q43" s="112" t="n"/>
      <c r="R43" s="20" t="n">
        <v>9</v>
      </c>
      <c r="S43" s="111" t="n"/>
      <c r="T43" s="112" t="n"/>
      <c r="U43" s="20" t="n">
        <v>0</v>
      </c>
      <c r="V43" s="111" t="n"/>
      <c r="W43" s="112" t="n"/>
      <c r="X43" s="20" t="n">
        <v>29</v>
      </c>
      <c r="Y43" s="111" t="n"/>
      <c r="Z43" s="112" t="n"/>
      <c r="AA43" s="20" t="n">
        <v>28</v>
      </c>
      <c r="AB43" s="111" t="n"/>
      <c r="AC43" s="112" t="n"/>
      <c r="AD43" s="20" t="n">
        <v>0</v>
      </c>
      <c r="AE43" s="111" t="n"/>
      <c r="AF43" s="112" t="n"/>
      <c r="AG43" s="20" t="n">
        <v>0</v>
      </c>
      <c r="AH43" s="111" t="n"/>
      <c r="AI43" s="112" t="n"/>
      <c r="AJ43" s="20" t="n">
        <v>1</v>
      </c>
      <c r="AK43" s="111" t="n"/>
      <c r="AL43" s="112" t="n"/>
      <c r="AM43" s="134">
        <f>IFERROR((AA43+AD43+AJ43)/X43,0)</f>
        <v>1.0</v>
      </c>
      <c r="AN43" s="111" t="n"/>
      <c r="AO43" s="112" t="n"/>
    </row>
    <row r="44" ht="19.5" customHeight="1" s="64">
      <c r="A44" s="20" t="n">
        <v>3</v>
      </c>
      <c r="B44" s="131" t="inlineStr">
        <is>
          <t>認証・共通</t>
        </is>
      </c>
      <c r="C44" s="111" t="n"/>
      <c r="D44" s="111" t="n"/>
      <c r="E44" s="111" t="n"/>
      <c r="F44" s="111" t="n"/>
      <c r="G44" s="112" t="n"/>
      <c r="H44" s="132" t="inlineStr">
        <is>
          <t>パスワードの再設定・パスワードの変更</t>
        </is>
      </c>
      <c r="I44" s="111" t="n"/>
      <c r="J44" s="111" t="n"/>
      <c r="K44" s="111" t="n"/>
      <c r="L44" s="111" t="n"/>
      <c r="M44" s="112" t="n"/>
      <c r="N44" s="133" t="inlineStr">
        <is>
          <t>ACSMS-SCR-012</t>
        </is>
      </c>
      <c r="O44" s="20" t="n">
        <v>21</v>
      </c>
      <c r="P44" s="111" t="n"/>
      <c r="Q44" s="112" t="n"/>
      <c r="R44" s="20" t="n">
        <v>27</v>
      </c>
      <c r="S44" s="111" t="n"/>
      <c r="T44" s="112" t="n"/>
      <c r="U44" s="20" t="n">
        <v>2</v>
      </c>
      <c r="V44" s="111" t="n"/>
      <c r="W44" s="112" t="n"/>
      <c r="X44" s="20" t="n">
        <v>50</v>
      </c>
      <c r="Y44" s="111" t="n"/>
      <c r="Z44" s="112" t="n"/>
      <c r="AA44" s="20" t="n">
        <v>50</v>
      </c>
      <c r="AB44" s="111" t="n"/>
      <c r="AC44" s="112" t="n"/>
      <c r="AD44" s="20" t="n">
        <v>0</v>
      </c>
      <c r="AE44" s="111" t="n"/>
      <c r="AF44" s="112" t="n"/>
      <c r="AG44" s="20" t="n">
        <v>0</v>
      </c>
      <c r="AH44" s="111" t="n"/>
      <c r="AI44" s="112" t="n"/>
      <c r="AJ44" s="20" t="n">
        <v>0</v>
      </c>
      <c r="AK44" s="111" t="n"/>
      <c r="AL44" s="112" t="n"/>
      <c r="AM44" s="134">
        <f>IFERROR((AA44+AD44+AJ44)/X44,0)</f>
        <v>1.0</v>
      </c>
      <c r="AN44" s="111" t="n"/>
      <c r="AO44" s="112" t="n"/>
    </row>
    <row r="45" ht="19.5" customHeight="1" s="64">
      <c r="A45" s="20" t="n">
        <v>4</v>
      </c>
      <c r="B45" s="131" t="inlineStr">
        <is>
          <t>マスタ管理</t>
        </is>
      </c>
      <c r="C45" s="111" t="n"/>
      <c r="D45" s="111" t="n"/>
      <c r="E45" s="111" t="n"/>
      <c r="F45" s="111" t="n"/>
      <c r="G45" s="112" t="n"/>
      <c r="H45" s="132" t="inlineStr">
        <is>
          <t>単価マスタ明細検索画面</t>
        </is>
      </c>
      <c r="I45" s="111" t="n"/>
      <c r="J45" s="111" t="n"/>
      <c r="K45" s="111" t="n"/>
      <c r="L45" s="111" t="n"/>
      <c r="M45" s="112" t="n"/>
      <c r="N45" s="133" t="inlineStr">
        <is>
          <t>ACSMS-SCR-002</t>
        </is>
      </c>
      <c r="O45" s="20" t="n">
        <v>48</v>
      </c>
      <c r="P45" s="111" t="n"/>
      <c r="Q45" s="112" t="n"/>
      <c r="R45" s="20" t="n">
        <v>21</v>
      </c>
      <c r="S45" s="111" t="n"/>
      <c r="T45" s="112" t="n"/>
      <c r="U45" s="20" t="n">
        <v>1</v>
      </c>
      <c r="V45" s="111" t="n"/>
      <c r="W45" s="112" t="n"/>
      <c r="X45" s="20" t="n">
        <v>70</v>
      </c>
      <c r="Y45" s="111" t="n"/>
      <c r="Z45" s="112" t="n"/>
      <c r="AA45" s="20" t="n">
        <v>69</v>
      </c>
      <c r="AB45" s="111" t="n"/>
      <c r="AC45" s="112" t="n"/>
      <c r="AD45" s="20" t="n">
        <v>0</v>
      </c>
      <c r="AE45" s="111" t="n"/>
      <c r="AF45" s="112" t="n"/>
      <c r="AG45" s="20" t="n">
        <v>0</v>
      </c>
      <c r="AH45" s="111" t="n"/>
      <c r="AI45" s="112" t="n"/>
      <c r="AJ45" s="20" t="n">
        <v>1</v>
      </c>
      <c r="AK45" s="111" t="n"/>
      <c r="AL45" s="112" t="n"/>
      <c r="AM45" s="134">
        <f>IFERROR((AA45+AD45+AJ45)/X45,0)</f>
        <v>1.0</v>
      </c>
      <c r="AN45" s="111" t="n"/>
      <c r="AO45" s="112" t="n"/>
    </row>
    <row r="46" ht="19.5" customHeight="1" s="64">
      <c r="A46" s="20" t="n">
        <v>5</v>
      </c>
      <c r="B46" s="131" t="inlineStr">
        <is>
          <t>マスタ管理</t>
        </is>
      </c>
      <c r="C46" s="111" t="n"/>
      <c r="D46" s="111" t="n"/>
      <c r="E46" s="111" t="n"/>
      <c r="F46" s="111" t="n"/>
      <c r="G46" s="112" t="n"/>
      <c r="H46" s="132" t="inlineStr">
        <is>
          <t>単価マスタ登録画面</t>
        </is>
      </c>
      <c r="I46" s="111" t="n"/>
      <c r="J46" s="111" t="n"/>
      <c r="K46" s="111" t="n"/>
      <c r="L46" s="111" t="n"/>
      <c r="M46" s="112" t="n"/>
      <c r="N46" s="133" t="inlineStr">
        <is>
          <t>ACSMS-SCR-003</t>
        </is>
      </c>
      <c r="O46" s="20" t="n">
        <v>42</v>
      </c>
      <c r="P46" s="111" t="n"/>
      <c r="Q46" s="112" t="n"/>
      <c r="R46" s="20" t="n">
        <v>30</v>
      </c>
      <c r="S46" s="111" t="n"/>
      <c r="T46" s="112" t="n"/>
      <c r="U46" s="20" t="n">
        <v>6</v>
      </c>
      <c r="V46" s="111" t="n"/>
      <c r="W46" s="112" t="n"/>
      <c r="X46" s="20" t="n">
        <v>78</v>
      </c>
      <c r="Y46" s="111" t="n"/>
      <c r="Z46" s="112" t="n"/>
      <c r="AA46" s="20" t="n">
        <v>72</v>
      </c>
      <c r="AB46" s="111" t="n"/>
      <c r="AC46" s="112" t="n"/>
      <c r="AD46" s="20" t="n">
        <v>0</v>
      </c>
      <c r="AE46" s="111" t="n"/>
      <c r="AF46" s="112" t="n"/>
      <c r="AG46" s="20" t="n">
        <v>0</v>
      </c>
      <c r="AH46" s="111" t="n"/>
      <c r="AI46" s="112" t="n"/>
      <c r="AJ46" s="20" t="n">
        <v>6</v>
      </c>
      <c r="AK46" s="111" t="n"/>
      <c r="AL46" s="112" t="n"/>
      <c r="AM46" s="134">
        <f>IFERROR((AA46+AD46+AJ46)/X46,0)</f>
        <v>1.0</v>
      </c>
      <c r="AN46" s="111" t="n"/>
      <c r="AO46" s="112" t="n"/>
    </row>
    <row r="47" ht="19.5" customHeight="1" s="64">
      <c r="A47" s="20" t="n">
        <v>6</v>
      </c>
      <c r="B47" s="131" t="inlineStr">
        <is>
          <t>マスタ管理</t>
        </is>
      </c>
      <c r="C47" s="111" t="n"/>
      <c r="D47" s="111" t="n"/>
      <c r="E47" s="111" t="n"/>
      <c r="F47" s="111" t="n"/>
      <c r="G47" s="112" t="n"/>
      <c r="H47" s="132" t="inlineStr">
        <is>
          <t>JAマスタ明細検索画面</t>
        </is>
      </c>
      <c r="I47" s="111" t="n"/>
      <c r="J47" s="111" t="n"/>
      <c r="K47" s="111" t="n"/>
      <c r="L47" s="111" t="n"/>
      <c r="M47" s="112" t="n"/>
      <c r="N47" s="133" t="inlineStr">
        <is>
          <t>ACSMS-SCR-004</t>
        </is>
      </c>
      <c r="O47" s="20" t="n">
        <v>27</v>
      </c>
      <c r="P47" s="111" t="n"/>
      <c r="Q47" s="112" t="n"/>
      <c r="R47" s="20" t="n">
        <v>15</v>
      </c>
      <c r="S47" s="111" t="n"/>
      <c r="T47" s="112" t="n"/>
      <c r="U47" s="20" t="n">
        <v>1</v>
      </c>
      <c r="V47" s="111" t="n"/>
      <c r="W47" s="112" t="n"/>
      <c r="X47" s="20" t="n">
        <v>43</v>
      </c>
      <c r="Y47" s="111" t="n"/>
      <c r="Z47" s="112" t="n"/>
      <c r="AA47" s="20" t="n">
        <v>43</v>
      </c>
      <c r="AB47" s="111" t="n"/>
      <c r="AC47" s="112" t="n"/>
      <c r="AD47" s="20" t="n">
        <v>0</v>
      </c>
      <c r="AE47" s="111" t="n"/>
      <c r="AF47" s="112" t="n"/>
      <c r="AG47" s="20" t="n">
        <v>0</v>
      </c>
      <c r="AH47" s="111" t="n"/>
      <c r="AI47" s="112" t="n"/>
      <c r="AJ47" s="20" t="n">
        <v>0</v>
      </c>
      <c r="AK47" s="111" t="n"/>
      <c r="AL47" s="112" t="n"/>
      <c r="AM47" s="134">
        <f>IFERROR((AA47+AD47+AJ47)/X47,0)</f>
        <v>1.0</v>
      </c>
      <c r="AN47" s="111" t="n"/>
      <c r="AO47" s="112" t="n"/>
    </row>
    <row r="48" ht="19.5" customHeight="1" s="64">
      <c r="A48" s="20" t="n">
        <v>7</v>
      </c>
      <c r="B48" s="131" t="inlineStr">
        <is>
          <t>マスタ管理</t>
        </is>
      </c>
      <c r="C48" s="111" t="n"/>
      <c r="D48" s="111" t="n"/>
      <c r="E48" s="111" t="n"/>
      <c r="F48" s="111" t="n"/>
      <c r="G48" s="112" t="n"/>
      <c r="H48" s="132" t="inlineStr">
        <is>
          <t>JAマスタ登録画面</t>
        </is>
      </c>
      <c r="I48" s="111" t="n"/>
      <c r="J48" s="111" t="n"/>
      <c r="K48" s="111" t="n"/>
      <c r="L48" s="111" t="n"/>
      <c r="M48" s="112" t="n"/>
      <c r="N48" s="133" t="inlineStr">
        <is>
          <t>ACSMS-SCR-005</t>
        </is>
      </c>
      <c r="O48" s="20" t="n">
        <v>21</v>
      </c>
      <c r="P48" s="111" t="n"/>
      <c r="Q48" s="112" t="n"/>
      <c r="R48" s="20" t="n">
        <v>29</v>
      </c>
      <c r="S48" s="111" t="n"/>
      <c r="T48" s="112" t="n"/>
      <c r="U48" s="20" t="n">
        <v>12</v>
      </c>
      <c r="V48" s="111" t="n"/>
      <c r="W48" s="112" t="n"/>
      <c r="X48" s="20" t="n">
        <v>62</v>
      </c>
      <c r="Y48" s="111" t="n"/>
      <c r="Z48" s="112" t="n"/>
      <c r="AA48" s="20" t="n">
        <v>62</v>
      </c>
      <c r="AB48" s="111" t="n"/>
      <c r="AC48" s="112" t="n"/>
      <c r="AD48" s="20" t="n">
        <v>0</v>
      </c>
      <c r="AE48" s="111" t="n"/>
      <c r="AF48" s="112" t="n"/>
      <c r="AG48" s="20" t="n">
        <v>0</v>
      </c>
      <c r="AH48" s="111" t="n"/>
      <c r="AI48" s="112" t="n"/>
      <c r="AJ48" s="20" t="n">
        <v>0</v>
      </c>
      <c r="AK48" s="111" t="n"/>
      <c r="AL48" s="112" t="n"/>
      <c r="AM48" s="134">
        <f>IFERROR((AA48+AD48+AJ48)/X48,0)</f>
        <v>1.0</v>
      </c>
      <c r="AN48" s="111" t="n"/>
      <c r="AO48" s="112" t="n"/>
    </row>
    <row r="49" ht="19.5" customHeight="1" s="64">
      <c r="A49" s="20" t="n">
        <v>8</v>
      </c>
      <c r="B49" s="131" t="inlineStr">
        <is>
          <t>マスタ管理</t>
        </is>
      </c>
      <c r="C49" s="111" t="n"/>
      <c r="D49" s="111" t="n"/>
      <c r="E49" s="111" t="n"/>
      <c r="F49" s="111" t="n"/>
      <c r="G49" s="112" t="n"/>
      <c r="H49" s="132" t="inlineStr">
        <is>
          <t>支店マスタ明細検索画面</t>
        </is>
      </c>
      <c r="I49" s="111" t="n"/>
      <c r="J49" s="111" t="n"/>
      <c r="K49" s="111" t="n"/>
      <c r="L49" s="111" t="n"/>
      <c r="M49" s="112" t="n"/>
      <c r="N49" s="133" t="inlineStr">
        <is>
          <t>ACSMS-SCR-006</t>
        </is>
      </c>
      <c r="O49" s="20" t="n">
        <v>38</v>
      </c>
      <c r="P49" s="111" t="n"/>
      <c r="Q49" s="112" t="n"/>
      <c r="R49" s="20" t="n">
        <v>21</v>
      </c>
      <c r="S49" s="111" t="n"/>
      <c r="T49" s="112" t="n"/>
      <c r="U49" s="20" t="n">
        <v>1</v>
      </c>
      <c r="V49" s="111" t="n"/>
      <c r="W49" s="112" t="n"/>
      <c r="X49" s="20" t="n">
        <v>60</v>
      </c>
      <c r="Y49" s="111" t="n"/>
      <c r="Z49" s="112" t="n"/>
      <c r="AA49" s="20" t="n">
        <v>59</v>
      </c>
      <c r="AB49" s="111" t="n"/>
      <c r="AC49" s="112" t="n"/>
      <c r="AD49" s="20" t="n">
        <v>0</v>
      </c>
      <c r="AE49" s="111" t="n"/>
      <c r="AF49" s="112" t="n"/>
      <c r="AG49" s="20" t="n">
        <v>0</v>
      </c>
      <c r="AH49" s="111" t="n"/>
      <c r="AI49" s="112" t="n"/>
      <c r="AJ49" s="20" t="n">
        <v>1</v>
      </c>
      <c r="AK49" s="111" t="n"/>
      <c r="AL49" s="112" t="n"/>
      <c r="AM49" s="134">
        <f>IFERROR((AA49+AD49+AJ49)/X49,0)</f>
        <v>1.0</v>
      </c>
      <c r="AN49" s="111" t="n"/>
      <c r="AO49" s="112" t="n"/>
    </row>
    <row r="50" ht="19.5" customHeight="1" s="64">
      <c r="A50" s="20" t="n">
        <v>9</v>
      </c>
      <c r="B50" s="131" t="inlineStr">
        <is>
          <t>マスタ管理</t>
        </is>
      </c>
      <c r="C50" s="111" t="n"/>
      <c r="D50" s="111" t="n"/>
      <c r="E50" s="111" t="n"/>
      <c r="F50" s="111" t="n"/>
      <c r="G50" s="112" t="n"/>
      <c r="H50" s="132" t="inlineStr">
        <is>
          <t>支店マスタ登録画面</t>
        </is>
      </c>
      <c r="I50" s="111" t="n"/>
      <c r="J50" s="111" t="n"/>
      <c r="K50" s="111" t="n"/>
      <c r="L50" s="111" t="n"/>
      <c r="M50" s="112" t="n"/>
      <c r="N50" s="133" t="inlineStr">
        <is>
          <t>ACSMS-SCR-007</t>
        </is>
      </c>
      <c r="O50" s="20" t="n">
        <v>32</v>
      </c>
      <c r="P50" s="111" t="n"/>
      <c r="Q50" s="112" t="n"/>
      <c r="R50" s="20" t="n">
        <v>25</v>
      </c>
      <c r="S50" s="111" t="n"/>
      <c r="T50" s="112" t="n"/>
      <c r="U50" s="20" t="n">
        <v>4</v>
      </c>
      <c r="V50" s="111" t="n"/>
      <c r="W50" s="112" t="n"/>
      <c r="X50" s="20" t="n">
        <v>61</v>
      </c>
      <c r="Y50" s="111" t="n"/>
      <c r="Z50" s="112" t="n"/>
      <c r="AA50" s="20" t="n">
        <v>56</v>
      </c>
      <c r="AB50" s="111" t="n"/>
      <c r="AC50" s="112" t="n"/>
      <c r="AD50" s="20" t="n">
        <v>0</v>
      </c>
      <c r="AE50" s="111" t="n"/>
      <c r="AF50" s="112" t="n"/>
      <c r="AG50" s="20" t="n">
        <v>0</v>
      </c>
      <c r="AH50" s="111" t="n"/>
      <c r="AI50" s="112" t="n"/>
      <c r="AJ50" s="20" t="n">
        <v>5</v>
      </c>
      <c r="AK50" s="111" t="n"/>
      <c r="AL50" s="112" t="n"/>
      <c r="AM50" s="134">
        <f>IFERROR((AA50+AD50+AJ50)/X50,0)</f>
        <v>1.0</v>
      </c>
      <c r="AN50" s="111" t="n"/>
      <c r="AO50" s="112" t="n"/>
    </row>
    <row r="51" ht="19.5" customHeight="1" s="64">
      <c r="A51" s="20" t="n">
        <v>10</v>
      </c>
      <c r="B51" s="131" t="inlineStr">
        <is>
          <t>マスタ管理</t>
        </is>
      </c>
      <c r="C51" s="111" t="n"/>
      <c r="D51" s="111" t="n"/>
      <c r="E51" s="111" t="n"/>
      <c r="F51" s="111" t="n"/>
      <c r="G51" s="112" t="n"/>
      <c r="H51" s="132" t="inlineStr">
        <is>
          <t>管理支店マスタ明細検索画面</t>
        </is>
      </c>
      <c r="I51" s="111" t="n"/>
      <c r="J51" s="111" t="n"/>
      <c r="K51" s="111" t="n"/>
      <c r="L51" s="111" t="n"/>
      <c r="M51" s="112" t="n"/>
      <c r="N51" s="133" t="inlineStr">
        <is>
          <t>ACSMS-SCR-008</t>
        </is>
      </c>
      <c r="O51" s="20" t="n">
        <v>40</v>
      </c>
      <c r="P51" s="111" t="n"/>
      <c r="Q51" s="112" t="n"/>
      <c r="R51" s="20" t="n">
        <v>24</v>
      </c>
      <c r="S51" s="111" t="n"/>
      <c r="T51" s="112" t="n"/>
      <c r="U51" s="20" t="n">
        <v>4</v>
      </c>
      <c r="V51" s="111" t="n"/>
      <c r="W51" s="112" t="n"/>
      <c r="X51" s="20" t="n">
        <v>68</v>
      </c>
      <c r="Y51" s="111" t="n"/>
      <c r="Z51" s="112" t="n"/>
      <c r="AA51" s="20" t="n">
        <v>64</v>
      </c>
      <c r="AB51" s="111" t="n"/>
      <c r="AC51" s="112" t="n"/>
      <c r="AD51" s="20" t="n">
        <v>0</v>
      </c>
      <c r="AE51" s="111" t="n"/>
      <c r="AF51" s="112" t="n"/>
      <c r="AG51" s="20" t="n">
        <v>0</v>
      </c>
      <c r="AH51" s="111" t="n"/>
      <c r="AI51" s="112" t="n"/>
      <c r="AJ51" s="20" t="n">
        <v>4</v>
      </c>
      <c r="AK51" s="111" t="n"/>
      <c r="AL51" s="112" t="n"/>
      <c r="AM51" s="134">
        <f>IFERROR((AA51+AD51+AJ51)/X51,0)</f>
        <v>1.0</v>
      </c>
      <c r="AN51" s="111" t="n"/>
      <c r="AO51" s="112" t="n"/>
    </row>
    <row r="52" ht="19.5" customHeight="1" s="64">
      <c r="A52" s="20" t="n">
        <v>11</v>
      </c>
      <c r="B52" s="131" t="inlineStr">
        <is>
          <t>マスタ管理</t>
        </is>
      </c>
      <c r="C52" s="111" t="n"/>
      <c r="D52" s="111" t="n"/>
      <c r="E52" s="111" t="n"/>
      <c r="F52" s="111" t="n"/>
      <c r="G52" s="112" t="n"/>
      <c r="H52" s="132" t="inlineStr">
        <is>
          <t>管理支店マスタ登録画面</t>
        </is>
      </c>
      <c r="I52" s="111" t="n"/>
      <c r="J52" s="111" t="n"/>
      <c r="K52" s="111" t="n"/>
      <c r="L52" s="111" t="n"/>
      <c r="M52" s="112" t="n"/>
      <c r="N52" s="133" t="inlineStr">
        <is>
          <t>ACSMS-SCR-009</t>
        </is>
      </c>
      <c r="O52" s="20" t="n">
        <v>34</v>
      </c>
      <c r="P52" s="111" t="n"/>
      <c r="Q52" s="112" t="n"/>
      <c r="R52" s="20" t="n">
        <v>33</v>
      </c>
      <c r="S52" s="111" t="n"/>
      <c r="T52" s="112" t="n"/>
      <c r="U52" s="20" t="n">
        <v>5</v>
      </c>
      <c r="V52" s="111" t="n"/>
      <c r="W52" s="112" t="n"/>
      <c r="X52" s="20" t="n">
        <v>72</v>
      </c>
      <c r="Y52" s="111" t="n"/>
      <c r="Z52" s="112" t="n"/>
      <c r="AA52" s="20" t="n">
        <v>72</v>
      </c>
      <c r="AB52" s="111" t="n"/>
      <c r="AC52" s="112" t="n"/>
      <c r="AD52" s="20" t="n">
        <v>0</v>
      </c>
      <c r="AE52" s="111" t="n"/>
      <c r="AF52" s="112" t="n"/>
      <c r="AG52" s="20" t="n">
        <v>0</v>
      </c>
      <c r="AH52" s="111" t="n"/>
      <c r="AI52" s="112" t="n"/>
      <c r="AJ52" s="20" t="n">
        <v>0</v>
      </c>
      <c r="AK52" s="111" t="n"/>
      <c r="AL52" s="112" t="n"/>
      <c r="AM52" s="134">
        <f>IFERROR((AA52+AD52+AJ52)/X52,0)</f>
        <v>1.0</v>
      </c>
      <c r="AN52" s="111" t="n"/>
      <c r="AO52" s="112" t="n"/>
    </row>
    <row r="53" ht="19.5" customHeight="1" s="64">
      <c r="A53" s="20" t="n">
        <v>12</v>
      </c>
      <c r="B53" s="131" t="inlineStr">
        <is>
          <t>マスタ管理</t>
        </is>
      </c>
      <c r="C53" s="111" t="n"/>
      <c r="D53" s="111" t="n"/>
      <c r="E53" s="111" t="n"/>
      <c r="F53" s="111" t="n"/>
      <c r="G53" s="112" t="n"/>
      <c r="H53" s="132" t="inlineStr">
        <is>
          <t>アカウントマスタ明細検索画面</t>
        </is>
      </c>
      <c r="I53" s="111" t="n"/>
      <c r="J53" s="111" t="n"/>
      <c r="K53" s="111" t="n"/>
      <c r="L53" s="111" t="n"/>
      <c r="M53" s="112" t="n"/>
      <c r="N53" s="133" t="inlineStr">
        <is>
          <t>ACSMS-SCR-024</t>
        </is>
      </c>
      <c r="O53" s="20" t="n">
        <v>29</v>
      </c>
      <c r="P53" s="111" t="n"/>
      <c r="Q53" s="112" t="n"/>
      <c r="R53" s="20" t="n">
        <v>14</v>
      </c>
      <c r="S53" s="111" t="n"/>
      <c r="T53" s="112" t="n"/>
      <c r="U53" s="20" t="n">
        <v>8</v>
      </c>
      <c r="V53" s="111" t="n"/>
      <c r="W53" s="112" t="n"/>
      <c r="X53" s="20" t="n">
        <v>51</v>
      </c>
      <c r="Y53" s="111" t="n"/>
      <c r="Z53" s="112" t="n"/>
      <c r="AA53" s="20" t="n">
        <v>50</v>
      </c>
      <c r="AB53" s="111" t="n"/>
      <c r="AC53" s="112" t="n"/>
      <c r="AD53" s="20" t="n">
        <v>0</v>
      </c>
      <c r="AE53" s="111" t="n"/>
      <c r="AF53" s="112" t="n"/>
      <c r="AG53" s="20" t="n">
        <v>0</v>
      </c>
      <c r="AH53" s="111" t="n"/>
      <c r="AI53" s="112" t="n"/>
      <c r="AJ53" s="20" t="n">
        <v>1</v>
      </c>
      <c r="AK53" s="111" t="n"/>
      <c r="AL53" s="112" t="n"/>
      <c r="AM53" s="134">
        <f>IFERROR((AA53+AD53+AJ53)/X53,0)</f>
        <v>1.0</v>
      </c>
      <c r="AN53" s="111" t="n"/>
      <c r="AO53" s="112" t="n"/>
    </row>
    <row r="54" ht="19.5" customHeight="1" s="64">
      <c r="A54" s="20" t="n">
        <v>13</v>
      </c>
      <c r="B54" s="131" t="inlineStr">
        <is>
          <t>マスタ管理</t>
        </is>
      </c>
      <c r="C54" s="111" t="n"/>
      <c r="D54" s="111" t="n"/>
      <c r="E54" s="111" t="n"/>
      <c r="F54" s="111" t="n"/>
      <c r="G54" s="112" t="n"/>
      <c r="H54" s="132" t="inlineStr">
        <is>
          <t>アカウントマスタ登録画面</t>
        </is>
      </c>
      <c r="I54" s="111" t="n"/>
      <c r="J54" s="111" t="n"/>
      <c r="K54" s="111" t="n"/>
      <c r="L54" s="111" t="n"/>
      <c r="M54" s="112" t="n"/>
      <c r="N54" s="133" t="inlineStr">
        <is>
          <t>ACSMS-SCR-025</t>
        </is>
      </c>
      <c r="O54" s="20" t="n">
        <v>30</v>
      </c>
      <c r="P54" s="111" t="n"/>
      <c r="Q54" s="112" t="n"/>
      <c r="R54" s="20" t="n">
        <v>38</v>
      </c>
      <c r="S54" s="111" t="n"/>
      <c r="T54" s="112" t="n"/>
      <c r="U54" s="20" t="n">
        <v>0</v>
      </c>
      <c r="V54" s="111" t="n"/>
      <c r="W54" s="112" t="n"/>
      <c r="X54" s="20" t="n">
        <v>68</v>
      </c>
      <c r="Y54" s="111" t="n"/>
      <c r="Z54" s="112" t="n"/>
      <c r="AA54" s="20" t="n">
        <v>66</v>
      </c>
      <c r="AB54" s="111" t="n"/>
      <c r="AC54" s="112" t="n"/>
      <c r="AD54" s="20" t="n">
        <v>0</v>
      </c>
      <c r="AE54" s="111" t="n"/>
      <c r="AF54" s="112" t="n"/>
      <c r="AG54" s="20" t="n">
        <v>0</v>
      </c>
      <c r="AH54" s="111" t="n"/>
      <c r="AI54" s="112" t="n"/>
      <c r="AJ54" s="20" t="n">
        <v>2</v>
      </c>
      <c r="AK54" s="111" t="n"/>
      <c r="AL54" s="112" t="n"/>
      <c r="AM54" s="134">
        <f>IFERROR((AA54+AD54+AJ54)/X54,0)</f>
        <v>1.0</v>
      </c>
      <c r="AN54" s="111" t="n"/>
      <c r="AO54" s="112" t="n"/>
    </row>
    <row r="55" ht="19.5" customHeight="1" s="64">
      <c r="A55" s="20" t="n">
        <v>14</v>
      </c>
      <c r="B55" s="131" t="inlineStr">
        <is>
          <t>マスタ管理</t>
        </is>
      </c>
      <c r="C55" s="111" t="n"/>
      <c r="D55" s="111" t="n"/>
      <c r="E55" s="111" t="n"/>
      <c r="F55" s="111" t="n"/>
      <c r="G55" s="112" t="n"/>
      <c r="H55" s="132" t="inlineStr">
        <is>
          <t>ロール管理画面</t>
        </is>
      </c>
      <c r="I55" s="111" t="n"/>
      <c r="J55" s="111" t="n"/>
      <c r="K55" s="111" t="n"/>
      <c r="L55" s="111" t="n"/>
      <c r="M55" s="112" t="n"/>
      <c r="N55" s="133" t="inlineStr">
        <is>
          <t>ACSMS-SCR-027</t>
        </is>
      </c>
      <c r="O55" s="20" t="n">
        <v>21</v>
      </c>
      <c r="P55" s="111" t="n"/>
      <c r="Q55" s="112" t="n"/>
      <c r="R55" s="20" t="n">
        <v>17</v>
      </c>
      <c r="S55" s="111" t="n"/>
      <c r="T55" s="112" t="n"/>
      <c r="U55" s="20" t="n">
        <v>5</v>
      </c>
      <c r="V55" s="111" t="n"/>
      <c r="W55" s="112" t="n"/>
      <c r="X55" s="20" t="n">
        <v>43</v>
      </c>
      <c r="Y55" s="111" t="n"/>
      <c r="Z55" s="112" t="n"/>
      <c r="AA55" s="20" t="n">
        <v>41</v>
      </c>
      <c r="AB55" s="111" t="n"/>
      <c r="AC55" s="112" t="n"/>
      <c r="AD55" s="20" t="n">
        <v>0</v>
      </c>
      <c r="AE55" s="111" t="n"/>
      <c r="AF55" s="112" t="n"/>
      <c r="AG55" s="20" t="n">
        <v>0</v>
      </c>
      <c r="AH55" s="111" t="n"/>
      <c r="AI55" s="112" t="n"/>
      <c r="AJ55" s="20" t="n">
        <v>2</v>
      </c>
      <c r="AK55" s="111" t="n"/>
      <c r="AL55" s="112" t="n"/>
      <c r="AM55" s="134">
        <f>IFERROR((AA55+AD55+AJ55)/X55,0)</f>
        <v>1.0</v>
      </c>
      <c r="AN55" s="111" t="n"/>
      <c r="AO55" s="112" t="n"/>
    </row>
    <row r="56" ht="19.5" customHeight="1" s="64">
      <c r="A56" s="20" t="n">
        <v>15</v>
      </c>
      <c r="B56" s="131" t="inlineStr">
        <is>
          <t>購読者管理</t>
        </is>
      </c>
      <c r="C56" s="111" t="n"/>
      <c r="D56" s="111" t="n"/>
      <c r="E56" s="111" t="n"/>
      <c r="F56" s="111" t="n"/>
      <c r="G56" s="112" t="n"/>
      <c r="H56" s="132" t="inlineStr">
        <is>
          <t>購読者情報登録画面</t>
        </is>
      </c>
      <c r="I56" s="111" t="n"/>
      <c r="J56" s="111" t="n"/>
      <c r="K56" s="111" t="n"/>
      <c r="L56" s="111" t="n"/>
      <c r="M56" s="112" t="n"/>
      <c r="N56" s="133" t="inlineStr">
        <is>
          <t>ACSMS-SCR-011</t>
        </is>
      </c>
      <c r="O56" s="20" t="n">
        <v>25</v>
      </c>
      <c r="P56" s="111" t="n"/>
      <c r="Q56" s="112" t="n"/>
      <c r="R56" s="20" t="n">
        <v>27</v>
      </c>
      <c r="S56" s="111" t="n"/>
      <c r="T56" s="112" t="n"/>
      <c r="U56" s="20" t="n">
        <v>0</v>
      </c>
      <c r="V56" s="111" t="n"/>
      <c r="W56" s="112" t="n"/>
      <c r="X56" s="20" t="n">
        <v>52</v>
      </c>
      <c r="Y56" s="111" t="n"/>
      <c r="Z56" s="112" t="n"/>
      <c r="AA56" s="20" t="n">
        <v>49</v>
      </c>
      <c r="AB56" s="111" t="n"/>
      <c r="AC56" s="112" t="n"/>
      <c r="AD56" s="20" t="n">
        <v>0</v>
      </c>
      <c r="AE56" s="111" t="n"/>
      <c r="AF56" s="112" t="n"/>
      <c r="AG56" s="20" t="n">
        <v>0</v>
      </c>
      <c r="AH56" s="111" t="n"/>
      <c r="AI56" s="112" t="n"/>
      <c r="AJ56" s="20" t="n">
        <v>3</v>
      </c>
      <c r="AK56" s="111" t="n"/>
      <c r="AL56" s="112" t="n"/>
      <c r="AM56" s="134">
        <f>IFERROR((AA56+AD56+AJ56)/X56,0)</f>
        <v>1.0</v>
      </c>
      <c r="AN56" s="111" t="n"/>
      <c r="AO56" s="112" t="n"/>
    </row>
    <row r="57" ht="19.5" customHeight="1" s="64">
      <c r="A57" s="20" t="n">
        <v>16</v>
      </c>
      <c r="B57" s="131" t="inlineStr">
        <is>
          <t>購読者管理</t>
        </is>
      </c>
      <c r="C57" s="111" t="n"/>
      <c r="D57" s="111" t="n"/>
      <c r="E57" s="111" t="n"/>
      <c r="F57" s="111" t="n"/>
      <c r="G57" s="112" t="n"/>
      <c r="H57" s="132" t="inlineStr">
        <is>
          <t>購読者履歴情報画面</t>
        </is>
      </c>
      <c r="I57" s="111" t="n"/>
      <c r="J57" s="111" t="n"/>
      <c r="K57" s="111" t="n"/>
      <c r="L57" s="111" t="n"/>
      <c r="M57" s="112" t="n"/>
      <c r="N57" s="133" t="inlineStr">
        <is>
          <t>ACSMS-SCR-013</t>
        </is>
      </c>
      <c r="O57" s="20" t="n">
        <v>16</v>
      </c>
      <c r="P57" s="111" t="n"/>
      <c r="Q57" s="112" t="n"/>
      <c r="R57" s="20" t="n">
        <v>15</v>
      </c>
      <c r="S57" s="111" t="n"/>
      <c r="T57" s="112" t="n"/>
      <c r="U57" s="20" t="n">
        <v>2</v>
      </c>
      <c r="V57" s="111" t="n"/>
      <c r="W57" s="112" t="n"/>
      <c r="X57" s="20" t="n">
        <v>33</v>
      </c>
      <c r="Y57" s="111" t="n"/>
      <c r="Z57" s="112" t="n"/>
      <c r="AA57" s="20" t="n">
        <v>23</v>
      </c>
      <c r="AB57" s="111" t="n"/>
      <c r="AC57" s="112" t="n"/>
      <c r="AD57" s="20" t="n">
        <v>0</v>
      </c>
      <c r="AE57" s="111" t="n"/>
      <c r="AF57" s="112" t="n"/>
      <c r="AG57" s="20" t="n">
        <v>0</v>
      </c>
      <c r="AH57" s="111" t="n"/>
      <c r="AI57" s="112" t="n"/>
      <c r="AJ57" s="20" t="n">
        <v>10</v>
      </c>
      <c r="AK57" s="111" t="n"/>
      <c r="AL57" s="112" t="n"/>
      <c r="AM57" s="134">
        <f>IFERROR((AA57+AD57+AJ57)/X57,0)</f>
        <v>1.0</v>
      </c>
      <c r="AN57" s="111" t="n"/>
      <c r="AO57" s="112" t="n"/>
    </row>
    <row r="58" ht="19.5" customHeight="1" s="64">
      <c r="A58" s="20" t="n">
        <v>17</v>
      </c>
      <c r="B58" s="131" t="inlineStr">
        <is>
          <t>購読者管理</t>
        </is>
      </c>
      <c r="C58" s="111" t="n"/>
      <c r="D58" s="111" t="n"/>
      <c r="E58" s="111" t="n"/>
      <c r="F58" s="111" t="n"/>
      <c r="G58" s="112" t="n"/>
      <c r="H58" s="132" t="inlineStr">
        <is>
          <t>購読者明細検索画面</t>
        </is>
      </c>
      <c r="I58" s="111" t="n"/>
      <c r="J58" s="111" t="n"/>
      <c r="K58" s="111" t="n"/>
      <c r="L58" s="111" t="n"/>
      <c r="M58" s="112" t="n"/>
      <c r="N58" s="133" t="inlineStr">
        <is>
          <t>ACSMS-SCR-014</t>
        </is>
      </c>
      <c r="O58" s="20" t="n">
        <v>28</v>
      </c>
      <c r="P58" s="111" t="n"/>
      <c r="Q58" s="112" t="n"/>
      <c r="R58" s="20" t="n">
        <v>19</v>
      </c>
      <c r="S58" s="111" t="n"/>
      <c r="T58" s="112" t="n"/>
      <c r="U58" s="20" t="n">
        <v>3</v>
      </c>
      <c r="V58" s="111" t="n"/>
      <c r="W58" s="112" t="n"/>
      <c r="X58" s="20" t="n">
        <v>50</v>
      </c>
      <c r="Y58" s="111" t="n"/>
      <c r="Z58" s="112" t="n"/>
      <c r="AA58" s="20" t="n">
        <v>44</v>
      </c>
      <c r="AB58" s="111" t="n"/>
      <c r="AC58" s="112" t="n"/>
      <c r="AD58" s="20" t="n">
        <v>0</v>
      </c>
      <c r="AE58" s="111" t="n"/>
      <c r="AF58" s="112" t="n"/>
      <c r="AG58" s="20" t="n">
        <v>0</v>
      </c>
      <c r="AH58" s="111" t="n"/>
      <c r="AI58" s="112" t="n"/>
      <c r="AJ58" s="20" t="n">
        <v>6</v>
      </c>
      <c r="AK58" s="111" t="n"/>
      <c r="AL58" s="112" t="n"/>
      <c r="AM58" s="134">
        <f>IFERROR((AA58+AD58+AJ58)/X58,0)</f>
        <v>1.0</v>
      </c>
      <c r="AN58" s="111" t="n"/>
      <c r="AO58" s="112" t="n"/>
    </row>
    <row r="59" ht="19.5" customHeight="1" s="64">
      <c r="A59" s="20" t="n">
        <v>18</v>
      </c>
      <c r="B59" s="131" t="inlineStr">
        <is>
          <t>購読者管理</t>
        </is>
      </c>
      <c r="C59" s="111" t="n"/>
      <c r="D59" s="111" t="n"/>
      <c r="E59" s="111" t="n"/>
      <c r="F59" s="111" t="n"/>
      <c r="G59" s="112" t="n"/>
      <c r="H59" s="132" t="inlineStr">
        <is>
          <t>購読者販売店一括置換画面</t>
        </is>
      </c>
      <c r="I59" s="111" t="n"/>
      <c r="J59" s="111" t="n"/>
      <c r="K59" s="111" t="n"/>
      <c r="L59" s="111" t="n"/>
      <c r="M59" s="112" t="n"/>
      <c r="N59" s="133" t="inlineStr">
        <is>
          <t>ACSMS-SCR-015</t>
        </is>
      </c>
      <c r="O59" s="20" t="n">
        <v>26</v>
      </c>
      <c r="P59" s="111" t="n"/>
      <c r="Q59" s="112" t="n"/>
      <c r="R59" s="20" t="n">
        <v>19</v>
      </c>
      <c r="S59" s="111" t="n"/>
      <c r="T59" s="112" t="n"/>
      <c r="U59" s="20" t="n">
        <v>5</v>
      </c>
      <c r="V59" s="111" t="n"/>
      <c r="W59" s="112" t="n"/>
      <c r="X59" s="20" t="n">
        <v>50</v>
      </c>
      <c r="Y59" s="111" t="n"/>
      <c r="Z59" s="112" t="n"/>
      <c r="AA59" s="20" t="n">
        <v>47</v>
      </c>
      <c r="AB59" s="111" t="n"/>
      <c r="AC59" s="112" t="n"/>
      <c r="AD59" s="20" t="n">
        <v>0</v>
      </c>
      <c r="AE59" s="111" t="n"/>
      <c r="AF59" s="112" t="n"/>
      <c r="AG59" s="20" t="n">
        <v>0</v>
      </c>
      <c r="AH59" s="111" t="n"/>
      <c r="AI59" s="112" t="n"/>
      <c r="AJ59" s="20" t="n">
        <v>3</v>
      </c>
      <c r="AK59" s="111" t="n"/>
      <c r="AL59" s="112" t="n"/>
      <c r="AM59" s="134">
        <f>IFERROR((AA59+AD59+AJ59)/X59,0)</f>
        <v>1.0</v>
      </c>
      <c r="AN59" s="111" t="n"/>
      <c r="AO59" s="112" t="n"/>
    </row>
    <row r="60" ht="19.5" customHeight="1" s="64">
      <c r="A60" s="20" t="n">
        <v>19</v>
      </c>
      <c r="B60" s="131" t="inlineStr">
        <is>
          <t>購読者管理</t>
        </is>
      </c>
      <c r="C60" s="111" t="n"/>
      <c r="D60" s="111" t="n"/>
      <c r="E60" s="111" t="n"/>
      <c r="F60" s="111" t="n"/>
      <c r="G60" s="112" t="n"/>
      <c r="H60" s="132" t="inlineStr">
        <is>
          <t>購読者Excelデータ取込画面</t>
        </is>
      </c>
      <c r="I60" s="111" t="n"/>
      <c r="J60" s="111" t="n"/>
      <c r="K60" s="111" t="n"/>
      <c r="L60" s="111" t="n"/>
      <c r="M60" s="112" t="n"/>
      <c r="N60" s="133" t="inlineStr">
        <is>
          <t>ACSMS-SCR-016</t>
        </is>
      </c>
      <c r="O60" s="20" t="n">
        <v>35</v>
      </c>
      <c r="P60" s="111" t="n"/>
      <c r="Q60" s="112" t="n"/>
      <c r="R60" s="20" t="n">
        <v>35</v>
      </c>
      <c r="S60" s="111" t="n"/>
      <c r="T60" s="112" t="n"/>
      <c r="U60" s="20" t="n">
        <v>7</v>
      </c>
      <c r="V60" s="111" t="n"/>
      <c r="W60" s="112" t="n"/>
      <c r="X60" s="20" t="n">
        <v>77</v>
      </c>
      <c r="Y60" s="111" t="n"/>
      <c r="Z60" s="112" t="n"/>
      <c r="AA60" s="20" t="n">
        <v>77</v>
      </c>
      <c r="AB60" s="111" t="n"/>
      <c r="AC60" s="112" t="n"/>
      <c r="AD60" s="20" t="n">
        <v>0</v>
      </c>
      <c r="AE60" s="111" t="n"/>
      <c r="AF60" s="112" t="n"/>
      <c r="AG60" s="20" t="n">
        <v>0</v>
      </c>
      <c r="AH60" s="111" t="n"/>
      <c r="AI60" s="112" t="n"/>
      <c r="AJ60" s="20" t="n">
        <v>0</v>
      </c>
      <c r="AK60" s="111" t="n"/>
      <c r="AL60" s="112" t="n"/>
      <c r="AM60" s="134">
        <f>IFERROR((AA60+AD60+AJ60)/X60,0)</f>
        <v>1.0</v>
      </c>
      <c r="AN60" s="111" t="n"/>
      <c r="AO60" s="112" t="n"/>
    </row>
    <row r="61" ht="19.5" customHeight="1" s="64">
      <c r="A61" s="20" t="n">
        <v>20</v>
      </c>
      <c r="B61" s="131" t="inlineStr">
        <is>
          <t>販売店管理</t>
        </is>
      </c>
      <c r="C61" s="111" t="n"/>
      <c r="D61" s="111" t="n"/>
      <c r="E61" s="111" t="n"/>
      <c r="F61" s="111" t="n"/>
      <c r="G61" s="112" t="n"/>
      <c r="H61" s="132" t="inlineStr">
        <is>
          <t>販売店情報登録画面</t>
        </is>
      </c>
      <c r="I61" s="111" t="n"/>
      <c r="J61" s="111" t="n"/>
      <c r="K61" s="111" t="n"/>
      <c r="L61" s="111" t="n"/>
      <c r="M61" s="112" t="n"/>
      <c r="N61" s="133" t="inlineStr">
        <is>
          <t>ACSMS-SCR-017</t>
        </is>
      </c>
      <c r="O61" s="20" t="n">
        <v>26</v>
      </c>
      <c r="P61" s="111" t="n"/>
      <c r="Q61" s="112" t="n"/>
      <c r="R61" s="20" t="n">
        <v>31</v>
      </c>
      <c r="S61" s="111" t="n"/>
      <c r="T61" s="112" t="n"/>
      <c r="U61" s="20" t="n">
        <v>13</v>
      </c>
      <c r="V61" s="111" t="n"/>
      <c r="W61" s="112" t="n"/>
      <c r="X61" s="20" t="n">
        <v>70</v>
      </c>
      <c r="Y61" s="111" t="n"/>
      <c r="Z61" s="112" t="n"/>
      <c r="AA61" s="20" t="n">
        <v>68</v>
      </c>
      <c r="AB61" s="111" t="n"/>
      <c r="AC61" s="112" t="n"/>
      <c r="AD61" s="20" t="n">
        <v>0</v>
      </c>
      <c r="AE61" s="111" t="n"/>
      <c r="AF61" s="112" t="n"/>
      <c r="AG61" s="20" t="n">
        <v>0</v>
      </c>
      <c r="AH61" s="111" t="n"/>
      <c r="AI61" s="112" t="n"/>
      <c r="AJ61" s="20" t="n">
        <v>2</v>
      </c>
      <c r="AK61" s="111" t="n"/>
      <c r="AL61" s="112" t="n"/>
      <c r="AM61" s="134">
        <f>IFERROR((AA61+AD61+AJ61)/X61,0)</f>
        <v>1.0</v>
      </c>
      <c r="AN61" s="111" t="n"/>
      <c r="AO61" s="112" t="n"/>
    </row>
    <row r="62" ht="19.5" customHeight="1" s="64">
      <c r="A62" s="20" t="n">
        <v>21</v>
      </c>
      <c r="B62" s="131" t="inlineStr">
        <is>
          <t>販売店管理</t>
        </is>
      </c>
      <c r="C62" s="111" t="n"/>
      <c r="D62" s="111" t="n"/>
      <c r="E62" s="111" t="n"/>
      <c r="F62" s="111" t="n"/>
      <c r="G62" s="112" t="n"/>
      <c r="H62" s="132" t="inlineStr">
        <is>
          <t>販売店明細検索画面</t>
        </is>
      </c>
      <c r="I62" s="111" t="n"/>
      <c r="J62" s="111" t="n"/>
      <c r="K62" s="111" t="n"/>
      <c r="L62" s="111" t="n"/>
      <c r="M62" s="112" t="n"/>
      <c r="N62" s="133" t="inlineStr">
        <is>
          <t>ACSMS-SCR-018</t>
        </is>
      </c>
      <c r="O62" s="20" t="n">
        <v>38</v>
      </c>
      <c r="P62" s="111" t="n"/>
      <c r="Q62" s="112" t="n"/>
      <c r="R62" s="20" t="n">
        <v>12</v>
      </c>
      <c r="S62" s="111" t="n"/>
      <c r="T62" s="112" t="n"/>
      <c r="U62" s="20" t="n">
        <v>3</v>
      </c>
      <c r="V62" s="111" t="n"/>
      <c r="W62" s="112" t="n"/>
      <c r="X62" s="20" t="n">
        <v>53</v>
      </c>
      <c r="Y62" s="111" t="n"/>
      <c r="Z62" s="112" t="n"/>
      <c r="AA62" s="20" t="n">
        <v>53</v>
      </c>
      <c r="AB62" s="111" t="n"/>
      <c r="AC62" s="112" t="n"/>
      <c r="AD62" s="20" t="n">
        <v>0</v>
      </c>
      <c r="AE62" s="111" t="n"/>
      <c r="AF62" s="112" t="n"/>
      <c r="AG62" s="20" t="n">
        <v>0</v>
      </c>
      <c r="AH62" s="111" t="n"/>
      <c r="AI62" s="112" t="n"/>
      <c r="AJ62" s="20" t="n">
        <v>0</v>
      </c>
      <c r="AK62" s="111" t="n"/>
      <c r="AL62" s="112" t="n"/>
      <c r="AM62" s="134">
        <f>IFERROR((AA62+AD62+AJ62)/X62,0)</f>
        <v>1.0</v>
      </c>
      <c r="AN62" s="111" t="n"/>
      <c r="AO62" s="112" t="n"/>
    </row>
    <row r="63" ht="19.5" customHeight="1" s="64">
      <c r="A63" s="20" t="n">
        <v>22</v>
      </c>
      <c r="B63" s="131" t="inlineStr">
        <is>
          <t>販売店管理</t>
        </is>
      </c>
      <c r="C63" s="111" t="n"/>
      <c r="D63" s="111" t="n"/>
      <c r="E63" s="111" t="n"/>
      <c r="F63" s="111" t="n"/>
      <c r="G63" s="112" t="n"/>
      <c r="H63" s="132" t="inlineStr">
        <is>
          <t>販売店Excelデータ取込画面</t>
        </is>
      </c>
      <c r="I63" s="111" t="n"/>
      <c r="J63" s="111" t="n"/>
      <c r="K63" s="111" t="n"/>
      <c r="L63" s="111" t="n"/>
      <c r="M63" s="112" t="n"/>
      <c r="N63" s="133" t="inlineStr">
        <is>
          <t>ACSMS-SCR-019</t>
        </is>
      </c>
      <c r="O63" s="20" t="n">
        <v>24</v>
      </c>
      <c r="P63" s="111" t="n"/>
      <c r="Q63" s="112" t="n"/>
      <c r="R63" s="20" t="n">
        <v>20</v>
      </c>
      <c r="S63" s="111" t="n"/>
      <c r="T63" s="112" t="n"/>
      <c r="U63" s="20" t="n">
        <v>3</v>
      </c>
      <c r="V63" s="111" t="n"/>
      <c r="W63" s="112" t="n"/>
      <c r="X63" s="20" t="n">
        <v>47</v>
      </c>
      <c r="Y63" s="111" t="n"/>
      <c r="Z63" s="112" t="n"/>
      <c r="AA63" s="20" t="n">
        <v>47</v>
      </c>
      <c r="AB63" s="111" t="n"/>
      <c r="AC63" s="112" t="n"/>
      <c r="AD63" s="20" t="n">
        <v>0</v>
      </c>
      <c r="AE63" s="111" t="n"/>
      <c r="AF63" s="112" t="n"/>
      <c r="AG63" s="20" t="n">
        <v>0</v>
      </c>
      <c r="AH63" s="111" t="n"/>
      <c r="AI63" s="112" t="n"/>
      <c r="AJ63" s="20" t="n">
        <v>0</v>
      </c>
      <c r="AK63" s="111" t="n"/>
      <c r="AL63" s="112" t="n"/>
      <c r="AM63" s="134">
        <f>IFERROR((AA63+AD63+AJ63)/X63,0)</f>
        <v>1.0</v>
      </c>
      <c r="AN63" s="111" t="n"/>
      <c r="AO63" s="112" t="n"/>
    </row>
    <row r="64" ht="19.5" customHeight="1" s="64">
      <c r="A64" s="20" t="n">
        <v>23</v>
      </c>
      <c r="B64" s="131" t="inlineStr">
        <is>
          <t>帳票・データ出力</t>
        </is>
      </c>
      <c r="C64" s="111" t="n"/>
      <c r="D64" s="111" t="n"/>
      <c r="E64" s="111" t="n"/>
      <c r="F64" s="111" t="n"/>
      <c r="G64" s="112" t="n"/>
      <c r="H64" s="132" t="inlineStr">
        <is>
          <t>口座振替データ出力画面</t>
        </is>
      </c>
      <c r="I64" s="111" t="n"/>
      <c r="J64" s="111" t="n"/>
      <c r="K64" s="111" t="n"/>
      <c r="L64" s="111" t="n"/>
      <c r="M64" s="112" t="n"/>
      <c r="N64" s="133" t="inlineStr">
        <is>
          <t>ACSMS-SCR-020</t>
        </is>
      </c>
      <c r="O64" s="20" t="n">
        <v>25</v>
      </c>
      <c r="P64" s="111" t="n"/>
      <c r="Q64" s="112" t="n"/>
      <c r="R64" s="20" t="n">
        <v>25</v>
      </c>
      <c r="S64" s="111" t="n"/>
      <c r="T64" s="112" t="n"/>
      <c r="U64" s="20" t="n">
        <v>7</v>
      </c>
      <c r="V64" s="111" t="n"/>
      <c r="W64" s="112" t="n"/>
      <c r="X64" s="20" t="n">
        <v>57</v>
      </c>
      <c r="Y64" s="111" t="n"/>
      <c r="Z64" s="112" t="n"/>
      <c r="AA64" s="20" t="n">
        <v>45</v>
      </c>
      <c r="AB64" s="111" t="n"/>
      <c r="AC64" s="112" t="n"/>
      <c r="AD64" s="20" t="n">
        <v>0</v>
      </c>
      <c r="AE64" s="111" t="n"/>
      <c r="AF64" s="112" t="n"/>
      <c r="AG64" s="20" t="n">
        <v>0</v>
      </c>
      <c r="AH64" s="111" t="n"/>
      <c r="AI64" s="112" t="n"/>
      <c r="AJ64" s="20" t="n">
        <v>12</v>
      </c>
      <c r="AK64" s="111" t="n"/>
      <c r="AL64" s="112" t="n"/>
      <c r="AM64" s="134">
        <f>IFERROR((AA64+AD64+AJ64)/X64,0)</f>
        <v>1.0</v>
      </c>
      <c r="AN64" s="111" t="n"/>
      <c r="AO64" s="112" t="n"/>
    </row>
    <row r="65" ht="19.5" customHeight="1" s="64">
      <c r="A65" s="20" t="n">
        <v>24</v>
      </c>
      <c r="B65" s="131" t="inlineStr">
        <is>
          <t>帳票・データ出力</t>
        </is>
      </c>
      <c r="C65" s="111" t="n"/>
      <c r="D65" s="111" t="n"/>
      <c r="E65" s="111" t="n"/>
      <c r="F65" s="111" t="n"/>
      <c r="G65" s="112" t="n"/>
      <c r="H65" s="132" t="inlineStr">
        <is>
          <t>配達手数料支払情報出力画面</t>
        </is>
      </c>
      <c r="I65" s="111" t="n"/>
      <c r="J65" s="111" t="n"/>
      <c r="K65" s="111" t="n"/>
      <c r="L65" s="111" t="n"/>
      <c r="M65" s="112" t="n"/>
      <c r="N65" s="133" t="inlineStr">
        <is>
          <t>ACSMS-SCR-021</t>
        </is>
      </c>
      <c r="O65" s="20" t="n">
        <v>24</v>
      </c>
      <c r="P65" s="111" t="n"/>
      <c r="Q65" s="112" t="n"/>
      <c r="R65" s="20" t="n">
        <v>17</v>
      </c>
      <c r="S65" s="111" t="n"/>
      <c r="T65" s="112" t="n"/>
      <c r="U65" s="20" t="n">
        <v>1</v>
      </c>
      <c r="V65" s="111" t="n"/>
      <c r="W65" s="112" t="n"/>
      <c r="X65" s="20" t="n">
        <v>42</v>
      </c>
      <c r="Y65" s="111" t="n"/>
      <c r="Z65" s="112" t="n"/>
      <c r="AA65" s="20" t="n">
        <v>36</v>
      </c>
      <c r="AB65" s="111" t="n"/>
      <c r="AC65" s="112" t="n"/>
      <c r="AD65" s="20" t="n">
        <v>0</v>
      </c>
      <c r="AE65" s="111" t="n"/>
      <c r="AF65" s="112" t="n"/>
      <c r="AG65" s="20" t="n">
        <v>0</v>
      </c>
      <c r="AH65" s="111" t="n"/>
      <c r="AI65" s="112" t="n"/>
      <c r="AJ65" s="20" t="n">
        <v>6</v>
      </c>
      <c r="AK65" s="111" t="n"/>
      <c r="AL65" s="112" t="n"/>
      <c r="AM65" s="134">
        <f>IFERROR((AA65+AD65+AJ65)/X65,0)</f>
        <v>1.0</v>
      </c>
      <c r="AN65" s="111" t="n"/>
      <c r="AO65" s="112" t="n"/>
    </row>
    <row r="66" ht="19.5" customHeight="1" s="64">
      <c r="A66" s="20" t="n">
        <v>25</v>
      </c>
      <c r="B66" s="131" t="inlineStr">
        <is>
          <t>帳票・データ出力</t>
        </is>
      </c>
      <c r="C66" s="111" t="n"/>
      <c r="D66" s="111" t="n"/>
      <c r="E66" s="111" t="n"/>
      <c r="F66" s="111" t="n"/>
      <c r="G66" s="112" t="n"/>
      <c r="H66" s="132" t="inlineStr">
        <is>
          <t>購読者名簿出力画面</t>
        </is>
      </c>
      <c r="I66" s="111" t="n"/>
      <c r="J66" s="111" t="n"/>
      <c r="K66" s="111" t="n"/>
      <c r="L66" s="111" t="n"/>
      <c r="M66" s="112" t="n"/>
      <c r="N66" s="133" t="inlineStr">
        <is>
          <t>ACSMS-SCR-026</t>
        </is>
      </c>
      <c r="O66" s="20" t="n">
        <v>25</v>
      </c>
      <c r="P66" s="111" t="n"/>
      <c r="Q66" s="112" t="n"/>
      <c r="R66" s="20" t="n">
        <v>19</v>
      </c>
      <c r="S66" s="111" t="n"/>
      <c r="T66" s="112" t="n"/>
      <c r="U66" s="20" t="n">
        <v>0</v>
      </c>
      <c r="V66" s="111" t="n"/>
      <c r="W66" s="112" t="n"/>
      <c r="X66" s="20" t="n">
        <v>44</v>
      </c>
      <c r="Y66" s="111" t="n"/>
      <c r="Z66" s="112" t="n"/>
      <c r="AA66" s="20" t="n">
        <v>44</v>
      </c>
      <c r="AB66" s="111" t="n"/>
      <c r="AC66" s="112" t="n"/>
      <c r="AD66" s="20" t="n">
        <v>0</v>
      </c>
      <c r="AE66" s="111" t="n"/>
      <c r="AF66" s="112" t="n"/>
      <c r="AG66" s="20" t="n">
        <v>0</v>
      </c>
      <c r="AH66" s="111" t="n"/>
      <c r="AI66" s="112" t="n"/>
      <c r="AJ66" s="20" t="n">
        <v>0</v>
      </c>
      <c r="AK66" s="111" t="n"/>
      <c r="AL66" s="112" t="n"/>
      <c r="AM66" s="134">
        <f>IFERROR((AA66+AD66+AJ66)/X66,0)</f>
        <v>1.0</v>
      </c>
      <c r="AN66" s="111" t="n"/>
      <c r="AO66" s="112" t="n"/>
    </row>
    <row r="67" ht="19.5" customHeight="1" s="64">
      <c r="A67" s="20" t="n">
        <v>26</v>
      </c>
      <c r="B67" s="131" t="inlineStr">
        <is>
          <t>帳票・データ出力</t>
        </is>
      </c>
      <c r="C67" s="111" t="n"/>
      <c r="D67" s="111" t="n"/>
      <c r="E67" s="111" t="n"/>
      <c r="F67" s="111" t="n"/>
      <c r="G67" s="112" t="n"/>
      <c r="H67" s="132" t="inlineStr">
        <is>
          <t>増減連絡票（販売店）出力画面</t>
        </is>
      </c>
      <c r="I67" s="111" t="n"/>
      <c r="J67" s="111" t="n"/>
      <c r="K67" s="111" t="n"/>
      <c r="L67" s="111" t="n"/>
      <c r="M67" s="112" t="n"/>
      <c r="N67" s="133" t="inlineStr">
        <is>
          <t>ACSMS-SCR-028</t>
        </is>
      </c>
      <c r="O67" s="20" t="n">
        <v>29</v>
      </c>
      <c r="P67" s="111" t="n"/>
      <c r="Q67" s="112" t="n"/>
      <c r="R67" s="20" t="n">
        <v>18</v>
      </c>
      <c r="S67" s="111" t="n"/>
      <c r="T67" s="112" t="n"/>
      <c r="U67" s="20" t="n">
        <v>0</v>
      </c>
      <c r="V67" s="111" t="n"/>
      <c r="W67" s="112" t="n"/>
      <c r="X67" s="20" t="n">
        <v>47</v>
      </c>
      <c r="Y67" s="111" t="n"/>
      <c r="Z67" s="112" t="n"/>
      <c r="AA67" s="20" t="n">
        <v>46</v>
      </c>
      <c r="AB67" s="111" t="n"/>
      <c r="AC67" s="112" t="n"/>
      <c r="AD67" s="20" t="n">
        <v>0</v>
      </c>
      <c r="AE67" s="111" t="n"/>
      <c r="AF67" s="112" t="n"/>
      <c r="AG67" s="20" t="n">
        <v>0</v>
      </c>
      <c r="AH67" s="111" t="n"/>
      <c r="AI67" s="112" t="n"/>
      <c r="AJ67" s="20" t="n">
        <v>1</v>
      </c>
      <c r="AK67" s="111" t="n"/>
      <c r="AL67" s="112" t="n"/>
      <c r="AM67" s="134">
        <f>IFERROR((AA67+AD67+AJ67)/X67,0)</f>
        <v>1.0</v>
      </c>
      <c r="AN67" s="111" t="n"/>
      <c r="AO67" s="112" t="n"/>
    </row>
    <row r="68" ht="19.5" customHeight="1" s="64">
      <c r="A68" s="20" t="n">
        <v>27</v>
      </c>
      <c r="B68" s="131" t="inlineStr">
        <is>
          <t>帳票・データ出力</t>
        </is>
      </c>
      <c r="C68" s="111" t="n"/>
      <c r="D68" s="111" t="n"/>
      <c r="E68" s="111" t="n"/>
      <c r="F68" s="111" t="n"/>
      <c r="G68" s="112" t="n"/>
      <c r="H68" s="132" t="inlineStr">
        <is>
          <t>増減通知（日本農業新聞）出力画面</t>
        </is>
      </c>
      <c r="I68" s="111" t="n"/>
      <c r="J68" s="111" t="n"/>
      <c r="K68" s="111" t="n"/>
      <c r="L68" s="111" t="n"/>
      <c r="M68" s="112" t="n"/>
      <c r="N68" s="133" t="inlineStr">
        <is>
          <t>ACSMS-SCR-029</t>
        </is>
      </c>
      <c r="O68" s="20" t="n">
        <v>29</v>
      </c>
      <c r="P68" s="111" t="n"/>
      <c r="Q68" s="112" t="n"/>
      <c r="R68" s="20" t="n">
        <v>18</v>
      </c>
      <c r="S68" s="111" t="n"/>
      <c r="T68" s="112" t="n"/>
      <c r="U68" s="20" t="n">
        <v>1</v>
      </c>
      <c r="V68" s="111" t="n"/>
      <c r="W68" s="112" t="n"/>
      <c r="X68" s="20" t="n">
        <v>48</v>
      </c>
      <c r="Y68" s="111" t="n"/>
      <c r="Z68" s="112" t="n"/>
      <c r="AA68" s="20" t="n">
        <v>47</v>
      </c>
      <c r="AB68" s="111" t="n"/>
      <c r="AC68" s="112" t="n"/>
      <c r="AD68" s="20" t="n">
        <v>0</v>
      </c>
      <c r="AE68" s="111" t="n"/>
      <c r="AF68" s="112" t="n"/>
      <c r="AG68" s="20" t="n">
        <v>0</v>
      </c>
      <c r="AH68" s="111" t="n"/>
      <c r="AI68" s="112" t="n"/>
      <c r="AJ68" s="20" t="n">
        <v>1</v>
      </c>
      <c r="AK68" s="111" t="n"/>
      <c r="AL68" s="112" t="n"/>
      <c r="AM68" s="134">
        <f>IFERROR((AA68+AD68+AJ68)/X68,0)</f>
        <v>1.0</v>
      </c>
      <c r="AN68" s="111" t="n"/>
      <c r="AO68" s="112" t="n"/>
    </row>
    <row r="69" ht="19.5" customHeight="1" s="64">
      <c r="A69" s="20" t="n">
        <v>28</v>
      </c>
      <c r="B69" s="131" t="inlineStr">
        <is>
          <t>ファイル管理</t>
        </is>
      </c>
      <c r="C69" s="111" t="n"/>
      <c r="D69" s="111" t="n"/>
      <c r="E69" s="111" t="n"/>
      <c r="F69" s="111" t="n"/>
      <c r="G69" s="112" t="n"/>
      <c r="H69" s="132" t="inlineStr">
        <is>
          <t>ファイルダウンロード画面</t>
        </is>
      </c>
      <c r="I69" s="111" t="n"/>
      <c r="J69" s="111" t="n"/>
      <c r="K69" s="111" t="n"/>
      <c r="L69" s="111" t="n"/>
      <c r="M69" s="112" t="n"/>
      <c r="N69" s="133" t="inlineStr">
        <is>
          <t>ACSMS-SCR-022</t>
        </is>
      </c>
      <c r="O69" s="20" t="n">
        <v>44</v>
      </c>
      <c r="P69" s="111" t="n"/>
      <c r="Q69" s="112" t="n"/>
      <c r="R69" s="20" t="n">
        <v>31</v>
      </c>
      <c r="S69" s="111" t="n"/>
      <c r="T69" s="112" t="n"/>
      <c r="U69" s="20" t="n">
        <v>6</v>
      </c>
      <c r="V69" s="111" t="n"/>
      <c r="W69" s="112" t="n"/>
      <c r="X69" s="20" t="n">
        <v>81</v>
      </c>
      <c r="Y69" s="111" t="n"/>
      <c r="Z69" s="112" t="n"/>
      <c r="AA69" s="20" t="n">
        <v>78</v>
      </c>
      <c r="AB69" s="111" t="n"/>
      <c r="AC69" s="112" t="n"/>
      <c r="AD69" s="20" t="n">
        <v>0</v>
      </c>
      <c r="AE69" s="111" t="n"/>
      <c r="AF69" s="112" t="n"/>
      <c r="AG69" s="20" t="n">
        <v>0</v>
      </c>
      <c r="AH69" s="111" t="n"/>
      <c r="AI69" s="112" t="n"/>
      <c r="AJ69" s="20" t="n">
        <v>3</v>
      </c>
      <c r="AK69" s="111" t="n"/>
      <c r="AL69" s="112" t="n"/>
      <c r="AM69" s="134">
        <f>IFERROR((AA69+AD69+AJ69)/X69,0)</f>
        <v>1.0</v>
      </c>
      <c r="AN69" s="111" t="n"/>
      <c r="AO69" s="112" t="n"/>
    </row>
    <row r="70" ht="19.5" customHeight="1" s="64">
      <c r="A70" s="20" t="n">
        <v>29</v>
      </c>
      <c r="B70" s="131" t="inlineStr">
        <is>
          <t>ファイル管理</t>
        </is>
      </c>
      <c r="C70" s="111" t="n"/>
      <c r="D70" s="111" t="n"/>
      <c r="E70" s="111" t="n"/>
      <c r="F70" s="111" t="n"/>
      <c r="G70" s="112" t="n"/>
      <c r="H70" s="132" t="inlineStr">
        <is>
          <t>ファイルアップロード画面</t>
        </is>
      </c>
      <c r="I70" s="111" t="n"/>
      <c r="J70" s="111" t="n"/>
      <c r="K70" s="111" t="n"/>
      <c r="L70" s="111" t="n"/>
      <c r="M70" s="112" t="n"/>
      <c r="N70" s="133" t="inlineStr">
        <is>
          <t>ACSMS-SCR-023</t>
        </is>
      </c>
      <c r="O70" s="20" t="n">
        <v>36</v>
      </c>
      <c r="P70" s="111" t="n"/>
      <c r="Q70" s="112" t="n"/>
      <c r="R70" s="20" t="n">
        <v>28</v>
      </c>
      <c r="S70" s="111" t="n"/>
      <c r="T70" s="112" t="n"/>
      <c r="U70" s="20" t="n">
        <v>6</v>
      </c>
      <c r="V70" s="111" t="n"/>
      <c r="W70" s="112" t="n"/>
      <c r="X70" s="20" t="n">
        <v>70</v>
      </c>
      <c r="Y70" s="111" t="n"/>
      <c r="Z70" s="112" t="n"/>
      <c r="AA70" s="20" t="n">
        <v>70</v>
      </c>
      <c r="AB70" s="111" t="n"/>
      <c r="AC70" s="112" t="n"/>
      <c r="AD70" s="20" t="n">
        <v>0</v>
      </c>
      <c r="AE70" s="111" t="n"/>
      <c r="AF70" s="112" t="n"/>
      <c r="AG70" s="20" t="n">
        <v>0</v>
      </c>
      <c r="AH70" s="111" t="n"/>
      <c r="AI70" s="112" t="n"/>
      <c r="AJ70" s="20" t="n">
        <v>0</v>
      </c>
      <c r="AK70" s="111" t="n"/>
      <c r="AL70" s="112" t="n"/>
      <c r="AM70" s="134">
        <f>IFERROR((AA70+AD70+AJ70)/X70,0)</f>
        <v>1.0</v>
      </c>
      <c r="AN70" s="111" t="n"/>
      <c r="AO70" s="112" t="n"/>
    </row>
    <row r="71" ht="19.5" customHeight="1" s="64">
      <c r="A71" s="20" t="n">
        <v>30</v>
      </c>
      <c r="B71" s="131" t="inlineStr">
        <is>
          <t>システム管理</t>
        </is>
      </c>
      <c r="C71" s="111" t="n"/>
      <c r="D71" s="111" t="n"/>
      <c r="E71" s="111" t="n"/>
      <c r="F71" s="111" t="n"/>
      <c r="G71" s="112" t="n"/>
      <c r="H71" s="132" t="inlineStr">
        <is>
          <t>ログ参照画面</t>
        </is>
      </c>
      <c r="I71" s="111" t="n"/>
      <c r="J71" s="111" t="n"/>
      <c r="K71" s="111" t="n"/>
      <c r="L71" s="111" t="n"/>
      <c r="M71" s="112" t="n"/>
      <c r="N71" s="133" t="inlineStr">
        <is>
          <t>ACSMS-SCR-030</t>
        </is>
      </c>
      <c r="O71" s="20" t="n">
        <v>32</v>
      </c>
      <c r="P71" s="111" t="n"/>
      <c r="Q71" s="112" t="n"/>
      <c r="R71" s="20" t="n">
        <v>12</v>
      </c>
      <c r="S71" s="111" t="n"/>
      <c r="T71" s="112" t="n"/>
      <c r="U71" s="20" t="n">
        <v>1</v>
      </c>
      <c r="V71" s="111" t="n"/>
      <c r="W71" s="112" t="n"/>
      <c r="X71" s="20" t="n">
        <v>45</v>
      </c>
      <c r="Y71" s="111" t="n"/>
      <c r="Z71" s="112" t="n"/>
      <c r="AA71" s="20" t="n">
        <v>44</v>
      </c>
      <c r="AB71" s="111" t="n"/>
      <c r="AC71" s="112" t="n"/>
      <c r="AD71" s="20" t="n">
        <v>0</v>
      </c>
      <c r="AE71" s="111" t="n"/>
      <c r="AF71" s="112" t="n"/>
      <c r="AG71" s="20" t="n">
        <v>0</v>
      </c>
      <c r="AH71" s="111" t="n"/>
      <c r="AI71" s="112" t="n"/>
      <c r="AJ71" s="20" t="n">
        <v>1</v>
      </c>
      <c r="AK71" s="111" t="n"/>
      <c r="AL71" s="112" t="n"/>
      <c r="AM71" s="134">
        <f>IFERROR((AA71+AD71+AJ71)/X71,0)</f>
        <v>1.0</v>
      </c>
      <c r="AN71" s="111" t="n"/>
      <c r="AO71" s="112" t="n"/>
    </row>
    <row r="72" ht="19.5" customHeight="1" s="64">
      <c r="A72" s="20" t="n">
        <v>31</v>
      </c>
      <c r="B72" s="131" t="inlineStr">
        <is>
          <t>システム管理</t>
        </is>
      </c>
      <c r="C72" s="111" t="n"/>
      <c r="D72" s="111" t="n"/>
      <c r="E72" s="111" t="n"/>
      <c r="F72" s="111" t="n"/>
      <c r="G72" s="112" t="n"/>
      <c r="H72" s="132" t="inlineStr">
        <is>
          <t>お知らせ一覧画面</t>
        </is>
      </c>
      <c r="I72" s="111" t="n"/>
      <c r="J72" s="111" t="n"/>
      <c r="K72" s="111" t="n"/>
      <c r="L72" s="111" t="n"/>
      <c r="M72" s="112" t="n"/>
      <c r="N72" s="133" t="inlineStr">
        <is>
          <t>ACSMS-SCR-031</t>
        </is>
      </c>
      <c r="O72" s="20" t="n">
        <v>26</v>
      </c>
      <c r="P72" s="111" t="n"/>
      <c r="Q72" s="112" t="n"/>
      <c r="R72" s="20" t="n">
        <v>23</v>
      </c>
      <c r="S72" s="111" t="n"/>
      <c r="T72" s="112" t="n"/>
      <c r="U72" s="20" t="n">
        <v>3</v>
      </c>
      <c r="V72" s="111" t="n"/>
      <c r="W72" s="112" t="n"/>
      <c r="X72" s="20" t="n">
        <v>52</v>
      </c>
      <c r="Y72" s="111" t="n"/>
      <c r="Z72" s="112" t="n"/>
      <c r="AA72" s="20" t="n">
        <v>48</v>
      </c>
      <c r="AB72" s="111" t="n"/>
      <c r="AC72" s="112" t="n"/>
      <c r="AD72" s="20" t="n">
        <v>0</v>
      </c>
      <c r="AE72" s="111" t="n"/>
      <c r="AF72" s="112" t="n"/>
      <c r="AG72" s="20" t="n">
        <v>0</v>
      </c>
      <c r="AH72" s="111" t="n"/>
      <c r="AI72" s="112" t="n"/>
      <c r="AJ72" s="20" t="n">
        <v>4</v>
      </c>
      <c r="AK72" s="111" t="n"/>
      <c r="AL72" s="112" t="n"/>
      <c r="AM72" s="134">
        <f>IFERROR((AA72+AD72+AJ72)/X72,0)</f>
        <v>1.0</v>
      </c>
      <c r="AN72" s="111" t="n"/>
      <c r="AO72" s="112" t="n"/>
    </row>
    <row r="73" ht="19.5" customHeight="1" s="64">
      <c r="A73" s="23" t="n"/>
      <c r="B73" s="120" t="n"/>
      <c r="C73" s="111" t="n"/>
      <c r="D73" s="111" t="n"/>
      <c r="E73" s="111" t="n"/>
      <c r="F73" s="111" t="n"/>
      <c r="G73" s="112" t="n"/>
      <c r="H73" s="135" t="inlineStr">
        <is>
          <t>合計</t>
        </is>
      </c>
      <c r="I73" s="111" t="n"/>
      <c r="J73" s="111" t="n"/>
      <c r="K73" s="111" t="n"/>
      <c r="L73" s="111" t="n"/>
      <c r="M73" s="112" t="n"/>
      <c r="N73" s="24" t="n"/>
      <c r="O73" s="136">
        <f>SUM(O42:O72)</f>
        <v>917</v>
      </c>
      <c r="P73" s="111" t="n"/>
      <c r="Q73" s="112" t="n"/>
      <c r="R73" s="136">
        <f>SUM(R42:R72)</f>
        <v>695</v>
      </c>
      <c r="S73" s="111" t="n"/>
      <c r="T73" s="112" t="n"/>
      <c r="U73" s="136">
        <f>SUM(U42:U72)</f>
        <v>113</v>
      </c>
      <c r="V73" s="111" t="n"/>
      <c r="W73" s="112" t="n"/>
      <c r="X73" s="136">
        <f>SUM(X42:X72)</f>
        <v>1725</v>
      </c>
      <c r="Y73" s="111" t="n"/>
      <c r="Z73" s="112" t="n"/>
      <c r="AA73" s="136">
        <f>SUM(AA42:AA72)</f>
        <v>1650</v>
      </c>
      <c r="AB73" s="111" t="n"/>
      <c r="AC73" s="112" t="n"/>
      <c r="AD73" s="136">
        <f>SUM(AD42:AD72)</f>
        <v>0</v>
      </c>
      <c r="AE73" s="111" t="n"/>
      <c r="AF73" s="112" t="n"/>
      <c r="AG73" s="136">
        <f>SUM(AG42:AG72)</f>
        <v>0</v>
      </c>
      <c r="AH73" s="111" t="n"/>
      <c r="AI73" s="112" t="n"/>
      <c r="AJ73" s="136">
        <f>SUM(AJ42:AJ72)</f>
        <v>75</v>
      </c>
      <c r="AK73" s="111" t="n"/>
      <c r="AL73" s="112" t="n"/>
      <c r="AM73" s="137">
        <f>IFERROR((AA73+AD73+AJ73)/X73,0)</f>
        <v>1.0</v>
      </c>
      <c r="AN73" s="111" t="n"/>
      <c r="AO73" s="112" t="n"/>
    </row>
  </sheetData>
  <mergeCells count="728">
    <mergeCell ref="H21:M21"/>
    <mergeCell ref="AD34:AF34"/>
    <mergeCell ref="AD28:AF28"/>
    <mergeCell ref="O22:Q22"/>
    <mergeCell ref="U13:W13"/>
    <mergeCell ref="U7:W7"/>
    <mergeCell ref="AD36:AF36"/>
    <mergeCell ref="AM64:AO64"/>
    <mergeCell ref="AD30:AF30"/>
    <mergeCell ref="X68:Z68"/>
    <mergeCell ref="O51:Q51"/>
    <mergeCell ref="AM30:AO30"/>
    <mergeCell ref="U71:W71"/>
    <mergeCell ref="O47:Q47"/>
    <mergeCell ref="A1:AI1"/>
    <mergeCell ref="U58:W58"/>
    <mergeCell ref="B65:G65"/>
    <mergeCell ref="H27:M27"/>
    <mergeCell ref="X51:Z51"/>
    <mergeCell ref="AD61:AF61"/>
    <mergeCell ref="R62:T62"/>
    <mergeCell ref="AM65:AO65"/>
    <mergeCell ref="X69:Z69"/>
    <mergeCell ref="AJ20:AL20"/>
    <mergeCell ref="AM21:AO21"/>
    <mergeCell ref="R72:T72"/>
    <mergeCell ref="AG24:AI24"/>
    <mergeCell ref="U73:W73"/>
    <mergeCell ref="AG42:AI42"/>
    <mergeCell ref="U10:W10"/>
    <mergeCell ref="R14:T14"/>
    <mergeCell ref="AJ22:AL22"/>
    <mergeCell ref="AG26:AI26"/>
    <mergeCell ref="X21:Z21"/>
    <mergeCell ref="H67:M67"/>
    <mergeCell ref="AD29:AF29"/>
    <mergeCell ref="O33:Q33"/>
    <mergeCell ref="AJ51:AL51"/>
    <mergeCell ref="X23:Z23"/>
    <mergeCell ref="H9:M9"/>
    <mergeCell ref="B12:G12"/>
    <mergeCell ref="X16:Z16"/>
    <mergeCell ref="AM34:AO34"/>
    <mergeCell ref="AJ38:AL38"/>
    <mergeCell ref="X62:Z62"/>
    <mergeCell ref="B14:G14"/>
    <mergeCell ref="R65:T65"/>
    <mergeCell ref="AM49:AO49"/>
    <mergeCell ref="AG52:AI52"/>
    <mergeCell ref="B13:G13"/>
    <mergeCell ref="X64:Z64"/>
    <mergeCell ref="AG45:AI45"/>
    <mergeCell ref="U21:W21"/>
    <mergeCell ref="O59:Q59"/>
    <mergeCell ref="AD49:AF49"/>
    <mergeCell ref="AJ33:AL33"/>
    <mergeCell ref="O46:Q46"/>
    <mergeCell ref="AG37:AI37"/>
    <mergeCell ref="O64:Q64"/>
    <mergeCell ref="AG47:AI47"/>
    <mergeCell ref="O61:Q61"/>
    <mergeCell ref="AA12:AC12"/>
    <mergeCell ref="AJ35:AL35"/>
    <mergeCell ref="O48:Q48"/>
    <mergeCell ref="AM55:AO55"/>
    <mergeCell ref="O72:Q72"/>
    <mergeCell ref="AD50:AF50"/>
    <mergeCell ref="H24:M24"/>
    <mergeCell ref="H18:M18"/>
    <mergeCell ref="X9:Z9"/>
    <mergeCell ref="AA14:AC14"/>
    <mergeCell ref="AD42:AF42"/>
    <mergeCell ref="R9:T9"/>
    <mergeCell ref="AD52:AF52"/>
    <mergeCell ref="H26:M26"/>
    <mergeCell ref="B25:G25"/>
    <mergeCell ref="X11:Z11"/>
    <mergeCell ref="AA43:AC43"/>
    <mergeCell ref="R11:T11"/>
    <mergeCell ref="AG63:AI63"/>
    <mergeCell ref="AG50:AI50"/>
    <mergeCell ref="G3:P3"/>
    <mergeCell ref="R13:T13"/>
    <mergeCell ref="AM58:AO58"/>
    <mergeCell ref="R15:T15"/>
    <mergeCell ref="AA6:AO6"/>
    <mergeCell ref="U16:W16"/>
    <mergeCell ref="AM24:AO24"/>
    <mergeCell ref="AJ72:AL72"/>
    <mergeCell ref="AG27:AI27"/>
    <mergeCell ref="O35:Q35"/>
    <mergeCell ref="AM60:AO60"/>
    <mergeCell ref="Y3:AI3"/>
    <mergeCell ref="H17:M17"/>
    <mergeCell ref="A6:A7"/>
    <mergeCell ref="H11:M11"/>
    <mergeCell ref="O43:Q43"/>
    <mergeCell ref="AD70:AF70"/>
    <mergeCell ref="B38:G38"/>
    <mergeCell ref="X24:Z24"/>
    <mergeCell ref="AA25:AC25"/>
    <mergeCell ref="U28:W28"/>
    <mergeCell ref="AD57:AF57"/>
    <mergeCell ref="H19:M19"/>
    <mergeCell ref="AD32:AF32"/>
    <mergeCell ref="AD26:AF26"/>
    <mergeCell ref="H37:M37"/>
    <mergeCell ref="B40:G40"/>
    <mergeCell ref="X26:Z26"/>
    <mergeCell ref="H12:M12"/>
    <mergeCell ref="B15:G15"/>
    <mergeCell ref="H6:M7"/>
    <mergeCell ref="H48:M48"/>
    <mergeCell ref="AM50:AO50"/>
    <mergeCell ref="X72:Z72"/>
    <mergeCell ref="AJ54:AL54"/>
    <mergeCell ref="AM15:AO15"/>
    <mergeCell ref="U29:W29"/>
    <mergeCell ref="O67:Q67"/>
    <mergeCell ref="U23:W23"/>
    <mergeCell ref="R33:T33"/>
    <mergeCell ref="H14:M14"/>
    <mergeCell ref="AG55:AI55"/>
    <mergeCell ref="U31:W31"/>
    <mergeCell ref="AJ56:AL56"/>
    <mergeCell ref="AG38:AI38"/>
    <mergeCell ref="AJ43:AL43"/>
    <mergeCell ref="H43:M43"/>
    <mergeCell ref="AA13:AC13"/>
    <mergeCell ref="R28:T28"/>
    <mergeCell ref="X17:Z17"/>
    <mergeCell ref="AG46:AI46"/>
    <mergeCell ref="AG40:AI40"/>
    <mergeCell ref="AD60:AF60"/>
    <mergeCell ref="H68:M68"/>
    <mergeCell ref="AA15:AC15"/>
    <mergeCell ref="R30:T30"/>
    <mergeCell ref="X19:Z19"/>
    <mergeCell ref="AJ67:AL67"/>
    <mergeCell ref="X37:Z37"/>
    <mergeCell ref="AA57:AC57"/>
    <mergeCell ref="AD45:AF45"/>
    <mergeCell ref="AJ69:AL69"/>
    <mergeCell ref="O16:Q16"/>
    <mergeCell ref="AM70:AO70"/>
    <mergeCell ref="B34:G34"/>
    <mergeCell ref="X20:Z20"/>
    <mergeCell ref="B28:G28"/>
    <mergeCell ref="X14:Z14"/>
    <mergeCell ref="AM10:AO10"/>
    <mergeCell ref="U24:W24"/>
    <mergeCell ref="AM63:AO63"/>
    <mergeCell ref="AG66:AI66"/>
    <mergeCell ref="U42:W42"/>
    <mergeCell ref="A4:F4"/>
    <mergeCell ref="B30:G30"/>
    <mergeCell ref="Q4:X4"/>
    <mergeCell ref="O11:Q11"/>
    <mergeCell ref="AD7:AF7"/>
    <mergeCell ref="AG68:AI68"/>
    <mergeCell ref="AG43:AI43"/>
    <mergeCell ref="U19:W19"/>
    <mergeCell ref="O57:Q57"/>
    <mergeCell ref="AD71:AF71"/>
    <mergeCell ref="AD58:AF58"/>
    <mergeCell ref="H20:M20"/>
    <mergeCell ref="B54:G54"/>
    <mergeCell ref="X40:Z40"/>
    <mergeCell ref="AD73:AF73"/>
    <mergeCell ref="AA28:AC28"/>
    <mergeCell ref="B56:G56"/>
    <mergeCell ref="R7:T7"/>
    <mergeCell ref="R34:T34"/>
    <mergeCell ref="AA30:AC30"/>
    <mergeCell ref="H64:M64"/>
    <mergeCell ref="AG21:AI21"/>
    <mergeCell ref="H51:M51"/>
    <mergeCell ref="AJ57:AL57"/>
    <mergeCell ref="U32:W32"/>
    <mergeCell ref="AG61:AI61"/>
    <mergeCell ref="R36:T36"/>
    <mergeCell ref="U37:W37"/>
    <mergeCell ref="AG48:AI48"/>
    <mergeCell ref="U72:W72"/>
    <mergeCell ref="U47:W47"/>
    <mergeCell ref="X45:Z45"/>
    <mergeCell ref="AG62:AI62"/>
    <mergeCell ref="O70:Q70"/>
    <mergeCell ref="AD53:AF53"/>
    <mergeCell ref="AM7:AO7"/>
    <mergeCell ref="H33:M33"/>
    <mergeCell ref="B36:G36"/>
    <mergeCell ref="X22:Z22"/>
    <mergeCell ref="X59:Z59"/>
    <mergeCell ref="U63:W63"/>
    <mergeCell ref="AD55:AF55"/>
    <mergeCell ref="AM36:AO36"/>
    <mergeCell ref="U50:W50"/>
    <mergeCell ref="U44:W44"/>
    <mergeCell ref="H35:M35"/>
    <mergeCell ref="AD48:AF48"/>
    <mergeCell ref="AJ12:AL12"/>
    <mergeCell ref="AA52:AC52"/>
    <mergeCell ref="O19:Q19"/>
    <mergeCell ref="B31:G31"/>
    <mergeCell ref="U27:W27"/>
    <mergeCell ref="AG9:AI9"/>
    <mergeCell ref="AJ14:AL14"/>
    <mergeCell ref="AJ70:AL70"/>
    <mergeCell ref="AA34:AC34"/>
    <mergeCell ref="H39:M39"/>
    <mergeCell ref="R49:T49"/>
    <mergeCell ref="B39:G39"/>
    <mergeCell ref="R24:T24"/>
    <mergeCell ref="H59:M59"/>
    <mergeCell ref="AJ7:AL7"/>
    <mergeCell ref="AA49:AC49"/>
    <mergeCell ref="AG11:AI11"/>
    <mergeCell ref="AD10:AF10"/>
    <mergeCell ref="H46:M46"/>
    <mergeCell ref="AA36:AC36"/>
    <mergeCell ref="R26:T26"/>
    <mergeCell ref="H61:M61"/>
    <mergeCell ref="X33:Z33"/>
    <mergeCell ref="AA65:AC65"/>
    <mergeCell ref="H72:M72"/>
    <mergeCell ref="AJ65:AL65"/>
    <mergeCell ref="O12:Q12"/>
    <mergeCell ref="AA31:AC31"/>
    <mergeCell ref="B49:G49"/>
    <mergeCell ref="AM31:AO31"/>
    <mergeCell ref="X35:Z35"/>
    <mergeCell ref="H65:M65"/>
    <mergeCell ref="AG39:AI39"/>
    <mergeCell ref="U55:W55"/>
    <mergeCell ref="U38:W38"/>
    <mergeCell ref="O14:Q14"/>
    <mergeCell ref="AA62:AC62"/>
    <mergeCell ref="AJ25:AL25"/>
    <mergeCell ref="O38:Q38"/>
    <mergeCell ref="B63:G63"/>
    <mergeCell ref="O13:Q13"/>
    <mergeCell ref="R52:T52"/>
    <mergeCell ref="B50:G50"/>
    <mergeCell ref="O7:Q7"/>
    <mergeCell ref="AM32:AO32"/>
    <mergeCell ref="X36:Z36"/>
    <mergeCell ref="AM26:AO26"/>
    <mergeCell ref="R39:T39"/>
    <mergeCell ref="U40:W40"/>
    <mergeCell ref="AJ60:AL60"/>
    <mergeCell ref="AG64:AI64"/>
    <mergeCell ref="AD21:AF21"/>
    <mergeCell ref="AG51:AI51"/>
    <mergeCell ref="H54:M54"/>
    <mergeCell ref="O15:Q15"/>
    <mergeCell ref="AD67:AF67"/>
    <mergeCell ref="X67:Z67"/>
    <mergeCell ref="B27:G27"/>
    <mergeCell ref="AD23:AF23"/>
    <mergeCell ref="X61:Z61"/>
    <mergeCell ref="H56:M56"/>
    <mergeCell ref="AG65:AI65"/>
    <mergeCell ref="H34:M34"/>
    <mergeCell ref="AD69:AF69"/>
    <mergeCell ref="H49:M49"/>
    <mergeCell ref="Q3:X3"/>
    <mergeCell ref="H36:M36"/>
    <mergeCell ref="AJ13:AL13"/>
    <mergeCell ref="AM52:AO52"/>
    <mergeCell ref="AA53:AC53"/>
    <mergeCell ref="AG17:AI17"/>
    <mergeCell ref="R21:T21"/>
    <mergeCell ref="U66:W66"/>
    <mergeCell ref="O25:Q25"/>
    <mergeCell ref="AM39:AO39"/>
    <mergeCell ref="U53:W53"/>
    <mergeCell ref="O69:Q69"/>
    <mergeCell ref="R70:T70"/>
    <mergeCell ref="AA68:AC68"/>
    <mergeCell ref="AJ15:AL15"/>
    <mergeCell ref="U68:W68"/>
    <mergeCell ref="AG19:AI19"/>
    <mergeCell ref="R50:T50"/>
    <mergeCell ref="AA50:AC50"/>
    <mergeCell ref="AG12:AI12"/>
    <mergeCell ref="AD16:AF16"/>
    <mergeCell ref="B55:G55"/>
    <mergeCell ref="H62:M62"/>
    <mergeCell ref="AG14:AI14"/>
    <mergeCell ref="AD18:AF18"/>
    <mergeCell ref="X43:Z43"/>
    <mergeCell ref="AD17:AF17"/>
    <mergeCell ref="AM42:AO42"/>
    <mergeCell ref="U46:W46"/>
    <mergeCell ref="AM29:AO29"/>
    <mergeCell ref="AM23:AO23"/>
    <mergeCell ref="B71:G71"/>
    <mergeCell ref="X57:Z57"/>
    <mergeCell ref="B58:G58"/>
    <mergeCell ref="B52:G52"/>
    <mergeCell ref="U48:W48"/>
    <mergeCell ref="AM71:AO71"/>
    <mergeCell ref="AG72:AI72"/>
    <mergeCell ref="O54:Q54"/>
    <mergeCell ref="B60:G60"/>
    <mergeCell ref="AJ28:AL28"/>
    <mergeCell ref="AA70:AC70"/>
    <mergeCell ref="AD31:AF31"/>
    <mergeCell ref="R55:T55"/>
    <mergeCell ref="U56:W56"/>
    <mergeCell ref="B53:G53"/>
    <mergeCell ref="U43:W43"/>
    <mergeCell ref="AA7:AC7"/>
    <mergeCell ref="AA63:AC63"/>
    <mergeCell ref="AJ30:AL30"/>
    <mergeCell ref="H57:M57"/>
    <mergeCell ref="H22:M22"/>
    <mergeCell ref="AM16:AO16"/>
    <mergeCell ref="O60:Q60"/>
    <mergeCell ref="AD72:AF72"/>
    <mergeCell ref="U67:W67"/>
    <mergeCell ref="R71:T71"/>
    <mergeCell ref="X6:Z7"/>
    <mergeCell ref="AM18:AO18"/>
    <mergeCell ref="R58:T58"/>
    <mergeCell ref="U9:W9"/>
    <mergeCell ref="AM17:AO17"/>
    <mergeCell ref="U69:W69"/>
    <mergeCell ref="X70:Z70"/>
    <mergeCell ref="AG20:AI20"/>
    <mergeCell ref="O34:Q34"/>
    <mergeCell ref="R73:T73"/>
    <mergeCell ref="O28:Q28"/>
    <mergeCell ref="AM53:AO53"/>
    <mergeCell ref="AM47:AO47"/>
    <mergeCell ref="R60:T60"/>
    <mergeCell ref="B46:G46"/>
    <mergeCell ref="X32:Z32"/>
    <mergeCell ref="R10:T10"/>
    <mergeCell ref="AM19:AO19"/>
    <mergeCell ref="AM46:AO46"/>
    <mergeCell ref="AG22:AI22"/>
    <mergeCell ref="AJ23:AL23"/>
    <mergeCell ref="O36:Q36"/>
    <mergeCell ref="O30:Q30"/>
    <mergeCell ref="AD63:AF63"/>
    <mergeCell ref="B48:G48"/>
    <mergeCell ref="AD44:AF44"/>
    <mergeCell ref="O29:Q29"/>
    <mergeCell ref="AD19:AF19"/>
    <mergeCell ref="AM48:AO48"/>
    <mergeCell ref="O65:Q65"/>
    <mergeCell ref="AM44:AO44"/>
    <mergeCell ref="O44:Q44"/>
    <mergeCell ref="H70:M70"/>
    <mergeCell ref="X65:Z65"/>
    <mergeCell ref="AJ18:AL18"/>
    <mergeCell ref="AD27:AF27"/>
    <mergeCell ref="O31:Q31"/>
    <mergeCell ref="B73:G73"/>
    <mergeCell ref="AJ34:AL34"/>
    <mergeCell ref="AM73:AO73"/>
    <mergeCell ref="R42:T42"/>
    <mergeCell ref="X58:Z58"/>
    <mergeCell ref="B10:G10"/>
    <mergeCell ref="AA59:AC59"/>
    <mergeCell ref="U62:W62"/>
    <mergeCell ref="AM45:AO45"/>
    <mergeCell ref="AA46:AC46"/>
    <mergeCell ref="AJ49:AL49"/>
    <mergeCell ref="O62:Q62"/>
    <mergeCell ref="O56:Q56"/>
    <mergeCell ref="U18:W18"/>
    <mergeCell ref="AJ36:AL36"/>
    <mergeCell ref="X60:Z60"/>
    <mergeCell ref="AD22:AF22"/>
    <mergeCell ref="B68:G68"/>
    <mergeCell ref="U64:W64"/>
    <mergeCell ref="R46:T46"/>
    <mergeCell ref="U51:W51"/>
    <mergeCell ref="AJ29:AL29"/>
    <mergeCell ref="AA71:AC71"/>
    <mergeCell ref="AG33:AI33"/>
    <mergeCell ref="AD37:AF37"/>
    <mergeCell ref="AJ44:AL44"/>
    <mergeCell ref="AD9:AF9"/>
    <mergeCell ref="R23:T23"/>
    <mergeCell ref="AD47:AF47"/>
    <mergeCell ref="X12:Z12"/>
    <mergeCell ref="AJ31:AL31"/>
    <mergeCell ref="R48:T48"/>
    <mergeCell ref="AG35:AI35"/>
    <mergeCell ref="AM51:AO51"/>
    <mergeCell ref="AG34:AI34"/>
    <mergeCell ref="AA10:AC10"/>
    <mergeCell ref="AD38:AF38"/>
    <mergeCell ref="O9:Q9"/>
    <mergeCell ref="X13:Z13"/>
    <mergeCell ref="B21:G21"/>
    <mergeCell ref="U17:W17"/>
    <mergeCell ref="U11:W11"/>
    <mergeCell ref="AA39:AC39"/>
    <mergeCell ref="AG59:AI59"/>
    <mergeCell ref="AM67:AO67"/>
    <mergeCell ref="G4:P4"/>
    <mergeCell ref="B23:G23"/>
    <mergeCell ref="AM61:AO61"/>
    <mergeCell ref="O50:Q50"/>
    <mergeCell ref="U12:W12"/>
    <mergeCell ref="AM20:AO20"/>
    <mergeCell ref="AM69:AO69"/>
    <mergeCell ref="X73:Z73"/>
    <mergeCell ref="AJ24:AL24"/>
    <mergeCell ref="AM35:AO35"/>
    <mergeCell ref="H13:M13"/>
    <mergeCell ref="O52:Q52"/>
    <mergeCell ref="AJ26:AL26"/>
    <mergeCell ref="AD66:AF66"/>
    <mergeCell ref="B64:G64"/>
    <mergeCell ref="AA21:AC21"/>
    <mergeCell ref="X25:Z25"/>
    <mergeCell ref="B51:G51"/>
    <mergeCell ref="H15:M15"/>
    <mergeCell ref="H71:M71"/>
    <mergeCell ref="AA32:AC32"/>
    <mergeCell ref="AG23:AI23"/>
    <mergeCell ref="AA23:AC23"/>
    <mergeCell ref="U26:W26"/>
    <mergeCell ref="AJ50:AL50"/>
    <mergeCell ref="AG54:AI54"/>
    <mergeCell ref="R29:T29"/>
    <mergeCell ref="AM38:AO38"/>
    <mergeCell ref="H10:M10"/>
    <mergeCell ref="U65:W65"/>
    <mergeCell ref="AA27:AC27"/>
    <mergeCell ref="AJ52:AL52"/>
    <mergeCell ref="AG56:AI56"/>
    <mergeCell ref="R31:T31"/>
    <mergeCell ref="H25:M25"/>
    <mergeCell ref="AJ39:AL39"/>
    <mergeCell ref="AM40:AO40"/>
    <mergeCell ref="B11:G11"/>
    <mergeCell ref="AG49:AI49"/>
    <mergeCell ref="U25:W25"/>
    <mergeCell ref="O63:Q63"/>
    <mergeCell ref="AG36:AI36"/>
    <mergeCell ref="AD46:AF46"/>
    <mergeCell ref="AD40:AF40"/>
    <mergeCell ref="R51:T51"/>
    <mergeCell ref="B29:G29"/>
    <mergeCell ref="X15:Z15"/>
    <mergeCell ref="O27:Q27"/>
    <mergeCell ref="AD54:AF54"/>
    <mergeCell ref="H28:M28"/>
    <mergeCell ref="AA18:AC18"/>
    <mergeCell ref="AA55:AC55"/>
    <mergeCell ref="B24:G24"/>
    <mergeCell ref="AA11:AC11"/>
    <mergeCell ref="X10:Z10"/>
    <mergeCell ref="U20:W20"/>
    <mergeCell ref="U14:W14"/>
    <mergeCell ref="AD43:AF43"/>
    <mergeCell ref="AJ32:AL32"/>
    <mergeCell ref="AA47:AC47"/>
    <mergeCell ref="AJ63:AL63"/>
    <mergeCell ref="H23:M23"/>
    <mergeCell ref="B32:G32"/>
    <mergeCell ref="B26:G26"/>
    <mergeCell ref="U22:W22"/>
    <mergeCell ref="B72:G72"/>
    <mergeCell ref="AA29:AC29"/>
    <mergeCell ref="R44:T44"/>
    <mergeCell ref="AD68:AF68"/>
    <mergeCell ref="AJ40:AL40"/>
    <mergeCell ref="U15:W15"/>
    <mergeCell ref="O53:Q53"/>
    <mergeCell ref="AM72:AO72"/>
    <mergeCell ref="R19:T19"/>
    <mergeCell ref="AJ27:AL27"/>
    <mergeCell ref="AA44:AC44"/>
    <mergeCell ref="AA58:AC58"/>
    <mergeCell ref="AD59:AF59"/>
    <mergeCell ref="AA37:AC37"/>
    <mergeCell ref="AM59:AO59"/>
    <mergeCell ref="AA24:AC24"/>
    <mergeCell ref="AD25:AF25"/>
    <mergeCell ref="X34:Z34"/>
    <mergeCell ref="X28:Z28"/>
    <mergeCell ref="B42:G42"/>
    <mergeCell ref="AA73:AC73"/>
    <mergeCell ref="AA60:AC60"/>
    <mergeCell ref="B17:G17"/>
    <mergeCell ref="AG32:AI32"/>
    <mergeCell ref="AA26:AC26"/>
    <mergeCell ref="B44:G44"/>
    <mergeCell ref="X30:Z30"/>
    <mergeCell ref="H16:M16"/>
    <mergeCell ref="B19:G19"/>
    <mergeCell ref="X42:Z42"/>
    <mergeCell ref="AJ53:AL53"/>
    <mergeCell ref="X29:Z29"/>
    <mergeCell ref="AM54:AO54"/>
    <mergeCell ref="B37:G37"/>
    <mergeCell ref="R32:T32"/>
    <mergeCell ref="U33:W33"/>
    <mergeCell ref="AG57:AI57"/>
    <mergeCell ref="O71:Q71"/>
    <mergeCell ref="AJ45:AL45"/>
    <mergeCell ref="O58:Q58"/>
    <mergeCell ref="AJ55:AL55"/>
    <mergeCell ref="O73:Q73"/>
    <mergeCell ref="B20:G20"/>
    <mergeCell ref="X54:Z54"/>
    <mergeCell ref="AA42:AC42"/>
    <mergeCell ref="AG58:AI58"/>
    <mergeCell ref="AD62:AF62"/>
    <mergeCell ref="O66:Q66"/>
    <mergeCell ref="AA17:AC17"/>
    <mergeCell ref="AD56:AF56"/>
    <mergeCell ref="H30:M30"/>
    <mergeCell ref="X56:Z56"/>
    <mergeCell ref="AG60:AI60"/>
    <mergeCell ref="H29:M29"/>
    <mergeCell ref="AD64:AF64"/>
    <mergeCell ref="O68:Q68"/>
    <mergeCell ref="AA19:AC19"/>
    <mergeCell ref="U59:W59"/>
    <mergeCell ref="AD51:AF51"/>
    <mergeCell ref="O6:W6"/>
    <mergeCell ref="R63:T63"/>
    <mergeCell ref="AJ71:AL71"/>
    <mergeCell ref="H44:M44"/>
    <mergeCell ref="AJ58:AL58"/>
    <mergeCell ref="H31:M31"/>
    <mergeCell ref="H58:M58"/>
    <mergeCell ref="AA48:AC48"/>
    <mergeCell ref="U61:W61"/>
    <mergeCell ref="R16:T16"/>
    <mergeCell ref="AJ73:AL73"/>
    <mergeCell ref="H73:M73"/>
    <mergeCell ref="AJ48:AL48"/>
    <mergeCell ref="Y4:AI4"/>
    <mergeCell ref="H60:M60"/>
    <mergeCell ref="X18:Z18"/>
    <mergeCell ref="R27:T27"/>
    <mergeCell ref="AJ10:AL10"/>
    <mergeCell ref="AJ66:AL66"/>
    <mergeCell ref="AG70:AI70"/>
    <mergeCell ref="R45:T45"/>
    <mergeCell ref="A3:F3"/>
    <mergeCell ref="R20:T20"/>
    <mergeCell ref="AG7:AI7"/>
    <mergeCell ref="O21:Q21"/>
    <mergeCell ref="AJ68:AL68"/>
    <mergeCell ref="AD11:AF11"/>
    <mergeCell ref="R47:T47"/>
    <mergeCell ref="R22:T22"/>
    <mergeCell ref="AG71:AI71"/>
    <mergeCell ref="X44:Z44"/>
    <mergeCell ref="H42:M42"/>
    <mergeCell ref="B45:G45"/>
    <mergeCell ref="AM27:AO27"/>
    <mergeCell ref="X31:Z31"/>
    <mergeCell ref="U35:W35"/>
    <mergeCell ref="H53:M53"/>
    <mergeCell ref="AD39:AF39"/>
    <mergeCell ref="AJ59:AL59"/>
    <mergeCell ref="U34:W34"/>
    <mergeCell ref="O10:Q10"/>
    <mergeCell ref="X39:Z39"/>
    <mergeCell ref="R38:T38"/>
    <mergeCell ref="B47:G47"/>
    <mergeCell ref="AJ46:AL46"/>
    <mergeCell ref="AJ21:AL21"/>
    <mergeCell ref="AD24:AF24"/>
    <mergeCell ref="AG25:AI25"/>
    <mergeCell ref="B22:G22"/>
    <mergeCell ref="B59:G59"/>
    <mergeCell ref="U49:W49"/>
    <mergeCell ref="H55:M55"/>
    <mergeCell ref="AJ61:AL61"/>
    <mergeCell ref="AM22:AO22"/>
    <mergeCell ref="U36:W36"/>
    <mergeCell ref="U30:W30"/>
    <mergeCell ref="O39:Q39"/>
    <mergeCell ref="R40:T40"/>
    <mergeCell ref="AM9:AO9"/>
    <mergeCell ref="AA45:AC45"/>
    <mergeCell ref="H52:M52"/>
    <mergeCell ref="X49:Z49"/>
    <mergeCell ref="AD65:AF65"/>
    <mergeCell ref="AA20:AC20"/>
    <mergeCell ref="R35:T35"/>
    <mergeCell ref="AA69:AC69"/>
    <mergeCell ref="AG53:AI53"/>
    <mergeCell ref="AM11:AO11"/>
    <mergeCell ref="H45:M45"/>
    <mergeCell ref="AA35:AC35"/>
    <mergeCell ref="H32:M32"/>
    <mergeCell ref="X63:Z63"/>
    <mergeCell ref="AG13:AI13"/>
    <mergeCell ref="R17:T17"/>
    <mergeCell ref="R66:T66"/>
    <mergeCell ref="X50:Z50"/>
    <mergeCell ref="H47:M47"/>
    <mergeCell ref="R53:T53"/>
    <mergeCell ref="U54:W54"/>
    <mergeCell ref="AA64:AC64"/>
    <mergeCell ref="B33:G33"/>
    <mergeCell ref="AM12:AO12"/>
    <mergeCell ref="AA51:AC51"/>
    <mergeCell ref="AG15:AI15"/>
    <mergeCell ref="AJ16:AL16"/>
    <mergeCell ref="R68:T68"/>
    <mergeCell ref="O23:Q23"/>
    <mergeCell ref="X27:Z27"/>
    <mergeCell ref="B35:G35"/>
    <mergeCell ref="AJ9:AL9"/>
    <mergeCell ref="N6:N7"/>
    <mergeCell ref="R61:T61"/>
    <mergeCell ref="AD12:AF12"/>
    <mergeCell ref="AG73:AI73"/>
    <mergeCell ref="AA38:AC38"/>
    <mergeCell ref="H63:M63"/>
    <mergeCell ref="AG10:AI10"/>
    <mergeCell ref="AJ11:AL11"/>
    <mergeCell ref="AD20:AF20"/>
    <mergeCell ref="AD14:AF14"/>
    <mergeCell ref="O18:Q18"/>
    <mergeCell ref="O24:Q24"/>
    <mergeCell ref="H50:M50"/>
    <mergeCell ref="X52:Z52"/>
    <mergeCell ref="AA40:AC40"/>
    <mergeCell ref="B66:G66"/>
    <mergeCell ref="AM66:AO66"/>
    <mergeCell ref="AD13:AF13"/>
    <mergeCell ref="AA33:AC33"/>
    <mergeCell ref="O49:Q49"/>
    <mergeCell ref="AM68:AO68"/>
    <mergeCell ref="R37:T37"/>
    <mergeCell ref="B67:G67"/>
    <mergeCell ref="X53:Z53"/>
    <mergeCell ref="AD15:AF15"/>
    <mergeCell ref="B61:G61"/>
    <mergeCell ref="X47:Z47"/>
    <mergeCell ref="U57:W57"/>
    <mergeCell ref="R12:T12"/>
    <mergeCell ref="H69:M69"/>
    <mergeCell ref="B69:G69"/>
    <mergeCell ref="X55:Z55"/>
    <mergeCell ref="R54:T54"/>
    <mergeCell ref="AJ62:AL62"/>
    <mergeCell ref="AJ37:AL37"/>
    <mergeCell ref="X38:Z38"/>
    <mergeCell ref="AA66:AC66"/>
    <mergeCell ref="AG28:AI28"/>
    <mergeCell ref="O42:Q42"/>
    <mergeCell ref="U52:W52"/>
    <mergeCell ref="O17:Q17"/>
    <mergeCell ref="R56:T56"/>
    <mergeCell ref="AJ64:AL64"/>
    <mergeCell ref="U39:W39"/>
    <mergeCell ref="R43:T43"/>
    <mergeCell ref="AG30:AI30"/>
    <mergeCell ref="AG67:AI67"/>
    <mergeCell ref="AM37:AO37"/>
    <mergeCell ref="AA67:AC67"/>
    <mergeCell ref="AA61:AC61"/>
    <mergeCell ref="O37:Q37"/>
    <mergeCell ref="X71:Z71"/>
    <mergeCell ref="AG69:AI69"/>
    <mergeCell ref="H38:M38"/>
    <mergeCell ref="AA72:AC72"/>
    <mergeCell ref="B16:G16"/>
    <mergeCell ref="R67:T67"/>
    <mergeCell ref="AM14:AO14"/>
    <mergeCell ref="R59:T59"/>
    <mergeCell ref="AJ42:AL42"/>
    <mergeCell ref="H40:M40"/>
    <mergeCell ref="AM13:AO13"/>
    <mergeCell ref="B18:G18"/>
    <mergeCell ref="B43:G43"/>
    <mergeCell ref="AJ17:AL17"/>
    <mergeCell ref="AM56:AO56"/>
    <mergeCell ref="AM62:AO62"/>
    <mergeCell ref="R25:T25"/>
    <mergeCell ref="X66:Z66"/>
    <mergeCell ref="R69:T69"/>
    <mergeCell ref="AM43:AO43"/>
    <mergeCell ref="U70:W70"/>
    <mergeCell ref="AJ19:AL19"/>
    <mergeCell ref="O32:Q32"/>
    <mergeCell ref="O26:Q26"/>
    <mergeCell ref="B57:G57"/>
    <mergeCell ref="AM57:AO57"/>
    <mergeCell ref="AA54:AC54"/>
    <mergeCell ref="AG16:AI16"/>
    <mergeCell ref="AA16:AC16"/>
    <mergeCell ref="O55:Q55"/>
    <mergeCell ref="O40:Q40"/>
    <mergeCell ref="H66:M66"/>
    <mergeCell ref="B9:G9"/>
    <mergeCell ref="AA56:AC56"/>
    <mergeCell ref="AG18:AI18"/>
    <mergeCell ref="AM25:AO25"/>
    <mergeCell ref="X46:Z46"/>
    <mergeCell ref="AM33:AO33"/>
    <mergeCell ref="R18:T18"/>
    <mergeCell ref="U60:W60"/>
    <mergeCell ref="AA22:AC22"/>
    <mergeCell ref="R64:T64"/>
    <mergeCell ref="B62:G62"/>
    <mergeCell ref="AJ47:AL47"/>
    <mergeCell ref="X48:Z48"/>
    <mergeCell ref="AG29:AI29"/>
    <mergeCell ref="AD33:AF33"/>
    <mergeCell ref="R57:T57"/>
    <mergeCell ref="B6:G7"/>
    <mergeCell ref="AG44:AI44"/>
    <mergeCell ref="U45:W45"/>
    <mergeCell ref="AA9:AC9"/>
    <mergeCell ref="AM28:AO28"/>
    <mergeCell ref="AG31:AI31"/>
    <mergeCell ref="O45:Q45"/>
    <mergeCell ref="AD35:AF35"/>
    <mergeCell ref="B70:G70"/>
    <mergeCell ref="O20:Q20"/>
  </mergeCells>
  <pageMargins left="0.7086614173228347" right="0.7086614173228347" top="0.7480314960629921" bottom="0.7480314960629921" header="0" footer="0"/>
  <pageSetup orientation="portrait" paperSize="9" scale="48"/>
  <headerFooter>
    <oddHeader>&amp;L&amp;F</oddHeader>
    <oddFooter>&amp;L08-BM/PM/VTI&amp;CInternal Use&amp;R&amp;P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hang.nguyenthuy</dc:creator>
  <dcterms:created xsi:type="dcterms:W3CDTF">2018-11-16T06:12:50Z</dcterms:created>
  <dcterms:modified xsi:type="dcterms:W3CDTF">2026-08-28T10:40:00Z</dcterms:modified>
  <cp:lastModifiedBy>Huyền Trịnh</cp:lastModifiedBy>
</cp:coreProperties>
</file>