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 activeTab="5"/>
  </bookViews>
  <sheets>
    <sheet name="表紙" sheetId="1" r:id="rId1"/>
    <sheet name="変更履歴" sheetId="2" r:id="rId2"/>
    <sheet name="概要" sheetId="3" r:id="rId3"/>
    <sheet name="テスト報告書" sheetId="4" r:id="rId4"/>
    <sheet name="テスト観点" sheetId="5" r:id="rId5"/>
    <sheet name="機能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<sst xmlns="http://schemas.openxmlformats.org/spreadsheetml/2006/main" count="944" uniqueCount="524">
  <si>
    <t>クラウド版購読者管理システム</t>
  </si>
  <si>
    <t>お知らせ一覧画面</t>
  </si>
  <si>
    <t>版1.0</t>
  </si>
  <si>
    <t>フォーマットコード</t>
  </si>
  <si>
    <t>16-BM/PM/VTI</t>
  </si>
  <si>
    <t>フォーマットバージョン</t>
  </si>
  <si>
    <t>1.0</t>
  </si>
  <si>
    <t>発行日</t>
  </si>
  <si>
    <t>2026/05/22</t>
  </si>
  <si>
    <t>項番</t>
  </si>
  <si>
    <t>バージョン</t>
  </si>
  <si>
    <t>担当者</t>
  </si>
  <si>
    <t>変更内容</t>
  </si>
  <si>
    <t>確認者</t>
  </si>
  <si>
    <t>承認者</t>
  </si>
  <si>
    <t>2026-05-22</t>
  </si>
  <si>
    <t>Kieu Thi Diem</t>
  </si>
  <si>
    <t>Tạo mới</t>
  </si>
  <si>
    <t>Nguyen Huy Dat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</si>
  <si>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</si>
  <si>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</si>
  <si>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</si>
  <si>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</si>
  <si>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</si>
  <si>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</si>
  <si>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</si>
  <si>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テスト仕様書</t>
  </si>
  <si>
    <t>概要</t>
  </si>
  <si>
    <t>1.システム概要</t>
  </si>
  <si>
    <t>本システムは、JA向けのクラウド型読者管理システムであり、</t>
  </si>
  <si>
    <t>購読者情報の管理、購読履歴の管理、口座振替データの管理などの機能を提供する。</t>
  </si>
  <si>
    <t>主な機能として、購読者情報の登録・更新・検索、</t>
  </si>
  <si>
    <t>購読内容の変更履歴管理、口座振替データの作成および管理、</t>
  </si>
  <si>
    <t>ファイルのアップロード・ダウンロード機能、システムのお知らせ管理などを提供する。</t>
  </si>
  <si>
    <t>また、ユーザーのログイン管理、ログイン履歴の記録、</t>
  </si>
  <si>
    <t>ユーザー操作ログの記録などのセキュリティ・監査機能をサポートする。</t>
  </si>
  <si>
    <t>2.資料目的</t>
  </si>
  <si>
    <t>Tài liệu này mô tả chi tiết test specification cho "Màn hình danh sách お知らせ (ACSMS-SCR-031)" được tạo mới trên hệ thống. Tài liệu tham khảo ISTQB và IEEE 829, đảm bảo các tiêu chuẩn chất lượng sau.</t>
  </si>
  <si>
    <t>- Mỗi test case được tạo dựa trên một kịch bản duy nhất (single responsibility).</t>
  </si>
  <si>
    <t>- Mô tả các bước với độ mịn có thể tái hiện được, chỉ rõ test data.</t>
  </si>
  <si>
    <t>- Kỳ vọng kết quả phải đo lường được (nội dung message, kết quả query DB, HTTP status code...).</t>
  </si>
  <si>
    <t>- Đặt mức độ ưu tiên (P0: Release blocker / P1: Cao / P2: Trung bình).</t>
  </si>
  <si>
    <t>3.関連資料</t>
  </si>
  <si>
    <t>No</t>
  </si>
  <si>
    <t>資料コード</t>
  </si>
  <si>
    <t>資料名</t>
  </si>
  <si>
    <t>ACSMS-SCR-031</t>
  </si>
  <si>
    <t>Tài liệu thiết kế Màn hình danh sách お知らせ</t>
  </si>
  <si>
    <t>ACSMS-SCR-031-api</t>
  </si>
  <si>
    <t>Tài liệu thiết kế API お知らせ</t>
  </si>
  <si>
    <t>testcase-viewpoints</t>
  </si>
  <si>
    <t>Danh sách quan điểm test chung toàn hệ thống</t>
  </si>
  <si>
    <t>&lt;単体/結合/システム&gt; テスト報告書</t>
  </si>
  <si>
    <t>プロジェクト名</t>
  </si>
  <si>
    <t>プロジェクトマネージャ</t>
  </si>
  <si>
    <t>#</t>
  </si>
  <si>
    <t>機能名</t>
  </si>
  <si>
    <t>テストケース分類</t>
  </si>
  <si>
    <t>合計</t>
  </si>
  <si>
    <t>テスト結果</t>
  </si>
  <si>
    <t>正常</t>
  </si>
  <si>
    <t>異常</t>
  </si>
  <si>
    <t>境界</t>
  </si>
  <si>
    <t>合格</t>
  </si>
  <si>
    <t>不合格</t>
  </si>
  <si>
    <t>未テスト</t>
  </si>
  <si>
    <t>N/A</t>
  </si>
  <si>
    <t>進捗（%）</t>
  </si>
  <si>
    <t>テスト1回目</t>
  </si>
  <si>
    <t>機能</t>
  </si>
  <si>
    <t>テスト2回目</t>
  </si>
  <si>
    <t>テスト観点</t>
  </si>
  <si>
    <t>1. テスト観点一覧</t>
  </si>
  <si>
    <t>観点ID</t>
  </si>
  <si>
    <t>大分類</t>
  </si>
  <si>
    <t>観点名</t>
  </si>
  <si>
    <t>リスク</t>
  </si>
  <si>
    <t>対象画面範囲</t>
  </si>
  <si>
    <t>TC見積</t>
  </si>
  <si>
    <t>VP-A-01</t>
  </si>
  <si>
    <t>A. セキュリティ・権限</t>
  </si>
  <si>
    <t>ロール別権限制御（RBAC gate）</t>
  </si>
  <si>
    <t>高</t>
  </si>
  <si>
    <t>約25保護画面</t>
  </si>
  <si>
    <t>VP-A-02</t>
  </si>
  <si>
    <t>データ範囲（DataScope）</t>
  </si>
  <si>
    <t>約20一覧／詳細画面</t>
  </si>
  <si>
    <t>VP-A-03</t>
  </si>
  <si>
    <t>項目レベル制限（Field-level restriction）</t>
  </si>
  <si>
    <t>5マスタ</t>
  </si>
  <si>
    <t>VP-A-04</t>
  </si>
  <si>
    <t>URL直接アクセス攻撃</t>
  </si>
  <si>
    <t>VP-A-05</t>
  </si>
  <si>
    <t>セッション失効／401 ハンドリング</t>
  </si>
  <si>
    <t>全システム</t>
  </si>
  <si>
    <t>VP-A-06</t>
  </si>
  <si>
    <t>XSS／HTML 描画安全性</t>
  </si>
  <si>
    <t>約20フォーム</t>
  </si>
  <si>
    <t>VP-A-07</t>
  </si>
  <si>
    <t>CSRF／Cookie セキュリティフラグ</t>
  </si>
  <si>
    <t>VP-A-08</t>
  </si>
  <si>
    <t>レート制限・Throttling</t>
  </si>
  <si>
    <t>中</t>
  </si>
  <si>
    <t>全公開API＋認証エンドポイント</t>
  </si>
  <si>
    <t>VP-A-09</t>
  </si>
  <si>
    <t>アカウントロック・解除運用</t>
  </si>
  <si>
    <t>SCR-001／002＋管理機能</t>
  </si>
  <si>
    <t>VP-A-10</t>
  </si>
  <si>
    <t>SQL インジェクション</t>
  </si>
  <si>
    <t>約20フォーム＋検索</t>
  </si>
  <si>
    <t>VP-B-01</t>
  </si>
  <si>
    <t>B. データバリデーション</t>
  </si>
  <si>
    <t>必須項目チェック</t>
  </si>
  <si>
    <t>約25フォーム</t>
  </si>
  <si>
    <t>VP-B-02</t>
  </si>
  <si>
    <t>最小／最大長境界</t>
  </si>
  <si>
    <t>VP-B-03</t>
  </si>
  <si>
    <t>形式正規表現（郵便／電話／コード）</t>
  </si>
  <si>
    <t>VP-B-04</t>
  </si>
  <si>
    <t>半角／全角ハンドリング</t>
  </si>
  <si>
    <t>VP-B-05</t>
  </si>
  <si>
    <t>日付ロジック</t>
  </si>
  <si>
    <t>約10日付付きフォーム</t>
  </si>
  <si>
    <t>VP-B-06</t>
  </si>
  <si>
    <t>通貨／パーセント形式</t>
  </si>
  <si>
    <t>2-3フォーム（単価）</t>
  </si>
  <si>
    <t>VP-B-07</t>
  </si>
  <si>
    <t>マスタコード（m_code）参照</t>
  </si>
  <si>
    <t>約15ドロップダウン付きフォーム</t>
  </si>
  <si>
    <t>VP-B-08</t>
  </si>
  <si>
    <t>キー重複（duplicate code）</t>
  </si>
  <si>
    <t>約10マスタ</t>
  </si>
  <si>
    <t>VP-B-09</t>
  </si>
  <si>
    <t>IME・全角入力・貼付ハンドリング</t>
  </si>
  <si>
    <t>全テキスト入力フォーム＋検索画面</t>
  </si>
  <si>
    <t>VP-C-01</t>
  </si>
  <si>
    <t>C. 業務ロジック</t>
  </si>
  <si>
    <t>CRUD 正常系 + DB 永続化</t>
  </si>
  <si>
    <t>VP-C-02</t>
  </si>
  <si>
    <t>同時編集競合</t>
  </si>
  <si>
    <t>約8編集画面</t>
  </si>
  <si>
    <t>VP-C-03</t>
  </si>
  <si>
    <t>論理削除 + FK 関連</t>
  </si>
  <si>
    <t>約6関連付きマスタ</t>
  </si>
  <si>
    <t>VP-C-04</t>
  </si>
  <si>
    <t>税込／税抜計算</t>
  </si>
  <si>
    <t>単価マスタ</t>
  </si>
  <si>
    <t>VP-C-05</t>
  </si>
  <si>
    <t>購読者種別ルール（読み取り専用）</t>
  </si>
  <si>
    <t>購読者マスタ</t>
  </si>
  <si>
    <t>VP-C-06</t>
  </si>
  <si>
    <t>Excel取込 部分成功</t>
  </si>
  <si>
    <t>2取込画面</t>
  </si>
  <si>
    <t>VP-C-07</t>
  </si>
  <si>
    <t>販売店一括置換</t>
  </si>
  <si>
    <t>一括置換</t>
  </si>
  <si>
    <t>VP-C-08</t>
  </si>
  <si>
    <t>レポート集計の正確性</t>
  </si>
  <si>
    <t>3レポート</t>
  </si>
  <si>
    <t>VP-D-01</t>
  </si>
  <si>
    <t>D. 統合・システム</t>
  </si>
  <si>
    <t>ログイン + MFA フロー</t>
  </si>
  <si>
    <t>SCR-001／002</t>
  </si>
  <si>
    <t>VP-D-02</t>
  </si>
  <si>
    <t>セッションスライディング 24h</t>
  </si>
  <si>
    <t>VP-D-03</t>
  </si>
  <si>
    <t>パスワード再発行フロー</t>
  </si>
  <si>
    <t>SCR-007</t>
  </si>
  <si>
    <t>VP-D-04</t>
  </si>
  <si>
    <t>監査ログの完全性</t>
  </si>
  <si>
    <t>VP-D-05</t>
  </si>
  <si>
    <t>ファイルアップロード S3</t>
  </si>
  <si>
    <t>SCR-022</t>
  </si>
  <si>
    <t>VP-D-06</t>
  </si>
  <si>
    <t>メール通知</t>
  </si>
  <si>
    <t>SCR-001／007／お知らせ</t>
  </si>
  <si>
    <t>VP-D-07</t>
  </si>
  <si>
    <t>外部 CSV 形式準拠</t>
  </si>
  <si>
    <t>SCR-008／009</t>
  </si>
  <si>
    <t>VP-D-08</t>
  </si>
  <si>
    <t>ネットワーク／500／タイムアウト</t>
  </si>
  <si>
    <t>VP-D-09</t>
  </si>
  <si>
    <t>パスワード再発行 旧token無効化＋クールダウン</t>
  </si>
  <si>
    <t>VP-E-01</t>
  </si>
  <si>
    <t>E. 非機能・ユーザビリティ</t>
  </si>
  <si>
    <t>レイアウト／デザイントークン</t>
  </si>
  <si>
    <t>低</t>
  </si>
  <si>
    <t>全画面</t>
  </si>
  <si>
    <t>VP-E-02</t>
  </si>
  <si>
    <t>レスポンシブ（モバイル／タブレット）</t>
  </si>
  <si>
    <t>VP-E-03</t>
  </si>
  <si>
    <t>キーボード操作</t>
  </si>
  <si>
    <t>VP-E-04</t>
  </si>
  <si>
    <t>ブラウザ互換性</t>
  </si>
  <si>
    <t>VP-E-05</t>
  </si>
  <si>
    <t>マルチタブセッション同期</t>
  </si>
  <si>
    <t>VP-E-07</t>
  </si>
  <si>
    <t>未保存変更ガード・ブラウザ離脱</t>
  </si>
  <si>
    <t>全 CRUD 編集フォーム</t>
  </si>
  <si>
    <t>VP-F-01</t>
  </si>
  <si>
    <t>F. 性能</t>
  </si>
  <si>
    <t>性能ベンチマーク</t>
  </si>
  <si>
    <t>全画面パフォーマンス計測対象</t>
  </si>
  <si>
    <t>VP-F-02</t>
  </si>
  <si>
    <t>大量データ表示性能</t>
  </si>
  <si>
    <t>一覧／レポート画面</t>
  </si>
  <si>
    <t>2. 観点ID 命名規約・グループ凡例</t>
  </si>
  <si>
    <t>グループ</t>
  </si>
  <si>
    <t>接頭辞</t>
  </si>
  <si>
    <t>名称</t>
  </si>
  <si>
    <t>観点数</t>
  </si>
  <si>
    <t>リスク傾向</t>
  </si>
  <si>
    <t>代表的なテスト観点</t>
  </si>
  <si>
    <t>A</t>
  </si>
  <si>
    <t>VP-A-NN</t>
  </si>
  <si>
    <t>セキュリティ・権限</t>
  </si>
  <si>
    <t>RBAC、DataScope、項目レベル制限、URL直接攻撃、セッション失効、XSS、CSRF、レート制限、アカウントロック、SQL注入</t>
  </si>
  <si>
    <t>B</t>
  </si>
  <si>
    <t>VP-B-NN</t>
  </si>
  <si>
    <t>データバリデーション</t>
  </si>
  <si>
    <t>必須／長さ／形式／半角全角／日付／通貨／m_code／重複キー／IME・貼付ハンドリング</t>
  </si>
  <si>
    <t>C</t>
  </si>
  <si>
    <t>VP-C-NN</t>
  </si>
  <si>
    <t>業務ロジック</t>
  </si>
  <si>
    <t>CRUD 永続化、同時編集競合、論理削除＋FK、税計算、購読者ルール、Excel 取込、レポート集計</t>
  </si>
  <si>
    <t>D</t>
  </si>
  <si>
    <t>VP-D-NN</t>
  </si>
  <si>
    <t>統合・システム</t>
  </si>
  <si>
    <t>ログイン＋MFA、セッション管理、パスワード再発行、監査ログ、S3、メール、CSV 準拠、ネットワーク／500</t>
  </si>
  <si>
    <t>E</t>
  </si>
  <si>
    <t>VP-E-NN</t>
  </si>
  <si>
    <t>非機能・ユーザビリティ</t>
  </si>
  <si>
    <t>低〜中</t>
  </si>
  <si>
    <t>レイアウト、レスポンシブ、キーボード操作、ブラウザ互換、マルチタブ同期、未保存変更ガード</t>
  </si>
  <si>
    <t>F</t>
  </si>
  <si>
    <t>VP-F-NN</t>
  </si>
  <si>
    <t>性能</t>
  </si>
  <si>
    <t>性能ベンチマーク、大量データ表示性能</t>
  </si>
  <si>
    <t>命名規約：VP-{グループ記号}-{NN} 形式（NN はグループ内の2桁連番）。新規観点は同グループの末尾に追加する（例：VP-A-11）。グループ記号はリスク軸による分類で、JSTQB FL の品質特性区分に準拠する。</t>
  </si>
  <si>
    <t>テストレベル</t>
  </si>
  <si>
    <t>結合テスト</t>
  </si>
  <si>
    <t>機能／モジュール</t>
  </si>
  <si>
    <t>ACSMS-SCR-031_お知らせ一覧画面</t>
  </si>
  <si>
    <t>確認日</t>
  </si>
  <si>
    <t>テスト環境</t>
  </si>
  <si>
    <t>Windows 10/11, Chrome, Edge</t>
  </si>
  <si>
    <t>分類</t>
  </si>
  <si>
    <t>回目</t>
  </si>
  <si>
    <t>境界値</t>
  </si>
  <si>
    <t>1回目</t>
  </si>
  <si>
    <t>2回目</t>
  </si>
  <si>
    <t>要件ID</t>
  </si>
  <si>
    <t>説明</t>
  </si>
  <si>
    <t>前提条件</t>
  </si>
  <si>
    <t>ステップ／手順</t>
  </si>
  <si>
    <t>期待結果／アウトプット</t>
  </si>
  <si>
    <t>種類</t>
  </si>
  <si>
    <t>テスト1回目の結果</t>
  </si>
  <si>
    <t>テスト2回目の結果</t>
  </si>
  <si>
    <t>備考</t>
  </si>
  <si>
    <t>結果</t>
  </si>
  <si>
    <t>実績／
アウトプット</t>
  </si>
  <si>
    <t>確認日付
（MM/DD）</t>
  </si>
  <si>
    <t>バグID</t>
  </si>
  <si>
    <t>Kiểm soát quyền truy cập (Access Control)</t>
  </si>
  <si>
    <t>ACSMS-TC-031-001</t>
  </si>
  <si>
    <t>Cho phép NICHINO_ADMIN truy cập màn hình danh sách お知らせ</t>
  </si>
  <si>
    <t>・role: NICHINO_ADMIN
・Có quyền `oshirase.view`, `oshirase.create`, `oshirase.update`, `oshirase.delete`
・Đã login + đã xác thực MFA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</si>
  <si>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Click link 「お知らせ管理」 trên sidebar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Truy cập trực tiếp URL `/oshirase`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Dùng DevTools gọi trực tiếp GET `/api/v1/oshirase`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</si>
  <si>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Sidebar hiển thị item 「お知らせ管理」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Màn hình `/oshirase` được hiển thị, form ở mode đăng ký mới với các field trống, header form hiển thị text 「新規登録」, danh sách お知らせ hiển thị theo thứ tự giảm dần của created_at với 20 record/trang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Trả về HTTP 200, response dạng JSON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・Màn hình này chỉ NICHINO_ADMIN truy cập được
</t>
    </r>
    <r>
      <rPr>
        <sz val="10"/>
        <color rgb="FF000000"/>
        <rFont val="メイリオ"/>
        <charset val="134"/>
      </rPr>
      <t>・Cả 3 tầng FE menu / FE router guard / BE API guard đều cho phép truy cập</t>
    </r>
  </si>
  <si>
    <t>N</t>
  </si>
  <si>
    <t>diem.kieuthi</t>
  </si>
  <si>
    <t>anh.vuquang</t>
  </si>
  <si>
    <t>ACSMS-TC-031-002</t>
  </si>
  <si>
    <t>Cấm NICHINO_STAFF truy cập màn hình danh sách お知らせ</t>
  </si>
  <si>
    <t>・role: NICHINO_STAFF
・Đã login + đã xác thực MFA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</si>
  <si>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Kiểm tra item 「お知らせ管理」 trên sidebar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Truy cập trực tiếp URL `/oshirase`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Dùng DevTools gọi POST `/api/v1/oshirase` với request body hợp lệ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</si>
  <si>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Sidebar KHÔNG hiển thị item 「お知らせ管理」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Hiển thị toast `アクセス権がありません。` + chuyển về `/dashboard`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Trả về HTTP 403 (`error_code: FORBIDDEN`, message `この画面へのアクセス権限がありません。`), không có dữ liệu mới được đăng ký vào `t_oshirase`, có ghi error log vào `t_log`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・Cả 3 tầng FE menu / FE router guard / BE API guard đều block
</t>
    </r>
    <r>
      <rPr>
        <sz val="10"/>
        <color rgb="FF000000"/>
        <rFont val="メイリオ"/>
        <charset val="134"/>
      </rPr>
      <t>・Áp dụng verbatim văn án của message code ACSMS-MSG-031-006</t>
    </r>
  </si>
  <si>
    <t>Critical — Nếu fail, đồng nghĩa với việc bypass RBAC, xử lý như security incident.</t>
  </si>
  <si>
    <t>ACSMS-TC-031-003</t>
  </si>
  <si>
    <t>Cấm CHUOKAI truy cập màn hình danh sách お知らせ</t>
  </si>
  <si>
    <t>・role: CHUOKAI (thuộc chuokai-001)
・Đã login + đã xác thực MFA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</si>
  <si>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Kiểm tra item 「お知らせ管理」 trên sidebar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Truy cập trực tiếp URL `/oshirase`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Dùng DevTools gọi trực tiếp GET `/api/v1/oshirase/1`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</si>
  <si>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Sidebar KHÔNG hiển thị item 「お知らせ管理」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Hiển thị toast `アクセス権がありません。` + chuyển về `/dashboard`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Trả về HTTP 403 (`error_code: FORBIDDEN`)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・Cả 3 tầng đều block</t>
    </r>
  </si>
  <si>
    <t>ACSMS-TC-031-004</t>
  </si>
  <si>
    <t>Cấm JA_HONTEN truy cập màn hình danh sách お知らせ</t>
  </si>
  <si>
    <t>・role: JA_HONTEN (thuộc ja-001)
・Đã login + đã xác thực MFA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</si>
  <si>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Kiểm tra item 「お知らせ管理」 trên sidebar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Truy cập trực tiếp URL `/oshirase`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Dùng DevTools gọi trực tiếp DELETE `/api/v1/oshirase/1`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</si>
  <si>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Sidebar KHÔNG hiển thị item 「お知らせ管理」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Hiển thị toast `アクセス権がありません。` + chuyển về `/dashboard`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Trả về HTTP 403 (`error_code: FORBIDDEN`), không có thay đổi nào trong `t_oshirase`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・JA_HONTEN không có quyền quản lý お知らせ</t>
    </r>
  </si>
  <si>
    <t>ACSMS-TC-031-005</t>
  </si>
  <si>
    <t>Cấm JA_KANRI_SHITEN truy cập màn hình danh sách お知らせ</t>
  </si>
  <si>
    <t>・role: JA_KANRI_SHITEN (thuộc ja-001 / branch-001)
・Đã login + đã xác thực MFA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</si>
  <si>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Kiểm tra item 「お知らせ管理」 trên sidebar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Truy cập trực tiếp URL `/oshirase`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Dùng DevTools gọi PUT `/api/v1/oshirase/1` với request body hợp lệ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</si>
  <si>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Sidebar KHÔNG hiển thị item 「お知らせ管理」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Hiển thị toast `アクセス権がありません。` + chuyển về `/dashboard`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Trả về HTTP 403 (`error_code: FORBIDDEN`), không có thay đổi nào trong `t_oshirase`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・JA_KANRI_SHITEN không có quyền quản lý お知らせ</t>
    </r>
  </si>
  <si>
    <t>(なし)
---</t>
  </si>
  <si>
    <t>Hiển thị màn hình &amp; Responsive (Layout &amp; Responsive)</t>
  </si>
  <si>
    <t>ACSMS-TC-031-006</t>
  </si>
  <si>
    <t>Layout tổng thể khớp với thiết kế</t>
  </si>
  <si>
    <t>・role: NICHINO_ADMIN
・Browser: Chrome (latest), độ phân giải 1920×1080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</si>
  <si>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Click link 「お知らせ管理」 trên sidebar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So sánh tài liệu thiết kế song song với màn hình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Kiểm tra bố cục các phần tử trên màn hình (form chỉnh sửa → danh sách お知らせ → pagination)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</si>
  <si>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Màn hình `/oshirase` được hiển thị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Màu nền, font, font size, padding, màu button, style table đều khớp với thiết kế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Phía trên là 「form chỉnh sửa (mode đăng ký mới)」, phía dưới là 「bảng danh sách お知らせ + pagination」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・Design tokens đã được áp dụng
・Header form hiển thị text 「新規登録」</t>
    </r>
  </si>
  <si>
    <t>ACSMS-TC-031-007</t>
  </si>
  <si>
    <t>Hiển thị các phần tử của form chỉnh sửa</t>
  </si>
  <si>
    <t>・role: NICHINO_ADMIN
・Sau khi load màn hình (mode đăng ký mới)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</si>
  <si>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Kiểm tra input field của 「お知らせタイトル」 và 「内容」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các radio button của 「公開場所」 và 「状態」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Kiểm tra date-time picker của 「表示開始日時」 và 「表示終了日時」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Kiểm tra dropdown 「お知らせ種別」, checkbox 「対象管理者区分」, select 「JA名」
</t>
    </r>
    <r>
      <rPr>
        <b/>
        <sz val="10"/>
        <color rgb="FF000000"/>
        <rFont val="メイリオ"/>
        <charset val="134"/>
      </rPr>
      <t xml:space="preserve">ステップ5：
</t>
    </r>
    <r>
      <rPr>
        <sz val="10"/>
        <color rgb="FF000000"/>
        <rFont val="メイリオ"/>
        <charset val="134"/>
      </rPr>
      <t>Kiểm tra button 「保存」 và 「クリア」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</si>
  <si>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「お知らせタイトル」 là textbox 1 dòng, 「内容」 là textarea, label có đánh dấu bắt buộc (dấu 「*」 màu đỏ) ở cuối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「公開場所」 là radio 3 lựa chọn 「ログイン画面 / メニュー画面 /メニュー画面（締め切り時間）」, 「状態」 là radio 3 lựa chọn 「下書き / 公開 / 非公開」, mặc định 公開場所=1, 状態=1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Date-time picker hiển thị theo format `YYYY/MM/DD HH:mm`, label 「表示開始日」 có đánh dấu bắt buộc, label 「表示終了日」 không có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 xml:space="preserve">Dropdown 「お知らせ種別」 hiển thị 4 lựa chọn 「システム / 重要 / 一般 / 締め切り時間」, 「対象管理者区分」 là 5 checkbox tương ứng 1〜5, 「JA名」 lấy giá trị từ API chung
</t>
    </r>
    <r>
      <rPr>
        <b/>
        <sz val="10"/>
        <color rgb="FF000000"/>
        <rFont val="游ゴシック"/>
        <charset val="134"/>
      </rPr>
      <t xml:space="preserve">ステップ5：
</t>
    </r>
    <r>
      <rPr>
        <sz val="10"/>
        <color rgb="FF000000"/>
        <rFont val="游ゴシック"/>
        <charset val="134"/>
      </rPr>
      <t xml:space="preserve">「保存」 là button chính (màu xanh), 「クリア」 là button phụ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・Field bắt buộc: タイトル, 公開場所, 状態, 表示開始日時, お知らせ種別, 内容</t>
    </r>
  </si>
  <si>
    <t>Hoa.nguyenhanh</t>
  </si>
  <si>
    <t>ACSMS-TC-031-008</t>
  </si>
  <si>
    <t>Hiển thị bảng danh sách お知らせ (cấu trúc cột・status badge)</t>
  </si>
  <si>
    <t>・role: NICHINO_ADMIN
・`t_oshirase` có record cho mỗi status (1:下書き, 2:公開, 3:非公開)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</si>
  <si>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Kiểm tra thứ tự cột của bảng danh sách お知らせ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badge hiển thị của cột 「状態」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Kiểm tra format hiển thị của cột 「表示期間」 (bao gồm record có 表示終了日時 NULL)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Kiểm tra button 「編集」 và 「削除」 trên từng row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</si>
  <si>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Cột được hiển thị theo thứ tự từ trái sang 「編集 / 公開場所 / 状態 / お知らせタイトル / 表示期間 / JA名 / お知らせ種別 / 対象管理者区分 / 削除」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status=2 (公開) hiển thị badge màu xanh (emerald), status=1 (下書き) hiển thị badge màu xám (slate), status=3 (非公開) hiển thị badge màu đỏ (red)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Hiển thị theo format `yyyy/MM/dd HH:mm:ss ～ yyyy/MM/dd HH:mm:ss`, record có 表示終了日時 NULL hiển thị là 「無期限」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 xml:space="preserve">Mỗi row hiển thị button 「編集」 và 「削除」, button có thể click được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・Title quá dài thì truncate</t>
    </r>
  </si>
  <si>
    <t>ACSMS-TC-031-009</t>
  </si>
  <si>
    <t>Hiển thị pagination</t>
  </si>
  <si>
    <t>・role: NICHINO_ADMIN
・`t_oshirase` có hơn 50 record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</si>
  <si>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Kiểm tra control pagination ở phía dưới màn hình danh sách お知らせ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số trang 「2」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Chuyển sang test data có số lượng dưới 20 record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</si>
  <si>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Hiển thị các control 「前へ」「次へ」「số trang」, mặc định là trang 1 với 20 record/trang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Dữ liệu của trang 2 được hiển thị, query parameter được cập nhật thành `page=2`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Khi số record dưới 20, pagination ở trạng thái ẩn hoặc disable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・Mặc định số record/trang là 20, tối đa 100 record/trang
</t>
    </r>
    <r>
      <rPr>
        <sz val="10"/>
        <color rgb="FF000000"/>
        <rFont val="メイリオ"/>
        <charset val="134"/>
      </rPr>
      <t>・Khi chuyển trang lúc có dữ liệu chưa lưu thì hiển thị dialog cảnh báo</t>
    </r>
  </si>
  <si>
    <t>ACSMS-TC-031-010</t>
  </si>
  <si>
    <t>Responsive — PC / Tablet / Mobile</t>
  </si>
  <si>
    <t>・role: NICHINO_ADMIN
・Đang hiển thị danh sách お知らせ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</si>
  <si>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Đặt kích thước cửa sổ thành 1920×1080 (PC)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Đổi sang 768×1024 (Tablet)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Đổi sang 375×667 (Mobile)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</si>
  <si>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Sidebar cố định, form và bảng danh sách hiển thị full width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Sidebar collapse, các field form xếp thành 2 cột, bảng có thể scroll ngang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Sidebar overlay, các field form xếp dọc, không vỡ layout ngoài việc scroll ngang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・Không vỡ layout trên cả 3 breakpoint</t>
    </r>
  </si>
  <si>
    <t>ACSMS-TC-031-011</t>
  </si>
  <si>
    <t>Thứ tự Tab và thao tác bàn phím</t>
  </si>
  <si>
    <t>・role: NICHINO_ADMIN
・Sau khi load màn hình ở mode đăng ký mới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</si>
  <si>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Đặt focus vào input 「お知らせタイトル」, ấn liên tục Tab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Tại input 「お知らせタイトル」, ấn Enter để xác nhận IME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Chuyển focus sang button 「保存」 và ấn Enter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</si>
  <si>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Thứ tự Tab chạy theo 「タイトル → 公開場所 → 状態 → 表示開始日時 → 表示終了日時 → JA名 → お知らせ種別 → 対象管理者区分 → 内容 → 保存 → クリア」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Form không bị submit (Enter xác nhận IME bị block bởi `preventEnterImplicitSubmit`)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Form được submit (gọi POST `/api/v1/oshirase` hoặc PUT `/api/v1/oshirase/{id}`)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・Tất cả các item đều thao tác được bằng bàn phím</t>
    </r>
  </si>
  <si>
    <t>Header &amp; Breadcrumb</t>
  </si>
  <si>
    <t>ACSMS-TC-031-012</t>
  </si>
  <si>
    <t>Hiển thị tiêu đề header</t>
  </si>
  <si>
    <t>・role: NICHINO_ADMIN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</si>
  <si>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màn hình `/oshirase`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Kiểm tra tiêu đề tab trình duyệt và tiêu đề trang ở phía trên màn hình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</si>
  <si>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Tab trình duyệt hiển thị tiêu đề tương đương 「購読者管理システム - お知らせ一覧画面」, header phía trên màn hình hiển thị 「お知らせ一覧画面」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・Tiêu đề trang được render tự động bởi `MainLayout &gt; AppHeader` từ `route.meta.breadcrumb`</t>
    </r>
  </si>
  <si>
    <t>ACSMS-TC-031-013</t>
  </si>
  <si>
    <t>Hiển thị icon thông báo + user menu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</si>
  <si>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Kiểm tra icon thông báo ở góc trên bên phải của header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vào user menu (avatar)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Click link 「ログアウト」 trong user menu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</si>
  <si>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Icon thông báo được hiển thị, badge chưa đọc hiển thị chính xác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User menu hiển thị dạng dropdown, hiển thị tên user đăng nhập và tên role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Xử lý logout được thực thi, chuyển sang màn hình `/login`, session bị hủy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・Các phần tử header hiển thị ở vị trí nhất quán trên mọi màn hình</t>
    </r>
  </si>
  <si>
    <t>ACSMS-TC-031-014</t>
  </si>
  <si>
    <t>Hiển thị breadcrumb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</si>
  <si>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Kiểm tra breadcrumb của màn hình `/oshirase`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Click link 「ホーム」 trên breadcrumb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</si>
  <si>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Hiển thị 2 cấp dạng 「ホーム &gt; お知らせ一覧画面」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Chuyển sang `/dashboard`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・Breadcrumb được render tự động từ `route.meta.breadcrumb`</t>
    </r>
  </si>
  <si>
    <t>Validation đầu vào — Form chỉnh sửa お知らせ</t>
  </si>
  <si>
    <t>ACSMS-TC-031-015</t>
  </si>
  <si>
    <t>お知らせタイトル kiểm tra bắt buộc (để trống)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</si>
  <si>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Để trống input 「お知らせタイトル」, nhập các field bắt buộc khác và click button 「保存」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Nhập input 「お知らせタイトル」 chỉ chứa half-width space (ví dụ: 「   」) và click button 「保存」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</si>
  <si>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Hiển thị error bắt buộc `必須項目です。` phía dưới input 「お知らせタイトル」, POST request không được gửi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Sau khi loại bỏ space đầu cuối thì còn trống, nên hiển thị error bắt buộc `必須項目です。`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・Áp dụng verbatim văn án của message code ACSMS-MSG-031-011
</t>
    </r>
    <r>
      <rPr>
        <sz val="10"/>
        <color rgb="FF000000"/>
        <rFont val="メイリオ"/>
        <charset val="134"/>
      </rPr>
      <t>・Backend cũng phải dùng `@Transform(blankToUndef)` để convert blank thành undefined trước khi check bắt buộc</t>
    </r>
  </si>
  <si>
    <t>ACSMS-TC-031-016</t>
  </si>
  <si>
    <t>お知らせタイトル giới hạn tối đa 200 ký tự (giá trị biên)</t>
  </si>
  <si>
    <t>・role: NICHINO_ADMIN
・Sau khi load màn hình ở mode đăng ký mới, đã nhập các field bắt buộc khác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</si>
  <si>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Nhập đúng 200 ký tự vào 「お知らせタイトル」 và click button 「保存」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Thử nhập 201 ký tự vào 「お知らせタイトル」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Paste 250 ký tự vào 「お知らせタイトル」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Dùng DevTools gửi trực tiếp POST `/api/v1/oshirase` với title 201 ký tự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</si>
  <si>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Lưu thành công, trả về HTTP 201, 200 ký tự được lưu vào DB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Bị block input (do maxLength=200, từ ký tự thứ 201 trở đi không nhập được)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Bị cắt xuống 200 ký tự và hiển thị trong input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 xml:space="preserve">Trả về HTTP 400 (`error_code: VALIDATION_ERROR`, message `入力値が不正です。詳細はerrorsフィールドを確認してください。`, mảng `errors` có chứa error vượt độ dài title)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・FE dùng attribute `maxLength=200`, backend re-validate bằng `@MaxLength(200)`</t>
    </r>
  </si>
  <si>
    <t>ACSMS-TC-031-017</t>
  </si>
  <si>
    <t>お知らせタイトル xử lý an toàn ký tự đặc biệt・SQL/XSS injection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</si>
  <si>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Nhập `&lt;script&gt;alert(1)&lt;/script&gt;` vào 「お知らせタイトル」 và click button 「保存」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Nhập `'; DROP TABLE t_oshirase; --` vào 「お知らせタイトル」 và click button 「保存」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Sau khi lưu, kiểm tra hiển thị title trên màn hình danh sách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</si>
  <si>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Trả về HTTP 201, `&lt;script&gt;alert(1)&lt;/script&gt;` được lưu vào DB dưới dạng literal, khi hiển thị lại thì script không được thực thi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201, được lưu vào DB dưới dạng literal, bảng `t_oshirase` không bị phá hủy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Cột title hiển thị dạng plain text, HTML tag được escape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・XSS được tự động escape bởi interpolation `{{ }}` của Vue
</t>
    </r>
    <r>
      <rPr>
        <sz val="10"/>
        <color rgb="FF000000"/>
        <rFont val="メイリオ"/>
        <charset val="134"/>
      </rPr>
      <t>・SQL injection được phòng vệ bởi parameterized query của TypeORM</t>
    </r>
  </si>
  <si>
    <t>Critical — Nếu fail là security incident.</t>
  </si>
  <si>
    <t>ACSMS-TC-031-018</t>
  </si>
  <si>
    <t>公開場所 kiểm tra bắt buộc + thao tác lựa chọn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</si>
  <si>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Kiểm tra trạng thái radio 「公開場所」 khi màn hình hiển thị lần đầu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Chuyển đổi lần lượt giữa radio 「ログイン画面」「メニュー画面」 và click button 「保存」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Dùng DevTools gửi trực tiếp POST `/api/v1/oshirase` với publish_location=99 (ngoài phạm vi)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</si>
  <si>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Giá trị mặc định 「ログイン画面」 (publish_location=1) được chọn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Lựa chọn chuyển đổi tương ứng, request body khi gửi có chứa publish_location=1 hoặc 2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Trả về HTTP 400 (`error_code: VALIDATION_ERROR`, mảng `errors` chứa error ngoài phạm vi của publish_location)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・「公開場所」 là field bắt buộc, phạm vi giá trị là 1 hoặc 2
</t>
    </r>
    <r>
      <rPr>
        <sz val="10"/>
        <color rgb="FF000000"/>
        <rFont val="メイリオ"/>
        <charset val="134"/>
      </rPr>
      <t>・Backend re-validate bằng `@IsIn([1, 2])`</t>
    </r>
  </si>
  <si>
    <t>ACSMS-TC-031-019</t>
  </si>
  <si>
    <t>状態 kiểm tra bắt buộc + thao tác lựa chọn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</si>
  <si>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Kiểm tra trạng thái radio 「状態」 khi màn hình hiển thị lần đầu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Chuyển đổi lần lượt giữa radio 「下書き」「公開」「非公開」 và lưu từng cái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</si>
  <si>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Giá trị mặc định 「下書き」 (status=1) được chọn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Lựa chọn chuyển đổi tương ứng, request body chứa một trong status=1, 2, 3, sau khi lưu, danh sách hiển thị badge màu chính xác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・Phạm vi giá trị của 「状態」 là 1 (下書き) / 2 (公開) / 3 (非公開)</t>
    </r>
  </si>
  <si>
    <t>ACSMS-TC-031-020</t>
  </si>
  <si>
    <t>表示開始日時 kiểm tra bắt buộc + không chọn được ngày quá khứ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</si>
  <si>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Để trống 「表示開始日時」 và click button 「保存」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Thử chọn ngày quá khứ (ví dụ: ngày hôm qua) trên date-time picker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Dùng DevTools gửi trực tiếp POST `/api/v1/oshirase` với publish_start_date là ngày quá khứ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</si>
  <si>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Hiển thị error bắt buộc `必須項目です。` phía dưới 「表示開始日時」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Ngày quá khứ hiển thị ở trạng thái không chọn được (bị gray out hoặc disable trên calendar UI)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Trả về HTTP 400 (`error_code: VALIDATION_ERROR`, mảng `errors` chứa error ngày quá khứ của publish_start_date)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・Chỉ khi đăng ký mới mới không chọn được ngày quá khứ (xem TC khác cho mode chỉnh sửa)
</t>
    </r>
    <r>
      <rPr>
        <sz val="10"/>
        <color rgb="FF000000"/>
        <rFont val="メイリオ"/>
        <charset val="134"/>
      </rPr>
      <t>・Phòng vệ cả 2 tầng frontend (calendar UI) và backend</t>
    </r>
  </si>
  <si>
    <t>ACSMS-TC-031-021</t>
  </si>
  <si>
    <t>表示終了日時 tùy chọn + kiểm tra tương quan phải sau ngày bắt đầu</t>
  </si>
  <si>
    <t>・role: NICHINO_ADMIN
・Sau khi load màn hình ở mode đăng ký mới, đã nhập 「表示開始日時」 = 「2026/06/01 09:00」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</si>
  <si>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Để trống 「表示終了日時」 và click button 「保存」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Nhập 「表示終了日時」 = 「2026/05/01 09:00」 (trước ngày bắt đầu) và click button 「保存」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Nhập 「表示終了日時」 = 「2026/06/30 23:59」 (sau ngày bắt đầu) và click button 「保存」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</si>
  <si>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Lưu thành công, trả về HTTP 201, DB lưu publish_end_date = NULL (vô thời hạn)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Hiển thị error `終了日は開始日より後にしてください。` phía dưới 「表示終了日時」, POST request không được gửi hoặc backend trả HTTP 400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Lưu thành công, trả về HTTP 201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・Áp dụng verbatim văn án của message code ACSMS-MSG-031-008
</t>
    </r>
    <r>
      <rPr>
        <sz val="10"/>
        <color rgb="FF000000"/>
        <rFont val="メイリオ"/>
        <charset val="134"/>
      </rPr>
      <t>・表示終了日時 NULL được coi là vô thời hạn</t>
    </r>
  </si>
  <si>
    <t>Thực tế đã chặn nhập ngày end_date&gt; start_date, nhưng nếu chạy bằng DevTools thì vẫn trả về 400</t>
  </si>
  <si>
    <t>ACSMS-TC-031-022</t>
  </si>
  <si>
    <t>お知らせ種別 kiểm tra bắt buộc + thao tác lựa chọn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</si>
  <si>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dropdown 「お知らせ種別」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Để 「お知らせ種別」 chưa chọn và click button 「保存」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Chọn từng lựa chọn và lưu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</si>
  <si>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Dropdown hiển thị 4 item 「システム / 重要 / 一般 / 締め切り時間」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Hiển thị error bắt buộc `必須項目です。` phía dưới 「お知らせ種別」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Lưu thành công với một trong oshirase_type=1, 2, 3, 4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・「お知らせ種別」 là field bắt buộc
</t>
    </r>
    <r>
      <rPr>
        <sz val="10"/>
        <color rgb="FF000000"/>
        <rFont val="メイリオ"/>
        <charset val="134"/>
      </rPr>
      <t>・Phạm vi giá trị là 1〜4</t>
    </r>
  </si>
  <si>
    <t>ACSMS-TC-031-023</t>
  </si>
  <si>
    <t>対象管理者区分 tùy chọn + chọn nhiều + xử lý "chưa chọn = chọn tất cả"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</si>
  <si>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Kiểm tra checkbox 「対象管理者区分」 (区分1〜5)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Chọn 区分1 và 区分3 rồi click button 「保存」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Để tất cả chưa chọn rồi click button 「保存」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</si>
  <si>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5 checkbox được hiển thị, trạng thái ban đầu là chưa check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Lưu thành công, `target_kanri_kubun` trong DB lưu 「1,3」 (phân tách bởi dấu phẩy)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Lưu thành công, `target_kanri_kubun` trong DB lưu chuỗi rỗng (xử lý như chọn tất cả 区分)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・「対象管理者区分」 là field tùy chọn, chưa chọn được xử lý như chọn tất cả</t>
    </r>
  </si>
  <si>
    <t>ACSMS-TC-031-024</t>
  </si>
  <si>
    <t>JA名 tùy chọn + lấy dropdown (API chung)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</si>
  <si>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Mở select box 「JA名」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Kiểm tra response GET `/api/v1/ja/dropdown` trên tab Network của DevTools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Lưu mà không chọn 「JA名」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>Chọn 「JA名」 rồi lưu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</si>
  <si>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Select box hiển thị danh sách JA và lựa chọn tương đương 「全 JA 向け」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Danh sách JA được lấy từ API chung `/api/v1/ja/dropdown`, trả về HTTP 200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Lưu thành công, `ja_id` trong DB lưu NULL (cho toàn bộ JA)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Lưu thành công, `ja_id` trong DB lưu JA ID đã chọn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・「JA名」 là field tùy chọn, NULL = cho toàn bộ JA</t>
    </r>
  </si>
  <si>
    <t>ACSMS-TC-031-025</t>
  </si>
  <si>
    <t>内容 kiểm tra bắt buộc (để trống)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</si>
  <si>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Để trống input 「内容」 và click button 「保存」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Nhập chỉ space vào input 「内容」 và click button 「保存」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</si>
  <si>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Hiển thị error bắt buộc `必須項目です。` phía dưới input 「内容」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Sau khi loại bỏ space đầu cuối thì còn trống, nên hiển thị error bắt buộc `必須項目です。`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・Áp dụng verbatim văn án của message code ACSMS-MSG-031-011</t>
    </r>
  </si>
  <si>
    <t>ACSMS-TC-031-026</t>
  </si>
  <si>
    <t>内容 giới hạn tối đa 2000 ký tự (giá trị biên)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</si>
  <si>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Nhập đúng 2000 ký tự vào 「内容」 và click button 「保存」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Thử nhập 2001 ký tự vào 「内容」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Paste 2500 ký tự vào 「内容」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Dùng DevTools gửi trực tiếp POST với content 2001 ký tự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</si>
  <si>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Lưu thành công, trả về HTTP 201, 2000 ký tự được lưu vào DB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Bị block input (do maxLength=2000, từ ký tự thứ 2001 trở đi không nhập được)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Bị cắt xuống 2000 ký tự và hiển thị trong input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 xml:space="preserve">Trả về HTTP 400 (`error_code: VALIDATION_ERROR`, mảng `errors` có chứa error vượt độ dài content)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・FE dùng attribute `maxLength=2000`, backend re-validate bằng `@MaxLength(2000)`</t>
    </r>
  </si>
  <si>
    <t>ACSMS-TC-031-027</t>
  </si>
  <si>
    <t>内容 chấp nhận xuống dòng・ký tự full-width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</si>
  <si>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Nhập text nhiều dòng có chứa ký tự xuống dòng vào 「内容」 và click button 「保存」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Sau khi lưu, mở edit mode và kiểm tra ô 「内容」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Nhập 「重要なお知らせ：明日メンテナンスを実施します」 (hỗn hợp kanji) vào 「内容」 và lưu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</si>
  <si>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Lưu thành công, ký tự xuống dòng (`\n`) được lưu vào DB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Ký tự xuống dòng được giữ nguyên và hiển thị trong textarea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Lưu thành công, kanji・hiragana・katakana được lưu và hiển thị chính xác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・Có thể đăng ký bao gồm cả ký tự xuống dòng
</t>
    </r>
    <r>
      <rPr>
        <sz val="10"/>
        <color rgb="FF000000"/>
        <rFont val="メイリオ"/>
        <charset val="134"/>
      </rPr>
      <t>・Ký tự full-width nhập・lưu・hiển thị chính xác</t>
    </r>
  </si>
  <si>
    <t>ACSMS-TC-031-028</t>
  </si>
  <si>
    <t>Validation tổng hợp khi tất cả field bắt buộc đều chưa nhập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</si>
  <si>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Để trống tất cả các field của form và click button 「保存」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Dùng DevTools gửi trực tiếp POST `/api/v1/oshirase` với JSON body rỗng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Kiểm tra mảng `errors` trong response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</si>
  <si>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Hiển thị `必須項目です。` phía dưới tất cả các field bắt buộc (タイトル, 公開場所, 状態, 表示開始日時, お知らせ種別, 内容)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400 (`error_code: VALIDATION_ERROR`, message `入力値が不正です。詳細はerrorsフィールドを確認してください。`)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Mảng `errors` chứa nhiều error theo từng field, tự động focus vào field error đầu tiên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・Trả về nhiều error trong 1 response</t>
    </r>
  </si>
  <si>
    <t>Logic nghiệp vụ — Đăng ký mới (Function — Create)</t>
  </si>
  <si>
    <t>ACSMS-TC-031-029</t>
  </si>
  <si>
    <t>Đăng ký mới case bình thường (DB persistent + audit log)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</si>
  <si>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Nhập giá trị hợp lệ vào tất cả các field bắt buộc (タイトル, 公開場所=1, 状態=2, 表示開始日時=ngày tương lai, お知らせ種別=1, 内容)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「保存」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Kiểm tra bảng `t_oshirase` trên DB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Kiểm tra bảng `t_log` trên DB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</si>
  <si>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Tất cả các field đều được nhập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201, hiển thị toast `登録しました。`, danh sách được reload, row đã lưu được highlight, chuyển sang edit mode (hiển thị ID đang chỉnh sửa)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Record mới được INSERT, `created_at` / `updated_at` / `created_by` / `updated_by` được set chính xác, `deleted_at` là NULL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`log_type=1`, `operation='CREATE'`, `result_status=1`, `target_table='t_oshirase'`, `target_id={oshirase_id mới}`, `after_value` được record đầy đủ dạng JSON, `gamen_name='お知らせ一覧画面 (ACSMS-SCR-031)'`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・Xử lý chính và record audit log thực thi trong cùng 1 transaction
</t>
    </r>
    <r>
      <rPr>
        <sz val="10"/>
        <color rgb="FF000000"/>
        <rFont val="メイリオ"/>
        <charset val="134"/>
      </rPr>
      <t>・Áp dụng verbatim văn án của message code ACSMS-MSG-031-001</t>
    </r>
  </si>
  <si>
    <t>ACSMS-TC-031-030</t>
  </si>
  <si>
    <t>Đăng ký mới error trùng lặp 締め切り時間</t>
  </si>
  <si>
    <t>・role: NICHINO_ADMIN
・Đã tồn tại record có publish_location=2 (メニュー画面) và oshirase_type=4 (締め切り時間) trong `t_oshirase`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</si>
  <si>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Ở mode đăng ký mới, nhập giá trị hợp lệ vào form (公開場所=メニュー画面, お知らせ種別=締め切り時間)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「保存」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bảng `t_oshirase` trên DB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</si>
  <si>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Giá trị được nhập trong form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400 (`error_code: DEADLINE_NOTICE_DUPLICATE`, message `公開場所「メニュー画面」かつ種別「締め切り時間」のお知らせが既に存在するため登録できません。`), hiển thị toast error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Không có dữ liệu mới được đăng ký vào `t_oshirase`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・Record có 公開場所=2 và お知らせ種別=4 chỉ được phép 1 record duy nhất trên toàn hệ thống
</t>
    </r>
    <r>
      <rPr>
        <sz val="10"/>
        <color rgb="FF000000"/>
        <rFont val="メイリオ"/>
        <charset val="134"/>
      </rPr>
      <t xml:space="preserve">・Nếu record đã tồn tại thì chỉ chỉnh sửa được, không tạo mới được
</t>
    </r>
    <r>
      <rPr>
        <sz val="10"/>
        <color rgb="FF000000"/>
        <rFont val="メイリオ"/>
        <charset val="134"/>
      </rPr>
      <t>・Kiểm tra trùng lặp được thực hiện trong transaction</t>
    </r>
  </si>
  <si>
    <t>ACSMS-TC-031-031</t>
  </si>
  <si>
    <t>Đăng ký mới cho phép tổ hợp khác của 公開場所・種別</t>
  </si>
  <si>
    <t>・role: NICHINO_ADMIN
・Đã tồn tại record có publish_location=2 và oshirase_type=4</t>
  </si>
  <si>
    <r>
      <rPr>
        <b/>
        <strike/>
        <sz val="10"/>
        <color rgb="FF000000"/>
        <rFont val="メイリオ"/>
        <charset val="134"/>
      </rPr>
      <t xml:space="preserve">ステップ1：
</t>
    </r>
    <r>
      <rPr>
        <strike/>
        <sz val="10"/>
        <color rgb="FF000000"/>
        <rFont val="メイリオ"/>
        <charset val="134"/>
      </rPr>
      <t xml:space="preserve">Ở mode đăng ký mới, nhập 公開場所=1 (ログイン画面), お知らせ種別=4 (締め切り時間)
</t>
    </r>
    <r>
      <rPr>
        <b/>
        <strike/>
        <sz val="10"/>
        <color rgb="FF000000"/>
        <rFont val="メイリオ"/>
        <charset val="134"/>
      </rPr>
      <t xml:space="preserve">ステップ2：
</t>
    </r>
    <r>
      <rPr>
        <strike/>
        <sz val="10"/>
        <color rgb="FF000000"/>
        <rFont val="メイリオ"/>
        <charset val="134"/>
      </rPr>
      <t xml:space="preserve">Click button 「保存」
</t>
    </r>
    <r>
      <rPr>
        <b/>
        <strike/>
        <sz val="10"/>
        <color rgb="FF000000"/>
        <rFont val="メイリオ"/>
        <charset val="134"/>
      </rPr>
      <t xml:space="preserve">ステップ3：
</t>
    </r>
    <r>
      <rPr>
        <strike/>
        <sz val="10"/>
        <color rgb="FF000000"/>
        <rFont val="メイリオ"/>
        <charset val="134"/>
      </rPr>
      <t>Đăng ký mới riêng với tổ hợp 公開場所=2 (メニュー画面), お知らせ種別=1 (システム)</t>
    </r>
  </si>
  <si>
    <r>
      <rPr>
        <b/>
        <strike/>
        <sz val="10"/>
        <color rgb="FF000000"/>
        <rFont val="メイリオ"/>
        <charset val="134"/>
      </rPr>
      <t xml:space="preserve">ステップ1：
</t>
    </r>
    <r>
      <rPr>
        <strike/>
        <sz val="10"/>
        <color rgb="FF000000"/>
        <rFont val="メイリオ"/>
        <charset val="134"/>
      </rPr>
      <t xml:space="preserve">Giá trị được nhập trong form
</t>
    </r>
    <r>
      <rPr>
        <b/>
        <strike/>
        <sz val="10"/>
        <color rgb="FF000000"/>
        <rFont val="メイリオ"/>
        <charset val="134"/>
      </rPr>
      <t xml:space="preserve">ステップ2：
</t>
    </r>
    <r>
      <rPr>
        <strike/>
        <sz val="10"/>
        <color rgb="FF000000"/>
        <rFont val="メイリオ"/>
        <charset val="134"/>
      </rPr>
      <t xml:space="preserve">Lưu thành công (do 公開場所 khác nhau nên không xử lý là trùng lặp), trả về HTTP 201
</t>
    </r>
    <r>
      <rPr>
        <b/>
        <strike/>
        <sz val="10"/>
        <color rgb="FF000000"/>
        <rFont val="メイリオ"/>
        <charset val="134"/>
      </rPr>
      <t xml:space="preserve">ステップ3：
</t>
    </r>
    <r>
      <rPr>
        <strike/>
        <sz val="10"/>
        <color rgb="FF000000"/>
        <rFont val="メイリオ"/>
        <charset val="134"/>
      </rPr>
      <t xml:space="preserve">Lưu thành công (do お知らせ種別 khác nhau nên không xử lý là trùng lặp)
</t>
    </r>
    <r>
      <rPr>
        <b/>
        <strike/>
        <sz val="10"/>
        <color rgb="FF000000"/>
        <rFont val="メイリオ"/>
        <charset val="134"/>
      </rPr>
      <t xml:space="preserve">補足：
</t>
    </r>
    <r>
      <rPr>
        <strike/>
        <sz val="10"/>
        <color rgb="FF000000"/>
        <rFont val="メイリオ"/>
        <charset val="134"/>
      </rPr>
      <t xml:space="preserve">・Kiểm tra trùng lặp chỉ áp dụng cho tổ hợp publish_location=2 AND oshirase_type=4
</t>
    </r>
    <r>
      <rPr>
        <strike/>
        <sz val="10"/>
        <color rgb="FF000000"/>
        <rFont val="メイリオ"/>
        <charset val="134"/>
      </rPr>
      <t>・Các tổ hợp khác không bị giới hạn</t>
    </r>
  </si>
  <si>
    <t>ACSMS-TC-031-032</t>
  </si>
  <si>
    <t>Đăng ký mới thao tác button 「クリア」</t>
  </si>
  <si>
    <t>・role: NICHINO_ADMIN
・Đã nhập tất cả field của form ở mode đăng ký mới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</si>
  <si>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Nhập giá trị hợp lệ vào tất cả các field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「クリア」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trạng thái form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</si>
  <si>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Giá trị được nhập trong form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Tất cả các field được reset về giá trị ban đầu, mode đăng ký mới được duy trì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タイトル・内容 trống, 公開場所=1, 状態=1, 表示開始日時・終了日時・JA名・お知らせ種別・対象管理者区分 ở giá trị ban đầu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・Button 「クリア」 chỉ hiển thị ở mode đăng ký mới
</t>
    </r>
    <r>
      <rPr>
        <sz val="10"/>
        <color rgb="FF000000"/>
        <rFont val="メイリオ"/>
        <charset val="134"/>
      </rPr>
      <t>・Không hiển thị ở mode chỉnh sửa</t>
    </r>
  </si>
  <si>
    <t>ACSMS-TC-031-033</t>
  </si>
  <si>
    <t>Đăng ký mới rollback transaction khi fail</t>
  </si>
  <si>
    <t>・role: NICHINO_ADMIN
・Đã nhập giá trị hợp lệ ở mode đăng ký mới
・Môi trường có thể inject error vào audit log INSERT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</si>
  <si>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Inject error để audit log INSERT bị fail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Click button 「保存」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Kiểm tra `t_oshirase` và `t_log` trên DB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</si>
  <si>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Inject error hoạt động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Trả về HTTP 500, hiển thị toast `システムエラーが発生しました。しばらくしてから再度お試しください。`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Không có dữ liệu mới được đăng ký vào `t_oshirase` (rollback thành công), `t_log` record 1 dòng `log_type=3` (error log), `result_status=2` (fail)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・Xử lý chính và record audit log thực thi trong cùng 1 transaction
・Error log được record riêng ngoài transaction
・Áp dụng verbatim văn án của message code ACSMS-MSG-031-007</t>
    </r>
  </si>
  <si>
    <t>ACSMS-TC-031-034</t>
  </si>
  <si>
    <t>Đăng ký mới chống gửi 2 lần</t>
  </si>
  <si>
    <t>・role: NICHINO_ADMIN
・Đã nhập giá trị hợp lệ ở mode đăng ký mới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</si>
  <si>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Double click button 「保存」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「保存」 liên tục 10 lần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Kiểm tra số lần gửi POST request trên tab Network của DevTools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Kiểm tra bảng `t_oshirase` trên DB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</si>
  <si>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Chỉ 1 request được gửi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Không gửi request trùng lặp, button ở trạng thái disable khi đang xử lý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Số request POST `/api/v1/oshirase` là 1 lần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Chỉ 1 record mới được INSERT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・Không gửi 2 lần, không đăng ký 2 lần</t>
    </r>
  </si>
  <si>
    <t>Logic nghiệp vụ — Chỉnh sửa・Cập nhật・Xóa (Function — Edit &amp; Delete)</t>
  </si>
  <si>
    <t>ACSMS-TC-031-035</t>
  </si>
  <si>
    <t>Load chỉnh sửa hiển thị dữ liệu hiện có</t>
  </si>
  <si>
    <t>・role: NICHINO_ADMIN
・Đang hiển thị record `oshirase_id = 1` trên danh sách お知らせ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</si>
  <si>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 button 「編集」 ở row có `oshirase_id = 1` trên danh sách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GET `/api/v1/oshirase/1` trên tab Network của DevTools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giá trị được phản ánh trong form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</si>
  <si>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Chuyển sang edit mode, row `oshirase_id = 1` được highlight trên danh sách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200, response dạng JSON, object `data` chứa các giá trị hiện có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Tất cả các field của form được phản ánh giá trị hiện có, phía trên form chỉnh sửa có hiển thị tương đương 「編集中：お知らせID 1」, button 「クリア」 không hiển thị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・Khi chuyển sang edit mode thì lấy dữ liệu mới nhất</t>
    </r>
  </si>
  <si>
    <t>ACSMS-TC-031-036</t>
  </si>
  <si>
    <t>Load chỉnh sửa khi có dữ liệu chưa lưu thì hiển thị dialog cảnh báo</t>
  </si>
  <si>
    <t>・role: NICHINO_ADMIN
・Đã thay đổi các field form ở mode đăng ký mới (trạng thái chưa lưu)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</si>
  <si>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Nhập タイトル v.v. ở mode đăng ký mới (trạng thái chưa lưu)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「編集」 trên danh sách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Click 「編集を続行」 trên dialog cảnh báo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Click button 「編集」 lại, click 「破棄して続行」 trên dialog cảnh báo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</si>
  <si>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Trạng thái chưa lưu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Dialog cảnh báo được hiển thị, hiển thị message `未保存のデータがあります。このまま続けますか？`, hiển thị button 「編集を続行」「破棄して続行」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Dialog đóng lại, giữ nguyên giá trị input hiện tại và duy trì mode đăng ký mới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Thay đổi chưa lưu bị hủy bỏ, chuyển sang edit mode, dữ liệu của row được chọn phản ánh vào form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・Áp dụng verbatim văn án của message code ACSMS-MSG-031-010</t>
    </r>
  </si>
  <si>
    <t>ACSMS-TC-031-037</t>
  </si>
  <si>
    <t>Chỉnh sửa 表示開始日時 ngày quá khứ chỉ đọc</t>
  </si>
  <si>
    <t>・role: NICHINO_ADMIN
・Tồn tại record có 表示開始日時 là ngày quá khứ (ví dụ: publish_start_date = 2026/01/01 09:00)
・Ngày hiện tại là 2026/05/22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</si>
  <si>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Mở edit mode cho record có ngày quá khứ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Đặt cursor vào input 「表示開始日時」 và thử thay đổi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Dùng DevTools gửi PUT `/api/v1/oshirase/{id}` với publish_start_date đã thay đổi trong request body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</si>
  <si>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Chuyển sang edit mode, 「表示開始日時」 hiển thị giá trị hiện có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Input ở trạng thái disabled, giá trị không thay đổi được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Trả về HTTP 400 (`error_code: VALIDATION_ERROR`, publish_start_date là ngày quá khứ không thay đổi được), giá trị `publish_start_date` trong `t_oshirase` không bị thay đổi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・Frontend phải dùng attribute `disabled` để không chỉnh sửa được
</t>
    </r>
    <r>
      <rPr>
        <sz val="10"/>
        <color rgb="FF000000"/>
        <rFont val="メイリオ"/>
        <charset val="134"/>
      </rPr>
      <t>・Backend cũng phải reject bằng cách detect diff của `publish_start_date` (defense in depth)</t>
    </r>
  </si>
  <si>
    <t>ACSMS-TC-031-038</t>
  </si>
  <si>
    <t>Chỉnh sửa 表示開始日時 ngày tương lai có thể chỉnh sửa</t>
  </si>
  <si>
    <t>・role: NICHINO_ADMIN
・Tồn tại record có 表示開始日時 là ngày tương lai (ví dụ: publish_start_date = 2026/12/01 09:00)
・Ngày hiện tại là 2026/05/22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</si>
  <si>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edit mode cho record có ngày tương lai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Thay đổi 「表示開始日時」 sang ngày tương lai khác (ví dụ: 2026/12/15 09:00)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Click button 「保存」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</si>
  <si>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Chuyển sang edit mode, 「表示開始日時」 ở trạng thái có thể input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Có thể thay đổi sang ngày từ hôm nay trở đi, ngày quá khứ không chọn được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Trả về HTTP 200, hiển thị toast `更新しました。`, `publish_start_date` trong DB được update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・Đối với ngày tương lai, có thể thay đổi sang ngày từ hôm nay trở đi</t>
    </r>
  </si>
  <si>
    <t>ACSMS-TC-031-039</t>
  </si>
  <si>
    <t>Cập nhật case bình thường (DB + audit log)</t>
  </si>
  <si>
    <t>・role: NICHINO_ADMIN
・Đang mở `oshirase_id = 1` ở edit mode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</si>
  <si>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Thay đổi タイトル, 内容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「保存」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Kiểm tra bảng `t_oshirase` trên DB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Kiểm tra bảng `t_log` trên DB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</si>
  <si>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Giá trị được thay đổi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Trả về HTTP 200, hiển thị toast `更新しました。`, danh sách được reload, highlight được duy trì, edit mode được duy trì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`title`, `content`, `updated_at` của `oshirase_id = 1` được update, `updated_by` khớp với account_id của NICHINO_ADMIN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 xml:space="preserve">`log_type=1`, `operation='UPDATE'`, `result_status=1`, `target_id=1`, `before_value` và `after_value` được record đầy đủ dạng JSON
</t>
    </r>
  </si>
  <si>
    <t>ACSMS-TC-031-040</t>
  </si>
  <si>
    <t>Cập nhật record đã xóa (NOT_FOUND)</t>
  </si>
  <si>
    <t>・role: NICHINO_ADMIN
・Đã set `deleted_at` cho record `oshirase_id = 99` để test (đã xóa logical)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</si>
  <si>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Dùng DevTools gọi trực tiếp GET `/api/v1/oshirase/99`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>Dùng DevTools gửi PUT `/api/v1/oshirase/99` với request body hợp lệ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</si>
  <si>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Trả về HTTP 404 (`error_code: NOT_FOUND`, message `指定されたお知らせが見つかりません。`)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404, không có thay đổi trong `t_oshirase`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・Record đã xóa logical bị loại bỏ khỏi đối tượng query bởi filter `deleted_at IS NULL`</t>
    </r>
  </si>
  <si>
    <t>ACSMS-TC-031-041</t>
  </si>
  <si>
    <t>Cập nhật xử lý conflict khi chỉnh sửa đồng thời</t>
  </si>
  <si>
    <t>・role: NICHINO_ADMIN (cùng 1 account, 2 tab)
・Cả 2 tab đều mở `oshirase_id = 1` ở edit mode</t>
  </si>
  <si>
    <r>
      <rPr>
        <b/>
        <strike/>
        <sz val="10"/>
        <color rgb="FF000000"/>
        <rFont val="メイリオ"/>
        <charset val="134"/>
      </rPr>
      <t xml:space="preserve">ステップ1：
</t>
    </r>
    <r>
      <rPr>
        <strike/>
        <sz val="10"/>
        <color rgb="FF000000"/>
        <rFont val="メイリオ"/>
        <charset val="134"/>
      </rPr>
      <t xml:space="preserve">Trên tab A, thay đổi タイトル thành 「タイトルA」 và click 「保存」
</t>
    </r>
    <r>
      <rPr>
        <b/>
        <strike/>
        <sz val="10"/>
        <color rgb="FF000000"/>
        <rFont val="メイリオ"/>
        <charset val="134"/>
      </rPr>
      <t xml:space="preserve">ステップ2：
</t>
    </r>
    <r>
      <rPr>
        <strike/>
        <sz val="10"/>
        <color rgb="FF000000"/>
        <rFont val="メイリオ"/>
        <charset val="134"/>
      </rPr>
      <t xml:space="preserve">Sau khi tab A lưu xong, trên tab B, thay đổi タイトル thành 「タイトルB」 và click 「保存」
</t>
    </r>
    <r>
      <rPr>
        <b/>
        <strike/>
        <sz val="10"/>
        <color rgb="FF000000"/>
        <rFont val="メイリオ"/>
        <charset val="134"/>
      </rPr>
      <t xml:space="preserve">ステップ3：
</t>
    </r>
    <r>
      <rPr>
        <strike/>
        <sz val="10"/>
        <color rgb="FF000000"/>
        <rFont val="メイリオ"/>
        <charset val="134"/>
      </rPr>
      <t>Kiểm tra bảng `t_oshirase` và `t_log` trên DB</t>
    </r>
  </si>
  <si>
    <r>
      <rPr>
        <b/>
        <strike/>
        <sz val="10"/>
        <color rgb="FF000000"/>
        <rFont val="メイリオ"/>
        <charset val="134"/>
      </rPr>
      <t xml:space="preserve">ステップ1：
</t>
    </r>
    <r>
      <rPr>
        <strike/>
        <sz val="10"/>
        <color rgb="FF000000"/>
        <rFont val="メイリオ"/>
        <charset val="134"/>
      </rPr>
      <t xml:space="preserve">Update của tab A thành công, `updated_at` được update
</t>
    </r>
    <r>
      <rPr>
        <b/>
        <strike/>
        <sz val="10"/>
        <color rgb="FF000000"/>
        <rFont val="メイリオ"/>
        <charset val="134"/>
      </rPr>
      <t xml:space="preserve">ステップ2：
</t>
    </r>
    <r>
      <rPr>
        <strike/>
        <sz val="10"/>
        <color rgb="FF000000"/>
        <rFont val="メイリオ"/>
        <charset val="134"/>
      </rPr>
      <t xml:space="preserve">Update của tab B thành công (last-write-wins), `title` được update thành 「タイトルB」
</t>
    </r>
    <r>
      <rPr>
        <b/>
        <strike/>
        <sz val="10"/>
        <color rgb="FF000000"/>
        <rFont val="メイリオ"/>
        <charset val="134"/>
      </rPr>
      <t xml:space="preserve">ステップ3：
</t>
    </r>
    <r>
      <rPr>
        <strike/>
        <sz val="10"/>
        <color rgb="FF000000"/>
        <rFont val="メイリオ"/>
        <charset val="134"/>
      </rPr>
      <t xml:space="preserve">`title` mới nhất là 「タイトルB」, `t_log` record 2 lần thao tác UPDATE
</t>
    </r>
    <r>
      <rPr>
        <b/>
        <strike/>
        <sz val="10"/>
        <color rgb="FF000000"/>
        <rFont val="メイリオ"/>
        <charset val="134"/>
      </rPr>
      <t xml:space="preserve">補足：
</t>
    </r>
    <r>
      <rPr>
        <strike/>
        <sz val="10"/>
        <color rgb="FF000000"/>
        <rFont val="メイリオ"/>
        <charset val="134"/>
      </rPr>
      <t xml:space="preserve">・Optimistic lock chưa được implement ở spec hiện hành. Hoạt động last-write-wins
</t>
    </r>
    <r>
      <rPr>
        <strike/>
        <sz val="10"/>
        <color rgb="FF000000"/>
        <rFont val="メイリオ"/>
        <charset val="134"/>
      </rPr>
      <t>・Cả 2 thao tác đều được record vào audit log</t>
    </r>
  </si>
  <si>
    <t>Optimistic lock chưa implement. Hoạt động last-write-wins đã được approve làm spec.</t>
  </si>
  <si>
    <t>ACSMS-TC-031-042</t>
  </si>
  <si>
    <t>Xóa dialog xác nhận + xóa logical + audit log</t>
  </si>
  <si>
    <t>・role: NICHINO_ADMIN
・Đang hiển thị record `oshirase_id = 1` trên danh sách
・Trạng thái không tồn tại dữ liệu liên quan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</si>
  <si>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 button 「削除」 ở row có `oshirase_id = 1` trên danh sách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dialog xác nhận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Click button 「はい」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Kiểm tra bảng `t_oshirase` trên DB
</t>
    </r>
    <r>
      <rPr>
        <b/>
        <sz val="10"/>
        <color rgb="FF000000"/>
        <rFont val="メイリオ"/>
        <charset val="134"/>
      </rPr>
      <t xml:space="preserve">ステップ5：
</t>
    </r>
    <r>
      <rPr>
        <sz val="10"/>
        <color rgb="FF000000"/>
        <rFont val="メイリオ"/>
        <charset val="134"/>
      </rPr>
      <t>Kiểm tra bảng `t_log` trên DB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</si>
  <si>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Dialog xác nhận được hiển thị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Hiển thị message `このお知らせを削除してもよろしいですか？`, hiển thị button 「はい」「いいえ」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Trả về HTTP 200, hiển thị toast `削除しました。`, row tương ứng được loại bỏ khỏi danh sách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 xml:space="preserve">`deleted_at` của `oshirase_id = 1` được set thời gian hiện tại, `updated_at` cũng được update, bị xóa logical
</t>
    </r>
    <r>
      <rPr>
        <b/>
        <sz val="10"/>
        <color rgb="FF000000"/>
        <rFont val="游ゴシック"/>
        <charset val="134"/>
      </rPr>
      <t xml:space="preserve">ステップ5：
</t>
    </r>
    <r>
      <rPr>
        <sz val="10"/>
        <color rgb="FF000000"/>
        <rFont val="游ゴシック"/>
        <charset val="134"/>
      </rPr>
      <t xml:space="preserve">`log_type=1`, `operation='DELETE'`, `result_status=1`, `target_id=1`, `before_value` record dữ liệu trước khi xóa dạng JSON, `after_value` là chuỗi rỗng
</t>
    </r>
  </si>
  <si>
    <t>ACSMS-TC-031-043</t>
  </si>
  <si>
    <t>Xóa hủy bỏ khi click 「いいえ」 trên dialog xác nhận</t>
  </si>
  <si>
    <t>・role: NICHINO_ADMIN
・Đang hiển thị record `oshirase_id = 1` trên danh sách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</si>
  <si>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 button 「削除」 ở row có `oshirase_id = 1` trên danh sách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「いいえ」 trên dialog xác nhận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bảng `t_oshirase` trên DB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</si>
  <si>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Dialog xác nhận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Dialog đóng lại, xử lý xóa không được thực thi, DELETE request không được gửi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`deleted_at` của `oshirase_id = 1` vẫn là NULL, record không có thay đổi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・Khi chọn 「いいえ」 thì không làm gì</t>
    </r>
  </si>
  <si>
    <t>ACSMS-TC-031-044</t>
  </si>
  <si>
    <t>Xóa khi có dữ liệu liên quan (CONFLICT)</t>
  </si>
  <si>
    <t>・role: NICHINO_ADMIN
・Record お知らせ liên kết với object liên quan (cố tình liên kết để test)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</si>
  <si>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 button 「削除」 của お知らせ có dữ liệu liên quan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「はい」 trên dialog xác nhận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bảng `t_oshirase` trên DB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</si>
  <si>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Dialog xác nhận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409 (`error_code: CONFLICT`, message `関連データが存在するため削除できません。`), hiển thị toast error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`deleted_at` vẫn là NULL, xóa logical không được thực thi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・Message code ACSMS-MSG-031-005 liên quan đến message CONFLICT của api.md
</t>
    </r>
    <r>
      <rPr>
        <sz val="10"/>
        <color rgb="FF000000"/>
        <rFont val="メイリオ"/>
        <charset val="134"/>
      </rPr>
      <t>・DB schema hiện hành không có bảng tham chiếu, đây là kiểm tra integrity cho việc mở rộng tương lai</t>
    </r>
  </si>
  <si>
    <t>DB schema hiện hành không có bảng tham chiếu liên quan. Ghi nhận như quan điểm phụ thuộc vào bảng sẽ được thêm trong tương lai.</t>
  </si>
  <si>
    <t>ACSMS-TC-031-045</t>
  </si>
  <si>
    <t>Xóa rollback transaction khi fail</t>
  </si>
  <si>
    <t>・role: NICHINO_ADMIN
・Có record hiện hữu
・Môi trường có thể inject error vào audit log INSERT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</si>
  <si>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Inject error để audit log INSERT bị fail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「削除」 và click 「はい」 trên dialog xác nhận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`t_oshirase` và `t_log` trên DB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</si>
  <si>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Inject error hoạt động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500, hiển thị toast `システムエラーが発生しました。しばらくしてから再度お試しください。`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`deleted_at` vẫn là NULL (rollback thành công), `t_log` record 1 dòng `log_type=3` (error log)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・Xử lý chính và record audit log thực thi trong cùng 1 transaction
</t>
    </r>
    <r>
      <rPr>
        <sz val="10"/>
        <color rgb="FF000000"/>
        <rFont val="メイリオ"/>
        <charset val="134"/>
      </rPr>
      <t>・Nếu một bên nào fail thì toàn bộ rollback</t>
    </r>
  </si>
  <si>
    <t>Xử lý lỗi chung (Common Error Handling)</t>
  </si>
  <si>
    <t>ACSMS-TC-031-046</t>
  </si>
  <si>
    <t>Error chung UNAUTHORIZED xử lý khi hết session</t>
  </si>
  <si>
    <t>・role: NICHINO_ADMIN
・Đang hiển thị màn hình danh sách お知らせ
・Force revoke Redis session bằng admin tool, hoặc đã qua 24h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</si>
  <si>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Force revoke session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「保存」 hoặc 「削除」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Kiểm tra URL sau khi redirect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Kiểm tra hành vi sau khi đăng nhập lại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</si>
  <si>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Session đã hết hạn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401 (`error_code: UNAUTHORIZED`, message `セッションが切れました。再度ログインしてください。`), `useAuthStore().user` được clear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Chuyển sang `/login` với query parameter `redirect` dạng `/login?redirect=/oshirase`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Sau khi đăng nhập lại thành công, quay về màn hình `/oshirase`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・Trên màn hình login không hiển thị toast 「セッションが切れました…」</t>
    </r>
  </si>
  <si>
    <t>ACSMS-TC-031-047</t>
  </si>
  <si>
    <t>Error chung BAD_REQUEST request parameter không hợp lệ</t>
  </si>
  <si>
    <t>・role: NICHINO_ADMIN
・Đã login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</si>
  <si>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Dùng DevTools gọi trực tiếp GET `/api/v1/oshirase/abc` (ID không phải số)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Dùng DevTools gửi PUT `/api/v1/oshirase/1` với JSON không hợp lệ (`{invalid json}`) trong request body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Dùng DevTools gọi trực tiếp GET `/api/v1/oshirase?per_page=999`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</si>
  <si>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Trả về HTTP 400 (`error_code: BAD_REQUEST`, message `リクエストパラメータが不正です。`)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400 (`error_code: BAD_REQUEST` hoặc `VALIDATION_ERROR`)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Trả về HTTP 400 (per_page chỉ chấp nhận từ 1〜100)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・Error đầu vào request như path parameter sai kiểu・JSON parse error・parameter ngoài phạm vi</t>
    </r>
  </si>
  <si>
    <t>ACSMS-TC-031-048</t>
  </si>
  <si>
    <t>Error chung VALIDATION_ERROR validation tổng hợp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</si>
  <si>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Dùng DevTools gửi trực tiếp POST `/api/v1/oshirase` với body có chứa nhiều field error (title trống・content 2001 ký tự・publish_location=99)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Kiểm tra mảng `errors` trong response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</si>
  <si>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Trả về HTTP 400 (`error_code: VALIDATION_ERROR`, message `入力値が不正です。詳細はerrorsフィールドを確認してください。`)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Mảng `errors` chứa nhiều error theo từng field (title bắt buộc, content vượt độ dài, publish_location ngoài phạm vi)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・Trả về nhiều error trong 1 response
</t>
    </r>
    <r>
      <rPr>
        <sz val="10"/>
        <color rgb="FF000000"/>
        <rFont val="メイリオ"/>
        <charset val="134"/>
      </rPr>
      <t>・Frontend dùng `useApiForm` để map `errors` theo từng field</t>
    </r>
  </si>
  <si>
    <t>ACSMS-TC-031-049</t>
  </si>
  <si>
    <t>Error chung TOO_MANY_REQUESTS vượt rate limit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</si>
  <si>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Gửi liên tục POST `/api/v1/oshirase` 101 lần trong 1 phút (vượt giới hạn mặc định 100 lần/phút/IP)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Kiểm tra response từ lần thứ 101 trở đi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</si>
  <si>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Đến lần thứ 100 trả về HTTP 200 hoặc 201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Từ lần thứ 101 trở đi trả về HTTP 429 (`error_code: TOO_MANY_REQUESTS`, message `リクエスト回数が上限を超えました。しばらくしてから再度お試しください。`), hiển thị toast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・Decorator `@Throttle` của NestJS (tầng app) hoạt động
</t>
    </r>
    <r>
      <rPr>
        <sz val="10"/>
        <color rgb="FF000000"/>
        <rFont val="メイリオ"/>
        <charset val="134"/>
      </rPr>
      <t>・Rate limit AWS WAF (tầng infra) verify riêng trên môi trường staging</t>
    </r>
  </si>
  <si>
    <t>ACSMS-TC-031-050</t>
  </si>
  <si>
    <t>Error chung INTERNAL_SERVER_ERROR mô phỏng server crash</t>
  </si>
  <si>
    <t>・role: NICHINO_ADMIN
・Môi trường có thể cố tình trigger DB connection error v.v.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</si>
  <si>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Cắt connection DB hoặc dừng process BE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「保存」 hoặc 「削除」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Sau khi connection DB phục hồi, kiểm tra `t_log`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</si>
  <si>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Đã chuyển sang trạng thái lỗi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500 (`error_code: INTERNAL_SERVER_ERROR`, message `システムエラーが発生しました。しばらくしてから再度お試しください。`), hiển thị toast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Error log được record (`log_type=3`, `result_status=2`), `error_message` chứa chi tiết lỗi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・Stack trace không bị leak ra client
</t>
    </r>
    <r>
      <rPr>
        <sz val="10"/>
        <color rgb="FF000000"/>
        <rFont val="メイリオ"/>
        <charset val="134"/>
      </rPr>
      <t>・Server log có record stack trace chi tiết</t>
    </r>
  </si>
  <si>
    <t>ACSMS-TC-031-051</t>
  </si>
  <si>
    <t>Error chung NOT_FOUND お知らせ ID không tồn tại</t>
  </si>
  <si>
    <t>・role: NICHINO_ADMIN
・`oshirase_id = 99999` không tồn tại trong DB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</si>
  <si>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Dùng DevTools gọi trực tiếp GET `/api/v1/oshirase/99999`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Dùng DevTools gửi PUT `/api/v1/oshirase/99999` với request body hợp lệ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Dùng DevTools gọi trực tiếp DELETE `/api/v1/oshirase/99999`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</si>
  <si>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Trả về HTTP 404 (`error_code: NOT_FOUND`, message `指定されたお知らせが見つかりません。`)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404 (`error_code: NOT_FOUND`), không có thay đổi trong `t_oshirase`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Trả về HTTP 404 (`error_code: NOT_FOUND`), không có thay đổi trong `t_oshirase`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・ID không tồn tại và ID đã xóa logical đều trả về cùng HTTP 404
</t>
    </r>
    <r>
      <rPr>
        <sz val="10"/>
        <color rgb="FF000000"/>
        <rFont val="メイリオ"/>
        <charset val="134"/>
      </rPr>
      <t>・Khớp với message code ACSMS-MSG-031-009</t>
    </r>
  </si>
  <si>
    <t>ACSMS-TC-031-052</t>
  </si>
  <si>
    <t>Xử lý khi mất kết nối mạng</t>
  </si>
  <si>
    <t>・role: NICHINO_ADMIN
・Đang hiển thị màn hình danh sách お知らせ, đã nhập trong form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</si>
  <si>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DevTools → Network → chuyển sang mode 「Offline」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「保存」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DevTools → Network → phục hồi mode online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Click button 「保存」 lại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</si>
  <si>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Đã chuyển sang mode offline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Hiển thị toast `ネットワークエラーが発生しました…`, dữ liệu nhập trong form không bị mất, button quay về trạng thái active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Đã phục hồi mode online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Trả về HTTP 201 hoặc 200, hiển thị toast `登録しました。` hoặc `更新しました。`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・Dữ liệu nhập trong form không bị mất khi network error (UX retry)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</si>
</sst>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/yyyy"/>
    <numFmt numFmtId="179" formatCode="yyyy/mm/dd"/>
    <numFmt numFmtId="180" formatCode="0.0%"/>
  </numFmts>
  <fonts count="40">
    <font>
      <sz val="11"/>
      <color theme="1"/>
      <name val="Calibri"/>
      <charset val="134"/>
      <scheme val="minor"/>
    </font>
    <font>
      <b/>
      <sz val="11"/>
      <color rgb="FF000000"/>
      <name val="游ゴシック"/>
      <charset val="134"/>
    </font>
    <font>
      <sz val="11"/>
      <name val="Calibri"/>
      <charset val="134"/>
      <scheme val="minor"/>
    </font>
    <font>
      <sz val="11"/>
      <color rgb="FF000000"/>
      <name val="游ゴシック"/>
      <charset val="134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sz val="11"/>
      <color rgb="FF000000"/>
      <name val="Arial"/>
      <charset val="134"/>
    </font>
    <font>
      <sz val="11"/>
      <color rgb="FF000000"/>
      <name val="Calibri"/>
      <charset val="134"/>
    </font>
    <font>
      <strike/>
      <sz val="11"/>
      <color rgb="FF000000"/>
      <name val="游ゴシック"/>
      <charset val="134"/>
    </font>
    <font>
      <strike/>
      <sz val="11"/>
      <color theme="1"/>
      <name val="Arial"/>
      <charset val="134"/>
    </font>
    <font>
      <i/>
      <sz val="11"/>
      <color rgb="FF000000"/>
      <name val="游ゴシック"/>
      <charset val="134"/>
    </font>
    <font>
      <b/>
      <sz val="14"/>
      <color rgb="FF000000"/>
      <name val="游ゴシック"/>
      <charset val="134"/>
    </font>
    <font>
      <sz val="26"/>
      <color rgb="FF1F3864"/>
      <name val="游ゴシック"/>
      <charset val="134"/>
    </font>
    <font>
      <sz val="24"/>
      <color rgb="FF1F3864"/>
      <name val="游ゴシック"/>
      <charset val="134"/>
    </font>
    <font>
      <sz val="15"/>
      <color theme="1"/>
      <name val="游ゴシック"/>
      <charset val="134"/>
    </font>
    <font>
      <sz val="10"/>
      <color rgb="FF000000"/>
      <name val="游ゴシック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000000"/>
      <name val="メイリオ"/>
      <charset val="134"/>
    </font>
    <font>
      <sz val="10"/>
      <color rgb="FF000000"/>
      <name val="メイリオ"/>
      <charset val="134"/>
    </font>
    <font>
      <b/>
      <sz val="10"/>
      <color rgb="FF000000"/>
      <name val="游ゴシック"/>
      <charset val="134"/>
    </font>
    <font>
      <b/>
      <strike/>
      <sz val="10"/>
      <color rgb="FF000000"/>
      <name val="メイリオ"/>
      <charset val="134"/>
    </font>
    <font>
      <strike/>
      <sz val="10"/>
      <color rgb="FF000000"/>
      <name val="メイリオ"/>
      <charset val="134"/>
    </font>
  </fonts>
  <fills count="4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B4C6E7"/>
        <bgColor rgb="FFB4C6E7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FF99"/>
        <bgColor rgb="FFFFFF99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2" borderId="1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3" borderId="18" applyNumberFormat="0" applyAlignment="0" applyProtection="0">
      <alignment vertical="center"/>
    </xf>
    <xf numFmtId="0" fontId="25" fillId="14" borderId="19" applyNumberFormat="0" applyAlignment="0" applyProtection="0">
      <alignment vertical="center"/>
    </xf>
    <xf numFmtId="0" fontId="26" fillId="14" borderId="18" applyNumberFormat="0" applyAlignment="0" applyProtection="0">
      <alignment vertical="center"/>
    </xf>
    <xf numFmtId="0" fontId="27" fillId="15" borderId="20" applyNumberFormat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</cellStyleXfs>
  <cellXfs count="7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" fillId="3" borderId="1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78" fontId="3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/>
    </xf>
    <xf numFmtId="178" fontId="4" fillId="0" borderId="1" xfId="0" applyNumberFormat="1" applyFont="1" applyBorder="1" applyAlignment="1">
      <alignment horizontal="center" vertical="top" wrapText="1"/>
    </xf>
    <xf numFmtId="179" fontId="3" fillId="0" borderId="1" xfId="0" applyNumberFormat="1" applyFont="1" applyBorder="1" applyAlignment="1">
      <alignment horizontal="center" vertical="top" wrapText="1"/>
    </xf>
    <xf numFmtId="0" fontId="3" fillId="4" borderId="12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vertical="top"/>
    </xf>
    <xf numFmtId="178" fontId="6" fillId="4" borderId="1" xfId="0" applyNumberFormat="1" applyFont="1" applyFill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  <xf numFmtId="0" fontId="11" fillId="6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10" borderId="0" xfId="0" applyFont="1" applyFill="1" applyBorder="1" applyAlignment="1">
      <alignment horizontal="left" vertical="center" wrapText="1"/>
    </xf>
    <xf numFmtId="0" fontId="2" fillId="0" borderId="0" xfId="0" applyFont="1" applyBorder="1"/>
    <xf numFmtId="0" fontId="1" fillId="6" borderId="12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13" xfId="0" applyFont="1" applyBorder="1"/>
    <xf numFmtId="0" fontId="5" fillId="0" borderId="14" xfId="0" applyFont="1" applyBorder="1"/>
    <xf numFmtId="0" fontId="12" fillId="0" borderId="13" xfId="0" applyFont="1" applyBorder="1" applyAlignment="1">
      <alignment horizontal="center" vertical="center" wrapText="1"/>
    </xf>
    <xf numFmtId="0" fontId="2" fillId="0" borderId="14" xfId="0" applyFont="1" applyBorder="1"/>
    <xf numFmtId="0" fontId="13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49" fontId="15" fillId="11" borderId="1" xfId="0" applyNumberFormat="1" applyFont="1" applyFill="1" applyBorder="1" applyAlignment="1">
      <alignment horizontal="center" vertical="center" wrapText="1"/>
    </xf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</xdr:col>
      <xdr:colOff>0</xdr:colOff>
      <xdr:row>2</xdr:row>
      <xdr:rowOff>0</xdr:rowOff>
    </xdr:from>
    <xdr:ext cx="1333500" cy="514350"/>
    <xdr:pic>
      <xdr:nvPicPr>
        <xdr:cNvPr id="2" name="image1.png" descr="Pictur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314700" y="409575"/>
          <a:ext cx="1333500" cy="514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K1000"/>
  <sheetViews>
    <sheetView showGridLines="0" workbookViewId="0">
      <selection activeCell="A1" sqref="A1"/>
    </sheetView>
  </sheetViews>
  <sheetFormatPr defaultColWidth="14.4285714285714" defaultRowHeight="15" customHeight="1"/>
  <cols>
    <col min="1" max="1" width="3.71428571428571" customWidth="1"/>
    <col min="2" max="37" width="3.28571428571429" customWidth="1"/>
  </cols>
  <sheetData>
    <row r="1" ht="19.5" customHeight="1"/>
    <row r="2" ht="12.75" customHeight="1" spans="2:37">
      <c r="B2" s="60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2"/>
    </row>
    <row r="3" ht="12.75" customHeight="1" spans="2:37">
      <c r="B3" s="63"/>
      <c r="AK3" s="64"/>
    </row>
    <row r="4" ht="12.75" customHeight="1" spans="2:37">
      <c r="B4" s="63"/>
      <c r="AK4" s="64"/>
    </row>
    <row r="5" ht="12.75" customHeight="1" spans="2:37">
      <c r="B5" s="63"/>
      <c r="AK5" s="64"/>
    </row>
    <row r="6" ht="12.75" customHeight="1" spans="2:37">
      <c r="B6" s="63"/>
      <c r="AK6" s="64"/>
    </row>
    <row r="7" ht="12.75" customHeight="1" spans="2:37">
      <c r="B7" s="63"/>
      <c r="AK7" s="64"/>
    </row>
    <row r="8" ht="12.75" customHeight="1" spans="2:37">
      <c r="B8" s="63"/>
      <c r="AK8" s="64"/>
    </row>
    <row r="9" ht="12.75" customHeight="1" spans="2:37">
      <c r="B9" s="63"/>
      <c r="AK9" s="64"/>
    </row>
    <row r="10" ht="29.25" customHeight="1" spans="2:37">
      <c r="B10" s="65" t="s">
        <v>0</v>
      </c>
      <c r="AK10" s="66"/>
    </row>
    <row r="11" ht="12.75" customHeight="1" spans="2:37">
      <c r="B11" s="63"/>
      <c r="AK11" s="64"/>
    </row>
    <row r="12" ht="39" customHeight="1" spans="2:37">
      <c r="B12" s="67" t="s">
        <v>1</v>
      </c>
      <c r="AK12" s="66"/>
    </row>
    <row r="13" ht="12.75" customHeight="1" spans="2:37">
      <c r="B13" s="63"/>
      <c r="AK13" s="64"/>
    </row>
    <row r="14" ht="12.75" customHeight="1" spans="2:37">
      <c r="B14" s="63"/>
      <c r="AK14" s="64"/>
    </row>
    <row r="15" ht="12.75" customHeight="1" spans="2:37">
      <c r="B15" s="68" t="s">
        <v>2</v>
      </c>
      <c r="AK15" s="66"/>
    </row>
    <row r="16" ht="12.75" customHeight="1" spans="2:37">
      <c r="B16" s="63"/>
      <c r="AK16" s="64"/>
    </row>
    <row r="17" ht="12.75" customHeight="1" spans="2:37">
      <c r="B17" s="63"/>
      <c r="AK17" s="64"/>
    </row>
    <row r="18" ht="12.75" customHeight="1" spans="2:37">
      <c r="B18" s="63"/>
      <c r="N18" s="69" t="s">
        <v>3</v>
      </c>
      <c r="O18" s="2"/>
      <c r="P18" s="2"/>
      <c r="Q18" s="2"/>
      <c r="R18" s="3"/>
      <c r="S18" s="69" t="s">
        <v>4</v>
      </c>
      <c r="T18" s="2"/>
      <c r="U18" s="2"/>
      <c r="V18" s="2"/>
      <c r="W18" s="3"/>
      <c r="AK18" s="64"/>
    </row>
    <row r="19" ht="12.75" customHeight="1" spans="2:37">
      <c r="B19" s="63"/>
      <c r="N19" s="69" t="s">
        <v>5</v>
      </c>
      <c r="O19" s="2"/>
      <c r="P19" s="2"/>
      <c r="Q19" s="2"/>
      <c r="R19" s="3"/>
      <c r="S19" s="69" t="s">
        <v>6</v>
      </c>
      <c r="T19" s="2"/>
      <c r="U19" s="2"/>
      <c r="V19" s="2"/>
      <c r="W19" s="3"/>
      <c r="AK19" s="64"/>
    </row>
    <row r="20" ht="12.75" customHeight="1" spans="2:37">
      <c r="B20" s="63"/>
      <c r="N20" s="69" t="s">
        <v>7</v>
      </c>
      <c r="O20" s="2"/>
      <c r="P20" s="2"/>
      <c r="Q20" s="2"/>
      <c r="R20" s="3"/>
      <c r="S20" s="70" t="s">
        <v>8</v>
      </c>
      <c r="T20" s="2"/>
      <c r="U20" s="2"/>
      <c r="V20" s="2"/>
      <c r="W20" s="3"/>
      <c r="AK20" s="64"/>
    </row>
    <row r="21" ht="12.75" customHeight="1" spans="2:37">
      <c r="B21" s="63"/>
      <c r="AK21" s="64"/>
    </row>
    <row r="22" ht="12.75" customHeight="1" spans="2:37">
      <c r="B22" s="63"/>
      <c r="AK22" s="64"/>
    </row>
    <row r="23" ht="12.75" customHeight="1" spans="2:37">
      <c r="B23" s="63"/>
      <c r="AK23" s="64"/>
    </row>
    <row r="24" ht="12.75" customHeight="1" spans="2:37">
      <c r="B24" s="63"/>
      <c r="AK24" s="64"/>
    </row>
    <row r="25" ht="12.75" customHeight="1" spans="2:37">
      <c r="B25" s="63"/>
      <c r="AK25" s="64"/>
    </row>
    <row r="26" ht="12.75" customHeight="1" spans="2:37">
      <c r="B26" s="63"/>
      <c r="AK26" s="64"/>
    </row>
    <row r="27" ht="12.75" customHeight="1" spans="2:37">
      <c r="B27" s="63"/>
      <c r="AK27" s="64"/>
    </row>
    <row r="28" ht="12.75" customHeight="1" spans="2:37">
      <c r="B28" s="63"/>
      <c r="AK28" s="64"/>
    </row>
    <row r="29" ht="12.75" customHeight="1" spans="2:37">
      <c r="B29" s="63"/>
      <c r="AK29" s="64"/>
    </row>
    <row r="30" ht="12.75" customHeight="1" spans="2:37">
      <c r="B30" s="63"/>
      <c r="AK30" s="64"/>
    </row>
    <row r="31" ht="12.75" customHeight="1" spans="2:37">
      <c r="B31" s="63"/>
      <c r="AK31" s="64"/>
    </row>
    <row r="32" ht="12.75" customHeight="1" spans="2:37">
      <c r="B32" s="63"/>
      <c r="AK32" s="64"/>
    </row>
    <row r="33" ht="12.75" customHeight="1" spans="2:37">
      <c r="B33" s="63"/>
      <c r="AK33" s="64"/>
    </row>
    <row r="34" ht="12.75" customHeight="1" spans="2:37">
      <c r="B34" s="71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3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B10:AK10"/>
    <mergeCell ref="B12:AK12"/>
    <mergeCell ref="B15:AK15"/>
    <mergeCell ref="N18:R18"/>
    <mergeCell ref="S18:W18"/>
    <mergeCell ref="N19:R19"/>
    <mergeCell ref="S19:W19"/>
    <mergeCell ref="N20:R20"/>
    <mergeCell ref="S20:W20"/>
  </mergeCells>
  <pageMargins left="0.75" right="0.75" top="1" bottom="1" header="0" footer="0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00"/>
  <sheetViews>
    <sheetView showGridLines="0" workbookViewId="0">
      <selection activeCell="A1" sqref="A1"/>
    </sheetView>
  </sheetViews>
  <sheetFormatPr defaultColWidth="14.4285714285714" defaultRowHeight="15" customHeight="1"/>
  <cols>
    <col min="1" max="1" width="8" customWidth="1"/>
    <col min="2" max="34" width="3.28571428571429" customWidth="1"/>
  </cols>
  <sheetData>
    <row r="1" ht="22.5" customHeight="1" spans="1:34">
      <c r="A1" s="59" t="s">
        <v>9</v>
      </c>
      <c r="B1" s="37" t="s">
        <v>7</v>
      </c>
      <c r="C1" s="2"/>
      <c r="D1" s="2"/>
      <c r="E1" s="3"/>
      <c r="F1" s="37" t="s">
        <v>10</v>
      </c>
      <c r="G1" s="2"/>
      <c r="H1" s="3"/>
      <c r="I1" s="37" t="s">
        <v>11</v>
      </c>
      <c r="J1" s="2"/>
      <c r="K1" s="2"/>
      <c r="L1" s="2"/>
      <c r="M1" s="2"/>
      <c r="N1" s="3"/>
      <c r="O1" s="37" t="s">
        <v>12</v>
      </c>
      <c r="P1" s="2"/>
      <c r="Q1" s="2"/>
      <c r="R1" s="2"/>
      <c r="S1" s="2"/>
      <c r="T1" s="2"/>
      <c r="U1" s="2"/>
      <c r="V1" s="3"/>
      <c r="W1" s="37" t="s">
        <v>13</v>
      </c>
      <c r="X1" s="2"/>
      <c r="Y1" s="2"/>
      <c r="Z1" s="2"/>
      <c r="AA1" s="2"/>
      <c r="AB1" s="3"/>
      <c r="AC1" s="37" t="s">
        <v>14</v>
      </c>
      <c r="AD1" s="2"/>
      <c r="AE1" s="2"/>
      <c r="AF1" s="2"/>
      <c r="AG1" s="2"/>
      <c r="AH1" s="3"/>
    </row>
    <row r="2" ht="22.5" customHeight="1" spans="1:34">
      <c r="A2" s="53">
        <v>1</v>
      </c>
      <c r="B2" s="6" t="s">
        <v>15</v>
      </c>
      <c r="C2" s="2"/>
      <c r="D2" s="2"/>
      <c r="E2" s="3"/>
      <c r="F2" s="6" t="s">
        <v>6</v>
      </c>
      <c r="G2" s="2"/>
      <c r="H2" s="3"/>
      <c r="I2" s="6" t="s">
        <v>16</v>
      </c>
      <c r="J2" s="2"/>
      <c r="K2" s="2"/>
      <c r="L2" s="2"/>
      <c r="M2" s="2"/>
      <c r="N2" s="3"/>
      <c r="O2" s="4" t="s">
        <v>17</v>
      </c>
      <c r="P2" s="2"/>
      <c r="Q2" s="2"/>
      <c r="R2" s="2"/>
      <c r="S2" s="2"/>
      <c r="T2" s="2"/>
      <c r="U2" s="2"/>
      <c r="V2" s="3"/>
      <c r="W2" s="6" t="s">
        <v>18</v>
      </c>
      <c r="X2" s="2"/>
      <c r="Y2" s="2"/>
      <c r="Z2" s="2"/>
      <c r="AA2" s="2"/>
      <c r="AB2" s="3"/>
      <c r="AC2" s="6"/>
      <c r="AD2" s="2"/>
      <c r="AE2" s="2"/>
      <c r="AF2" s="2"/>
      <c r="AG2" s="2"/>
      <c r="AH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1:E1"/>
    <mergeCell ref="F1:H1"/>
    <mergeCell ref="I1:N1"/>
    <mergeCell ref="O1:V1"/>
    <mergeCell ref="W1:AB1"/>
    <mergeCell ref="AC1:AH1"/>
    <mergeCell ref="B2:E2"/>
    <mergeCell ref="F2:H2"/>
    <mergeCell ref="I2:N2"/>
    <mergeCell ref="O2:V2"/>
    <mergeCell ref="W2:AB2"/>
    <mergeCell ref="AC2:AH2"/>
  </mergeCells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workbookViewId="0">
      <selection activeCell="A1" sqref="A1:I1"/>
    </sheetView>
  </sheetViews>
  <sheetFormatPr defaultColWidth="14.4285714285714" defaultRowHeight="15" customHeight="1"/>
  <cols>
    <col min="1" max="37" width="4.28571428571429" customWidth="1"/>
  </cols>
  <sheetData>
    <row r="1" ht="19.5" customHeight="1" spans="1:37">
      <c r="A1" s="37" t="s">
        <v>19</v>
      </c>
      <c r="B1" s="2"/>
      <c r="C1" s="2"/>
      <c r="D1" s="2"/>
      <c r="E1" s="2"/>
      <c r="F1" s="2"/>
      <c r="G1" s="2"/>
      <c r="H1" s="2"/>
      <c r="I1" s="3"/>
      <c r="J1" s="37" t="s">
        <v>20</v>
      </c>
      <c r="K1" s="2"/>
      <c r="L1" s="2"/>
      <c r="M1" s="2"/>
      <c r="N1" s="2"/>
      <c r="O1" s="2"/>
      <c r="P1" s="3"/>
      <c r="Q1" s="37" t="s">
        <v>21</v>
      </c>
      <c r="R1" s="2"/>
      <c r="S1" s="2"/>
      <c r="T1" s="2"/>
      <c r="U1" s="3"/>
      <c r="V1" s="37" t="s">
        <v>22</v>
      </c>
      <c r="W1" s="2"/>
      <c r="X1" s="2"/>
      <c r="Y1" s="3"/>
      <c r="Z1" s="37" t="s">
        <v>23</v>
      </c>
      <c r="AA1" s="2"/>
      <c r="AB1" s="2"/>
      <c r="AC1" s="3"/>
      <c r="AD1" s="37" t="s">
        <v>24</v>
      </c>
      <c r="AE1" s="2"/>
      <c r="AF1" s="2"/>
      <c r="AG1" s="3"/>
      <c r="AH1" s="37" t="s">
        <v>25</v>
      </c>
      <c r="AI1" s="2"/>
      <c r="AJ1" s="2"/>
      <c r="AK1" s="3"/>
    </row>
    <row r="2" ht="19.5" customHeight="1" spans="1:37">
      <c r="A2" s="38" t="s">
        <v>0</v>
      </c>
      <c r="B2" s="10"/>
      <c r="C2" s="10"/>
      <c r="D2" s="10"/>
      <c r="E2" s="10"/>
      <c r="F2" s="10"/>
      <c r="G2" s="10"/>
      <c r="H2" s="10"/>
      <c r="I2" s="11"/>
      <c r="J2" s="38" t="s">
        <v>26</v>
      </c>
      <c r="K2" s="10"/>
      <c r="L2" s="10"/>
      <c r="M2" s="10"/>
      <c r="N2" s="10"/>
      <c r="O2" s="10"/>
      <c r="P2" s="11"/>
      <c r="Q2" s="38" t="s">
        <v>27</v>
      </c>
      <c r="R2" s="10"/>
      <c r="S2" s="10"/>
      <c r="T2" s="10"/>
      <c r="U2" s="11"/>
      <c r="V2" s="39" t="s">
        <v>8</v>
      </c>
      <c r="W2" s="10"/>
      <c r="X2" s="10"/>
      <c r="Y2" s="11"/>
      <c r="Z2" s="38" t="s">
        <v>16</v>
      </c>
      <c r="AA2" s="10"/>
      <c r="AB2" s="10"/>
      <c r="AC2" s="11"/>
      <c r="AD2" s="39" t="s">
        <v>8</v>
      </c>
      <c r="AE2" s="10"/>
      <c r="AF2" s="10"/>
      <c r="AG2" s="11"/>
      <c r="AH2" s="38" t="s">
        <v>16</v>
      </c>
      <c r="AI2" s="10"/>
      <c r="AJ2" s="10"/>
      <c r="AK2" s="11"/>
    </row>
    <row r="3" ht="19.5" customHeight="1" spans="1:37">
      <c r="A3" s="13"/>
      <c r="B3" s="14"/>
      <c r="C3" s="14"/>
      <c r="D3" s="14"/>
      <c r="E3" s="14"/>
      <c r="F3" s="14"/>
      <c r="G3" s="14"/>
      <c r="H3" s="14"/>
      <c r="I3" s="15"/>
      <c r="J3" s="13"/>
      <c r="K3" s="14"/>
      <c r="L3" s="14"/>
      <c r="M3" s="14"/>
      <c r="N3" s="14"/>
      <c r="O3" s="14"/>
      <c r="P3" s="15"/>
      <c r="Q3" s="13"/>
      <c r="R3" s="14"/>
      <c r="S3" s="14"/>
      <c r="T3" s="14"/>
      <c r="U3" s="15"/>
      <c r="V3" s="13"/>
      <c r="W3" s="14"/>
      <c r="X3" s="14"/>
      <c r="Y3" s="15"/>
      <c r="Z3" s="13"/>
      <c r="AA3" s="14"/>
      <c r="AB3" s="14"/>
      <c r="AC3" s="15"/>
      <c r="AD3" s="13"/>
      <c r="AE3" s="14"/>
      <c r="AF3" s="14"/>
      <c r="AG3" s="15"/>
      <c r="AH3" s="13"/>
      <c r="AI3" s="14"/>
      <c r="AJ3" s="14"/>
      <c r="AK3" s="15"/>
    </row>
    <row r="5" ht="19.5" customHeight="1" spans="1:37">
      <c r="B5" s="40" t="s">
        <v>28</v>
      </c>
    </row>
    <row r="6" ht="19.5" customHeight="1" spans="1:37">
      <c r="C6" s="56" t="s">
        <v>29</v>
      </c>
    </row>
    <row r="7" ht="19.5" customHeight="1" spans="1:37">
      <c r="C7" s="56" t="s">
        <v>30</v>
      </c>
    </row>
    <row r="8" ht="19.5" customHeight="1" spans="1:37">
      <c r="C8" s="56" t="s">
        <v>31</v>
      </c>
    </row>
    <row r="9" ht="19.5" customHeight="1" spans="1:37">
      <c r="C9" s="56" t="s">
        <v>32</v>
      </c>
    </row>
    <row r="10" ht="19.5" customHeight="1" spans="1:37">
      <c r="C10" s="56" t="s">
        <v>33</v>
      </c>
    </row>
    <row r="11" ht="19.5" customHeight="1" spans="1:37">
      <c r="C11" s="56" t="s">
        <v>34</v>
      </c>
    </row>
    <row r="12" ht="19.5" customHeight="1" spans="1:37">
      <c r="C12" s="56" t="s">
        <v>35</v>
      </c>
    </row>
    <row r="14" ht="19.5" customHeight="1" spans="1:37">
      <c r="B14" s="40" t="s">
        <v>36</v>
      </c>
    </row>
    <row r="15" ht="19.5" customHeight="1" spans="1:37">
      <c r="C15" s="57" t="s">
        <v>37</v>
      </c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</row>
    <row r="16" ht="19.5" customHeight="1" spans="1:37">
      <c r="C16" s="57" t="s">
        <v>38</v>
      </c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</row>
    <row r="17" ht="19.5" customHeight="1" spans="2:37">
      <c r="C17" s="57" t="s">
        <v>39</v>
      </c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</row>
    <row r="18" ht="19.5" customHeight="1" spans="2:37">
      <c r="C18" s="57" t="s">
        <v>40</v>
      </c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</row>
    <row r="19" ht="19.5" customHeight="1" spans="2:37">
      <c r="C19" s="57" t="s">
        <v>41</v>
      </c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</row>
    <row r="21" ht="19.5" customHeight="1" spans="2:37">
      <c r="B21" s="40" t="s">
        <v>42</v>
      </c>
    </row>
    <row r="23" ht="22.5" customHeight="1" spans="2:37">
      <c r="C23" s="59" t="s">
        <v>43</v>
      </c>
      <c r="D23" s="37" t="s">
        <v>44</v>
      </c>
      <c r="E23" s="2"/>
      <c r="F23" s="2"/>
      <c r="G23" s="2"/>
      <c r="H23" s="2"/>
      <c r="I23" s="2"/>
      <c r="J23" s="2"/>
      <c r="K23" s="2"/>
      <c r="L23" s="2"/>
      <c r="M23" s="2"/>
      <c r="N23" s="3"/>
      <c r="O23" s="37" t="s">
        <v>45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ht="22.5" customHeight="1" spans="2:37">
      <c r="C24" s="53">
        <v>1</v>
      </c>
      <c r="D24" s="4" t="s">
        <v>46</v>
      </c>
      <c r="E24" s="2"/>
      <c r="F24" s="2"/>
      <c r="G24" s="2"/>
      <c r="H24" s="2"/>
      <c r="I24" s="2"/>
      <c r="J24" s="2"/>
      <c r="K24" s="2"/>
      <c r="L24" s="2"/>
      <c r="M24" s="2"/>
      <c r="N24" s="3"/>
      <c r="O24" s="4" t="s">
        <v>47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3"/>
    </row>
    <row r="25" ht="22.5" customHeight="1" spans="2:37">
      <c r="C25" s="53">
        <v>2</v>
      </c>
      <c r="D25" s="4" t="s">
        <v>48</v>
      </c>
      <c r="E25" s="2"/>
      <c r="F25" s="2"/>
      <c r="G25" s="2"/>
      <c r="H25" s="2"/>
      <c r="I25" s="2"/>
      <c r="J25" s="2"/>
      <c r="K25" s="2"/>
      <c r="L25" s="2"/>
      <c r="M25" s="2"/>
      <c r="N25" s="3"/>
      <c r="O25" s="4" t="s">
        <v>49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3"/>
    </row>
    <row r="26" ht="22.5" customHeight="1" spans="2:37">
      <c r="C26" s="53">
        <v>3</v>
      </c>
      <c r="D26" s="4" t="s">
        <v>50</v>
      </c>
      <c r="E26" s="2"/>
      <c r="F26" s="2"/>
      <c r="G26" s="2"/>
      <c r="H26" s="2"/>
      <c r="I26" s="2"/>
      <c r="J26" s="2"/>
      <c r="K26" s="2"/>
      <c r="L26" s="2"/>
      <c r="M26" s="2"/>
      <c r="N26" s="3"/>
      <c r="O26" s="4" t="s">
        <v>51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1:I1"/>
    <mergeCell ref="J1:P1"/>
    <mergeCell ref="Q1:U1"/>
    <mergeCell ref="V1:Y1"/>
    <mergeCell ref="Z1:AC1"/>
    <mergeCell ref="AD1:AG1"/>
    <mergeCell ref="AH1:AK1"/>
    <mergeCell ref="B5:AK5"/>
    <mergeCell ref="C6:AK6"/>
    <mergeCell ref="C7:AK7"/>
    <mergeCell ref="C8:AK8"/>
    <mergeCell ref="C9:AK9"/>
    <mergeCell ref="C10:AK10"/>
    <mergeCell ref="C11:AK11"/>
    <mergeCell ref="C12:AK12"/>
    <mergeCell ref="B14:AK14"/>
    <mergeCell ref="C15:AK15"/>
    <mergeCell ref="C16:AK16"/>
    <mergeCell ref="C17:AK17"/>
    <mergeCell ref="C18:AK18"/>
    <mergeCell ref="C19:AK19"/>
    <mergeCell ref="B21:AK21"/>
    <mergeCell ref="D23:N23"/>
    <mergeCell ref="O23:AG23"/>
    <mergeCell ref="D24:N24"/>
    <mergeCell ref="O24:AG24"/>
    <mergeCell ref="D25:N25"/>
    <mergeCell ref="O25:AG25"/>
    <mergeCell ref="D26:N26"/>
    <mergeCell ref="O26:AG26"/>
    <mergeCell ref="A2:I3"/>
    <mergeCell ref="J2:P3"/>
    <mergeCell ref="Q2:U3"/>
    <mergeCell ref="V2:Y3"/>
    <mergeCell ref="Z2:AC3"/>
    <mergeCell ref="AD2:AG3"/>
    <mergeCell ref="AH2:AK3"/>
  </mergeCells>
  <pageMargins left="0.75" right="0.75" top="1" bottom="1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00"/>
  <sheetViews>
    <sheetView showGridLines="0" workbookViewId="0">
      <selection activeCell="A1" sqref="A1:AH1"/>
    </sheetView>
  </sheetViews>
  <sheetFormatPr defaultColWidth="14.4285714285714" defaultRowHeight="15" customHeight="1"/>
  <cols>
    <col min="1" max="1" width="13" customWidth="1"/>
    <col min="2" max="34" width="5" customWidth="1"/>
  </cols>
  <sheetData>
    <row r="1" ht="28.5" customHeight="1" spans="1:34">
      <c r="A1" s="49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3" ht="22.5" customHeight="1" spans="1:34">
      <c r="A3" s="16" t="s">
        <v>53</v>
      </c>
      <c r="B3" s="2"/>
      <c r="C3" s="2"/>
      <c r="D3" s="2"/>
      <c r="E3" s="2"/>
      <c r="F3" s="3"/>
      <c r="G3" s="4" t="s">
        <v>0</v>
      </c>
      <c r="H3" s="2"/>
      <c r="I3" s="2"/>
      <c r="J3" s="2"/>
      <c r="K3" s="2"/>
      <c r="L3" s="2"/>
      <c r="M3" s="2"/>
      <c r="N3" s="2"/>
      <c r="O3" s="3"/>
      <c r="P3" s="16" t="s">
        <v>54</v>
      </c>
      <c r="Q3" s="2"/>
      <c r="R3" s="2"/>
      <c r="S3" s="2"/>
      <c r="T3" s="2"/>
      <c r="U3" s="2"/>
      <c r="V3" s="2"/>
      <c r="W3" s="3"/>
      <c r="X3" s="4" t="s">
        <v>18</v>
      </c>
      <c r="Y3" s="2"/>
      <c r="Z3" s="2"/>
      <c r="AA3" s="2"/>
      <c r="AB3" s="2"/>
      <c r="AC3" s="2"/>
      <c r="AD3" s="2"/>
      <c r="AE3" s="2"/>
      <c r="AF3" s="2"/>
      <c r="AG3" s="2"/>
      <c r="AH3" s="3"/>
    </row>
    <row r="4" ht="22.5" customHeight="1" spans="1:34">
      <c r="A4" s="16" t="s">
        <v>11</v>
      </c>
      <c r="B4" s="2"/>
      <c r="C4" s="2"/>
      <c r="D4" s="2"/>
      <c r="E4" s="2"/>
      <c r="F4" s="3"/>
      <c r="G4" s="4" t="s">
        <v>16</v>
      </c>
      <c r="H4" s="2"/>
      <c r="I4" s="2"/>
      <c r="J4" s="2"/>
      <c r="K4" s="2"/>
      <c r="L4" s="2"/>
      <c r="M4" s="2"/>
      <c r="N4" s="2"/>
      <c r="O4" s="3"/>
      <c r="P4" s="16" t="s">
        <v>22</v>
      </c>
      <c r="Q4" s="2"/>
      <c r="R4" s="2"/>
      <c r="S4" s="2"/>
      <c r="T4" s="2"/>
      <c r="U4" s="2"/>
      <c r="V4" s="2"/>
      <c r="W4" s="3"/>
      <c r="X4" s="5" t="s">
        <v>8</v>
      </c>
      <c r="Y4" s="2"/>
      <c r="Z4" s="2"/>
      <c r="AA4" s="2"/>
      <c r="AB4" s="2"/>
      <c r="AC4" s="2"/>
      <c r="AD4" s="2"/>
      <c r="AE4" s="2"/>
      <c r="AF4" s="2"/>
      <c r="AG4" s="2"/>
      <c r="AH4" s="3"/>
    </row>
    <row r="6" ht="22.5" customHeight="1" spans="1:34">
      <c r="A6" s="50" t="s">
        <v>55</v>
      </c>
      <c r="B6" s="51" t="s">
        <v>56</v>
      </c>
      <c r="C6" s="10"/>
      <c r="D6" s="10"/>
      <c r="E6" s="10"/>
      <c r="F6" s="10"/>
      <c r="G6" s="11"/>
      <c r="H6" s="46" t="s">
        <v>57</v>
      </c>
      <c r="I6" s="2"/>
      <c r="J6" s="2"/>
      <c r="K6" s="2"/>
      <c r="L6" s="2"/>
      <c r="M6" s="2"/>
      <c r="N6" s="2"/>
      <c r="O6" s="2"/>
      <c r="P6" s="3"/>
      <c r="Q6" s="51" t="s">
        <v>58</v>
      </c>
      <c r="R6" s="10"/>
      <c r="S6" s="11"/>
      <c r="T6" s="46" t="s">
        <v>59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3"/>
    </row>
    <row r="7" ht="22.5" customHeight="1" spans="1:34">
      <c r="A7" s="12"/>
      <c r="B7" s="13"/>
      <c r="C7" s="14"/>
      <c r="D7" s="14"/>
      <c r="E7" s="14"/>
      <c r="F7" s="14"/>
      <c r="G7" s="15"/>
      <c r="H7" s="46" t="s">
        <v>60</v>
      </c>
      <c r="I7" s="2"/>
      <c r="J7" s="3"/>
      <c r="K7" s="46" t="s">
        <v>61</v>
      </c>
      <c r="L7" s="2"/>
      <c r="M7" s="3"/>
      <c r="N7" s="46" t="s">
        <v>62</v>
      </c>
      <c r="O7" s="2"/>
      <c r="P7" s="3"/>
      <c r="Q7" s="13"/>
      <c r="R7" s="14"/>
      <c r="S7" s="15"/>
      <c r="T7" s="46" t="s">
        <v>63</v>
      </c>
      <c r="U7" s="2"/>
      <c r="V7" s="3"/>
      <c r="W7" s="46" t="s">
        <v>64</v>
      </c>
      <c r="X7" s="2"/>
      <c r="Y7" s="3"/>
      <c r="Z7" s="46" t="s">
        <v>65</v>
      </c>
      <c r="AA7" s="2"/>
      <c r="AB7" s="3"/>
      <c r="AC7" s="46" t="s">
        <v>66</v>
      </c>
      <c r="AD7" s="2"/>
      <c r="AE7" s="3"/>
      <c r="AF7" s="46" t="s">
        <v>67</v>
      </c>
      <c r="AG7" s="2"/>
      <c r="AH7" s="3"/>
    </row>
    <row r="8" ht="22.5" customHeight="1" spans="1:34">
      <c r="A8" s="52" t="s">
        <v>68</v>
      </c>
    </row>
    <row r="9" ht="22.5" customHeight="1" spans="1:34">
      <c r="A9" s="53">
        <v>1</v>
      </c>
      <c r="B9" s="4" t="s">
        <v>69</v>
      </c>
      <c r="C9" s="2"/>
      <c r="D9" s="2"/>
      <c r="E9" s="2"/>
      <c r="F9" s="2"/>
      <c r="G9" s="3"/>
      <c r="H9" s="6">
        <f ca="1" t="array" ref="H9">INDIRECT("'"&amp;$B9&amp;"'!H7",TRUE)</f>
        <v>26</v>
      </c>
      <c r="I9" s="2"/>
      <c r="J9" s="3"/>
      <c r="K9" s="6">
        <f ca="1" t="array" ref="K9">INDIRECT("'"&amp;$B9&amp;"'!K7",TRUE)</f>
        <v>23</v>
      </c>
      <c r="L9" s="2"/>
      <c r="M9" s="3"/>
      <c r="N9" s="6">
        <f ca="1" t="array" ref="N9">INDIRECT("'"&amp;$B9&amp;"'!N7",TRUE)</f>
        <v>3</v>
      </c>
      <c r="O9" s="2"/>
      <c r="P9" s="3"/>
      <c r="Q9" s="6">
        <f ca="1" t="array" ref="Q9">INDIRECT("'"&amp;$B9&amp;"'!Q7",TRUE)</f>
        <v>52</v>
      </c>
      <c r="R9" s="2"/>
      <c r="S9" s="3"/>
      <c r="T9" s="6">
        <f ca="1" t="array" ref="T9">INDIRECT("'"&amp;$B9&amp;"'!T7",TRUE)</f>
        <v>44</v>
      </c>
      <c r="U9" s="2"/>
      <c r="V9" s="3"/>
      <c r="W9" s="6">
        <f ca="1" t="array" ref="W9">INDIRECT("'"&amp;$B9&amp;"'!W7",TRUE)</f>
        <v>0</v>
      </c>
      <c r="X9" s="2"/>
      <c r="Y9" s="3"/>
      <c r="Z9" s="6">
        <f ca="1" t="array" ref="Z9">INDIRECT("'"&amp;$B9&amp;"'!Z7",TRUE)</f>
        <v>4</v>
      </c>
      <c r="AA9" s="2"/>
      <c r="AB9" s="3"/>
      <c r="AC9" s="6">
        <f ca="1" t="array" ref="AC9">INDIRECT("'"&amp;$B9&amp;"'!AC7",TRUE)</f>
        <v>4</v>
      </c>
      <c r="AD9" s="2"/>
      <c r="AE9" s="3"/>
      <c r="AF9" s="54">
        <f ca="1">IFERROR((T9+W9+AC9)/Q9,0)</f>
        <v>0.923076923076923</v>
      </c>
      <c r="AG9" s="2"/>
      <c r="AH9" s="3"/>
    </row>
    <row r="10" ht="22.5" customHeight="1" spans="1:34">
      <c r="A10" s="53">
        <v>2</v>
      </c>
      <c r="B10" s="4"/>
      <c r="C10" s="2"/>
      <c r="D10" s="2"/>
      <c r="E10" s="2"/>
      <c r="F10" s="2"/>
      <c r="G10" s="3"/>
      <c r="H10" s="6"/>
      <c r="I10" s="2"/>
      <c r="J10" s="3"/>
      <c r="K10" s="6"/>
      <c r="L10" s="2"/>
      <c r="M10" s="3"/>
      <c r="N10" s="6"/>
      <c r="O10" s="2"/>
      <c r="P10" s="3"/>
      <c r="Q10" s="6"/>
      <c r="R10" s="2"/>
      <c r="S10" s="3"/>
      <c r="T10" s="6"/>
      <c r="U10" s="2"/>
      <c r="V10" s="3"/>
      <c r="W10" s="6"/>
      <c r="X10" s="2"/>
      <c r="Y10" s="3"/>
      <c r="Z10" s="6"/>
      <c r="AA10" s="2"/>
      <c r="AB10" s="3"/>
      <c r="AC10" s="6"/>
      <c r="AD10" s="2"/>
      <c r="AE10" s="3"/>
      <c r="AF10" s="54"/>
      <c r="AG10" s="2"/>
      <c r="AH10" s="3"/>
    </row>
    <row r="11" ht="22.5" customHeight="1" spans="1:34">
      <c r="A11" s="53"/>
      <c r="B11" s="46" t="s">
        <v>58</v>
      </c>
      <c r="C11" s="2"/>
      <c r="D11" s="2"/>
      <c r="E11" s="2"/>
      <c r="F11" s="2"/>
      <c r="G11" s="3"/>
      <c r="H11" s="7">
        <f ca="1">SUM(H9:J10)</f>
        <v>26</v>
      </c>
      <c r="I11" s="2"/>
      <c r="J11" s="3"/>
      <c r="K11" s="7">
        <f ca="1">SUM(K9:M10)</f>
        <v>23</v>
      </c>
      <c r="L11" s="2"/>
      <c r="M11" s="3"/>
      <c r="N11" s="7">
        <f ca="1">SUM(N9:P10)</f>
        <v>3</v>
      </c>
      <c r="O11" s="2"/>
      <c r="P11" s="3"/>
      <c r="Q11" s="7">
        <f ca="1">SUM(Q9:S10)</f>
        <v>52</v>
      </c>
      <c r="R11" s="2"/>
      <c r="S11" s="3"/>
      <c r="T11" s="7">
        <f ca="1">SUM(T9:V10)</f>
        <v>44</v>
      </c>
      <c r="U11" s="2"/>
      <c r="V11" s="3"/>
      <c r="W11" s="7">
        <f ca="1">SUM(W9:Y10)</f>
        <v>0</v>
      </c>
      <c r="X11" s="2"/>
      <c r="Y11" s="3"/>
      <c r="Z11" s="7">
        <f ca="1">SUM(Z9:AB10)</f>
        <v>4</v>
      </c>
      <c r="AA11" s="2"/>
      <c r="AB11" s="3"/>
      <c r="AC11" s="7">
        <f ca="1">SUM(AC9:AE10)</f>
        <v>4</v>
      </c>
      <c r="AD11" s="2"/>
      <c r="AE11" s="3"/>
      <c r="AF11" s="55">
        <f ca="1">IFERROR((T11+W11+AC11)/Q11,0)</f>
        <v>0.923076923076923</v>
      </c>
      <c r="AG11" s="2"/>
      <c r="AH11" s="3"/>
    </row>
    <row r="12" ht="22.5" customHeight="1" spans="1:34">
      <c r="A12" s="52" t="s">
        <v>70</v>
      </c>
    </row>
    <row r="13" ht="22.5" customHeight="1" spans="1:34">
      <c r="A13" s="53">
        <v>1</v>
      </c>
      <c r="B13" s="4" t="s">
        <v>69</v>
      </c>
      <c r="C13" s="2"/>
      <c r="D13" s="2"/>
      <c r="E13" s="2"/>
      <c r="F13" s="2"/>
      <c r="G13" s="3"/>
      <c r="H13" s="6">
        <f ca="1" t="array" ref="H13">INDIRECT("'"&amp;$B13&amp;"'!H8",TRUE)</f>
        <v>26</v>
      </c>
      <c r="I13" s="2"/>
      <c r="J13" s="3"/>
      <c r="K13" s="6">
        <f ca="1" t="array" ref="K13">INDIRECT("'"&amp;$B13&amp;"'!K8",TRUE)</f>
        <v>23</v>
      </c>
      <c r="L13" s="2"/>
      <c r="M13" s="3"/>
      <c r="N13" s="6">
        <f ca="1" t="array" ref="N13">INDIRECT("'"&amp;$B13&amp;"'!N8",TRUE)</f>
        <v>3</v>
      </c>
      <c r="O13" s="2"/>
      <c r="P13" s="3"/>
      <c r="Q13" s="6">
        <f ca="1" t="array" ref="Q13">INDIRECT("'"&amp;$B13&amp;"'!Q8",TRUE)</f>
        <v>52</v>
      </c>
      <c r="R13" s="2"/>
      <c r="S13" s="3"/>
      <c r="T13" s="6">
        <f ca="1" t="array" ref="T13">INDIRECT("'"&amp;$B13&amp;"'!T8",TRUE)</f>
        <v>48</v>
      </c>
      <c r="U13" s="2"/>
      <c r="V13" s="3"/>
      <c r="W13" s="6">
        <f ca="1" t="array" ref="W13">INDIRECT("'"&amp;$B13&amp;"'!W8",TRUE)</f>
        <v>0</v>
      </c>
      <c r="X13" s="2"/>
      <c r="Y13" s="3"/>
      <c r="Z13" s="6">
        <f ca="1" t="array" ref="Z13">INDIRECT("'"&amp;$B13&amp;"'!Z8",TRUE)</f>
        <v>0</v>
      </c>
      <c r="AA13" s="2"/>
      <c r="AB13" s="3"/>
      <c r="AC13" s="6">
        <f ca="1" t="array" ref="AC13">INDIRECT("'"&amp;$B13&amp;"'!AC8",TRUE)</f>
        <v>4</v>
      </c>
      <c r="AD13" s="2"/>
      <c r="AE13" s="3"/>
      <c r="AF13" s="54">
        <f ca="1">IFERROR((T13+W13+AC13)/Q13,0)</f>
        <v>1</v>
      </c>
      <c r="AG13" s="2"/>
      <c r="AH13" s="3"/>
    </row>
    <row r="14" ht="22.5" customHeight="1" spans="1:34">
      <c r="A14" s="53">
        <v>2</v>
      </c>
      <c r="B14" s="4"/>
      <c r="C14" s="2"/>
      <c r="D14" s="2"/>
      <c r="E14" s="2"/>
      <c r="F14" s="2"/>
      <c r="G14" s="3"/>
      <c r="H14" s="6"/>
      <c r="I14" s="2"/>
      <c r="J14" s="3"/>
      <c r="K14" s="6"/>
      <c r="L14" s="2"/>
      <c r="M14" s="3"/>
      <c r="N14" s="6"/>
      <c r="O14" s="2"/>
      <c r="P14" s="3"/>
      <c r="Q14" s="6"/>
      <c r="R14" s="2"/>
      <c r="S14" s="3"/>
      <c r="T14" s="6"/>
      <c r="U14" s="2"/>
      <c r="V14" s="3"/>
      <c r="W14" s="6"/>
      <c r="X14" s="2"/>
      <c r="Y14" s="3"/>
      <c r="Z14" s="6"/>
      <c r="AA14" s="2"/>
      <c r="AB14" s="3"/>
      <c r="AC14" s="6"/>
      <c r="AD14" s="2"/>
      <c r="AE14" s="3"/>
      <c r="AF14" s="54"/>
      <c r="AG14" s="2"/>
      <c r="AH14" s="3"/>
    </row>
    <row r="15" ht="22.5" customHeight="1" spans="1:34">
      <c r="A15" s="53"/>
      <c r="B15" s="46" t="s">
        <v>58</v>
      </c>
      <c r="C15" s="2"/>
      <c r="D15" s="2"/>
      <c r="E15" s="2"/>
      <c r="F15" s="2"/>
      <c r="G15" s="3"/>
      <c r="H15" s="7">
        <f ca="1">SUM(H13:J14)</f>
        <v>26</v>
      </c>
      <c r="I15" s="2"/>
      <c r="J15" s="3"/>
      <c r="K15" s="7">
        <f ca="1">SUM(K13:M14)</f>
        <v>23</v>
      </c>
      <c r="L15" s="2"/>
      <c r="M15" s="3"/>
      <c r="N15" s="7">
        <f ca="1">SUM(N13:P14)</f>
        <v>3</v>
      </c>
      <c r="O15" s="2"/>
      <c r="P15" s="3"/>
      <c r="Q15" s="7">
        <f ca="1">SUM(Q13:S14)</f>
        <v>52</v>
      </c>
      <c r="R15" s="2"/>
      <c r="S15" s="3"/>
      <c r="T15" s="7">
        <f ca="1">SUM(T13:V14)</f>
        <v>48</v>
      </c>
      <c r="U15" s="2"/>
      <c r="V15" s="3"/>
      <c r="W15" s="7">
        <f ca="1">SUM(W13:Y14)</f>
        <v>0</v>
      </c>
      <c r="X15" s="2"/>
      <c r="Y15" s="3"/>
      <c r="Z15" s="7">
        <f ca="1">SUM(Z13:AB14)</f>
        <v>0</v>
      </c>
      <c r="AA15" s="2"/>
      <c r="AB15" s="3"/>
      <c r="AC15" s="7">
        <f ca="1">SUM(AC13:AE14)</f>
        <v>4</v>
      </c>
      <c r="AD15" s="2"/>
      <c r="AE15" s="3"/>
      <c r="AF15" s="55">
        <f ca="1">IFERROR((T15+W15+AC15)/Q15,0)</f>
        <v>1</v>
      </c>
      <c r="AG15" s="2"/>
      <c r="AH15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2">
    <mergeCell ref="A1:AH1"/>
    <mergeCell ref="A3:F3"/>
    <mergeCell ref="G3:O3"/>
    <mergeCell ref="P3:W3"/>
    <mergeCell ref="X3:AH3"/>
    <mergeCell ref="A4:F4"/>
    <mergeCell ref="G4:O4"/>
    <mergeCell ref="P4:W4"/>
    <mergeCell ref="X4:AH4"/>
    <mergeCell ref="H6:P6"/>
    <mergeCell ref="T6:AH6"/>
    <mergeCell ref="H7:J7"/>
    <mergeCell ref="K7:M7"/>
    <mergeCell ref="N7:P7"/>
    <mergeCell ref="T7:V7"/>
    <mergeCell ref="W7:Y7"/>
    <mergeCell ref="Z7:AB7"/>
    <mergeCell ref="AC7:AE7"/>
    <mergeCell ref="AF7:AH7"/>
    <mergeCell ref="B9:G9"/>
    <mergeCell ref="H9:J9"/>
    <mergeCell ref="K9:M9"/>
    <mergeCell ref="N9:P9"/>
    <mergeCell ref="Q9:S9"/>
    <mergeCell ref="T9:V9"/>
    <mergeCell ref="W9:Y9"/>
    <mergeCell ref="Z9:AB9"/>
    <mergeCell ref="AC9:AE9"/>
    <mergeCell ref="AF9:AH9"/>
    <mergeCell ref="B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B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B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B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F14:AH14"/>
    <mergeCell ref="B15:G15"/>
    <mergeCell ref="H15:J15"/>
    <mergeCell ref="K15:M15"/>
    <mergeCell ref="N15:P15"/>
    <mergeCell ref="Q15:S15"/>
    <mergeCell ref="T15:V15"/>
    <mergeCell ref="W15:Y15"/>
    <mergeCell ref="Z15:AB15"/>
    <mergeCell ref="AC15:AE15"/>
    <mergeCell ref="AF15:AH15"/>
    <mergeCell ref="A6:A7"/>
    <mergeCell ref="B6:G7"/>
    <mergeCell ref="Q6:S7"/>
  </mergeCells>
  <pageMargins left="0.75" right="0.75" top="1" bottom="1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workbookViewId="0">
      <selection activeCell="A1" sqref="A1:I1"/>
    </sheetView>
  </sheetViews>
  <sheetFormatPr defaultColWidth="14.4285714285714" defaultRowHeight="15" customHeight="1"/>
  <cols>
    <col min="1" max="37" width="4.28571428571429" customWidth="1"/>
  </cols>
  <sheetData>
    <row r="1" ht="19.5" customHeight="1" spans="1:37">
      <c r="A1" s="37" t="s">
        <v>19</v>
      </c>
      <c r="B1" s="2"/>
      <c r="C1" s="2"/>
      <c r="D1" s="2"/>
      <c r="E1" s="2"/>
      <c r="F1" s="2"/>
      <c r="G1" s="2"/>
      <c r="H1" s="2"/>
      <c r="I1" s="3"/>
      <c r="J1" s="37" t="s">
        <v>20</v>
      </c>
      <c r="K1" s="2"/>
      <c r="L1" s="2"/>
      <c r="M1" s="2"/>
      <c r="N1" s="2"/>
      <c r="O1" s="2"/>
      <c r="P1" s="3"/>
      <c r="Q1" s="37" t="s">
        <v>21</v>
      </c>
      <c r="R1" s="2"/>
      <c r="S1" s="2"/>
      <c r="T1" s="2"/>
      <c r="U1" s="3"/>
      <c r="V1" s="37" t="s">
        <v>22</v>
      </c>
      <c r="W1" s="2"/>
      <c r="X1" s="2"/>
      <c r="Y1" s="3"/>
      <c r="Z1" s="37" t="s">
        <v>23</v>
      </c>
      <c r="AA1" s="2"/>
      <c r="AB1" s="2"/>
      <c r="AC1" s="3"/>
      <c r="AD1" s="37" t="s">
        <v>24</v>
      </c>
      <c r="AE1" s="2"/>
      <c r="AF1" s="2"/>
      <c r="AG1" s="3"/>
      <c r="AH1" s="37" t="s">
        <v>25</v>
      </c>
      <c r="AI1" s="2"/>
      <c r="AJ1" s="2"/>
      <c r="AK1" s="3"/>
    </row>
    <row r="2" ht="19.5" customHeight="1" spans="1:37">
      <c r="A2" s="38" t="s">
        <v>0</v>
      </c>
      <c r="B2" s="10"/>
      <c r="C2" s="10"/>
      <c r="D2" s="10"/>
      <c r="E2" s="10"/>
      <c r="F2" s="10"/>
      <c r="G2" s="10"/>
      <c r="H2" s="10"/>
      <c r="I2" s="11"/>
      <c r="J2" s="38" t="s">
        <v>26</v>
      </c>
      <c r="K2" s="10"/>
      <c r="L2" s="10"/>
      <c r="M2" s="10"/>
      <c r="N2" s="10"/>
      <c r="O2" s="10"/>
      <c r="P2" s="11"/>
      <c r="Q2" s="38" t="s">
        <v>71</v>
      </c>
      <c r="R2" s="10"/>
      <c r="S2" s="10"/>
      <c r="T2" s="10"/>
      <c r="U2" s="11"/>
      <c r="V2" s="39" t="s">
        <v>8</v>
      </c>
      <c r="W2" s="10"/>
      <c r="X2" s="10"/>
      <c r="Y2" s="11"/>
      <c r="Z2" s="38" t="s">
        <v>16</v>
      </c>
      <c r="AA2" s="10"/>
      <c r="AB2" s="10"/>
      <c r="AC2" s="11"/>
      <c r="AD2" s="39" t="s">
        <v>8</v>
      </c>
      <c r="AE2" s="10"/>
      <c r="AF2" s="10"/>
      <c r="AG2" s="11"/>
      <c r="AH2" s="38" t="s">
        <v>16</v>
      </c>
      <c r="AI2" s="10"/>
      <c r="AJ2" s="10"/>
      <c r="AK2" s="11"/>
    </row>
    <row r="3" ht="19.5" customHeight="1" spans="1:37">
      <c r="A3" s="13"/>
      <c r="B3" s="14"/>
      <c r="C3" s="14"/>
      <c r="D3" s="14"/>
      <c r="E3" s="14"/>
      <c r="F3" s="14"/>
      <c r="G3" s="14"/>
      <c r="H3" s="14"/>
      <c r="I3" s="15"/>
      <c r="J3" s="13"/>
      <c r="K3" s="14"/>
      <c r="L3" s="14"/>
      <c r="M3" s="14"/>
      <c r="N3" s="14"/>
      <c r="O3" s="14"/>
      <c r="P3" s="15"/>
      <c r="Q3" s="13"/>
      <c r="R3" s="14"/>
      <c r="S3" s="14"/>
      <c r="T3" s="14"/>
      <c r="U3" s="15"/>
      <c r="V3" s="13"/>
      <c r="W3" s="14"/>
      <c r="X3" s="14"/>
      <c r="Y3" s="15"/>
      <c r="Z3" s="13"/>
      <c r="AA3" s="14"/>
      <c r="AB3" s="14"/>
      <c r="AC3" s="15"/>
      <c r="AD3" s="13"/>
      <c r="AE3" s="14"/>
      <c r="AF3" s="14"/>
      <c r="AG3" s="15"/>
      <c r="AH3" s="13"/>
      <c r="AI3" s="14"/>
      <c r="AJ3" s="14"/>
      <c r="AK3" s="15"/>
    </row>
    <row r="5" ht="19.5" customHeight="1" spans="1:37">
      <c r="B5" s="40" t="s">
        <v>72</v>
      </c>
    </row>
    <row r="7" ht="28.5" customHeight="1" spans="1:37">
      <c r="B7" s="41" t="s">
        <v>55</v>
      </c>
      <c r="C7" s="1" t="s">
        <v>73</v>
      </c>
      <c r="D7" s="2"/>
      <c r="E7" s="3"/>
      <c r="F7" s="1" t="s">
        <v>74</v>
      </c>
      <c r="G7" s="2"/>
      <c r="H7" s="2"/>
      <c r="I7" s="2"/>
      <c r="J7" s="2"/>
      <c r="K7" s="2"/>
      <c r="L7" s="3"/>
      <c r="M7" s="1" t="s">
        <v>75</v>
      </c>
      <c r="N7" s="2"/>
      <c r="O7" s="2"/>
      <c r="P7" s="2"/>
      <c r="Q7" s="2"/>
      <c r="R7" s="2"/>
      <c r="S7" s="2"/>
      <c r="T7" s="3"/>
      <c r="U7" s="1" t="s">
        <v>76</v>
      </c>
      <c r="V7" s="3"/>
      <c r="W7" s="1" t="s">
        <v>77</v>
      </c>
      <c r="X7" s="2"/>
      <c r="Y7" s="2"/>
      <c r="Z7" s="2"/>
      <c r="AA7" s="2"/>
      <c r="AB7" s="2"/>
      <c r="AC7" s="3"/>
      <c r="AD7" s="1" t="s">
        <v>78</v>
      </c>
      <c r="AE7" s="2"/>
      <c r="AF7" s="3"/>
    </row>
    <row r="8" ht="30" customHeight="1" spans="1:37">
      <c r="B8" s="17">
        <v>1</v>
      </c>
      <c r="C8" s="19" t="s">
        <v>79</v>
      </c>
      <c r="D8" s="2"/>
      <c r="E8" s="3"/>
      <c r="F8" s="18" t="s">
        <v>80</v>
      </c>
      <c r="G8" s="2"/>
      <c r="H8" s="2"/>
      <c r="I8" s="2"/>
      <c r="J8" s="2"/>
      <c r="K8" s="2"/>
      <c r="L8" s="3"/>
      <c r="M8" s="18" t="s">
        <v>81</v>
      </c>
      <c r="N8" s="2"/>
      <c r="O8" s="2"/>
      <c r="P8" s="2"/>
      <c r="Q8" s="2"/>
      <c r="R8" s="2"/>
      <c r="S8" s="2"/>
      <c r="T8" s="3"/>
      <c r="U8" s="42" t="s">
        <v>82</v>
      </c>
      <c r="V8" s="3"/>
      <c r="W8" s="18" t="s">
        <v>83</v>
      </c>
      <c r="X8" s="2"/>
      <c r="Y8" s="2"/>
      <c r="Z8" s="2"/>
      <c r="AA8" s="2"/>
      <c r="AB8" s="2"/>
      <c r="AC8" s="3"/>
      <c r="AD8" s="19">
        <v>265</v>
      </c>
      <c r="AE8" s="2"/>
      <c r="AF8" s="3"/>
    </row>
    <row r="9" ht="30" customHeight="1" spans="1:37">
      <c r="B9" s="17">
        <v>2</v>
      </c>
      <c r="C9" s="19" t="s">
        <v>84</v>
      </c>
      <c r="D9" s="2"/>
      <c r="E9" s="3"/>
      <c r="F9" s="18" t="s">
        <v>80</v>
      </c>
      <c r="G9" s="2"/>
      <c r="H9" s="2"/>
      <c r="I9" s="2"/>
      <c r="J9" s="2"/>
      <c r="K9" s="2"/>
      <c r="L9" s="3"/>
      <c r="M9" s="18" t="s">
        <v>85</v>
      </c>
      <c r="N9" s="2"/>
      <c r="O9" s="2"/>
      <c r="P9" s="2"/>
      <c r="Q9" s="2"/>
      <c r="R9" s="2"/>
      <c r="S9" s="2"/>
      <c r="T9" s="3"/>
      <c r="U9" s="42" t="s">
        <v>82</v>
      </c>
      <c r="V9" s="3"/>
      <c r="W9" s="18" t="s">
        <v>86</v>
      </c>
      <c r="X9" s="2"/>
      <c r="Y9" s="2"/>
      <c r="Z9" s="2"/>
      <c r="AA9" s="2"/>
      <c r="AB9" s="2"/>
      <c r="AC9" s="3"/>
      <c r="AD9" s="19">
        <v>200</v>
      </c>
      <c r="AE9" s="2"/>
      <c r="AF9" s="3"/>
    </row>
    <row r="10" ht="36" customHeight="1" spans="1:37">
      <c r="B10" s="17">
        <v>3</v>
      </c>
      <c r="C10" s="19" t="s">
        <v>87</v>
      </c>
      <c r="D10" s="2"/>
      <c r="E10" s="3"/>
      <c r="F10" s="18" t="s">
        <v>80</v>
      </c>
      <c r="G10" s="2"/>
      <c r="H10" s="2"/>
      <c r="I10" s="2"/>
      <c r="J10" s="2"/>
      <c r="K10" s="2"/>
      <c r="L10" s="3"/>
      <c r="M10" s="18" t="s">
        <v>88</v>
      </c>
      <c r="N10" s="2"/>
      <c r="O10" s="2"/>
      <c r="P10" s="2"/>
      <c r="Q10" s="2"/>
      <c r="R10" s="2"/>
      <c r="S10" s="2"/>
      <c r="T10" s="3"/>
      <c r="U10" s="42" t="s">
        <v>82</v>
      </c>
      <c r="V10" s="3"/>
      <c r="W10" s="18" t="s">
        <v>89</v>
      </c>
      <c r="X10" s="2"/>
      <c r="Y10" s="2"/>
      <c r="Z10" s="2"/>
      <c r="AA10" s="2"/>
      <c r="AB10" s="2"/>
      <c r="AC10" s="3"/>
      <c r="AD10" s="19">
        <v>50</v>
      </c>
      <c r="AE10" s="2"/>
      <c r="AF10" s="3"/>
    </row>
    <row r="11" ht="30" customHeight="1" spans="1:37">
      <c r="B11" s="17">
        <v>4</v>
      </c>
      <c r="C11" s="19" t="s">
        <v>90</v>
      </c>
      <c r="D11" s="2"/>
      <c r="E11" s="3"/>
      <c r="F11" s="18" t="s">
        <v>80</v>
      </c>
      <c r="G11" s="2"/>
      <c r="H11" s="2"/>
      <c r="I11" s="2"/>
      <c r="J11" s="2"/>
      <c r="K11" s="2"/>
      <c r="L11" s="3"/>
      <c r="M11" s="18" t="s">
        <v>91</v>
      </c>
      <c r="N11" s="2"/>
      <c r="O11" s="2"/>
      <c r="P11" s="2"/>
      <c r="Q11" s="2"/>
      <c r="R11" s="2"/>
      <c r="S11" s="2"/>
      <c r="T11" s="3"/>
      <c r="U11" s="42" t="s">
        <v>82</v>
      </c>
      <c r="V11" s="3"/>
      <c r="W11" s="18" t="s">
        <v>83</v>
      </c>
      <c r="X11" s="2"/>
      <c r="Y11" s="2"/>
      <c r="Z11" s="2"/>
      <c r="AA11" s="2"/>
      <c r="AB11" s="2"/>
      <c r="AC11" s="3"/>
      <c r="AD11" s="19">
        <v>75</v>
      </c>
      <c r="AE11" s="2"/>
      <c r="AF11" s="3"/>
    </row>
    <row r="12" ht="30" customHeight="1" spans="1:37">
      <c r="B12" s="17">
        <v>5</v>
      </c>
      <c r="C12" s="19" t="s">
        <v>92</v>
      </c>
      <c r="D12" s="2"/>
      <c r="E12" s="3"/>
      <c r="F12" s="18" t="s">
        <v>80</v>
      </c>
      <c r="G12" s="2"/>
      <c r="H12" s="2"/>
      <c r="I12" s="2"/>
      <c r="J12" s="2"/>
      <c r="K12" s="2"/>
      <c r="L12" s="3"/>
      <c r="M12" s="18" t="s">
        <v>93</v>
      </c>
      <c r="N12" s="2"/>
      <c r="O12" s="2"/>
      <c r="P12" s="2"/>
      <c r="Q12" s="2"/>
      <c r="R12" s="2"/>
      <c r="S12" s="2"/>
      <c r="T12" s="3"/>
      <c r="U12" s="42" t="s">
        <v>82</v>
      </c>
      <c r="V12" s="3"/>
      <c r="W12" s="18" t="s">
        <v>94</v>
      </c>
      <c r="X12" s="2"/>
      <c r="Y12" s="2"/>
      <c r="Z12" s="2"/>
      <c r="AA12" s="2"/>
      <c r="AB12" s="2"/>
      <c r="AC12" s="3"/>
      <c r="AD12" s="19">
        <v>30</v>
      </c>
      <c r="AE12" s="2"/>
      <c r="AF12" s="3"/>
    </row>
    <row r="13" ht="30" customHeight="1" spans="1:37">
      <c r="B13" s="17">
        <v>6</v>
      </c>
      <c r="C13" s="19" t="s">
        <v>95</v>
      </c>
      <c r="D13" s="2"/>
      <c r="E13" s="3"/>
      <c r="F13" s="18" t="s">
        <v>80</v>
      </c>
      <c r="G13" s="2"/>
      <c r="H13" s="2"/>
      <c r="I13" s="2"/>
      <c r="J13" s="2"/>
      <c r="K13" s="2"/>
      <c r="L13" s="3"/>
      <c r="M13" s="18" t="s">
        <v>96</v>
      </c>
      <c r="N13" s="2"/>
      <c r="O13" s="2"/>
      <c r="P13" s="2"/>
      <c r="Q13" s="2"/>
      <c r="R13" s="2"/>
      <c r="S13" s="2"/>
      <c r="T13" s="3"/>
      <c r="U13" s="42" t="s">
        <v>82</v>
      </c>
      <c r="V13" s="3"/>
      <c r="W13" s="18" t="s">
        <v>97</v>
      </c>
      <c r="X13" s="2"/>
      <c r="Y13" s="2"/>
      <c r="Z13" s="2"/>
      <c r="AA13" s="2"/>
      <c r="AB13" s="2"/>
      <c r="AC13" s="3"/>
      <c r="AD13" s="19">
        <v>50</v>
      </c>
      <c r="AE13" s="2"/>
      <c r="AF13" s="3"/>
    </row>
    <row r="14" ht="30" customHeight="1" spans="1:37">
      <c r="B14" s="17">
        <v>7</v>
      </c>
      <c r="C14" s="19" t="s">
        <v>98</v>
      </c>
      <c r="D14" s="2"/>
      <c r="E14" s="3"/>
      <c r="F14" s="18" t="s">
        <v>80</v>
      </c>
      <c r="G14" s="2"/>
      <c r="H14" s="2"/>
      <c r="I14" s="2"/>
      <c r="J14" s="2"/>
      <c r="K14" s="2"/>
      <c r="L14" s="3"/>
      <c r="M14" s="18" t="s">
        <v>99</v>
      </c>
      <c r="N14" s="2"/>
      <c r="O14" s="2"/>
      <c r="P14" s="2"/>
      <c r="Q14" s="2"/>
      <c r="R14" s="2"/>
      <c r="S14" s="2"/>
      <c r="T14" s="3"/>
      <c r="U14" s="42" t="s">
        <v>82</v>
      </c>
      <c r="V14" s="3"/>
      <c r="W14" s="18" t="s">
        <v>94</v>
      </c>
      <c r="X14" s="2"/>
      <c r="Y14" s="2"/>
      <c r="Z14" s="2"/>
      <c r="AA14" s="2"/>
      <c r="AB14" s="2"/>
      <c r="AC14" s="3"/>
      <c r="AD14" s="19">
        <v>10</v>
      </c>
      <c r="AE14" s="2"/>
      <c r="AF14" s="3"/>
    </row>
    <row r="15" ht="30" customHeight="1" spans="1:37">
      <c r="B15" s="17">
        <v>8</v>
      </c>
      <c r="C15" s="19" t="s">
        <v>100</v>
      </c>
      <c r="D15" s="2"/>
      <c r="E15" s="3"/>
      <c r="F15" s="18" t="s">
        <v>80</v>
      </c>
      <c r="G15" s="2"/>
      <c r="H15" s="2"/>
      <c r="I15" s="2"/>
      <c r="J15" s="2"/>
      <c r="K15" s="2"/>
      <c r="L15" s="3"/>
      <c r="M15" s="18" t="s">
        <v>101</v>
      </c>
      <c r="N15" s="2"/>
      <c r="O15" s="2"/>
      <c r="P15" s="2"/>
      <c r="Q15" s="2"/>
      <c r="R15" s="2"/>
      <c r="S15" s="2"/>
      <c r="T15" s="3"/>
      <c r="U15" s="43" t="s">
        <v>102</v>
      </c>
      <c r="V15" s="3"/>
      <c r="W15" s="18" t="s">
        <v>103</v>
      </c>
      <c r="X15" s="2"/>
      <c r="Y15" s="2"/>
      <c r="Z15" s="2"/>
      <c r="AA15" s="2"/>
      <c r="AB15" s="2"/>
      <c r="AC15" s="3"/>
      <c r="AD15" s="19">
        <v>20</v>
      </c>
      <c r="AE15" s="2"/>
      <c r="AF15" s="3"/>
    </row>
    <row r="16" ht="30" customHeight="1" spans="1:37">
      <c r="B16" s="17">
        <v>9</v>
      </c>
      <c r="C16" s="19" t="s">
        <v>104</v>
      </c>
      <c r="D16" s="2"/>
      <c r="E16" s="3"/>
      <c r="F16" s="18" t="s">
        <v>80</v>
      </c>
      <c r="G16" s="2"/>
      <c r="H16" s="2"/>
      <c r="I16" s="2"/>
      <c r="J16" s="2"/>
      <c r="K16" s="2"/>
      <c r="L16" s="3"/>
      <c r="M16" s="18" t="s">
        <v>105</v>
      </c>
      <c r="N16" s="2"/>
      <c r="O16" s="2"/>
      <c r="P16" s="2"/>
      <c r="Q16" s="2"/>
      <c r="R16" s="2"/>
      <c r="S16" s="2"/>
      <c r="T16" s="3"/>
      <c r="U16" s="42" t="s">
        <v>82</v>
      </c>
      <c r="V16" s="3"/>
      <c r="W16" s="18" t="s">
        <v>106</v>
      </c>
      <c r="X16" s="2"/>
      <c r="Y16" s="2"/>
      <c r="Z16" s="2"/>
      <c r="AA16" s="2"/>
      <c r="AB16" s="2"/>
      <c r="AC16" s="3"/>
      <c r="AD16" s="19">
        <v>8</v>
      </c>
      <c r="AE16" s="2"/>
      <c r="AF16" s="3"/>
    </row>
    <row r="17" ht="30" customHeight="1" spans="2:32">
      <c r="B17" s="17">
        <v>10</v>
      </c>
      <c r="C17" s="19" t="s">
        <v>107</v>
      </c>
      <c r="D17" s="2"/>
      <c r="E17" s="3"/>
      <c r="F17" s="18" t="s">
        <v>80</v>
      </c>
      <c r="G17" s="2"/>
      <c r="H17" s="2"/>
      <c r="I17" s="2"/>
      <c r="J17" s="2"/>
      <c r="K17" s="2"/>
      <c r="L17" s="3"/>
      <c r="M17" s="18" t="s">
        <v>108</v>
      </c>
      <c r="N17" s="2"/>
      <c r="O17" s="2"/>
      <c r="P17" s="2"/>
      <c r="Q17" s="2"/>
      <c r="R17" s="2"/>
      <c r="S17" s="2"/>
      <c r="T17" s="3"/>
      <c r="U17" s="42" t="s">
        <v>82</v>
      </c>
      <c r="V17" s="3"/>
      <c r="W17" s="18" t="s">
        <v>109</v>
      </c>
      <c r="X17" s="2"/>
      <c r="Y17" s="2"/>
      <c r="Z17" s="2"/>
      <c r="AA17" s="2"/>
      <c r="AB17" s="2"/>
      <c r="AC17" s="3"/>
      <c r="AD17" s="19">
        <v>30</v>
      </c>
      <c r="AE17" s="2"/>
      <c r="AF17" s="3"/>
    </row>
    <row r="18" ht="30" customHeight="1" spans="2:32">
      <c r="B18" s="17">
        <v>11</v>
      </c>
      <c r="C18" s="19" t="s">
        <v>110</v>
      </c>
      <c r="D18" s="2"/>
      <c r="E18" s="3"/>
      <c r="F18" s="18" t="s">
        <v>111</v>
      </c>
      <c r="G18" s="2"/>
      <c r="H18" s="2"/>
      <c r="I18" s="2"/>
      <c r="J18" s="2"/>
      <c r="K18" s="2"/>
      <c r="L18" s="3"/>
      <c r="M18" s="18" t="s">
        <v>112</v>
      </c>
      <c r="N18" s="2"/>
      <c r="O18" s="2"/>
      <c r="P18" s="2"/>
      <c r="Q18" s="2"/>
      <c r="R18" s="2"/>
      <c r="S18" s="2"/>
      <c r="T18" s="3"/>
      <c r="U18" s="43" t="s">
        <v>102</v>
      </c>
      <c r="V18" s="3"/>
      <c r="W18" s="18" t="s">
        <v>113</v>
      </c>
      <c r="X18" s="2"/>
      <c r="Y18" s="2"/>
      <c r="Z18" s="2"/>
      <c r="AA18" s="2"/>
      <c r="AB18" s="2"/>
      <c r="AC18" s="3"/>
      <c r="AD18" s="19">
        <v>100</v>
      </c>
      <c r="AE18" s="2"/>
      <c r="AF18" s="3"/>
    </row>
    <row r="19" ht="30" customHeight="1" spans="2:32">
      <c r="B19" s="17">
        <v>12</v>
      </c>
      <c r="C19" s="19" t="s">
        <v>114</v>
      </c>
      <c r="D19" s="2"/>
      <c r="E19" s="3"/>
      <c r="F19" s="18" t="s">
        <v>111</v>
      </c>
      <c r="G19" s="2"/>
      <c r="H19" s="2"/>
      <c r="I19" s="2"/>
      <c r="J19" s="2"/>
      <c r="K19" s="2"/>
      <c r="L19" s="3"/>
      <c r="M19" s="18" t="s">
        <v>115</v>
      </c>
      <c r="N19" s="2"/>
      <c r="O19" s="2"/>
      <c r="P19" s="2"/>
      <c r="Q19" s="2"/>
      <c r="R19" s="2"/>
      <c r="S19" s="2"/>
      <c r="T19" s="3"/>
      <c r="U19" s="43" t="s">
        <v>102</v>
      </c>
      <c r="V19" s="3"/>
      <c r="W19" s="18" t="s">
        <v>113</v>
      </c>
      <c r="X19" s="2"/>
      <c r="Y19" s="2"/>
      <c r="Z19" s="2"/>
      <c r="AA19" s="2"/>
      <c r="AB19" s="2"/>
      <c r="AC19" s="3"/>
      <c r="AD19" s="19">
        <v>80</v>
      </c>
      <c r="AE19" s="2"/>
      <c r="AF19" s="3"/>
    </row>
    <row r="20" ht="30" customHeight="1" spans="2:32">
      <c r="B20" s="17">
        <v>13</v>
      </c>
      <c r="C20" s="19" t="s">
        <v>116</v>
      </c>
      <c r="D20" s="2"/>
      <c r="E20" s="3"/>
      <c r="F20" s="18" t="s">
        <v>111</v>
      </c>
      <c r="G20" s="2"/>
      <c r="H20" s="2"/>
      <c r="I20" s="2"/>
      <c r="J20" s="2"/>
      <c r="K20" s="2"/>
      <c r="L20" s="3"/>
      <c r="M20" s="18" t="s">
        <v>117</v>
      </c>
      <c r="N20" s="2"/>
      <c r="O20" s="2"/>
      <c r="P20" s="2"/>
      <c r="Q20" s="2"/>
      <c r="R20" s="2"/>
      <c r="S20" s="2"/>
      <c r="T20" s="3"/>
      <c r="U20" s="43" t="s">
        <v>102</v>
      </c>
      <c r="V20" s="3"/>
      <c r="W20" s="18" t="s">
        <v>97</v>
      </c>
      <c r="X20" s="2"/>
      <c r="Y20" s="2"/>
      <c r="Z20" s="2"/>
      <c r="AA20" s="2"/>
      <c r="AB20" s="2"/>
      <c r="AC20" s="3"/>
      <c r="AD20" s="19">
        <v>60</v>
      </c>
      <c r="AE20" s="2"/>
      <c r="AF20" s="3"/>
    </row>
    <row r="21" ht="30" customHeight="1" spans="2:32">
      <c r="B21" s="17">
        <v>14</v>
      </c>
      <c r="C21" s="19" t="s">
        <v>118</v>
      </c>
      <c r="D21" s="2"/>
      <c r="E21" s="3"/>
      <c r="F21" s="18" t="s">
        <v>111</v>
      </c>
      <c r="G21" s="2"/>
      <c r="H21" s="2"/>
      <c r="I21" s="2"/>
      <c r="J21" s="2"/>
      <c r="K21" s="2"/>
      <c r="L21" s="3"/>
      <c r="M21" s="18" t="s">
        <v>119</v>
      </c>
      <c r="N21" s="2"/>
      <c r="O21" s="2"/>
      <c r="P21" s="2"/>
      <c r="Q21" s="2"/>
      <c r="R21" s="2"/>
      <c r="S21" s="2"/>
      <c r="T21" s="3"/>
      <c r="U21" s="43" t="s">
        <v>102</v>
      </c>
      <c r="V21" s="3"/>
      <c r="W21" s="18" t="s">
        <v>113</v>
      </c>
      <c r="X21" s="2"/>
      <c r="Y21" s="2"/>
      <c r="Z21" s="2"/>
      <c r="AA21" s="2"/>
      <c r="AB21" s="2"/>
      <c r="AC21" s="3"/>
      <c r="AD21" s="19">
        <v>50</v>
      </c>
      <c r="AE21" s="2"/>
      <c r="AF21" s="3"/>
    </row>
    <row r="22" ht="30" customHeight="1" spans="2:32">
      <c r="B22" s="17">
        <v>15</v>
      </c>
      <c r="C22" s="19" t="s">
        <v>120</v>
      </c>
      <c r="D22" s="2"/>
      <c r="E22" s="3"/>
      <c r="F22" s="18" t="s">
        <v>111</v>
      </c>
      <c r="G22" s="2"/>
      <c r="H22" s="2"/>
      <c r="I22" s="2"/>
      <c r="J22" s="2"/>
      <c r="K22" s="2"/>
      <c r="L22" s="3"/>
      <c r="M22" s="18" t="s">
        <v>121</v>
      </c>
      <c r="N22" s="2"/>
      <c r="O22" s="2"/>
      <c r="P22" s="2"/>
      <c r="Q22" s="2"/>
      <c r="R22" s="2"/>
      <c r="S22" s="2"/>
      <c r="T22" s="3"/>
      <c r="U22" s="43" t="s">
        <v>102</v>
      </c>
      <c r="V22" s="3"/>
      <c r="W22" s="18" t="s">
        <v>122</v>
      </c>
      <c r="X22" s="2"/>
      <c r="Y22" s="2"/>
      <c r="Z22" s="2"/>
      <c r="AA22" s="2"/>
      <c r="AB22" s="2"/>
      <c r="AC22" s="3"/>
      <c r="AD22" s="19">
        <v>30</v>
      </c>
      <c r="AE22" s="2"/>
      <c r="AF22" s="3"/>
    </row>
    <row r="23" ht="30" customHeight="1" spans="2:32">
      <c r="B23" s="17">
        <v>16</v>
      </c>
      <c r="C23" s="19" t="s">
        <v>123</v>
      </c>
      <c r="D23" s="2"/>
      <c r="E23" s="3"/>
      <c r="F23" s="18" t="s">
        <v>111</v>
      </c>
      <c r="G23" s="2"/>
      <c r="H23" s="2"/>
      <c r="I23" s="2"/>
      <c r="J23" s="2"/>
      <c r="K23" s="2"/>
      <c r="L23" s="3"/>
      <c r="M23" s="18" t="s">
        <v>124</v>
      </c>
      <c r="N23" s="2"/>
      <c r="O23" s="2"/>
      <c r="P23" s="2"/>
      <c r="Q23" s="2"/>
      <c r="R23" s="2"/>
      <c r="S23" s="2"/>
      <c r="T23" s="3"/>
      <c r="U23" s="42" t="s">
        <v>82</v>
      </c>
      <c r="V23" s="3"/>
      <c r="W23" s="18" t="s">
        <v>125</v>
      </c>
      <c r="X23" s="2"/>
      <c r="Y23" s="2"/>
      <c r="Z23" s="2"/>
      <c r="AA23" s="2"/>
      <c r="AB23" s="2"/>
      <c r="AC23" s="3"/>
      <c r="AD23" s="19">
        <v>15</v>
      </c>
      <c r="AE23" s="2"/>
      <c r="AF23" s="3"/>
    </row>
    <row r="24" ht="36" customHeight="1" spans="2:32">
      <c r="B24" s="17">
        <v>17</v>
      </c>
      <c r="C24" s="19" t="s">
        <v>126</v>
      </c>
      <c r="D24" s="2"/>
      <c r="E24" s="3"/>
      <c r="F24" s="18" t="s">
        <v>111</v>
      </c>
      <c r="G24" s="2"/>
      <c r="H24" s="2"/>
      <c r="I24" s="2"/>
      <c r="J24" s="2"/>
      <c r="K24" s="2"/>
      <c r="L24" s="3"/>
      <c r="M24" s="18" t="s">
        <v>127</v>
      </c>
      <c r="N24" s="2"/>
      <c r="O24" s="2"/>
      <c r="P24" s="2"/>
      <c r="Q24" s="2"/>
      <c r="R24" s="2"/>
      <c r="S24" s="2"/>
      <c r="T24" s="3"/>
      <c r="U24" s="43" t="s">
        <v>102</v>
      </c>
      <c r="V24" s="3"/>
      <c r="W24" s="18" t="s">
        <v>128</v>
      </c>
      <c r="X24" s="2"/>
      <c r="Y24" s="2"/>
      <c r="Z24" s="2"/>
      <c r="AA24" s="2"/>
      <c r="AB24" s="2"/>
      <c r="AC24" s="3"/>
      <c r="AD24" s="19">
        <v>45</v>
      </c>
      <c r="AE24" s="2"/>
      <c r="AF24" s="3"/>
    </row>
    <row r="25" ht="30" customHeight="1" spans="2:32">
      <c r="B25" s="17">
        <v>18</v>
      </c>
      <c r="C25" s="19" t="s">
        <v>129</v>
      </c>
      <c r="D25" s="2"/>
      <c r="E25" s="3"/>
      <c r="F25" s="18" t="s">
        <v>111</v>
      </c>
      <c r="G25" s="2"/>
      <c r="H25" s="2"/>
      <c r="I25" s="2"/>
      <c r="J25" s="2"/>
      <c r="K25" s="2"/>
      <c r="L25" s="3"/>
      <c r="M25" s="18" t="s">
        <v>130</v>
      </c>
      <c r="N25" s="2"/>
      <c r="O25" s="2"/>
      <c r="P25" s="2"/>
      <c r="Q25" s="2"/>
      <c r="R25" s="2"/>
      <c r="S25" s="2"/>
      <c r="T25" s="3"/>
      <c r="U25" s="43" t="s">
        <v>102</v>
      </c>
      <c r="V25" s="3"/>
      <c r="W25" s="18" t="s">
        <v>131</v>
      </c>
      <c r="X25" s="2"/>
      <c r="Y25" s="2"/>
      <c r="Z25" s="2"/>
      <c r="AA25" s="2"/>
      <c r="AB25" s="2"/>
      <c r="AC25" s="3"/>
      <c r="AD25" s="19">
        <v>30</v>
      </c>
      <c r="AE25" s="2"/>
      <c r="AF25" s="3"/>
    </row>
    <row r="26" ht="36" customHeight="1" spans="2:32">
      <c r="B26" s="17">
        <v>19</v>
      </c>
      <c r="C26" s="19" t="s">
        <v>132</v>
      </c>
      <c r="D26" s="2"/>
      <c r="E26" s="3"/>
      <c r="F26" s="18" t="s">
        <v>111</v>
      </c>
      <c r="G26" s="2"/>
      <c r="H26" s="2"/>
      <c r="I26" s="2"/>
      <c r="J26" s="2"/>
      <c r="K26" s="2"/>
      <c r="L26" s="3"/>
      <c r="M26" s="18" t="s">
        <v>133</v>
      </c>
      <c r="N26" s="2"/>
      <c r="O26" s="2"/>
      <c r="P26" s="2"/>
      <c r="Q26" s="2"/>
      <c r="R26" s="2"/>
      <c r="S26" s="2"/>
      <c r="T26" s="3"/>
      <c r="U26" s="43" t="s">
        <v>102</v>
      </c>
      <c r="V26" s="3"/>
      <c r="W26" s="18" t="s">
        <v>134</v>
      </c>
      <c r="X26" s="2"/>
      <c r="Y26" s="2"/>
      <c r="Z26" s="2"/>
      <c r="AA26" s="2"/>
      <c r="AB26" s="2"/>
      <c r="AC26" s="3"/>
      <c r="AD26" s="19">
        <v>25</v>
      </c>
      <c r="AE26" s="2"/>
      <c r="AF26" s="3"/>
    </row>
    <row r="27" ht="30" customHeight="1" spans="2:32">
      <c r="B27" s="17">
        <v>20</v>
      </c>
      <c r="C27" s="19" t="s">
        <v>135</v>
      </c>
      <c r="D27" s="2"/>
      <c r="E27" s="3"/>
      <c r="F27" s="18" t="s">
        <v>136</v>
      </c>
      <c r="G27" s="2"/>
      <c r="H27" s="2"/>
      <c r="I27" s="2"/>
      <c r="J27" s="2"/>
      <c r="K27" s="2"/>
      <c r="L27" s="3"/>
      <c r="M27" s="18" t="s">
        <v>137</v>
      </c>
      <c r="N27" s="2"/>
      <c r="O27" s="2"/>
      <c r="P27" s="2"/>
      <c r="Q27" s="2"/>
      <c r="R27" s="2"/>
      <c r="S27" s="2"/>
      <c r="T27" s="3"/>
      <c r="U27" s="42" t="s">
        <v>82</v>
      </c>
      <c r="V27" s="3"/>
      <c r="W27" s="18" t="s">
        <v>131</v>
      </c>
      <c r="X27" s="2"/>
      <c r="Y27" s="2"/>
      <c r="Z27" s="2"/>
      <c r="AA27" s="2"/>
      <c r="AB27" s="2"/>
      <c r="AC27" s="3"/>
      <c r="AD27" s="19">
        <v>60</v>
      </c>
      <c r="AE27" s="2"/>
      <c r="AF27" s="3"/>
    </row>
    <row r="28" ht="30" customHeight="1" spans="2:32">
      <c r="B28" s="17">
        <v>21</v>
      </c>
      <c r="C28" s="19" t="s">
        <v>138</v>
      </c>
      <c r="D28" s="2"/>
      <c r="E28" s="3"/>
      <c r="F28" s="18" t="s">
        <v>136</v>
      </c>
      <c r="G28" s="2"/>
      <c r="H28" s="2"/>
      <c r="I28" s="2"/>
      <c r="J28" s="2"/>
      <c r="K28" s="2"/>
      <c r="L28" s="3"/>
      <c r="M28" s="18" t="s">
        <v>139</v>
      </c>
      <c r="N28" s="2"/>
      <c r="O28" s="2"/>
      <c r="P28" s="2"/>
      <c r="Q28" s="2"/>
      <c r="R28" s="2"/>
      <c r="S28" s="2"/>
      <c r="T28" s="3"/>
      <c r="U28" s="43" t="s">
        <v>102</v>
      </c>
      <c r="V28" s="3"/>
      <c r="W28" s="18" t="s">
        <v>140</v>
      </c>
      <c r="X28" s="2"/>
      <c r="Y28" s="2"/>
      <c r="Z28" s="2"/>
      <c r="AA28" s="2"/>
      <c r="AB28" s="2"/>
      <c r="AC28" s="3"/>
      <c r="AD28" s="19">
        <v>16</v>
      </c>
      <c r="AE28" s="2"/>
      <c r="AF28" s="3"/>
    </row>
    <row r="29" ht="30" customHeight="1" spans="2:32">
      <c r="B29" s="17">
        <v>22</v>
      </c>
      <c r="C29" s="19" t="s">
        <v>141</v>
      </c>
      <c r="D29" s="2"/>
      <c r="E29" s="3"/>
      <c r="F29" s="18" t="s">
        <v>136</v>
      </c>
      <c r="G29" s="2"/>
      <c r="H29" s="2"/>
      <c r="I29" s="2"/>
      <c r="J29" s="2"/>
      <c r="K29" s="2"/>
      <c r="L29" s="3"/>
      <c r="M29" s="18" t="s">
        <v>142</v>
      </c>
      <c r="N29" s="2"/>
      <c r="O29" s="2"/>
      <c r="P29" s="2"/>
      <c r="Q29" s="2"/>
      <c r="R29" s="2"/>
      <c r="S29" s="2"/>
      <c r="T29" s="3"/>
      <c r="U29" s="42" t="s">
        <v>82</v>
      </c>
      <c r="V29" s="3"/>
      <c r="W29" s="18" t="s">
        <v>143</v>
      </c>
      <c r="X29" s="2"/>
      <c r="Y29" s="2"/>
      <c r="Z29" s="2"/>
      <c r="AA29" s="2"/>
      <c r="AB29" s="2"/>
      <c r="AC29" s="3"/>
      <c r="AD29" s="19">
        <v>18</v>
      </c>
      <c r="AE29" s="2"/>
      <c r="AF29" s="3"/>
    </row>
    <row r="30" ht="30" customHeight="1" spans="2:32">
      <c r="B30" s="17">
        <v>23</v>
      </c>
      <c r="C30" s="19" t="s">
        <v>144</v>
      </c>
      <c r="D30" s="2"/>
      <c r="E30" s="3"/>
      <c r="F30" s="18" t="s">
        <v>136</v>
      </c>
      <c r="G30" s="2"/>
      <c r="H30" s="2"/>
      <c r="I30" s="2"/>
      <c r="J30" s="2"/>
      <c r="K30" s="2"/>
      <c r="L30" s="3"/>
      <c r="M30" s="18" t="s">
        <v>145</v>
      </c>
      <c r="N30" s="2"/>
      <c r="O30" s="2"/>
      <c r="P30" s="2"/>
      <c r="Q30" s="2"/>
      <c r="R30" s="2"/>
      <c r="S30" s="2"/>
      <c r="T30" s="3"/>
      <c r="U30" s="43" t="s">
        <v>102</v>
      </c>
      <c r="V30" s="3"/>
      <c r="W30" s="18" t="s">
        <v>146</v>
      </c>
      <c r="X30" s="2"/>
      <c r="Y30" s="2"/>
      <c r="Z30" s="2"/>
      <c r="AA30" s="2"/>
      <c r="AB30" s="2"/>
      <c r="AC30" s="3"/>
      <c r="AD30" s="19">
        <v>8</v>
      </c>
      <c r="AE30" s="2"/>
      <c r="AF30" s="3"/>
    </row>
    <row r="31" ht="30" customHeight="1" spans="2:32">
      <c r="B31" s="17">
        <v>24</v>
      </c>
      <c r="C31" s="19" t="s">
        <v>147</v>
      </c>
      <c r="D31" s="2"/>
      <c r="E31" s="3"/>
      <c r="F31" s="18" t="s">
        <v>136</v>
      </c>
      <c r="G31" s="2"/>
      <c r="H31" s="2"/>
      <c r="I31" s="2"/>
      <c r="J31" s="2"/>
      <c r="K31" s="2"/>
      <c r="L31" s="3"/>
      <c r="M31" s="18" t="s">
        <v>148</v>
      </c>
      <c r="N31" s="2"/>
      <c r="O31" s="2"/>
      <c r="P31" s="2"/>
      <c r="Q31" s="2"/>
      <c r="R31" s="2"/>
      <c r="S31" s="2"/>
      <c r="T31" s="3"/>
      <c r="U31" s="42" t="s">
        <v>82</v>
      </c>
      <c r="V31" s="3"/>
      <c r="W31" s="18" t="s">
        <v>149</v>
      </c>
      <c r="X31" s="2"/>
      <c r="Y31" s="2"/>
      <c r="Z31" s="2"/>
      <c r="AA31" s="2"/>
      <c r="AB31" s="2"/>
      <c r="AC31" s="3"/>
      <c r="AD31" s="19">
        <v>10</v>
      </c>
      <c r="AE31" s="2"/>
      <c r="AF31" s="3"/>
    </row>
    <row r="32" ht="30" customHeight="1" spans="2:32">
      <c r="B32" s="17">
        <v>25</v>
      </c>
      <c r="C32" s="19" t="s">
        <v>150</v>
      </c>
      <c r="D32" s="2"/>
      <c r="E32" s="3"/>
      <c r="F32" s="18" t="s">
        <v>136</v>
      </c>
      <c r="G32" s="2"/>
      <c r="H32" s="2"/>
      <c r="I32" s="2"/>
      <c r="J32" s="2"/>
      <c r="K32" s="2"/>
      <c r="L32" s="3"/>
      <c r="M32" s="18" t="s">
        <v>151</v>
      </c>
      <c r="N32" s="2"/>
      <c r="O32" s="2"/>
      <c r="P32" s="2"/>
      <c r="Q32" s="2"/>
      <c r="R32" s="2"/>
      <c r="S32" s="2"/>
      <c r="T32" s="3"/>
      <c r="U32" s="43" t="s">
        <v>102</v>
      </c>
      <c r="V32" s="3"/>
      <c r="W32" s="18" t="s">
        <v>152</v>
      </c>
      <c r="X32" s="2"/>
      <c r="Y32" s="2"/>
      <c r="Z32" s="2"/>
      <c r="AA32" s="2"/>
      <c r="AB32" s="2"/>
      <c r="AC32" s="3"/>
      <c r="AD32" s="19">
        <v>30</v>
      </c>
      <c r="AE32" s="2"/>
      <c r="AF32" s="3"/>
    </row>
    <row r="33" ht="30" customHeight="1" spans="2:32">
      <c r="B33" s="17">
        <v>26</v>
      </c>
      <c r="C33" s="19" t="s">
        <v>153</v>
      </c>
      <c r="D33" s="2"/>
      <c r="E33" s="3"/>
      <c r="F33" s="18" t="s">
        <v>136</v>
      </c>
      <c r="G33" s="2"/>
      <c r="H33" s="2"/>
      <c r="I33" s="2"/>
      <c r="J33" s="2"/>
      <c r="K33" s="2"/>
      <c r="L33" s="3"/>
      <c r="M33" s="18" t="s">
        <v>154</v>
      </c>
      <c r="N33" s="2"/>
      <c r="O33" s="2"/>
      <c r="P33" s="2"/>
      <c r="Q33" s="2"/>
      <c r="R33" s="2"/>
      <c r="S33" s="2"/>
      <c r="T33" s="3"/>
      <c r="U33" s="42" t="s">
        <v>82</v>
      </c>
      <c r="V33" s="3"/>
      <c r="W33" s="18" t="s">
        <v>155</v>
      </c>
      <c r="X33" s="2"/>
      <c r="Y33" s="2"/>
      <c r="Z33" s="2"/>
      <c r="AA33" s="2"/>
      <c r="AB33" s="2"/>
      <c r="AC33" s="3"/>
      <c r="AD33" s="19">
        <v>15</v>
      </c>
      <c r="AE33" s="2"/>
      <c r="AF33" s="3"/>
    </row>
    <row r="34" ht="30" customHeight="1" spans="2:32">
      <c r="B34" s="17">
        <v>27</v>
      </c>
      <c r="C34" s="19" t="s">
        <v>156</v>
      </c>
      <c r="D34" s="2"/>
      <c r="E34" s="3"/>
      <c r="F34" s="18" t="s">
        <v>136</v>
      </c>
      <c r="G34" s="2"/>
      <c r="H34" s="2"/>
      <c r="I34" s="2"/>
      <c r="J34" s="2"/>
      <c r="K34" s="2"/>
      <c r="L34" s="3"/>
      <c r="M34" s="18" t="s">
        <v>157</v>
      </c>
      <c r="N34" s="2"/>
      <c r="O34" s="2"/>
      <c r="P34" s="2"/>
      <c r="Q34" s="2"/>
      <c r="R34" s="2"/>
      <c r="S34" s="2"/>
      <c r="T34" s="3"/>
      <c r="U34" s="42" t="s">
        <v>82</v>
      </c>
      <c r="V34" s="3"/>
      <c r="W34" s="18" t="s">
        <v>158</v>
      </c>
      <c r="X34" s="2"/>
      <c r="Y34" s="2"/>
      <c r="Z34" s="2"/>
      <c r="AA34" s="2"/>
      <c r="AB34" s="2"/>
      <c r="AC34" s="3"/>
      <c r="AD34" s="19">
        <v>18</v>
      </c>
      <c r="AE34" s="2"/>
      <c r="AF34" s="3"/>
    </row>
    <row r="35" ht="30" customHeight="1" spans="2:32">
      <c r="B35" s="17">
        <v>28</v>
      </c>
      <c r="C35" s="19" t="s">
        <v>159</v>
      </c>
      <c r="D35" s="2"/>
      <c r="E35" s="3"/>
      <c r="F35" s="18" t="s">
        <v>160</v>
      </c>
      <c r="G35" s="2"/>
      <c r="H35" s="2"/>
      <c r="I35" s="2"/>
      <c r="J35" s="2"/>
      <c r="K35" s="2"/>
      <c r="L35" s="3"/>
      <c r="M35" s="18" t="s">
        <v>161</v>
      </c>
      <c r="N35" s="2"/>
      <c r="O35" s="2"/>
      <c r="P35" s="2"/>
      <c r="Q35" s="2"/>
      <c r="R35" s="2"/>
      <c r="S35" s="2"/>
      <c r="T35" s="3"/>
      <c r="U35" s="42" t="s">
        <v>82</v>
      </c>
      <c r="V35" s="3"/>
      <c r="W35" s="18" t="s">
        <v>162</v>
      </c>
      <c r="X35" s="2"/>
      <c r="Y35" s="2"/>
      <c r="Z35" s="2"/>
      <c r="AA35" s="2"/>
      <c r="AB35" s="2"/>
      <c r="AC35" s="3"/>
      <c r="AD35" s="19">
        <v>25</v>
      </c>
      <c r="AE35" s="2"/>
      <c r="AF35" s="3"/>
    </row>
    <row r="36" ht="30" customHeight="1" spans="2:32">
      <c r="B36" s="17">
        <v>29</v>
      </c>
      <c r="C36" s="19" t="s">
        <v>163</v>
      </c>
      <c r="D36" s="2"/>
      <c r="E36" s="3"/>
      <c r="F36" s="18" t="s">
        <v>160</v>
      </c>
      <c r="G36" s="2"/>
      <c r="H36" s="2"/>
      <c r="I36" s="2"/>
      <c r="J36" s="2"/>
      <c r="K36" s="2"/>
      <c r="L36" s="3"/>
      <c r="M36" s="18" t="s">
        <v>164</v>
      </c>
      <c r="N36" s="2"/>
      <c r="O36" s="2"/>
      <c r="P36" s="2"/>
      <c r="Q36" s="2"/>
      <c r="R36" s="2"/>
      <c r="S36" s="2"/>
      <c r="T36" s="3"/>
      <c r="U36" s="42" t="s">
        <v>82</v>
      </c>
      <c r="V36" s="3"/>
      <c r="W36" s="18" t="s">
        <v>94</v>
      </c>
      <c r="X36" s="2"/>
      <c r="Y36" s="2"/>
      <c r="Z36" s="2"/>
      <c r="AA36" s="2"/>
      <c r="AB36" s="2"/>
      <c r="AC36" s="3"/>
      <c r="AD36" s="19">
        <v>8</v>
      </c>
      <c r="AE36" s="2"/>
      <c r="AF36" s="3"/>
    </row>
    <row r="37" ht="30" customHeight="1" spans="2:32">
      <c r="B37" s="17">
        <v>30</v>
      </c>
      <c r="C37" s="19" t="s">
        <v>165</v>
      </c>
      <c r="D37" s="2"/>
      <c r="E37" s="3"/>
      <c r="F37" s="18" t="s">
        <v>160</v>
      </c>
      <c r="G37" s="2"/>
      <c r="H37" s="2"/>
      <c r="I37" s="2"/>
      <c r="J37" s="2"/>
      <c r="K37" s="2"/>
      <c r="L37" s="3"/>
      <c r="M37" s="18" t="s">
        <v>166</v>
      </c>
      <c r="N37" s="2"/>
      <c r="O37" s="2"/>
      <c r="P37" s="2"/>
      <c r="Q37" s="2"/>
      <c r="R37" s="2"/>
      <c r="S37" s="2"/>
      <c r="T37" s="3"/>
      <c r="U37" s="42" t="s">
        <v>82</v>
      </c>
      <c r="V37" s="3"/>
      <c r="W37" s="18" t="s">
        <v>167</v>
      </c>
      <c r="X37" s="2"/>
      <c r="Y37" s="2"/>
      <c r="Z37" s="2"/>
      <c r="AA37" s="2"/>
      <c r="AB37" s="2"/>
      <c r="AC37" s="3"/>
      <c r="AD37" s="19">
        <v>15</v>
      </c>
      <c r="AE37" s="2"/>
      <c r="AF37" s="3"/>
    </row>
    <row r="38" ht="30" customHeight="1" spans="2:32">
      <c r="B38" s="17">
        <v>31</v>
      </c>
      <c r="C38" s="19" t="s">
        <v>168</v>
      </c>
      <c r="D38" s="2"/>
      <c r="E38" s="3"/>
      <c r="F38" s="18" t="s">
        <v>160</v>
      </c>
      <c r="G38" s="2"/>
      <c r="H38" s="2"/>
      <c r="I38" s="2"/>
      <c r="J38" s="2"/>
      <c r="K38" s="2"/>
      <c r="L38" s="3"/>
      <c r="M38" s="18" t="s">
        <v>169</v>
      </c>
      <c r="N38" s="2"/>
      <c r="O38" s="2"/>
      <c r="P38" s="2"/>
      <c r="Q38" s="2"/>
      <c r="R38" s="2"/>
      <c r="S38" s="2"/>
      <c r="T38" s="3"/>
      <c r="U38" s="42" t="s">
        <v>82</v>
      </c>
      <c r="V38" s="3"/>
      <c r="W38" s="18" t="s">
        <v>94</v>
      </c>
      <c r="X38" s="2"/>
      <c r="Y38" s="2"/>
      <c r="Z38" s="2"/>
      <c r="AA38" s="2"/>
      <c r="AB38" s="2"/>
      <c r="AC38" s="3"/>
      <c r="AD38" s="19">
        <v>40</v>
      </c>
      <c r="AE38" s="2"/>
      <c r="AF38" s="3"/>
    </row>
    <row r="39" ht="30" customHeight="1" spans="2:32">
      <c r="B39" s="17">
        <v>32</v>
      </c>
      <c r="C39" s="19" t="s">
        <v>170</v>
      </c>
      <c r="D39" s="2"/>
      <c r="E39" s="3"/>
      <c r="F39" s="18" t="s">
        <v>160</v>
      </c>
      <c r="G39" s="2"/>
      <c r="H39" s="2"/>
      <c r="I39" s="2"/>
      <c r="J39" s="2"/>
      <c r="K39" s="2"/>
      <c r="L39" s="3"/>
      <c r="M39" s="18" t="s">
        <v>171</v>
      </c>
      <c r="N39" s="2"/>
      <c r="O39" s="2"/>
      <c r="P39" s="2"/>
      <c r="Q39" s="2"/>
      <c r="R39" s="2"/>
      <c r="S39" s="2"/>
      <c r="T39" s="3"/>
      <c r="U39" s="43" t="s">
        <v>102</v>
      </c>
      <c r="V39" s="3"/>
      <c r="W39" s="18" t="s">
        <v>172</v>
      </c>
      <c r="X39" s="2"/>
      <c r="Y39" s="2"/>
      <c r="Z39" s="2"/>
      <c r="AA39" s="2"/>
      <c r="AB39" s="2"/>
      <c r="AC39" s="3"/>
      <c r="AD39" s="19">
        <v>20</v>
      </c>
      <c r="AE39" s="2"/>
      <c r="AF39" s="3"/>
    </row>
    <row r="40" ht="30" customHeight="1" spans="2:32">
      <c r="B40" s="17">
        <v>33</v>
      </c>
      <c r="C40" s="19" t="s">
        <v>173</v>
      </c>
      <c r="D40" s="2"/>
      <c r="E40" s="3"/>
      <c r="F40" s="18" t="s">
        <v>160</v>
      </c>
      <c r="G40" s="2"/>
      <c r="H40" s="2"/>
      <c r="I40" s="2"/>
      <c r="J40" s="2"/>
      <c r="K40" s="2"/>
      <c r="L40" s="3"/>
      <c r="M40" s="18" t="s">
        <v>174</v>
      </c>
      <c r="N40" s="2"/>
      <c r="O40" s="2"/>
      <c r="P40" s="2"/>
      <c r="Q40" s="2"/>
      <c r="R40" s="2"/>
      <c r="S40" s="2"/>
      <c r="T40" s="3"/>
      <c r="U40" s="43" t="s">
        <v>102</v>
      </c>
      <c r="V40" s="3"/>
      <c r="W40" s="18" t="s">
        <v>175</v>
      </c>
      <c r="X40" s="2"/>
      <c r="Y40" s="2"/>
      <c r="Z40" s="2"/>
      <c r="AA40" s="2"/>
      <c r="AB40" s="2"/>
      <c r="AC40" s="3"/>
      <c r="AD40" s="19">
        <v>12</v>
      </c>
      <c r="AE40" s="2"/>
      <c r="AF40" s="3"/>
    </row>
    <row r="41" ht="30" customHeight="1" spans="2:32">
      <c r="B41" s="17">
        <v>34</v>
      </c>
      <c r="C41" s="19" t="s">
        <v>176</v>
      </c>
      <c r="D41" s="2"/>
      <c r="E41" s="3"/>
      <c r="F41" s="18" t="s">
        <v>160</v>
      </c>
      <c r="G41" s="2"/>
      <c r="H41" s="2"/>
      <c r="I41" s="2"/>
      <c r="J41" s="2"/>
      <c r="K41" s="2"/>
      <c r="L41" s="3"/>
      <c r="M41" s="18" t="s">
        <v>177</v>
      </c>
      <c r="N41" s="2"/>
      <c r="O41" s="2"/>
      <c r="P41" s="2"/>
      <c r="Q41" s="2"/>
      <c r="R41" s="2"/>
      <c r="S41" s="2"/>
      <c r="T41" s="3"/>
      <c r="U41" s="42" t="s">
        <v>82</v>
      </c>
      <c r="V41" s="3"/>
      <c r="W41" s="18" t="s">
        <v>178</v>
      </c>
      <c r="X41" s="2"/>
      <c r="Y41" s="2"/>
      <c r="Z41" s="2"/>
      <c r="AA41" s="2"/>
      <c r="AB41" s="2"/>
      <c r="AC41" s="3"/>
      <c r="AD41" s="19">
        <v>15</v>
      </c>
      <c r="AE41" s="2"/>
      <c r="AF41" s="3"/>
    </row>
    <row r="42" ht="30" customHeight="1" spans="2:32">
      <c r="B42" s="17">
        <v>35</v>
      </c>
      <c r="C42" s="19" t="s">
        <v>179</v>
      </c>
      <c r="D42" s="2"/>
      <c r="E42" s="3"/>
      <c r="F42" s="18" t="s">
        <v>160</v>
      </c>
      <c r="G42" s="2"/>
      <c r="H42" s="2"/>
      <c r="I42" s="2"/>
      <c r="J42" s="2"/>
      <c r="K42" s="2"/>
      <c r="L42" s="3"/>
      <c r="M42" s="18" t="s">
        <v>180</v>
      </c>
      <c r="N42" s="2"/>
      <c r="O42" s="2"/>
      <c r="P42" s="2"/>
      <c r="Q42" s="2"/>
      <c r="R42" s="2"/>
      <c r="S42" s="2"/>
      <c r="T42" s="3"/>
      <c r="U42" s="43" t="s">
        <v>102</v>
      </c>
      <c r="V42" s="3"/>
      <c r="W42" s="18" t="s">
        <v>94</v>
      </c>
      <c r="X42" s="2"/>
      <c r="Y42" s="2"/>
      <c r="Z42" s="2"/>
      <c r="AA42" s="2"/>
      <c r="AB42" s="2"/>
      <c r="AC42" s="3"/>
      <c r="AD42" s="19">
        <v>30</v>
      </c>
      <c r="AE42" s="2"/>
      <c r="AF42" s="3"/>
    </row>
    <row r="43" ht="36" customHeight="1" spans="2:32">
      <c r="B43" s="17">
        <v>36</v>
      </c>
      <c r="C43" s="19" t="s">
        <v>181</v>
      </c>
      <c r="D43" s="2"/>
      <c r="E43" s="3"/>
      <c r="F43" s="18" t="s">
        <v>160</v>
      </c>
      <c r="G43" s="2"/>
      <c r="H43" s="2"/>
      <c r="I43" s="2"/>
      <c r="J43" s="2"/>
      <c r="K43" s="2"/>
      <c r="L43" s="3"/>
      <c r="M43" s="18" t="s">
        <v>182</v>
      </c>
      <c r="N43" s="2"/>
      <c r="O43" s="2"/>
      <c r="P43" s="2"/>
      <c r="Q43" s="2"/>
      <c r="R43" s="2"/>
      <c r="S43" s="2"/>
      <c r="T43" s="3"/>
      <c r="U43" s="42" t="s">
        <v>82</v>
      </c>
      <c r="V43" s="3"/>
      <c r="W43" s="18" t="s">
        <v>167</v>
      </c>
      <c r="X43" s="2"/>
      <c r="Y43" s="2"/>
      <c r="Z43" s="2"/>
      <c r="AA43" s="2"/>
      <c r="AB43" s="2"/>
      <c r="AC43" s="3"/>
      <c r="AD43" s="19">
        <v>6</v>
      </c>
      <c r="AE43" s="2"/>
      <c r="AF43" s="3"/>
    </row>
    <row r="44" ht="30" customHeight="1" spans="2:32">
      <c r="B44" s="17">
        <v>37</v>
      </c>
      <c r="C44" s="19" t="s">
        <v>183</v>
      </c>
      <c r="D44" s="2"/>
      <c r="E44" s="3"/>
      <c r="F44" s="18" t="s">
        <v>184</v>
      </c>
      <c r="G44" s="2"/>
      <c r="H44" s="2"/>
      <c r="I44" s="2"/>
      <c r="J44" s="2"/>
      <c r="K44" s="2"/>
      <c r="L44" s="3"/>
      <c r="M44" s="18" t="s">
        <v>185</v>
      </c>
      <c r="N44" s="2"/>
      <c r="O44" s="2"/>
      <c r="P44" s="2"/>
      <c r="Q44" s="2"/>
      <c r="R44" s="2"/>
      <c r="S44" s="2"/>
      <c r="T44" s="3"/>
      <c r="U44" s="44" t="s">
        <v>186</v>
      </c>
      <c r="V44" s="3"/>
      <c r="W44" s="18" t="s">
        <v>187</v>
      </c>
      <c r="X44" s="2"/>
      <c r="Y44" s="2"/>
      <c r="Z44" s="2"/>
      <c r="AA44" s="2"/>
      <c r="AB44" s="2"/>
      <c r="AC44" s="3"/>
      <c r="AD44" s="19">
        <v>60</v>
      </c>
      <c r="AE44" s="2"/>
      <c r="AF44" s="3"/>
    </row>
    <row r="45" ht="36" customHeight="1" spans="2:32">
      <c r="B45" s="17">
        <v>38</v>
      </c>
      <c r="C45" s="19" t="s">
        <v>188</v>
      </c>
      <c r="D45" s="2"/>
      <c r="E45" s="3"/>
      <c r="F45" s="18" t="s">
        <v>184</v>
      </c>
      <c r="G45" s="2"/>
      <c r="H45" s="2"/>
      <c r="I45" s="2"/>
      <c r="J45" s="2"/>
      <c r="K45" s="2"/>
      <c r="L45" s="3"/>
      <c r="M45" s="18" t="s">
        <v>189</v>
      </c>
      <c r="N45" s="2"/>
      <c r="O45" s="2"/>
      <c r="P45" s="2"/>
      <c r="Q45" s="2"/>
      <c r="R45" s="2"/>
      <c r="S45" s="2"/>
      <c r="T45" s="3"/>
      <c r="U45" s="44" t="s">
        <v>186</v>
      </c>
      <c r="V45" s="3"/>
      <c r="W45" s="18" t="s">
        <v>187</v>
      </c>
      <c r="X45" s="2"/>
      <c r="Y45" s="2"/>
      <c r="Z45" s="2"/>
      <c r="AA45" s="2"/>
      <c r="AB45" s="2"/>
      <c r="AC45" s="3"/>
      <c r="AD45" s="19">
        <v>40</v>
      </c>
      <c r="AE45" s="2"/>
      <c r="AF45" s="3"/>
    </row>
    <row r="46" ht="30" customHeight="1" spans="2:32">
      <c r="B46" s="17">
        <v>39</v>
      </c>
      <c r="C46" s="19" t="s">
        <v>190</v>
      </c>
      <c r="D46" s="2"/>
      <c r="E46" s="3"/>
      <c r="F46" s="18" t="s">
        <v>184</v>
      </c>
      <c r="G46" s="2"/>
      <c r="H46" s="2"/>
      <c r="I46" s="2"/>
      <c r="J46" s="2"/>
      <c r="K46" s="2"/>
      <c r="L46" s="3"/>
      <c r="M46" s="18" t="s">
        <v>191</v>
      </c>
      <c r="N46" s="2"/>
      <c r="O46" s="2"/>
      <c r="P46" s="2"/>
      <c r="Q46" s="2"/>
      <c r="R46" s="2"/>
      <c r="S46" s="2"/>
      <c r="T46" s="3"/>
      <c r="U46" s="44" t="s">
        <v>186</v>
      </c>
      <c r="V46" s="3"/>
      <c r="W46" s="18" t="s">
        <v>113</v>
      </c>
      <c r="X46" s="2"/>
      <c r="Y46" s="2"/>
      <c r="Z46" s="2"/>
      <c r="AA46" s="2"/>
      <c r="AB46" s="2"/>
      <c r="AC46" s="3"/>
      <c r="AD46" s="19">
        <v>25</v>
      </c>
      <c r="AE46" s="2"/>
      <c r="AF46" s="3"/>
    </row>
    <row r="47" ht="30" customHeight="1" spans="2:32">
      <c r="B47" s="17">
        <v>40</v>
      </c>
      <c r="C47" s="19" t="s">
        <v>192</v>
      </c>
      <c r="D47" s="2"/>
      <c r="E47" s="3"/>
      <c r="F47" s="18" t="s">
        <v>184</v>
      </c>
      <c r="G47" s="2"/>
      <c r="H47" s="2"/>
      <c r="I47" s="2"/>
      <c r="J47" s="2"/>
      <c r="K47" s="2"/>
      <c r="L47" s="3"/>
      <c r="M47" s="18" t="s">
        <v>193</v>
      </c>
      <c r="N47" s="2"/>
      <c r="O47" s="2"/>
      <c r="P47" s="2"/>
      <c r="Q47" s="2"/>
      <c r="R47" s="2"/>
      <c r="S47" s="2"/>
      <c r="T47" s="3"/>
      <c r="U47" s="44" t="s">
        <v>186</v>
      </c>
      <c r="V47" s="3"/>
      <c r="W47" s="18" t="s">
        <v>94</v>
      </c>
      <c r="X47" s="2"/>
      <c r="Y47" s="2"/>
      <c r="Z47" s="2"/>
      <c r="AA47" s="2"/>
      <c r="AB47" s="2"/>
      <c r="AC47" s="3"/>
      <c r="AD47" s="19">
        <v>5</v>
      </c>
      <c r="AE47" s="2"/>
      <c r="AF47" s="3"/>
    </row>
    <row r="48" ht="30" customHeight="1" spans="2:32">
      <c r="B48" s="17">
        <v>41</v>
      </c>
      <c r="C48" s="19" t="s">
        <v>194</v>
      </c>
      <c r="D48" s="2"/>
      <c r="E48" s="3"/>
      <c r="F48" s="18" t="s">
        <v>184</v>
      </c>
      <c r="G48" s="2"/>
      <c r="H48" s="2"/>
      <c r="I48" s="2"/>
      <c r="J48" s="2"/>
      <c r="K48" s="2"/>
      <c r="L48" s="3"/>
      <c r="M48" s="18" t="s">
        <v>195</v>
      </c>
      <c r="N48" s="2"/>
      <c r="O48" s="2"/>
      <c r="P48" s="2"/>
      <c r="Q48" s="2"/>
      <c r="R48" s="2"/>
      <c r="S48" s="2"/>
      <c r="T48" s="3"/>
      <c r="U48" s="42" t="s">
        <v>82</v>
      </c>
      <c r="V48" s="3"/>
      <c r="W48" s="18" t="s">
        <v>94</v>
      </c>
      <c r="X48" s="2"/>
      <c r="Y48" s="2"/>
      <c r="Z48" s="2"/>
      <c r="AA48" s="2"/>
      <c r="AB48" s="2"/>
      <c r="AC48" s="3"/>
      <c r="AD48" s="19">
        <v>5</v>
      </c>
      <c r="AE48" s="2"/>
      <c r="AF48" s="3"/>
    </row>
    <row r="49" ht="30" customHeight="1" spans="2:37">
      <c r="B49" s="17">
        <v>42</v>
      </c>
      <c r="C49" s="19" t="s">
        <v>196</v>
      </c>
      <c r="D49" s="2"/>
      <c r="E49" s="3"/>
      <c r="F49" s="18" t="s">
        <v>184</v>
      </c>
      <c r="G49" s="2"/>
      <c r="H49" s="2"/>
      <c r="I49" s="2"/>
      <c r="J49" s="2"/>
      <c r="K49" s="2"/>
      <c r="L49" s="3"/>
      <c r="M49" s="18" t="s">
        <v>197</v>
      </c>
      <c r="N49" s="2"/>
      <c r="O49" s="2"/>
      <c r="P49" s="2"/>
      <c r="Q49" s="2"/>
      <c r="R49" s="2"/>
      <c r="S49" s="2"/>
      <c r="T49" s="3"/>
      <c r="U49" s="43" t="s">
        <v>102</v>
      </c>
      <c r="V49" s="3"/>
      <c r="W49" s="18" t="s">
        <v>198</v>
      </c>
      <c r="X49" s="2"/>
      <c r="Y49" s="2"/>
      <c r="Z49" s="2"/>
      <c r="AA49" s="2"/>
      <c r="AB49" s="2"/>
      <c r="AC49" s="3"/>
      <c r="AD49" s="19">
        <v>8</v>
      </c>
      <c r="AE49" s="2"/>
      <c r="AF49" s="3"/>
    </row>
    <row r="50" ht="30" customHeight="1" spans="2:37">
      <c r="B50" s="17">
        <v>43</v>
      </c>
      <c r="C50" s="19" t="s">
        <v>199</v>
      </c>
      <c r="D50" s="2"/>
      <c r="E50" s="3"/>
      <c r="F50" s="18" t="s">
        <v>200</v>
      </c>
      <c r="G50" s="2"/>
      <c r="H50" s="2"/>
      <c r="I50" s="2"/>
      <c r="J50" s="2"/>
      <c r="K50" s="2"/>
      <c r="L50" s="3"/>
      <c r="M50" s="18" t="s">
        <v>201</v>
      </c>
      <c r="N50" s="2"/>
      <c r="O50" s="2"/>
      <c r="P50" s="2"/>
      <c r="Q50" s="2"/>
      <c r="R50" s="2"/>
      <c r="S50" s="2"/>
      <c r="T50" s="3"/>
      <c r="U50" s="43" t="s">
        <v>102</v>
      </c>
      <c r="V50" s="3"/>
      <c r="W50" s="18" t="s">
        <v>202</v>
      </c>
      <c r="X50" s="2"/>
      <c r="Y50" s="2"/>
      <c r="Z50" s="2"/>
      <c r="AA50" s="2"/>
      <c r="AB50" s="2"/>
      <c r="AC50" s="3"/>
      <c r="AD50" s="19">
        <v>12</v>
      </c>
      <c r="AE50" s="2"/>
      <c r="AF50" s="3"/>
    </row>
    <row r="51" ht="30" customHeight="1" spans="2:37">
      <c r="B51" s="17">
        <v>44</v>
      </c>
      <c r="C51" s="19" t="s">
        <v>203</v>
      </c>
      <c r="D51" s="2"/>
      <c r="E51" s="3"/>
      <c r="F51" s="18" t="s">
        <v>200</v>
      </c>
      <c r="G51" s="2"/>
      <c r="H51" s="2"/>
      <c r="I51" s="2"/>
      <c r="J51" s="2"/>
      <c r="K51" s="2"/>
      <c r="L51" s="3"/>
      <c r="M51" s="18" t="s">
        <v>204</v>
      </c>
      <c r="N51" s="2"/>
      <c r="O51" s="2"/>
      <c r="P51" s="2"/>
      <c r="Q51" s="2"/>
      <c r="R51" s="2"/>
      <c r="S51" s="2"/>
      <c r="T51" s="3"/>
      <c r="U51" s="43" t="s">
        <v>102</v>
      </c>
      <c r="V51" s="3"/>
      <c r="W51" s="18" t="s">
        <v>205</v>
      </c>
      <c r="X51" s="2"/>
      <c r="Y51" s="2"/>
      <c r="Z51" s="2"/>
      <c r="AA51" s="2"/>
      <c r="AB51" s="2"/>
      <c r="AC51" s="3"/>
      <c r="AD51" s="19">
        <v>8</v>
      </c>
      <c r="AE51" s="2"/>
      <c r="AF51" s="3"/>
    </row>
    <row r="52" ht="22.5" customHeight="1" spans="2:37">
      <c r="B52" s="45" t="s">
        <v>58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3"/>
      <c r="U52" s="46"/>
      <c r="V52" s="3"/>
      <c r="W52" s="46"/>
      <c r="X52" s="2"/>
      <c r="Y52" s="2"/>
      <c r="Z52" s="2"/>
      <c r="AA52" s="2"/>
      <c r="AB52" s="2"/>
      <c r="AC52" s="3"/>
      <c r="AD52" s="46">
        <f>SUM(AD8:AD51)</f>
        <v>1682</v>
      </c>
      <c r="AE52" s="2"/>
      <c r="AF52" s="3"/>
    </row>
    <row r="53" ht="15.75" customHeight="1"/>
    <row r="54" ht="19.5" customHeight="1" spans="2:37">
      <c r="B54" s="40" t="s">
        <v>206</v>
      </c>
    </row>
    <row r="55" ht="15.75" customHeight="1"/>
    <row r="56" ht="28.5" customHeight="1" spans="2:37">
      <c r="B56" s="1" t="s">
        <v>207</v>
      </c>
      <c r="C56" s="3"/>
      <c r="D56" s="1" t="s">
        <v>208</v>
      </c>
      <c r="E56" s="2"/>
      <c r="F56" s="3"/>
      <c r="G56" s="1" t="s">
        <v>209</v>
      </c>
      <c r="H56" s="2"/>
      <c r="I56" s="2"/>
      <c r="J56" s="2"/>
      <c r="K56" s="2"/>
      <c r="L56" s="3"/>
      <c r="M56" s="1" t="s">
        <v>210</v>
      </c>
      <c r="N56" s="3"/>
      <c r="O56" s="1" t="s">
        <v>211</v>
      </c>
      <c r="P56" s="2"/>
      <c r="Q56" s="3"/>
      <c r="R56" s="1" t="s">
        <v>212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3"/>
    </row>
    <row r="57" ht="36" customHeight="1" spans="2:37">
      <c r="B57" s="47" t="s">
        <v>213</v>
      </c>
      <c r="C57" s="3"/>
      <c r="D57" s="19" t="s">
        <v>214</v>
      </c>
      <c r="E57" s="2"/>
      <c r="F57" s="3"/>
      <c r="G57" s="18" t="s">
        <v>215</v>
      </c>
      <c r="H57" s="2"/>
      <c r="I57" s="2"/>
      <c r="J57" s="2"/>
      <c r="K57" s="2"/>
      <c r="L57" s="3"/>
      <c r="M57" s="19">
        <v>10</v>
      </c>
      <c r="N57" s="3"/>
      <c r="O57" s="19" t="s">
        <v>82</v>
      </c>
      <c r="P57" s="2"/>
      <c r="Q57" s="3"/>
      <c r="R57" s="18" t="s">
        <v>216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3"/>
    </row>
    <row r="58" ht="30" customHeight="1" spans="2:37">
      <c r="B58" s="47" t="s">
        <v>217</v>
      </c>
      <c r="C58" s="3"/>
      <c r="D58" s="19" t="s">
        <v>218</v>
      </c>
      <c r="E58" s="2"/>
      <c r="F58" s="3"/>
      <c r="G58" s="18" t="s">
        <v>219</v>
      </c>
      <c r="H58" s="2"/>
      <c r="I58" s="2"/>
      <c r="J58" s="2"/>
      <c r="K58" s="2"/>
      <c r="L58" s="3"/>
      <c r="M58" s="19">
        <v>9</v>
      </c>
      <c r="N58" s="3"/>
      <c r="O58" s="19" t="s">
        <v>102</v>
      </c>
      <c r="P58" s="2"/>
      <c r="Q58" s="3"/>
      <c r="R58" s="18" t="s">
        <v>220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3"/>
    </row>
    <row r="59" ht="36" customHeight="1" spans="2:37">
      <c r="B59" s="47" t="s">
        <v>221</v>
      </c>
      <c r="C59" s="3"/>
      <c r="D59" s="19" t="s">
        <v>222</v>
      </c>
      <c r="E59" s="2"/>
      <c r="F59" s="3"/>
      <c r="G59" s="18" t="s">
        <v>223</v>
      </c>
      <c r="H59" s="2"/>
      <c r="I59" s="2"/>
      <c r="J59" s="2"/>
      <c r="K59" s="2"/>
      <c r="L59" s="3"/>
      <c r="M59" s="19">
        <v>8</v>
      </c>
      <c r="N59" s="3"/>
      <c r="O59" s="19" t="s">
        <v>82</v>
      </c>
      <c r="P59" s="2"/>
      <c r="Q59" s="3"/>
      <c r="R59" s="18" t="s">
        <v>224</v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3"/>
    </row>
    <row r="60" ht="36" customHeight="1" spans="2:37">
      <c r="B60" s="47" t="s">
        <v>225</v>
      </c>
      <c r="C60" s="3"/>
      <c r="D60" s="19" t="s">
        <v>226</v>
      </c>
      <c r="E60" s="2"/>
      <c r="F60" s="3"/>
      <c r="G60" s="18" t="s">
        <v>227</v>
      </c>
      <c r="H60" s="2"/>
      <c r="I60" s="2"/>
      <c r="J60" s="2"/>
      <c r="K60" s="2"/>
      <c r="L60" s="3"/>
      <c r="M60" s="19">
        <v>9</v>
      </c>
      <c r="N60" s="3"/>
      <c r="O60" s="19" t="s">
        <v>82</v>
      </c>
      <c r="P60" s="2"/>
      <c r="Q60" s="3"/>
      <c r="R60" s="18" t="s">
        <v>228</v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3"/>
    </row>
    <row r="61" ht="36" customHeight="1" spans="2:37">
      <c r="B61" s="47" t="s">
        <v>229</v>
      </c>
      <c r="C61" s="3"/>
      <c r="D61" s="19" t="s">
        <v>230</v>
      </c>
      <c r="E61" s="2"/>
      <c r="F61" s="3"/>
      <c r="G61" s="18" t="s">
        <v>231</v>
      </c>
      <c r="H61" s="2"/>
      <c r="I61" s="2"/>
      <c r="J61" s="2"/>
      <c r="K61" s="2"/>
      <c r="L61" s="3"/>
      <c r="M61" s="19">
        <v>6</v>
      </c>
      <c r="N61" s="3"/>
      <c r="O61" s="19" t="s">
        <v>232</v>
      </c>
      <c r="P61" s="2"/>
      <c r="Q61" s="3"/>
      <c r="R61" s="18" t="s">
        <v>233</v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3"/>
    </row>
    <row r="62" ht="30" customHeight="1" spans="2:37">
      <c r="B62" s="47" t="s">
        <v>234</v>
      </c>
      <c r="C62" s="3"/>
      <c r="D62" s="19" t="s">
        <v>235</v>
      </c>
      <c r="E62" s="2"/>
      <c r="F62" s="3"/>
      <c r="G62" s="18" t="s">
        <v>236</v>
      </c>
      <c r="H62" s="2"/>
      <c r="I62" s="2"/>
      <c r="J62" s="2"/>
      <c r="K62" s="2"/>
      <c r="L62" s="3"/>
      <c r="M62" s="19">
        <v>2</v>
      </c>
      <c r="N62" s="3"/>
      <c r="O62" s="19" t="s">
        <v>102</v>
      </c>
      <c r="P62" s="2"/>
      <c r="Q62" s="3"/>
      <c r="R62" s="18" t="s">
        <v>237</v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3"/>
    </row>
    <row r="63" ht="15.75" customHeight="1"/>
    <row r="64" ht="30" customHeight="1" spans="2:37">
      <c r="B64" s="48" t="s">
        <v>238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3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3">
    <mergeCell ref="A1:I1"/>
    <mergeCell ref="J1:P1"/>
    <mergeCell ref="Q1:U1"/>
    <mergeCell ref="V1:Y1"/>
    <mergeCell ref="Z1:AC1"/>
    <mergeCell ref="AD1:AG1"/>
    <mergeCell ref="AH1:AK1"/>
    <mergeCell ref="B5:AK5"/>
    <mergeCell ref="C7:E7"/>
    <mergeCell ref="F7:L7"/>
    <mergeCell ref="M7:T7"/>
    <mergeCell ref="U7:V7"/>
    <mergeCell ref="W7:AC7"/>
    <mergeCell ref="AD7:AF7"/>
    <mergeCell ref="C8:E8"/>
    <mergeCell ref="F8:L8"/>
    <mergeCell ref="M8:T8"/>
    <mergeCell ref="U8:V8"/>
    <mergeCell ref="W8:AC8"/>
    <mergeCell ref="AD8:AF8"/>
    <mergeCell ref="C9:E9"/>
    <mergeCell ref="F9:L9"/>
    <mergeCell ref="M9:T9"/>
    <mergeCell ref="U9:V9"/>
    <mergeCell ref="W9:AC9"/>
    <mergeCell ref="AD9:AF9"/>
    <mergeCell ref="C10:E10"/>
    <mergeCell ref="F10:L10"/>
    <mergeCell ref="M10:T10"/>
    <mergeCell ref="U10:V10"/>
    <mergeCell ref="W10:AC10"/>
    <mergeCell ref="AD10:AF10"/>
    <mergeCell ref="C11:E11"/>
    <mergeCell ref="F11:L11"/>
    <mergeCell ref="M11:T11"/>
    <mergeCell ref="U11:V11"/>
    <mergeCell ref="W11:AC11"/>
    <mergeCell ref="AD11:AF11"/>
    <mergeCell ref="C12:E12"/>
    <mergeCell ref="F12:L12"/>
    <mergeCell ref="M12:T12"/>
    <mergeCell ref="U12:V12"/>
    <mergeCell ref="W12:AC12"/>
    <mergeCell ref="AD12:AF12"/>
    <mergeCell ref="C13:E13"/>
    <mergeCell ref="F13:L13"/>
    <mergeCell ref="M13:T13"/>
    <mergeCell ref="U13:V13"/>
    <mergeCell ref="W13:AC13"/>
    <mergeCell ref="AD13:AF13"/>
    <mergeCell ref="C14:E14"/>
    <mergeCell ref="F14:L14"/>
    <mergeCell ref="M14:T14"/>
    <mergeCell ref="U14:V14"/>
    <mergeCell ref="W14:AC14"/>
    <mergeCell ref="AD14:AF14"/>
    <mergeCell ref="C15:E15"/>
    <mergeCell ref="F15:L15"/>
    <mergeCell ref="M15:T15"/>
    <mergeCell ref="U15:V15"/>
    <mergeCell ref="W15:AC15"/>
    <mergeCell ref="AD15:AF15"/>
    <mergeCell ref="C16:E16"/>
    <mergeCell ref="F16:L16"/>
    <mergeCell ref="M16:T16"/>
    <mergeCell ref="U16:V16"/>
    <mergeCell ref="W16:AC16"/>
    <mergeCell ref="AD16:AF16"/>
    <mergeCell ref="C17:E17"/>
    <mergeCell ref="F17:L17"/>
    <mergeCell ref="M17:T17"/>
    <mergeCell ref="U17:V17"/>
    <mergeCell ref="W17:AC17"/>
    <mergeCell ref="AD17:AF17"/>
    <mergeCell ref="C18:E18"/>
    <mergeCell ref="F18:L18"/>
    <mergeCell ref="M18:T18"/>
    <mergeCell ref="U18:V18"/>
    <mergeCell ref="W18:AC18"/>
    <mergeCell ref="AD18:AF18"/>
    <mergeCell ref="C19:E19"/>
    <mergeCell ref="F19:L19"/>
    <mergeCell ref="M19:T19"/>
    <mergeCell ref="U19:V19"/>
    <mergeCell ref="W19:AC19"/>
    <mergeCell ref="AD19:AF19"/>
    <mergeCell ref="C20:E20"/>
    <mergeCell ref="F20:L20"/>
    <mergeCell ref="M20:T20"/>
    <mergeCell ref="U20:V20"/>
    <mergeCell ref="W20:AC20"/>
    <mergeCell ref="AD20:AF20"/>
    <mergeCell ref="C21:E21"/>
    <mergeCell ref="F21:L21"/>
    <mergeCell ref="M21:T21"/>
    <mergeCell ref="U21:V21"/>
    <mergeCell ref="W21:AC21"/>
    <mergeCell ref="AD21:AF21"/>
    <mergeCell ref="C22:E22"/>
    <mergeCell ref="F22:L22"/>
    <mergeCell ref="M22:T22"/>
    <mergeCell ref="U22:V22"/>
    <mergeCell ref="W22:AC22"/>
    <mergeCell ref="AD22:AF22"/>
    <mergeCell ref="C23:E23"/>
    <mergeCell ref="F23:L23"/>
    <mergeCell ref="M23:T23"/>
    <mergeCell ref="U23:V23"/>
    <mergeCell ref="W23:AC23"/>
    <mergeCell ref="AD23:AF23"/>
    <mergeCell ref="C24:E24"/>
    <mergeCell ref="F24:L24"/>
    <mergeCell ref="M24:T24"/>
    <mergeCell ref="U24:V24"/>
    <mergeCell ref="W24:AC24"/>
    <mergeCell ref="AD24:AF24"/>
    <mergeCell ref="C25:E25"/>
    <mergeCell ref="F25:L25"/>
    <mergeCell ref="M25:T25"/>
    <mergeCell ref="U25:V25"/>
    <mergeCell ref="W25:AC25"/>
    <mergeCell ref="AD25:AF25"/>
    <mergeCell ref="C26:E26"/>
    <mergeCell ref="F26:L26"/>
    <mergeCell ref="M26:T26"/>
    <mergeCell ref="U26:V26"/>
    <mergeCell ref="W26:AC26"/>
    <mergeCell ref="AD26:AF26"/>
    <mergeCell ref="C27:E27"/>
    <mergeCell ref="F27:L27"/>
    <mergeCell ref="M27:T27"/>
    <mergeCell ref="U27:V27"/>
    <mergeCell ref="W27:AC27"/>
    <mergeCell ref="AD27:AF27"/>
    <mergeCell ref="C28:E28"/>
    <mergeCell ref="F28:L28"/>
    <mergeCell ref="M28:T28"/>
    <mergeCell ref="U28:V28"/>
    <mergeCell ref="W28:AC28"/>
    <mergeCell ref="AD28:AF28"/>
    <mergeCell ref="C29:E29"/>
    <mergeCell ref="F29:L29"/>
    <mergeCell ref="M29:T29"/>
    <mergeCell ref="U29:V29"/>
    <mergeCell ref="W29:AC29"/>
    <mergeCell ref="AD29:AF29"/>
    <mergeCell ref="C30:E30"/>
    <mergeCell ref="F30:L30"/>
    <mergeCell ref="M30:T30"/>
    <mergeCell ref="U30:V30"/>
    <mergeCell ref="W30:AC30"/>
    <mergeCell ref="AD30:AF30"/>
    <mergeCell ref="C31:E31"/>
    <mergeCell ref="F31:L31"/>
    <mergeCell ref="M31:T31"/>
    <mergeCell ref="U31:V31"/>
    <mergeCell ref="W31:AC31"/>
    <mergeCell ref="AD31:AF31"/>
    <mergeCell ref="C32:E32"/>
    <mergeCell ref="F32:L32"/>
    <mergeCell ref="M32:T32"/>
    <mergeCell ref="U32:V32"/>
    <mergeCell ref="W32:AC32"/>
    <mergeCell ref="AD32:AF32"/>
    <mergeCell ref="C33:E33"/>
    <mergeCell ref="F33:L33"/>
    <mergeCell ref="M33:T33"/>
    <mergeCell ref="U33:V33"/>
    <mergeCell ref="W33:AC33"/>
    <mergeCell ref="AD33:AF33"/>
    <mergeCell ref="C34:E34"/>
    <mergeCell ref="F34:L34"/>
    <mergeCell ref="M34:T34"/>
    <mergeCell ref="U34:V34"/>
    <mergeCell ref="W34:AC34"/>
    <mergeCell ref="AD34:AF34"/>
    <mergeCell ref="C35:E35"/>
    <mergeCell ref="F35:L35"/>
    <mergeCell ref="M35:T35"/>
    <mergeCell ref="U35:V35"/>
    <mergeCell ref="W35:AC35"/>
    <mergeCell ref="AD35:AF35"/>
    <mergeCell ref="C36:E36"/>
    <mergeCell ref="F36:L36"/>
    <mergeCell ref="M36:T36"/>
    <mergeCell ref="U36:V36"/>
    <mergeCell ref="W36:AC36"/>
    <mergeCell ref="AD36:AF36"/>
    <mergeCell ref="C37:E37"/>
    <mergeCell ref="F37:L37"/>
    <mergeCell ref="M37:T37"/>
    <mergeCell ref="U37:V37"/>
    <mergeCell ref="W37:AC37"/>
    <mergeCell ref="AD37:AF37"/>
    <mergeCell ref="C38:E38"/>
    <mergeCell ref="F38:L38"/>
    <mergeCell ref="M38:T38"/>
    <mergeCell ref="U38:V38"/>
    <mergeCell ref="W38:AC38"/>
    <mergeCell ref="AD38:AF38"/>
    <mergeCell ref="C39:E39"/>
    <mergeCell ref="F39:L39"/>
    <mergeCell ref="M39:T39"/>
    <mergeCell ref="U39:V39"/>
    <mergeCell ref="W39:AC39"/>
    <mergeCell ref="AD39:AF39"/>
    <mergeCell ref="C40:E40"/>
    <mergeCell ref="F40:L40"/>
    <mergeCell ref="M40:T40"/>
    <mergeCell ref="U40:V40"/>
    <mergeCell ref="W40:AC40"/>
    <mergeCell ref="AD40:AF40"/>
    <mergeCell ref="C41:E41"/>
    <mergeCell ref="F41:L41"/>
    <mergeCell ref="M41:T41"/>
    <mergeCell ref="U41:V41"/>
    <mergeCell ref="W41:AC41"/>
    <mergeCell ref="AD41:AF41"/>
    <mergeCell ref="C42:E42"/>
    <mergeCell ref="F42:L42"/>
    <mergeCell ref="M42:T42"/>
    <mergeCell ref="U42:V42"/>
    <mergeCell ref="W42:AC42"/>
    <mergeCell ref="AD42:AF42"/>
    <mergeCell ref="C43:E43"/>
    <mergeCell ref="F43:L43"/>
    <mergeCell ref="M43:T43"/>
    <mergeCell ref="U43:V43"/>
    <mergeCell ref="W43:AC43"/>
    <mergeCell ref="AD43:AF43"/>
    <mergeCell ref="C44:E44"/>
    <mergeCell ref="F44:L44"/>
    <mergeCell ref="M44:T44"/>
    <mergeCell ref="U44:V44"/>
    <mergeCell ref="W44:AC44"/>
    <mergeCell ref="AD44:AF44"/>
    <mergeCell ref="C45:E45"/>
    <mergeCell ref="F45:L45"/>
    <mergeCell ref="M45:T45"/>
    <mergeCell ref="U45:V45"/>
    <mergeCell ref="W45:AC45"/>
    <mergeCell ref="AD45:AF45"/>
    <mergeCell ref="C46:E46"/>
    <mergeCell ref="F46:L46"/>
    <mergeCell ref="M46:T46"/>
    <mergeCell ref="U46:V46"/>
    <mergeCell ref="W46:AC46"/>
    <mergeCell ref="AD46:AF46"/>
    <mergeCell ref="C47:E47"/>
    <mergeCell ref="F47:L47"/>
    <mergeCell ref="M47:T47"/>
    <mergeCell ref="U47:V47"/>
    <mergeCell ref="W47:AC47"/>
    <mergeCell ref="AD47:AF47"/>
    <mergeCell ref="C48:E48"/>
    <mergeCell ref="F48:L48"/>
    <mergeCell ref="M48:T48"/>
    <mergeCell ref="U48:V48"/>
    <mergeCell ref="W48:AC48"/>
    <mergeCell ref="AD48:AF48"/>
    <mergeCell ref="C49:E49"/>
    <mergeCell ref="F49:L49"/>
    <mergeCell ref="M49:T49"/>
    <mergeCell ref="U49:V49"/>
    <mergeCell ref="W49:AC49"/>
    <mergeCell ref="AD49:AF49"/>
    <mergeCell ref="C50:E50"/>
    <mergeCell ref="F50:L50"/>
    <mergeCell ref="M50:T50"/>
    <mergeCell ref="U50:V50"/>
    <mergeCell ref="W50:AC50"/>
    <mergeCell ref="AD50:AF50"/>
    <mergeCell ref="C51:E51"/>
    <mergeCell ref="F51:L51"/>
    <mergeCell ref="M51:T51"/>
    <mergeCell ref="U51:V51"/>
    <mergeCell ref="W51:AC51"/>
    <mergeCell ref="AD51:AF51"/>
    <mergeCell ref="B52:T52"/>
    <mergeCell ref="U52:V52"/>
    <mergeCell ref="W52:AC52"/>
    <mergeCell ref="AD52:AF52"/>
    <mergeCell ref="B54:AK54"/>
    <mergeCell ref="B56:C56"/>
    <mergeCell ref="D56:F56"/>
    <mergeCell ref="G56:L56"/>
    <mergeCell ref="M56:N56"/>
    <mergeCell ref="O56:Q56"/>
    <mergeCell ref="R56:AK56"/>
    <mergeCell ref="B57:C57"/>
    <mergeCell ref="D57:F57"/>
    <mergeCell ref="G57:L57"/>
    <mergeCell ref="M57:N57"/>
    <mergeCell ref="O57:Q57"/>
    <mergeCell ref="R57:AK57"/>
    <mergeCell ref="B58:C58"/>
    <mergeCell ref="D58:F58"/>
    <mergeCell ref="G58:L58"/>
    <mergeCell ref="M58:N58"/>
    <mergeCell ref="O58:Q58"/>
    <mergeCell ref="R58:AK58"/>
    <mergeCell ref="B59:C59"/>
    <mergeCell ref="D59:F59"/>
    <mergeCell ref="G59:L59"/>
    <mergeCell ref="M59:N59"/>
    <mergeCell ref="O59:Q59"/>
    <mergeCell ref="R59:AK59"/>
    <mergeCell ref="B60:C60"/>
    <mergeCell ref="D60:F60"/>
    <mergeCell ref="G60:L60"/>
    <mergeCell ref="M60:N60"/>
    <mergeCell ref="O60:Q60"/>
    <mergeCell ref="R60:AK60"/>
    <mergeCell ref="B61:C61"/>
    <mergeCell ref="D61:F61"/>
    <mergeCell ref="G61:L61"/>
    <mergeCell ref="M61:N61"/>
    <mergeCell ref="O61:Q61"/>
    <mergeCell ref="R61:AK61"/>
    <mergeCell ref="B62:C62"/>
    <mergeCell ref="D62:F62"/>
    <mergeCell ref="G62:L62"/>
    <mergeCell ref="M62:N62"/>
    <mergeCell ref="O62:Q62"/>
    <mergeCell ref="R62:AK62"/>
    <mergeCell ref="B64:AK64"/>
    <mergeCell ref="J2:P3"/>
    <mergeCell ref="Q2:U3"/>
    <mergeCell ref="V2:Y3"/>
    <mergeCell ref="Z2:AC3"/>
    <mergeCell ref="AD2:AG3"/>
    <mergeCell ref="AH2:AK3"/>
    <mergeCell ref="A2:I3"/>
  </mergeCells>
  <pageMargins left="0.75" right="0.75" top="1" bottom="1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00"/>
  <sheetViews>
    <sheetView showGridLines="0" tabSelected="1" topLeftCell="A69" workbookViewId="0">
      <selection activeCell="AY70" sqref="AY70:BA70"/>
    </sheetView>
  </sheetViews>
  <sheetFormatPr defaultColWidth="14.4285714285714" defaultRowHeight="15" customHeight="1"/>
  <cols>
    <col min="1" max="69" width="4" customWidth="1"/>
  </cols>
  <sheetData>
    <row r="1" ht="22.5" customHeight="1" spans="1:69">
      <c r="A1" s="1" t="s">
        <v>239</v>
      </c>
      <c r="B1" s="2"/>
      <c r="C1" s="2"/>
      <c r="D1" s="2"/>
      <c r="E1" s="3"/>
      <c r="F1" s="4" t="s">
        <v>240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1" t="s">
        <v>241</v>
      </c>
      <c r="S1" s="2"/>
      <c r="T1" s="2"/>
      <c r="U1" s="2"/>
      <c r="V1" s="3"/>
      <c r="W1" s="4" t="s">
        <v>242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 ht="22.5" customHeight="1" spans="1:69">
      <c r="A2" s="1" t="s">
        <v>23</v>
      </c>
      <c r="B2" s="2"/>
      <c r="C2" s="2"/>
      <c r="D2" s="2"/>
      <c r="E2" s="3"/>
      <c r="F2" s="4" t="s">
        <v>16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1" t="s">
        <v>22</v>
      </c>
      <c r="S2" s="2"/>
      <c r="T2" s="2"/>
      <c r="U2" s="2"/>
      <c r="V2" s="3"/>
      <c r="W2" s="5" t="s">
        <v>8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3"/>
    </row>
    <row r="3" ht="22.5" customHeight="1" spans="1:69">
      <c r="A3" s="1" t="s">
        <v>13</v>
      </c>
      <c r="B3" s="2"/>
      <c r="C3" s="2"/>
      <c r="D3" s="2"/>
      <c r="E3" s="3"/>
      <c r="F3" s="4" t="s">
        <v>18</v>
      </c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1" t="s">
        <v>243</v>
      </c>
      <c r="S3" s="2"/>
      <c r="T3" s="2"/>
      <c r="U3" s="2"/>
      <c r="V3" s="3"/>
      <c r="W3" s="5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ht="22.5" customHeight="1" spans="1:69">
      <c r="A4" s="1" t="s">
        <v>244</v>
      </c>
      <c r="B4" s="2"/>
      <c r="C4" s="2"/>
      <c r="D4" s="2"/>
      <c r="E4" s="3"/>
      <c r="F4" s="4" t="s">
        <v>245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3"/>
    </row>
    <row r="5" ht="22.5" customHeight="1" spans="1:69">
      <c r="A5" s="1" t="s">
        <v>246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1" t="s">
        <v>59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3"/>
    </row>
    <row r="6" ht="22.5" customHeight="1" spans="1:69">
      <c r="A6" s="1" t="s">
        <v>247</v>
      </c>
      <c r="B6" s="2"/>
      <c r="C6" s="2"/>
      <c r="D6" s="2"/>
      <c r="E6" s="2"/>
      <c r="F6" s="2"/>
      <c r="G6" s="3"/>
      <c r="H6" s="1" t="s">
        <v>60</v>
      </c>
      <c r="I6" s="2"/>
      <c r="J6" s="3"/>
      <c r="K6" s="1" t="s">
        <v>61</v>
      </c>
      <c r="L6" s="2"/>
      <c r="M6" s="3"/>
      <c r="N6" s="1" t="s">
        <v>248</v>
      </c>
      <c r="O6" s="2"/>
      <c r="P6" s="3"/>
      <c r="Q6" s="1" t="s">
        <v>58</v>
      </c>
      <c r="R6" s="2"/>
      <c r="S6" s="3"/>
      <c r="T6" s="1" t="s">
        <v>63</v>
      </c>
      <c r="U6" s="2"/>
      <c r="V6" s="3"/>
      <c r="W6" s="1" t="s">
        <v>64</v>
      </c>
      <c r="X6" s="2"/>
      <c r="Y6" s="3"/>
      <c r="Z6" s="1" t="s">
        <v>65</v>
      </c>
      <c r="AA6" s="2"/>
      <c r="AB6" s="3"/>
      <c r="AC6" s="1" t="s">
        <v>66</v>
      </c>
      <c r="AD6" s="2"/>
      <c r="AE6" s="3"/>
      <c r="AF6" s="1" t="s">
        <v>58</v>
      </c>
      <c r="AG6" s="2"/>
      <c r="AH6" s="3"/>
    </row>
    <row r="7" ht="22.5" customHeight="1" spans="1:69">
      <c r="A7" s="1" t="s">
        <v>249</v>
      </c>
      <c r="B7" s="2"/>
      <c r="C7" s="2"/>
      <c r="D7" s="2"/>
      <c r="E7" s="2"/>
      <c r="F7" s="2"/>
      <c r="G7" s="3"/>
      <c r="H7" s="6">
        <f t="shared" ref="H7:H8" si="0">COUNTIF($AE$12:$AF$1049,"N")</f>
        <v>26</v>
      </c>
      <c r="I7" s="2"/>
      <c r="J7" s="3"/>
      <c r="K7" s="6">
        <f t="shared" ref="K7:K8" si="1">COUNTIF($AE$12:$AF$1049,"A")</f>
        <v>23</v>
      </c>
      <c r="L7" s="2"/>
      <c r="M7" s="3"/>
      <c r="N7" s="6">
        <f t="shared" ref="N7:N8" si="2">COUNTIF($AE$12:$AF$1049,"B")</f>
        <v>3</v>
      </c>
      <c r="O7" s="2"/>
      <c r="P7" s="3"/>
      <c r="Q7" s="7">
        <f t="shared" ref="Q7:Q8" si="3">SUM(H7:P7)</f>
        <v>52</v>
      </c>
      <c r="R7" s="2"/>
      <c r="S7" s="3"/>
      <c r="T7" s="6">
        <f>COUNTIF($AG$12:$AI$1049,T$6)</f>
        <v>44</v>
      </c>
      <c r="U7" s="2"/>
      <c r="V7" s="3"/>
      <c r="W7" s="6">
        <f>COUNTIF($AG$12:$AI$1049,W$6)</f>
        <v>0</v>
      </c>
      <c r="X7" s="2"/>
      <c r="Y7" s="3"/>
      <c r="Z7" s="6">
        <f>COUNTIF($AG$12:$AI$1049,Z$6)</f>
        <v>4</v>
      </c>
      <c r="AA7" s="2"/>
      <c r="AB7" s="3"/>
      <c r="AC7" s="6">
        <f>COUNTIF($AG$12:$AI$1049,AC$6)</f>
        <v>4</v>
      </c>
      <c r="AD7" s="2"/>
      <c r="AE7" s="3"/>
      <c r="AF7" s="7">
        <f t="shared" ref="AF7:AF8" si="4">SUM(T7:AE7)</f>
        <v>52</v>
      </c>
      <c r="AG7" s="2"/>
      <c r="AH7" s="3"/>
    </row>
    <row r="8" ht="22.5" customHeight="1" spans="1:69">
      <c r="A8" s="1" t="s">
        <v>250</v>
      </c>
      <c r="B8" s="2"/>
      <c r="C8" s="2"/>
      <c r="D8" s="2"/>
      <c r="E8" s="2"/>
      <c r="F8" s="2"/>
      <c r="G8" s="3"/>
      <c r="H8" s="6">
        <f t="shared" si="0"/>
        <v>26</v>
      </c>
      <c r="I8" s="2"/>
      <c r="J8" s="3"/>
      <c r="K8" s="6">
        <f t="shared" si="1"/>
        <v>23</v>
      </c>
      <c r="L8" s="2"/>
      <c r="M8" s="3"/>
      <c r="N8" s="6">
        <f t="shared" si="2"/>
        <v>3</v>
      </c>
      <c r="O8" s="2"/>
      <c r="P8" s="3"/>
      <c r="Q8" s="7">
        <f t="shared" si="3"/>
        <v>52</v>
      </c>
      <c r="R8" s="2"/>
      <c r="S8" s="3"/>
      <c r="T8" s="6">
        <f>COUNTIF($AV$12:$AX$1049,T$6)</f>
        <v>48</v>
      </c>
      <c r="U8" s="2"/>
      <c r="V8" s="3"/>
      <c r="W8" s="6">
        <f>COUNTIF($AV$12:$AX$1049,W$6)</f>
        <v>0</v>
      </c>
      <c r="X8" s="2"/>
      <c r="Y8" s="3"/>
      <c r="Z8" s="6">
        <f>COUNTIF($AV$12:$AX$1049,Z$6)</f>
        <v>0</v>
      </c>
      <c r="AA8" s="2"/>
      <c r="AB8" s="3"/>
      <c r="AC8" s="6">
        <f>COUNTIF($AV$12:$AX$1049,AC$6)</f>
        <v>4</v>
      </c>
      <c r="AD8" s="2"/>
      <c r="AE8" s="3"/>
      <c r="AF8" s="7">
        <f t="shared" si="4"/>
        <v>52</v>
      </c>
      <c r="AG8" s="2"/>
      <c r="AH8" s="3"/>
    </row>
    <row r="9" ht="12.75" customHeight="1"/>
    <row r="10" ht="36" customHeight="1" spans="1:69">
      <c r="A10" s="8" t="s">
        <v>55</v>
      </c>
      <c r="B10" s="9" t="s">
        <v>251</v>
      </c>
      <c r="C10" s="10"/>
      <c r="D10" s="11"/>
      <c r="E10" s="9" t="s">
        <v>252</v>
      </c>
      <c r="F10" s="10"/>
      <c r="G10" s="10"/>
      <c r="H10" s="10"/>
      <c r="I10" s="11"/>
      <c r="J10" s="9" t="s">
        <v>253</v>
      </c>
      <c r="K10" s="10"/>
      <c r="L10" s="10"/>
      <c r="M10" s="10"/>
      <c r="N10" s="10"/>
      <c r="O10" s="10"/>
      <c r="P10" s="11"/>
      <c r="Q10" s="9" t="s">
        <v>254</v>
      </c>
      <c r="R10" s="10"/>
      <c r="S10" s="10"/>
      <c r="T10" s="10"/>
      <c r="U10" s="10"/>
      <c r="V10" s="10"/>
      <c r="W10" s="11"/>
      <c r="X10" s="9" t="s">
        <v>255</v>
      </c>
      <c r="Y10" s="10"/>
      <c r="Z10" s="10"/>
      <c r="AA10" s="10"/>
      <c r="AB10" s="10"/>
      <c r="AC10" s="10"/>
      <c r="AD10" s="11"/>
      <c r="AE10" s="9" t="s">
        <v>256</v>
      </c>
      <c r="AF10" s="11"/>
      <c r="AG10" s="1" t="s">
        <v>257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3"/>
      <c r="AV10" s="1" t="s">
        <v>258</v>
      </c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3"/>
      <c r="BK10" s="9" t="s">
        <v>259</v>
      </c>
      <c r="BL10" s="10"/>
      <c r="BM10" s="10"/>
      <c r="BN10" s="10"/>
      <c r="BO10" s="10"/>
      <c r="BP10" s="10"/>
      <c r="BQ10" s="11"/>
    </row>
    <row r="11" ht="36" customHeight="1" spans="1:69">
      <c r="A11" s="12"/>
      <c r="B11" s="13"/>
      <c r="C11" s="14"/>
      <c r="D11" s="15"/>
      <c r="E11" s="13"/>
      <c r="F11" s="14"/>
      <c r="G11" s="14"/>
      <c r="H11" s="14"/>
      <c r="I11" s="15"/>
      <c r="J11" s="13"/>
      <c r="K11" s="14"/>
      <c r="L11" s="14"/>
      <c r="M11" s="14"/>
      <c r="N11" s="14"/>
      <c r="O11" s="14"/>
      <c r="P11" s="15"/>
      <c r="Q11" s="13"/>
      <c r="R11" s="14"/>
      <c r="S11" s="14"/>
      <c r="T11" s="14"/>
      <c r="U11" s="14"/>
      <c r="V11" s="14"/>
      <c r="W11" s="15"/>
      <c r="X11" s="13"/>
      <c r="Y11" s="14"/>
      <c r="Z11" s="14"/>
      <c r="AA11" s="14"/>
      <c r="AB11" s="14"/>
      <c r="AC11" s="14"/>
      <c r="AD11" s="15"/>
      <c r="AE11" s="13"/>
      <c r="AF11" s="15"/>
      <c r="AG11" s="1" t="s">
        <v>260</v>
      </c>
      <c r="AH11" s="2"/>
      <c r="AI11" s="3"/>
      <c r="AJ11" s="1" t="s">
        <v>261</v>
      </c>
      <c r="AK11" s="2"/>
      <c r="AL11" s="3"/>
      <c r="AM11" s="1" t="s">
        <v>11</v>
      </c>
      <c r="AN11" s="2"/>
      <c r="AO11" s="3"/>
      <c r="AP11" s="1" t="s">
        <v>262</v>
      </c>
      <c r="AQ11" s="2"/>
      <c r="AR11" s="3"/>
      <c r="AS11" s="1" t="s">
        <v>263</v>
      </c>
      <c r="AT11" s="2"/>
      <c r="AU11" s="3"/>
      <c r="AV11" s="1" t="s">
        <v>260</v>
      </c>
      <c r="AW11" s="2"/>
      <c r="AX11" s="3"/>
      <c r="AY11" s="1" t="s">
        <v>261</v>
      </c>
      <c r="AZ11" s="2"/>
      <c r="BA11" s="3"/>
      <c r="BB11" s="1" t="s">
        <v>11</v>
      </c>
      <c r="BC11" s="2"/>
      <c r="BD11" s="3"/>
      <c r="BE11" s="1" t="s">
        <v>262</v>
      </c>
      <c r="BF11" s="2"/>
      <c r="BG11" s="3"/>
      <c r="BH11" s="1" t="s">
        <v>263</v>
      </c>
      <c r="BI11" s="2"/>
      <c r="BJ11" s="3"/>
      <c r="BK11" s="13"/>
      <c r="BL11" s="14"/>
      <c r="BM11" s="14"/>
      <c r="BN11" s="14"/>
      <c r="BO11" s="14"/>
      <c r="BP11" s="14"/>
      <c r="BQ11" s="15"/>
    </row>
    <row r="12" ht="22.5" customHeight="1" spans="1:69">
      <c r="A12" s="16" t="s">
        <v>264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3"/>
    </row>
    <row r="13" ht="384" customHeight="1" spans="1:69">
      <c r="A13" s="17">
        <v>1</v>
      </c>
      <c r="B13" s="18" t="s">
        <v>265</v>
      </c>
      <c r="C13" s="2"/>
      <c r="D13" s="3"/>
      <c r="E13" s="18" t="s">
        <v>266</v>
      </c>
      <c r="F13" s="2"/>
      <c r="G13" s="2"/>
      <c r="H13" s="2"/>
      <c r="I13" s="3"/>
      <c r="J13" s="18" t="s">
        <v>267</v>
      </c>
      <c r="K13" s="2"/>
      <c r="L13" s="2"/>
      <c r="M13" s="2"/>
      <c r="N13" s="2"/>
      <c r="O13" s="2"/>
      <c r="P13" s="3"/>
      <c r="Q13" s="18" t="s">
        <v>268</v>
      </c>
      <c r="R13" s="2"/>
      <c r="S13" s="2"/>
      <c r="T13" s="2"/>
      <c r="U13" s="2"/>
      <c r="V13" s="2"/>
      <c r="W13" s="3"/>
      <c r="X13" s="18" t="s">
        <v>269</v>
      </c>
      <c r="Y13" s="2"/>
      <c r="Z13" s="2"/>
      <c r="AA13" s="2"/>
      <c r="AB13" s="2"/>
      <c r="AC13" s="2"/>
      <c r="AD13" s="3"/>
      <c r="AE13" s="19" t="s">
        <v>270</v>
      </c>
      <c r="AF13" s="3"/>
      <c r="AG13" s="19" t="s">
        <v>63</v>
      </c>
      <c r="AH13" s="2"/>
      <c r="AI13" s="3"/>
      <c r="AJ13" s="19"/>
      <c r="AK13" s="2"/>
      <c r="AL13" s="3"/>
      <c r="AM13" s="19" t="s">
        <v>271</v>
      </c>
      <c r="AN13" s="2"/>
      <c r="AO13" s="3"/>
      <c r="AP13" s="20">
        <v>46171</v>
      </c>
      <c r="AQ13" s="2"/>
      <c r="AR13" s="3"/>
      <c r="AS13" s="19"/>
      <c r="AT13" s="2"/>
      <c r="AU13" s="3"/>
      <c r="AV13" s="19" t="s">
        <v>63</v>
      </c>
      <c r="AW13" s="2"/>
      <c r="AX13" s="3"/>
      <c r="AY13" s="19"/>
      <c r="AZ13" s="2"/>
      <c r="BA13" s="3"/>
      <c r="BB13" s="19" t="s">
        <v>272</v>
      </c>
      <c r="BC13" s="2"/>
      <c r="BD13" s="3"/>
      <c r="BE13" s="20">
        <v>46237</v>
      </c>
      <c r="BF13" s="2"/>
      <c r="BG13" s="3"/>
      <c r="BH13" s="19"/>
      <c r="BI13" s="2"/>
      <c r="BJ13" s="3"/>
      <c r="BK13" s="18"/>
      <c r="BL13" s="2"/>
      <c r="BM13" s="2"/>
      <c r="BN13" s="2"/>
      <c r="BO13" s="2"/>
      <c r="BP13" s="2"/>
      <c r="BQ13" s="3"/>
    </row>
    <row r="14" ht="399.75" customHeight="1" spans="1:69">
      <c r="A14" s="17">
        <v>2</v>
      </c>
      <c r="B14" s="18" t="s">
        <v>273</v>
      </c>
      <c r="C14" s="2"/>
      <c r="D14" s="3"/>
      <c r="E14" s="18" t="s">
        <v>274</v>
      </c>
      <c r="F14" s="2"/>
      <c r="G14" s="2"/>
      <c r="H14" s="2"/>
      <c r="I14" s="3"/>
      <c r="J14" s="18" t="s">
        <v>275</v>
      </c>
      <c r="K14" s="2"/>
      <c r="L14" s="2"/>
      <c r="M14" s="2"/>
      <c r="N14" s="2"/>
      <c r="O14" s="2"/>
      <c r="P14" s="3"/>
      <c r="Q14" s="18" t="s">
        <v>276</v>
      </c>
      <c r="R14" s="2"/>
      <c r="S14" s="2"/>
      <c r="T14" s="2"/>
      <c r="U14" s="2"/>
      <c r="V14" s="2"/>
      <c r="W14" s="3"/>
      <c r="X14" s="18" t="s">
        <v>277</v>
      </c>
      <c r="Y14" s="2"/>
      <c r="Z14" s="2"/>
      <c r="AA14" s="2"/>
      <c r="AB14" s="2"/>
      <c r="AC14" s="2"/>
      <c r="AD14" s="3"/>
      <c r="AE14" s="19" t="s">
        <v>213</v>
      </c>
      <c r="AF14" s="3"/>
      <c r="AG14" s="19" t="s">
        <v>63</v>
      </c>
      <c r="AH14" s="2"/>
      <c r="AI14" s="3"/>
      <c r="AJ14" s="19"/>
      <c r="AK14" s="2"/>
      <c r="AL14" s="3"/>
      <c r="AM14" s="19" t="s">
        <v>271</v>
      </c>
      <c r="AN14" s="2"/>
      <c r="AO14" s="3"/>
      <c r="AP14" s="20">
        <v>46171</v>
      </c>
      <c r="AQ14" s="2"/>
      <c r="AR14" s="3"/>
      <c r="AS14" s="19"/>
      <c r="AT14" s="2"/>
      <c r="AU14" s="3"/>
      <c r="AV14" s="19" t="s">
        <v>63</v>
      </c>
      <c r="AW14" s="2"/>
      <c r="AX14" s="3"/>
      <c r="AY14" s="19"/>
      <c r="AZ14" s="2"/>
      <c r="BA14" s="3"/>
      <c r="BB14" s="19" t="s">
        <v>272</v>
      </c>
      <c r="BC14" s="2"/>
      <c r="BD14" s="3"/>
      <c r="BE14" s="20">
        <v>46237</v>
      </c>
      <c r="BF14" s="2"/>
      <c r="BG14" s="3"/>
      <c r="BH14" s="19"/>
      <c r="BI14" s="2"/>
      <c r="BJ14" s="3"/>
      <c r="BK14" s="18" t="s">
        <v>278</v>
      </c>
      <c r="BL14" s="2"/>
      <c r="BM14" s="2"/>
      <c r="BN14" s="2"/>
      <c r="BO14" s="2"/>
      <c r="BP14" s="2"/>
      <c r="BQ14" s="3"/>
    </row>
    <row r="15" ht="240" customHeight="1" spans="1:69">
      <c r="A15" s="17">
        <v>3</v>
      </c>
      <c r="B15" s="18" t="s">
        <v>279</v>
      </c>
      <c r="C15" s="2"/>
      <c r="D15" s="3"/>
      <c r="E15" s="18" t="s">
        <v>280</v>
      </c>
      <c r="F15" s="2"/>
      <c r="G15" s="2"/>
      <c r="H15" s="2"/>
      <c r="I15" s="3"/>
      <c r="J15" s="18" t="s">
        <v>281</v>
      </c>
      <c r="K15" s="2"/>
      <c r="L15" s="2"/>
      <c r="M15" s="2"/>
      <c r="N15" s="2"/>
      <c r="O15" s="2"/>
      <c r="P15" s="3"/>
      <c r="Q15" s="18" t="s">
        <v>282</v>
      </c>
      <c r="R15" s="2"/>
      <c r="S15" s="2"/>
      <c r="T15" s="2"/>
      <c r="U15" s="2"/>
      <c r="V15" s="2"/>
      <c r="W15" s="3"/>
      <c r="X15" s="18" t="s">
        <v>283</v>
      </c>
      <c r="Y15" s="2"/>
      <c r="Z15" s="2"/>
      <c r="AA15" s="2"/>
      <c r="AB15" s="2"/>
      <c r="AC15" s="2"/>
      <c r="AD15" s="3"/>
      <c r="AE15" s="19" t="s">
        <v>213</v>
      </c>
      <c r="AF15" s="3"/>
      <c r="AG15" s="21" t="s">
        <v>63</v>
      </c>
      <c r="AH15" s="2"/>
      <c r="AI15" s="3"/>
      <c r="AJ15" s="22"/>
      <c r="AK15" s="2"/>
      <c r="AL15" s="3"/>
      <c r="AM15" s="21" t="s">
        <v>271</v>
      </c>
      <c r="AN15" s="2"/>
      <c r="AO15" s="3"/>
      <c r="AP15" s="23">
        <v>46171</v>
      </c>
      <c r="AQ15" s="2"/>
      <c r="AR15" s="3"/>
      <c r="AS15" s="19"/>
      <c r="AT15" s="2"/>
      <c r="AU15" s="3"/>
      <c r="AV15" s="19" t="s">
        <v>63</v>
      </c>
      <c r="AW15" s="2"/>
      <c r="AX15" s="3"/>
      <c r="AY15" s="19"/>
      <c r="AZ15" s="2"/>
      <c r="BA15" s="3"/>
      <c r="BB15" s="19" t="s">
        <v>272</v>
      </c>
      <c r="BC15" s="2"/>
      <c r="BD15" s="3"/>
      <c r="BE15" s="20">
        <v>46237</v>
      </c>
      <c r="BF15" s="2"/>
      <c r="BG15" s="3"/>
      <c r="BH15" s="19"/>
      <c r="BI15" s="2"/>
      <c r="BJ15" s="3"/>
      <c r="BK15" s="18"/>
      <c r="BL15" s="2"/>
      <c r="BM15" s="2"/>
      <c r="BN15" s="2"/>
      <c r="BO15" s="2"/>
      <c r="BP15" s="2"/>
      <c r="BQ15" s="3"/>
    </row>
    <row r="16" ht="271.5" customHeight="1" spans="1:69">
      <c r="A16" s="17">
        <v>4</v>
      </c>
      <c r="B16" s="18" t="s">
        <v>284</v>
      </c>
      <c r="C16" s="2"/>
      <c r="D16" s="3"/>
      <c r="E16" s="18" t="s">
        <v>285</v>
      </c>
      <c r="F16" s="2"/>
      <c r="G16" s="2"/>
      <c r="H16" s="2"/>
      <c r="I16" s="3"/>
      <c r="J16" s="18" t="s">
        <v>286</v>
      </c>
      <c r="K16" s="2"/>
      <c r="L16" s="2"/>
      <c r="M16" s="2"/>
      <c r="N16" s="2"/>
      <c r="O16" s="2"/>
      <c r="P16" s="3"/>
      <c r="Q16" s="18" t="s">
        <v>287</v>
      </c>
      <c r="R16" s="2"/>
      <c r="S16" s="2"/>
      <c r="T16" s="2"/>
      <c r="U16" s="2"/>
      <c r="V16" s="2"/>
      <c r="W16" s="3"/>
      <c r="X16" s="18" t="s">
        <v>288</v>
      </c>
      <c r="Y16" s="2"/>
      <c r="Z16" s="2"/>
      <c r="AA16" s="2"/>
      <c r="AB16" s="2"/>
      <c r="AC16" s="2"/>
      <c r="AD16" s="3"/>
      <c r="AE16" s="19" t="s">
        <v>213</v>
      </c>
      <c r="AF16" s="3"/>
      <c r="AG16" s="21" t="s">
        <v>63</v>
      </c>
      <c r="AH16" s="2"/>
      <c r="AI16" s="3"/>
      <c r="AJ16" s="22"/>
      <c r="AK16" s="2"/>
      <c r="AL16" s="3"/>
      <c r="AM16" s="21" t="s">
        <v>271</v>
      </c>
      <c r="AN16" s="2"/>
      <c r="AO16" s="3"/>
      <c r="AP16" s="23">
        <v>46171</v>
      </c>
      <c r="AQ16" s="2"/>
      <c r="AR16" s="3"/>
      <c r="AS16" s="19"/>
      <c r="AT16" s="2"/>
      <c r="AU16" s="3"/>
      <c r="AV16" s="19" t="s">
        <v>63</v>
      </c>
      <c r="AW16" s="2"/>
      <c r="AX16" s="3"/>
      <c r="AY16" s="19"/>
      <c r="AZ16" s="2"/>
      <c r="BA16" s="3"/>
      <c r="BB16" s="19" t="s">
        <v>272</v>
      </c>
      <c r="BC16" s="2"/>
      <c r="BD16" s="3"/>
      <c r="BE16" s="20">
        <v>46237</v>
      </c>
      <c r="BF16" s="2"/>
      <c r="BG16" s="3"/>
      <c r="BH16" s="19"/>
      <c r="BI16" s="2"/>
      <c r="BJ16" s="3"/>
      <c r="BK16" s="18"/>
      <c r="BL16" s="2"/>
      <c r="BM16" s="2"/>
      <c r="BN16" s="2"/>
      <c r="BO16" s="2"/>
      <c r="BP16" s="2"/>
      <c r="BQ16" s="3"/>
    </row>
    <row r="17" ht="271.5" customHeight="1" spans="1:69">
      <c r="A17" s="17">
        <v>5</v>
      </c>
      <c r="B17" s="18" t="s">
        <v>289</v>
      </c>
      <c r="C17" s="2"/>
      <c r="D17" s="3"/>
      <c r="E17" s="18" t="s">
        <v>290</v>
      </c>
      <c r="F17" s="2"/>
      <c r="G17" s="2"/>
      <c r="H17" s="2"/>
      <c r="I17" s="3"/>
      <c r="J17" s="18" t="s">
        <v>291</v>
      </c>
      <c r="K17" s="2"/>
      <c r="L17" s="2"/>
      <c r="M17" s="2"/>
      <c r="N17" s="2"/>
      <c r="O17" s="2"/>
      <c r="P17" s="3"/>
      <c r="Q17" s="18" t="s">
        <v>292</v>
      </c>
      <c r="R17" s="2"/>
      <c r="S17" s="2"/>
      <c r="T17" s="2"/>
      <c r="U17" s="2"/>
      <c r="V17" s="2"/>
      <c r="W17" s="3"/>
      <c r="X17" s="18" t="s">
        <v>293</v>
      </c>
      <c r="Y17" s="2"/>
      <c r="Z17" s="2"/>
      <c r="AA17" s="2"/>
      <c r="AB17" s="2"/>
      <c r="AC17" s="2"/>
      <c r="AD17" s="3"/>
      <c r="AE17" s="19" t="s">
        <v>213</v>
      </c>
      <c r="AF17" s="3"/>
      <c r="AG17" s="21" t="s">
        <v>63</v>
      </c>
      <c r="AH17" s="2"/>
      <c r="AI17" s="3"/>
      <c r="AJ17" s="22"/>
      <c r="AK17" s="2"/>
      <c r="AL17" s="3"/>
      <c r="AM17" s="21" t="s">
        <v>271</v>
      </c>
      <c r="AN17" s="2"/>
      <c r="AO17" s="3"/>
      <c r="AP17" s="23">
        <v>46171</v>
      </c>
      <c r="AQ17" s="2"/>
      <c r="AR17" s="3"/>
      <c r="AS17" s="19"/>
      <c r="AT17" s="2"/>
      <c r="AU17" s="3"/>
      <c r="AV17" s="19" t="s">
        <v>63</v>
      </c>
      <c r="AW17" s="2"/>
      <c r="AX17" s="3"/>
      <c r="AY17" s="19"/>
      <c r="AZ17" s="2"/>
      <c r="BA17" s="3"/>
      <c r="BB17" s="19" t="s">
        <v>272</v>
      </c>
      <c r="BC17" s="2"/>
      <c r="BD17" s="3"/>
      <c r="BE17" s="20">
        <v>46237</v>
      </c>
      <c r="BF17" s="2"/>
      <c r="BG17" s="3"/>
      <c r="BH17" s="19"/>
      <c r="BI17" s="2"/>
      <c r="BJ17" s="3"/>
      <c r="BK17" s="18" t="s">
        <v>294</v>
      </c>
      <c r="BL17" s="2"/>
      <c r="BM17" s="2"/>
      <c r="BN17" s="2"/>
      <c r="BO17" s="2"/>
      <c r="BP17" s="2"/>
      <c r="BQ17" s="3"/>
    </row>
    <row r="18" ht="22.5" customHeight="1" spans="1:69">
      <c r="A18" s="16" t="s">
        <v>295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3"/>
    </row>
    <row r="19" ht="319.5" customHeight="1" spans="1:69">
      <c r="A19" s="17">
        <v>6</v>
      </c>
      <c r="B19" s="18" t="s">
        <v>296</v>
      </c>
      <c r="C19" s="2"/>
      <c r="D19" s="3"/>
      <c r="E19" s="18" t="s">
        <v>297</v>
      </c>
      <c r="F19" s="2"/>
      <c r="G19" s="2"/>
      <c r="H19" s="2"/>
      <c r="I19" s="3"/>
      <c r="J19" s="18" t="s">
        <v>298</v>
      </c>
      <c r="K19" s="2"/>
      <c r="L19" s="2"/>
      <c r="M19" s="2"/>
      <c r="N19" s="2"/>
      <c r="O19" s="2"/>
      <c r="P19" s="3"/>
      <c r="Q19" s="18" t="s">
        <v>299</v>
      </c>
      <c r="R19" s="2"/>
      <c r="S19" s="2"/>
      <c r="T19" s="2"/>
      <c r="U19" s="2"/>
      <c r="V19" s="2"/>
      <c r="W19" s="3"/>
      <c r="X19" s="18" t="s">
        <v>300</v>
      </c>
      <c r="Y19" s="2"/>
      <c r="Z19" s="2"/>
      <c r="AA19" s="2"/>
      <c r="AB19" s="2"/>
      <c r="AC19" s="2"/>
      <c r="AD19" s="3"/>
      <c r="AE19" s="19" t="s">
        <v>270</v>
      </c>
      <c r="AF19" s="3"/>
      <c r="AG19" s="21" t="s">
        <v>63</v>
      </c>
      <c r="AH19" s="2"/>
      <c r="AI19" s="3"/>
      <c r="AJ19" s="22"/>
      <c r="AK19" s="2"/>
      <c r="AL19" s="3"/>
      <c r="AM19" s="21" t="s">
        <v>271</v>
      </c>
      <c r="AN19" s="2"/>
      <c r="AO19" s="3"/>
      <c r="AP19" s="23">
        <v>46171</v>
      </c>
      <c r="AQ19" s="2"/>
      <c r="AR19" s="3"/>
      <c r="AS19" s="19"/>
      <c r="AT19" s="2"/>
      <c r="AU19" s="3"/>
      <c r="AV19" s="19" t="s">
        <v>63</v>
      </c>
      <c r="AW19" s="2"/>
      <c r="AX19" s="3"/>
      <c r="AY19" s="19"/>
      <c r="AZ19" s="2"/>
      <c r="BA19" s="3"/>
      <c r="BB19" s="19" t="s">
        <v>272</v>
      </c>
      <c r="BC19" s="2"/>
      <c r="BD19" s="3"/>
      <c r="BE19" s="20">
        <v>46237</v>
      </c>
      <c r="BF19" s="2"/>
      <c r="BG19" s="3"/>
      <c r="BH19" s="19"/>
      <c r="BI19" s="2"/>
      <c r="BJ19" s="3"/>
      <c r="BK19" s="18"/>
      <c r="BL19" s="2"/>
      <c r="BM19" s="2"/>
      <c r="BN19" s="2"/>
      <c r="BO19" s="2"/>
      <c r="BP19" s="2"/>
      <c r="BQ19" s="3"/>
    </row>
    <row r="20" ht="409.5" customHeight="1" spans="1:69">
      <c r="A20" s="17">
        <v>7</v>
      </c>
      <c r="B20" s="18" t="s">
        <v>301</v>
      </c>
      <c r="C20" s="2"/>
      <c r="D20" s="3"/>
      <c r="E20" s="18" t="s">
        <v>302</v>
      </c>
      <c r="F20" s="2"/>
      <c r="G20" s="2"/>
      <c r="H20" s="2"/>
      <c r="I20" s="3"/>
      <c r="J20" s="18" t="s">
        <v>303</v>
      </c>
      <c r="K20" s="2"/>
      <c r="L20" s="2"/>
      <c r="M20" s="2"/>
      <c r="N20" s="2"/>
      <c r="O20" s="2"/>
      <c r="P20" s="3"/>
      <c r="Q20" s="18" t="s">
        <v>304</v>
      </c>
      <c r="R20" s="2"/>
      <c r="S20" s="2"/>
      <c r="T20" s="2"/>
      <c r="U20" s="2"/>
      <c r="V20" s="2"/>
      <c r="W20" s="3"/>
      <c r="X20" s="18" t="s">
        <v>305</v>
      </c>
      <c r="Y20" s="2"/>
      <c r="Z20" s="2"/>
      <c r="AA20" s="2"/>
      <c r="AB20" s="2"/>
      <c r="AC20" s="2"/>
      <c r="AD20" s="3"/>
      <c r="AE20" s="19" t="s">
        <v>270</v>
      </c>
      <c r="AF20" s="3"/>
      <c r="AG20" s="21" t="s">
        <v>63</v>
      </c>
      <c r="AH20" s="2"/>
      <c r="AI20" s="3"/>
      <c r="AJ20" s="22"/>
      <c r="AK20" s="2"/>
      <c r="AL20" s="3"/>
      <c r="AM20" s="21" t="s">
        <v>271</v>
      </c>
      <c r="AN20" s="2"/>
      <c r="AO20" s="3"/>
      <c r="AP20" s="23">
        <v>46171</v>
      </c>
      <c r="AQ20" s="2"/>
      <c r="AR20" s="3"/>
      <c r="AS20" s="19"/>
      <c r="AT20" s="2"/>
      <c r="AU20" s="3"/>
      <c r="AV20" s="19" t="s">
        <v>63</v>
      </c>
      <c r="AW20" s="2"/>
      <c r="AX20" s="3"/>
      <c r="AY20" s="19"/>
      <c r="AZ20" s="2"/>
      <c r="BA20" s="3"/>
      <c r="BB20" s="19" t="s">
        <v>306</v>
      </c>
      <c r="BC20" s="2"/>
      <c r="BD20" s="3"/>
      <c r="BE20" s="24">
        <v>46241</v>
      </c>
      <c r="BF20" s="2"/>
      <c r="BG20" s="3"/>
      <c r="BH20" s="19"/>
      <c r="BI20" s="2"/>
      <c r="BJ20" s="3"/>
      <c r="BK20" s="18"/>
      <c r="BL20" s="2"/>
      <c r="BM20" s="2"/>
      <c r="BN20" s="2"/>
      <c r="BO20" s="2"/>
      <c r="BP20" s="2"/>
      <c r="BQ20" s="3"/>
    </row>
    <row r="21" ht="331.5" customHeight="1" spans="1:69">
      <c r="A21" s="17">
        <v>8</v>
      </c>
      <c r="B21" s="18" t="s">
        <v>307</v>
      </c>
      <c r="C21" s="2"/>
      <c r="D21" s="3"/>
      <c r="E21" s="18" t="s">
        <v>308</v>
      </c>
      <c r="F21" s="2"/>
      <c r="G21" s="2"/>
      <c r="H21" s="2"/>
      <c r="I21" s="3"/>
      <c r="J21" s="18" t="s">
        <v>309</v>
      </c>
      <c r="K21" s="2"/>
      <c r="L21" s="2"/>
      <c r="M21" s="2"/>
      <c r="N21" s="2"/>
      <c r="O21" s="2"/>
      <c r="P21" s="3"/>
      <c r="Q21" s="18" t="s">
        <v>310</v>
      </c>
      <c r="R21" s="2"/>
      <c r="S21" s="2"/>
      <c r="T21" s="2"/>
      <c r="U21" s="2"/>
      <c r="V21" s="2"/>
      <c r="W21" s="3"/>
      <c r="X21" s="18" t="s">
        <v>311</v>
      </c>
      <c r="Y21" s="2"/>
      <c r="Z21" s="2"/>
      <c r="AA21" s="2"/>
      <c r="AB21" s="2"/>
      <c r="AC21" s="2"/>
      <c r="AD21" s="3"/>
      <c r="AE21" s="19" t="s">
        <v>270</v>
      </c>
      <c r="AF21" s="3"/>
      <c r="AG21" s="21" t="s">
        <v>63</v>
      </c>
      <c r="AH21" s="2"/>
      <c r="AI21" s="3"/>
      <c r="AJ21" s="22"/>
      <c r="AK21" s="2"/>
      <c r="AL21" s="3"/>
      <c r="AM21" s="21" t="s">
        <v>271</v>
      </c>
      <c r="AN21" s="2"/>
      <c r="AO21" s="3"/>
      <c r="AP21" s="23">
        <v>46171</v>
      </c>
      <c r="AQ21" s="2"/>
      <c r="AR21" s="3"/>
      <c r="AS21" s="19"/>
      <c r="AT21" s="2"/>
      <c r="AU21" s="3"/>
      <c r="AV21" s="19" t="s">
        <v>63</v>
      </c>
      <c r="AW21" s="2"/>
      <c r="AX21" s="3"/>
      <c r="AY21" s="19"/>
      <c r="AZ21" s="2"/>
      <c r="BA21" s="3"/>
      <c r="BB21" s="19" t="s">
        <v>306</v>
      </c>
      <c r="BC21" s="2"/>
      <c r="BD21" s="3"/>
      <c r="BE21" s="24">
        <v>46241</v>
      </c>
      <c r="BF21" s="2"/>
      <c r="BG21" s="3"/>
      <c r="BH21" s="19"/>
      <c r="BI21" s="2"/>
      <c r="BJ21" s="3"/>
      <c r="BK21" s="18"/>
      <c r="BL21" s="2"/>
      <c r="BM21" s="2"/>
      <c r="BN21" s="2"/>
      <c r="BO21" s="2"/>
      <c r="BP21" s="2"/>
      <c r="BQ21" s="3"/>
    </row>
    <row r="22" ht="367.5" customHeight="1" spans="1:69">
      <c r="A22" s="17">
        <v>9</v>
      </c>
      <c r="B22" s="18" t="s">
        <v>312</v>
      </c>
      <c r="C22" s="2"/>
      <c r="D22" s="3"/>
      <c r="E22" s="18" t="s">
        <v>313</v>
      </c>
      <c r="F22" s="2"/>
      <c r="G22" s="2"/>
      <c r="H22" s="2"/>
      <c r="I22" s="3"/>
      <c r="J22" s="18" t="s">
        <v>314</v>
      </c>
      <c r="K22" s="2"/>
      <c r="L22" s="2"/>
      <c r="M22" s="2"/>
      <c r="N22" s="2"/>
      <c r="O22" s="2"/>
      <c r="P22" s="3"/>
      <c r="Q22" s="18" t="s">
        <v>315</v>
      </c>
      <c r="R22" s="2"/>
      <c r="S22" s="2"/>
      <c r="T22" s="2"/>
      <c r="U22" s="2"/>
      <c r="V22" s="2"/>
      <c r="W22" s="3"/>
      <c r="X22" s="18" t="s">
        <v>316</v>
      </c>
      <c r="Y22" s="2"/>
      <c r="Z22" s="2"/>
      <c r="AA22" s="2"/>
      <c r="AB22" s="2"/>
      <c r="AC22" s="2"/>
      <c r="AD22" s="3"/>
      <c r="AE22" s="19" t="s">
        <v>270</v>
      </c>
      <c r="AF22" s="3"/>
      <c r="AG22" s="21" t="s">
        <v>63</v>
      </c>
      <c r="AH22" s="2"/>
      <c r="AI22" s="3"/>
      <c r="AJ22" s="22"/>
      <c r="AK22" s="2"/>
      <c r="AL22" s="3"/>
      <c r="AM22" s="21" t="s">
        <v>271</v>
      </c>
      <c r="AN22" s="2"/>
      <c r="AO22" s="3"/>
      <c r="AP22" s="23">
        <v>46171</v>
      </c>
      <c r="AQ22" s="2"/>
      <c r="AR22" s="3"/>
      <c r="AS22" s="19"/>
      <c r="AT22" s="2"/>
      <c r="AU22" s="3"/>
      <c r="AV22" s="19" t="s">
        <v>63</v>
      </c>
      <c r="AW22" s="2"/>
      <c r="AX22" s="3"/>
      <c r="AY22" s="19"/>
      <c r="AZ22" s="2"/>
      <c r="BA22" s="3"/>
      <c r="BB22" s="19" t="s">
        <v>272</v>
      </c>
      <c r="BC22" s="2"/>
      <c r="BD22" s="3"/>
      <c r="BE22" s="20">
        <v>46237</v>
      </c>
      <c r="BF22" s="2"/>
      <c r="BG22" s="3"/>
      <c r="BH22" s="19"/>
      <c r="BI22" s="2"/>
      <c r="BJ22" s="3"/>
      <c r="BK22" s="18"/>
      <c r="BL22" s="2"/>
      <c r="BM22" s="2"/>
      <c r="BN22" s="2"/>
      <c r="BO22" s="2"/>
      <c r="BP22" s="2"/>
      <c r="BQ22" s="3"/>
    </row>
    <row r="23" ht="288" customHeight="1" spans="1:69">
      <c r="A23" s="17">
        <v>10</v>
      </c>
      <c r="B23" s="18" t="s">
        <v>317</v>
      </c>
      <c r="C23" s="2"/>
      <c r="D23" s="3"/>
      <c r="E23" s="18" t="s">
        <v>318</v>
      </c>
      <c r="F23" s="2"/>
      <c r="G23" s="2"/>
      <c r="H23" s="2"/>
      <c r="I23" s="3"/>
      <c r="J23" s="18" t="s">
        <v>319</v>
      </c>
      <c r="K23" s="2"/>
      <c r="L23" s="2"/>
      <c r="M23" s="2"/>
      <c r="N23" s="2"/>
      <c r="O23" s="2"/>
      <c r="P23" s="3"/>
      <c r="Q23" s="18" t="s">
        <v>320</v>
      </c>
      <c r="R23" s="2"/>
      <c r="S23" s="2"/>
      <c r="T23" s="2"/>
      <c r="U23" s="2"/>
      <c r="V23" s="2"/>
      <c r="W23" s="3"/>
      <c r="X23" s="18" t="s">
        <v>321</v>
      </c>
      <c r="Y23" s="2"/>
      <c r="Z23" s="2"/>
      <c r="AA23" s="2"/>
      <c r="AB23" s="2"/>
      <c r="AC23" s="2"/>
      <c r="AD23" s="3"/>
      <c r="AE23" s="19" t="s">
        <v>270</v>
      </c>
      <c r="AF23" s="3"/>
      <c r="AG23" s="21" t="s">
        <v>63</v>
      </c>
      <c r="AH23" s="2"/>
      <c r="AI23" s="3"/>
      <c r="AJ23" s="22"/>
      <c r="AK23" s="2"/>
      <c r="AL23" s="3"/>
      <c r="AM23" s="21" t="s">
        <v>271</v>
      </c>
      <c r="AN23" s="2"/>
      <c r="AO23" s="3"/>
      <c r="AP23" s="23">
        <v>46171</v>
      </c>
      <c r="AQ23" s="2"/>
      <c r="AR23" s="3"/>
      <c r="AS23" s="19"/>
      <c r="AT23" s="2"/>
      <c r="AU23" s="3"/>
      <c r="AV23" s="19" t="s">
        <v>63</v>
      </c>
      <c r="AW23" s="2"/>
      <c r="AX23" s="3"/>
      <c r="AY23" s="19"/>
      <c r="AZ23" s="2"/>
      <c r="BA23" s="3"/>
      <c r="BB23" s="19" t="s">
        <v>272</v>
      </c>
      <c r="BC23" s="2"/>
      <c r="BD23" s="3"/>
      <c r="BE23" s="20">
        <v>46237</v>
      </c>
      <c r="BF23" s="2"/>
      <c r="BG23" s="3"/>
      <c r="BH23" s="19"/>
      <c r="BI23" s="2"/>
      <c r="BJ23" s="3"/>
      <c r="BK23" s="18"/>
      <c r="BL23" s="2"/>
      <c r="BM23" s="2"/>
      <c r="BN23" s="2"/>
      <c r="BO23" s="2"/>
      <c r="BP23" s="2"/>
      <c r="BQ23" s="3"/>
    </row>
    <row r="24" ht="336" customHeight="1" spans="1:69">
      <c r="A24" s="17">
        <v>11</v>
      </c>
      <c r="B24" s="18" t="s">
        <v>322</v>
      </c>
      <c r="C24" s="2"/>
      <c r="D24" s="3"/>
      <c r="E24" s="18" t="s">
        <v>323</v>
      </c>
      <c r="F24" s="2"/>
      <c r="G24" s="2"/>
      <c r="H24" s="2"/>
      <c r="I24" s="3"/>
      <c r="J24" s="18" t="s">
        <v>324</v>
      </c>
      <c r="K24" s="2"/>
      <c r="L24" s="2"/>
      <c r="M24" s="2"/>
      <c r="N24" s="2"/>
      <c r="O24" s="2"/>
      <c r="P24" s="3"/>
      <c r="Q24" s="18" t="s">
        <v>325</v>
      </c>
      <c r="R24" s="2"/>
      <c r="S24" s="2"/>
      <c r="T24" s="2"/>
      <c r="U24" s="2"/>
      <c r="V24" s="2"/>
      <c r="W24" s="3"/>
      <c r="X24" s="18" t="s">
        <v>326</v>
      </c>
      <c r="Y24" s="2"/>
      <c r="Z24" s="2"/>
      <c r="AA24" s="2"/>
      <c r="AB24" s="2"/>
      <c r="AC24" s="2"/>
      <c r="AD24" s="3"/>
      <c r="AE24" s="19" t="s">
        <v>270</v>
      </c>
      <c r="AF24" s="3"/>
      <c r="AG24" s="21" t="s">
        <v>63</v>
      </c>
      <c r="AH24" s="2"/>
      <c r="AI24" s="3"/>
      <c r="AJ24" s="22"/>
      <c r="AK24" s="2"/>
      <c r="AL24" s="3"/>
      <c r="AM24" s="21" t="s">
        <v>271</v>
      </c>
      <c r="AN24" s="2"/>
      <c r="AO24" s="3"/>
      <c r="AP24" s="23">
        <v>46171</v>
      </c>
      <c r="AQ24" s="2"/>
      <c r="AR24" s="3"/>
      <c r="AS24" s="19"/>
      <c r="AT24" s="2"/>
      <c r="AU24" s="3"/>
      <c r="AV24" s="19" t="s">
        <v>63</v>
      </c>
      <c r="AW24" s="2"/>
      <c r="AX24" s="3"/>
      <c r="AY24" s="19"/>
      <c r="AZ24" s="2"/>
      <c r="BA24" s="3"/>
      <c r="BB24" s="19" t="s">
        <v>272</v>
      </c>
      <c r="BC24" s="2"/>
      <c r="BD24" s="3"/>
      <c r="BE24" s="20">
        <v>46237</v>
      </c>
      <c r="BF24" s="2"/>
      <c r="BG24" s="3"/>
      <c r="BH24" s="19"/>
      <c r="BI24" s="2"/>
      <c r="BJ24" s="3"/>
      <c r="BK24" s="18" t="s">
        <v>294</v>
      </c>
      <c r="BL24" s="2"/>
      <c r="BM24" s="2"/>
      <c r="BN24" s="2"/>
      <c r="BO24" s="2"/>
      <c r="BP24" s="2"/>
      <c r="BQ24" s="3"/>
    </row>
    <row r="25" ht="22.5" customHeight="1" spans="1:69">
      <c r="A25" s="16" t="s">
        <v>327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3"/>
    </row>
    <row r="26" ht="255.75" customHeight="1" spans="1:69">
      <c r="A26" s="17">
        <v>12</v>
      </c>
      <c r="B26" s="18" t="s">
        <v>328</v>
      </c>
      <c r="C26" s="2"/>
      <c r="D26" s="3"/>
      <c r="E26" s="18" t="s">
        <v>329</v>
      </c>
      <c r="F26" s="2"/>
      <c r="G26" s="2"/>
      <c r="H26" s="2"/>
      <c r="I26" s="3"/>
      <c r="J26" s="18" t="s">
        <v>330</v>
      </c>
      <c r="K26" s="2"/>
      <c r="L26" s="2"/>
      <c r="M26" s="2"/>
      <c r="N26" s="2"/>
      <c r="O26" s="2"/>
      <c r="P26" s="3"/>
      <c r="Q26" s="18" t="s">
        <v>331</v>
      </c>
      <c r="R26" s="2"/>
      <c r="S26" s="2"/>
      <c r="T26" s="2"/>
      <c r="U26" s="2"/>
      <c r="V26" s="2"/>
      <c r="W26" s="3"/>
      <c r="X26" s="18" t="s">
        <v>332</v>
      </c>
      <c r="Y26" s="2"/>
      <c r="Z26" s="2"/>
      <c r="AA26" s="2"/>
      <c r="AB26" s="2"/>
      <c r="AC26" s="2"/>
      <c r="AD26" s="3"/>
      <c r="AE26" s="19" t="s">
        <v>270</v>
      </c>
      <c r="AF26" s="3"/>
      <c r="AG26" s="21" t="s">
        <v>63</v>
      </c>
      <c r="AH26" s="2"/>
      <c r="AI26" s="3"/>
      <c r="AJ26" s="22"/>
      <c r="AK26" s="2"/>
      <c r="AL26" s="3"/>
      <c r="AM26" s="21" t="s">
        <v>271</v>
      </c>
      <c r="AN26" s="2"/>
      <c r="AO26" s="3"/>
      <c r="AP26" s="23">
        <v>46171</v>
      </c>
      <c r="AQ26" s="2"/>
      <c r="AR26" s="3"/>
      <c r="AS26" s="19"/>
      <c r="AT26" s="2"/>
      <c r="AU26" s="3"/>
      <c r="AV26" s="19" t="s">
        <v>63</v>
      </c>
      <c r="AW26" s="2"/>
      <c r="AX26" s="3"/>
      <c r="AY26" s="19"/>
      <c r="AZ26" s="2"/>
      <c r="BA26" s="3"/>
      <c r="BB26" s="19" t="s">
        <v>272</v>
      </c>
      <c r="BC26" s="2"/>
      <c r="BD26" s="3"/>
      <c r="BE26" s="20">
        <v>46237</v>
      </c>
      <c r="BF26" s="2"/>
      <c r="BG26" s="3"/>
      <c r="BH26" s="19"/>
      <c r="BI26" s="2"/>
      <c r="BJ26" s="3"/>
      <c r="BK26" s="18"/>
      <c r="BL26" s="2"/>
      <c r="BM26" s="2"/>
      <c r="BN26" s="2"/>
      <c r="BO26" s="2"/>
      <c r="BP26" s="2"/>
      <c r="BQ26" s="3"/>
    </row>
    <row r="27" ht="303.75" customHeight="1" spans="1:69">
      <c r="A27" s="25">
        <v>13</v>
      </c>
      <c r="B27" s="26" t="s">
        <v>333</v>
      </c>
      <c r="C27" s="2"/>
      <c r="D27" s="3"/>
      <c r="E27" s="26" t="s">
        <v>334</v>
      </c>
      <c r="F27" s="2"/>
      <c r="G27" s="2"/>
      <c r="H27" s="2"/>
      <c r="I27" s="3"/>
      <c r="J27" s="26" t="s">
        <v>330</v>
      </c>
      <c r="K27" s="2"/>
      <c r="L27" s="2"/>
      <c r="M27" s="2"/>
      <c r="N27" s="2"/>
      <c r="O27" s="2"/>
      <c r="P27" s="3"/>
      <c r="Q27" s="26" t="s">
        <v>335</v>
      </c>
      <c r="R27" s="2"/>
      <c r="S27" s="2"/>
      <c r="T27" s="2"/>
      <c r="U27" s="2"/>
      <c r="V27" s="2"/>
      <c r="W27" s="3"/>
      <c r="X27" s="26" t="s">
        <v>336</v>
      </c>
      <c r="Y27" s="2"/>
      <c r="Z27" s="2"/>
      <c r="AA27" s="2"/>
      <c r="AB27" s="2"/>
      <c r="AC27" s="2"/>
      <c r="AD27" s="3"/>
      <c r="AE27" s="27" t="s">
        <v>270</v>
      </c>
      <c r="AF27" s="3"/>
      <c r="AG27" s="28" t="s">
        <v>66</v>
      </c>
      <c r="AH27" s="2"/>
      <c r="AI27" s="3"/>
      <c r="AJ27" s="29"/>
      <c r="AK27" s="2"/>
      <c r="AL27" s="3"/>
      <c r="AM27" s="28" t="s">
        <v>271</v>
      </c>
      <c r="AN27" s="2"/>
      <c r="AO27" s="3"/>
      <c r="AP27" s="30">
        <v>46171</v>
      </c>
      <c r="AQ27" s="2"/>
      <c r="AR27" s="3"/>
      <c r="AS27" s="27"/>
      <c r="AT27" s="2"/>
      <c r="AU27" s="3"/>
      <c r="AV27" s="28" t="s">
        <v>66</v>
      </c>
      <c r="AW27" s="2"/>
      <c r="AX27" s="3"/>
      <c r="AY27" s="27"/>
      <c r="AZ27" s="2"/>
      <c r="BA27" s="3"/>
      <c r="BB27" s="27"/>
      <c r="BC27" s="2"/>
      <c r="BD27" s="3"/>
      <c r="BE27" s="27"/>
      <c r="BF27" s="2"/>
      <c r="BG27" s="3"/>
      <c r="BH27" s="27"/>
      <c r="BI27" s="2"/>
      <c r="BJ27" s="3"/>
      <c r="BK27" s="26"/>
      <c r="BL27" s="2"/>
      <c r="BM27" s="2"/>
      <c r="BN27" s="2"/>
      <c r="BO27" s="2"/>
      <c r="BP27" s="2"/>
      <c r="BQ27" s="3"/>
    </row>
    <row r="28" ht="175.5" customHeight="1" spans="1:69">
      <c r="A28" s="17">
        <v>14</v>
      </c>
      <c r="B28" s="18" t="s">
        <v>337</v>
      </c>
      <c r="C28" s="2"/>
      <c r="D28" s="3"/>
      <c r="E28" s="18" t="s">
        <v>338</v>
      </c>
      <c r="F28" s="2"/>
      <c r="G28" s="2"/>
      <c r="H28" s="2"/>
      <c r="I28" s="3"/>
      <c r="J28" s="18" t="s">
        <v>330</v>
      </c>
      <c r="K28" s="2"/>
      <c r="L28" s="2"/>
      <c r="M28" s="2"/>
      <c r="N28" s="2"/>
      <c r="O28" s="2"/>
      <c r="P28" s="3"/>
      <c r="Q28" s="18" t="s">
        <v>339</v>
      </c>
      <c r="R28" s="2"/>
      <c r="S28" s="2"/>
      <c r="T28" s="2"/>
      <c r="U28" s="2"/>
      <c r="V28" s="2"/>
      <c r="W28" s="3"/>
      <c r="X28" s="18" t="s">
        <v>340</v>
      </c>
      <c r="Y28" s="2"/>
      <c r="Z28" s="2"/>
      <c r="AA28" s="2"/>
      <c r="AB28" s="2"/>
      <c r="AC28" s="2"/>
      <c r="AD28" s="3"/>
      <c r="AE28" s="19" t="s">
        <v>270</v>
      </c>
      <c r="AF28" s="3"/>
      <c r="AG28" s="21" t="s">
        <v>63</v>
      </c>
      <c r="AH28" s="2"/>
      <c r="AI28" s="3"/>
      <c r="AJ28" s="22"/>
      <c r="AK28" s="2"/>
      <c r="AL28" s="3"/>
      <c r="AM28" s="21" t="s">
        <v>271</v>
      </c>
      <c r="AN28" s="2"/>
      <c r="AO28" s="3"/>
      <c r="AP28" s="23">
        <v>46171</v>
      </c>
      <c r="AQ28" s="2"/>
      <c r="AR28" s="3"/>
      <c r="AS28" s="19"/>
      <c r="AT28" s="2"/>
      <c r="AU28" s="3"/>
      <c r="AV28" s="19" t="s">
        <v>63</v>
      </c>
      <c r="AW28" s="2"/>
      <c r="AX28" s="3"/>
      <c r="AY28" s="19"/>
      <c r="AZ28" s="2"/>
      <c r="BA28" s="3"/>
      <c r="BB28" s="19" t="s">
        <v>272</v>
      </c>
      <c r="BC28" s="2"/>
      <c r="BD28" s="3"/>
      <c r="BE28" s="20">
        <v>46237</v>
      </c>
      <c r="BF28" s="2"/>
      <c r="BG28" s="3"/>
      <c r="BH28" s="19"/>
      <c r="BI28" s="2"/>
      <c r="BJ28" s="3"/>
      <c r="BK28" s="18" t="s">
        <v>294</v>
      </c>
      <c r="BL28" s="2"/>
      <c r="BM28" s="2"/>
      <c r="BN28" s="2"/>
      <c r="BO28" s="2"/>
      <c r="BP28" s="2"/>
      <c r="BQ28" s="3"/>
    </row>
    <row r="29" ht="22.5" customHeight="1" spans="1:69">
      <c r="A29" s="16" t="s">
        <v>341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3"/>
    </row>
    <row r="30" ht="319.5" customHeight="1" spans="1:69">
      <c r="A30" s="17">
        <v>15</v>
      </c>
      <c r="B30" s="18" t="s">
        <v>342</v>
      </c>
      <c r="C30" s="2"/>
      <c r="D30" s="3"/>
      <c r="E30" s="18" t="s">
        <v>343</v>
      </c>
      <c r="F30" s="2"/>
      <c r="G30" s="2"/>
      <c r="H30" s="2"/>
      <c r="I30" s="3"/>
      <c r="J30" s="18" t="s">
        <v>324</v>
      </c>
      <c r="K30" s="2"/>
      <c r="L30" s="2"/>
      <c r="M30" s="2"/>
      <c r="N30" s="2"/>
      <c r="O30" s="2"/>
      <c r="P30" s="3"/>
      <c r="Q30" s="18" t="s">
        <v>344</v>
      </c>
      <c r="R30" s="2"/>
      <c r="S30" s="2"/>
      <c r="T30" s="2"/>
      <c r="U30" s="2"/>
      <c r="V30" s="2"/>
      <c r="W30" s="3"/>
      <c r="X30" s="18" t="s">
        <v>345</v>
      </c>
      <c r="Y30" s="2"/>
      <c r="Z30" s="2"/>
      <c r="AA30" s="2"/>
      <c r="AB30" s="2"/>
      <c r="AC30" s="2"/>
      <c r="AD30" s="3"/>
      <c r="AE30" s="19" t="s">
        <v>213</v>
      </c>
      <c r="AF30" s="3"/>
      <c r="AG30" s="21" t="s">
        <v>63</v>
      </c>
      <c r="AH30" s="2"/>
      <c r="AI30" s="3"/>
      <c r="AJ30" s="22"/>
      <c r="AK30" s="2"/>
      <c r="AL30" s="3"/>
      <c r="AM30" s="21" t="s">
        <v>271</v>
      </c>
      <c r="AN30" s="2"/>
      <c r="AO30" s="3"/>
      <c r="AP30" s="23">
        <v>46171</v>
      </c>
      <c r="AQ30" s="2"/>
      <c r="AR30" s="3"/>
      <c r="AS30" s="19"/>
      <c r="AT30" s="2"/>
      <c r="AU30" s="3"/>
      <c r="AV30" s="19" t="s">
        <v>63</v>
      </c>
      <c r="AW30" s="2"/>
      <c r="AX30" s="3"/>
      <c r="AY30" s="19"/>
      <c r="AZ30" s="2"/>
      <c r="BA30" s="3"/>
      <c r="BB30" s="19" t="s">
        <v>306</v>
      </c>
      <c r="BC30" s="2"/>
      <c r="BD30" s="3"/>
      <c r="BE30" s="24">
        <v>46241</v>
      </c>
      <c r="BF30" s="2"/>
      <c r="BG30" s="3"/>
      <c r="BH30" s="19"/>
      <c r="BI30" s="2"/>
      <c r="BJ30" s="3"/>
      <c r="BK30" s="18"/>
      <c r="BL30" s="2"/>
      <c r="BM30" s="2"/>
      <c r="BN30" s="2"/>
      <c r="BO30" s="2"/>
      <c r="BP30" s="2"/>
      <c r="BQ30" s="3"/>
    </row>
    <row r="31" ht="409.5" customHeight="1" spans="1:69">
      <c r="A31" s="17">
        <v>16</v>
      </c>
      <c r="B31" s="18" t="s">
        <v>346</v>
      </c>
      <c r="C31" s="2"/>
      <c r="D31" s="3"/>
      <c r="E31" s="18" t="s">
        <v>347</v>
      </c>
      <c r="F31" s="2"/>
      <c r="G31" s="2"/>
      <c r="H31" s="2"/>
      <c r="I31" s="3"/>
      <c r="J31" s="18" t="s">
        <v>348</v>
      </c>
      <c r="K31" s="2"/>
      <c r="L31" s="2"/>
      <c r="M31" s="2"/>
      <c r="N31" s="2"/>
      <c r="O31" s="2"/>
      <c r="P31" s="3"/>
      <c r="Q31" s="18" t="s">
        <v>349</v>
      </c>
      <c r="R31" s="2"/>
      <c r="S31" s="2"/>
      <c r="T31" s="2"/>
      <c r="U31" s="2"/>
      <c r="V31" s="2"/>
      <c r="W31" s="3"/>
      <c r="X31" s="18" t="s">
        <v>350</v>
      </c>
      <c r="Y31" s="2"/>
      <c r="Z31" s="2"/>
      <c r="AA31" s="2"/>
      <c r="AB31" s="2"/>
      <c r="AC31" s="2"/>
      <c r="AD31" s="3"/>
      <c r="AE31" s="19" t="s">
        <v>217</v>
      </c>
      <c r="AF31" s="3"/>
      <c r="AG31" s="21" t="s">
        <v>63</v>
      </c>
      <c r="AH31" s="2"/>
      <c r="AI31" s="3"/>
      <c r="AJ31" s="22"/>
      <c r="AK31" s="2"/>
      <c r="AL31" s="3"/>
      <c r="AM31" s="21" t="s">
        <v>271</v>
      </c>
      <c r="AN31" s="2"/>
      <c r="AO31" s="3"/>
      <c r="AP31" s="23">
        <v>46171</v>
      </c>
      <c r="AQ31" s="2"/>
      <c r="AR31" s="3"/>
      <c r="AS31" s="19"/>
      <c r="AT31" s="2"/>
      <c r="AU31" s="3"/>
      <c r="AV31" s="19" t="s">
        <v>63</v>
      </c>
      <c r="AW31" s="2"/>
      <c r="AX31" s="3"/>
      <c r="AY31" s="19"/>
      <c r="AZ31" s="2"/>
      <c r="BA31" s="3"/>
      <c r="BB31" s="19" t="s">
        <v>306</v>
      </c>
      <c r="BC31" s="2"/>
      <c r="BD31" s="3"/>
      <c r="BE31" s="24">
        <v>46241</v>
      </c>
      <c r="BF31" s="2"/>
      <c r="BG31" s="3"/>
      <c r="BH31" s="19"/>
      <c r="BI31" s="2"/>
      <c r="BJ31" s="3"/>
      <c r="BK31" s="18"/>
      <c r="BL31" s="2"/>
      <c r="BM31" s="2"/>
      <c r="BN31" s="2"/>
      <c r="BO31" s="2"/>
      <c r="BP31" s="2"/>
      <c r="BQ31" s="3"/>
    </row>
    <row r="32" ht="384" customHeight="1" spans="1:69">
      <c r="A32" s="17">
        <v>17</v>
      </c>
      <c r="B32" s="18" t="s">
        <v>351</v>
      </c>
      <c r="C32" s="2"/>
      <c r="D32" s="3"/>
      <c r="E32" s="18" t="s">
        <v>352</v>
      </c>
      <c r="F32" s="2"/>
      <c r="G32" s="2"/>
      <c r="H32" s="2"/>
      <c r="I32" s="3"/>
      <c r="J32" s="18" t="s">
        <v>348</v>
      </c>
      <c r="K32" s="2"/>
      <c r="L32" s="2"/>
      <c r="M32" s="2"/>
      <c r="N32" s="2"/>
      <c r="O32" s="2"/>
      <c r="P32" s="3"/>
      <c r="Q32" s="18" t="s">
        <v>353</v>
      </c>
      <c r="R32" s="2"/>
      <c r="S32" s="2"/>
      <c r="T32" s="2"/>
      <c r="U32" s="2"/>
      <c r="V32" s="2"/>
      <c r="W32" s="3"/>
      <c r="X32" s="18" t="s">
        <v>354</v>
      </c>
      <c r="Y32" s="2"/>
      <c r="Z32" s="2"/>
      <c r="AA32" s="2"/>
      <c r="AB32" s="2"/>
      <c r="AC32" s="2"/>
      <c r="AD32" s="3"/>
      <c r="AE32" s="19" t="s">
        <v>213</v>
      </c>
      <c r="AF32" s="3"/>
      <c r="AG32" s="21" t="s">
        <v>63</v>
      </c>
      <c r="AH32" s="2"/>
      <c r="AI32" s="3"/>
      <c r="AJ32" s="22"/>
      <c r="AK32" s="2"/>
      <c r="AL32" s="3"/>
      <c r="AM32" s="21" t="s">
        <v>271</v>
      </c>
      <c r="AN32" s="2"/>
      <c r="AO32" s="3"/>
      <c r="AP32" s="23">
        <v>46171</v>
      </c>
      <c r="AQ32" s="2"/>
      <c r="AR32" s="3"/>
      <c r="AS32" s="19"/>
      <c r="AT32" s="2"/>
      <c r="AU32" s="3"/>
      <c r="AV32" s="19" t="s">
        <v>63</v>
      </c>
      <c r="AW32" s="2"/>
      <c r="AX32" s="3"/>
      <c r="AY32" s="19"/>
      <c r="AZ32" s="2"/>
      <c r="BA32" s="3"/>
      <c r="BB32" s="19" t="s">
        <v>306</v>
      </c>
      <c r="BC32" s="2"/>
      <c r="BD32" s="3"/>
      <c r="BE32" s="24">
        <v>46241</v>
      </c>
      <c r="BF32" s="2"/>
      <c r="BG32" s="3"/>
      <c r="BH32" s="19"/>
      <c r="BI32" s="2"/>
      <c r="BJ32" s="3"/>
      <c r="BK32" s="18" t="s">
        <v>355</v>
      </c>
      <c r="BL32" s="2"/>
      <c r="BM32" s="2"/>
      <c r="BN32" s="2"/>
      <c r="BO32" s="2"/>
      <c r="BP32" s="2"/>
      <c r="BQ32" s="3"/>
    </row>
    <row r="33" ht="367.5" customHeight="1" spans="1:69">
      <c r="A33" s="17">
        <v>18</v>
      </c>
      <c r="B33" s="18" t="s">
        <v>356</v>
      </c>
      <c r="C33" s="2"/>
      <c r="D33" s="3"/>
      <c r="E33" s="18" t="s">
        <v>357</v>
      </c>
      <c r="F33" s="2"/>
      <c r="G33" s="2"/>
      <c r="H33" s="2"/>
      <c r="I33" s="3"/>
      <c r="J33" s="18" t="s">
        <v>324</v>
      </c>
      <c r="K33" s="2"/>
      <c r="L33" s="2"/>
      <c r="M33" s="2"/>
      <c r="N33" s="2"/>
      <c r="O33" s="2"/>
      <c r="P33" s="3"/>
      <c r="Q33" s="18" t="s">
        <v>358</v>
      </c>
      <c r="R33" s="2"/>
      <c r="S33" s="2"/>
      <c r="T33" s="2"/>
      <c r="U33" s="2"/>
      <c r="V33" s="2"/>
      <c r="W33" s="3"/>
      <c r="X33" s="18" t="s">
        <v>359</v>
      </c>
      <c r="Y33" s="2"/>
      <c r="Z33" s="2"/>
      <c r="AA33" s="2"/>
      <c r="AB33" s="2"/>
      <c r="AC33" s="2"/>
      <c r="AD33" s="3"/>
      <c r="AE33" s="19" t="s">
        <v>270</v>
      </c>
      <c r="AF33" s="3"/>
      <c r="AG33" s="21" t="s">
        <v>63</v>
      </c>
      <c r="AH33" s="2"/>
      <c r="AI33" s="3"/>
      <c r="AJ33" s="22"/>
      <c r="AK33" s="2"/>
      <c r="AL33" s="3"/>
      <c r="AM33" s="21" t="s">
        <v>271</v>
      </c>
      <c r="AN33" s="2"/>
      <c r="AO33" s="3"/>
      <c r="AP33" s="23">
        <v>46171</v>
      </c>
      <c r="AQ33" s="2"/>
      <c r="AR33" s="3"/>
      <c r="AS33" s="19"/>
      <c r="AT33" s="2"/>
      <c r="AU33" s="3"/>
      <c r="AV33" s="19" t="s">
        <v>63</v>
      </c>
      <c r="AW33" s="2"/>
      <c r="AX33" s="3"/>
      <c r="AY33" s="19"/>
      <c r="AZ33" s="2"/>
      <c r="BA33" s="3"/>
      <c r="BB33" s="19" t="s">
        <v>306</v>
      </c>
      <c r="BC33" s="2"/>
      <c r="BD33" s="3"/>
      <c r="BE33" s="24">
        <v>46241</v>
      </c>
      <c r="BF33" s="2"/>
      <c r="BG33" s="3"/>
      <c r="BH33" s="19"/>
      <c r="BI33" s="2"/>
      <c r="BJ33" s="3"/>
      <c r="BK33" s="18"/>
      <c r="BL33" s="2"/>
      <c r="BM33" s="2"/>
      <c r="BN33" s="2"/>
      <c r="BO33" s="2"/>
      <c r="BP33" s="2"/>
      <c r="BQ33" s="3"/>
    </row>
    <row r="34" ht="240" customHeight="1" spans="1:69">
      <c r="A34" s="17">
        <v>19</v>
      </c>
      <c r="B34" s="18" t="s">
        <v>360</v>
      </c>
      <c r="C34" s="2"/>
      <c r="D34" s="3"/>
      <c r="E34" s="18" t="s">
        <v>361</v>
      </c>
      <c r="F34" s="2"/>
      <c r="G34" s="2"/>
      <c r="H34" s="2"/>
      <c r="I34" s="3"/>
      <c r="J34" s="18" t="s">
        <v>324</v>
      </c>
      <c r="K34" s="2"/>
      <c r="L34" s="2"/>
      <c r="M34" s="2"/>
      <c r="N34" s="2"/>
      <c r="O34" s="2"/>
      <c r="P34" s="3"/>
      <c r="Q34" s="18" t="s">
        <v>362</v>
      </c>
      <c r="R34" s="2"/>
      <c r="S34" s="2"/>
      <c r="T34" s="2"/>
      <c r="U34" s="2"/>
      <c r="V34" s="2"/>
      <c r="W34" s="3"/>
      <c r="X34" s="18" t="s">
        <v>363</v>
      </c>
      <c r="Y34" s="2"/>
      <c r="Z34" s="2"/>
      <c r="AA34" s="2"/>
      <c r="AB34" s="2"/>
      <c r="AC34" s="2"/>
      <c r="AD34" s="3"/>
      <c r="AE34" s="19" t="s">
        <v>270</v>
      </c>
      <c r="AF34" s="3"/>
      <c r="AG34" s="21" t="s">
        <v>63</v>
      </c>
      <c r="AH34" s="2"/>
      <c r="AI34" s="3"/>
      <c r="AJ34" s="22"/>
      <c r="AK34" s="2"/>
      <c r="AL34" s="3"/>
      <c r="AM34" s="21" t="s">
        <v>271</v>
      </c>
      <c r="AN34" s="2"/>
      <c r="AO34" s="3"/>
      <c r="AP34" s="23">
        <v>46171</v>
      </c>
      <c r="AQ34" s="2"/>
      <c r="AR34" s="3"/>
      <c r="AS34" s="19"/>
      <c r="AT34" s="2"/>
      <c r="AU34" s="3"/>
      <c r="AV34" s="19" t="s">
        <v>63</v>
      </c>
      <c r="AW34" s="2"/>
      <c r="AX34" s="3"/>
      <c r="AY34" s="19"/>
      <c r="AZ34" s="2"/>
      <c r="BA34" s="3"/>
      <c r="BB34" s="19" t="s">
        <v>306</v>
      </c>
      <c r="BC34" s="2"/>
      <c r="BD34" s="3"/>
      <c r="BE34" s="24">
        <v>46241</v>
      </c>
      <c r="BF34" s="2"/>
      <c r="BG34" s="3"/>
      <c r="BH34" s="19"/>
      <c r="BI34" s="2"/>
      <c r="BJ34" s="3"/>
      <c r="BK34" s="18"/>
      <c r="BL34" s="2"/>
      <c r="BM34" s="2"/>
      <c r="BN34" s="2"/>
      <c r="BO34" s="2"/>
      <c r="BP34" s="2"/>
      <c r="BQ34" s="3"/>
    </row>
    <row r="35" ht="384" customHeight="1" spans="1:69">
      <c r="A35" s="17">
        <v>20</v>
      </c>
      <c r="B35" s="18" t="s">
        <v>364</v>
      </c>
      <c r="C35" s="2"/>
      <c r="D35" s="3"/>
      <c r="E35" s="18" t="s">
        <v>365</v>
      </c>
      <c r="F35" s="2"/>
      <c r="G35" s="2"/>
      <c r="H35" s="2"/>
      <c r="I35" s="3"/>
      <c r="J35" s="18" t="s">
        <v>348</v>
      </c>
      <c r="K35" s="2"/>
      <c r="L35" s="2"/>
      <c r="M35" s="2"/>
      <c r="N35" s="2"/>
      <c r="O35" s="2"/>
      <c r="P35" s="3"/>
      <c r="Q35" s="18" t="s">
        <v>366</v>
      </c>
      <c r="R35" s="2"/>
      <c r="S35" s="2"/>
      <c r="T35" s="2"/>
      <c r="U35" s="2"/>
      <c r="V35" s="2"/>
      <c r="W35" s="3"/>
      <c r="X35" s="18" t="s">
        <v>367</v>
      </c>
      <c r="Y35" s="2"/>
      <c r="Z35" s="2"/>
      <c r="AA35" s="2"/>
      <c r="AB35" s="2"/>
      <c r="AC35" s="2"/>
      <c r="AD35" s="3"/>
      <c r="AE35" s="19" t="s">
        <v>213</v>
      </c>
      <c r="AF35" s="3"/>
      <c r="AG35" s="21" t="s">
        <v>63</v>
      </c>
      <c r="AH35" s="2"/>
      <c r="AI35" s="3"/>
      <c r="AJ35" s="22"/>
      <c r="AK35" s="2"/>
      <c r="AL35" s="3"/>
      <c r="AM35" s="21" t="s">
        <v>271</v>
      </c>
      <c r="AN35" s="2"/>
      <c r="AO35" s="3"/>
      <c r="AP35" s="23">
        <v>46171</v>
      </c>
      <c r="AQ35" s="2"/>
      <c r="AR35" s="3"/>
      <c r="AS35" s="19"/>
      <c r="AT35" s="2"/>
      <c r="AU35" s="3"/>
      <c r="AV35" s="19" t="s">
        <v>63</v>
      </c>
      <c r="AW35" s="2"/>
      <c r="AX35" s="3"/>
      <c r="AY35" s="19"/>
      <c r="AZ35" s="2"/>
      <c r="BA35" s="3"/>
      <c r="BB35" s="19" t="s">
        <v>306</v>
      </c>
      <c r="BC35" s="2"/>
      <c r="BD35" s="3"/>
      <c r="BE35" s="24">
        <v>46241</v>
      </c>
      <c r="BF35" s="2"/>
      <c r="BG35" s="3"/>
      <c r="BH35" s="19"/>
      <c r="BI35" s="2"/>
      <c r="BJ35" s="3"/>
      <c r="BK35" s="18"/>
      <c r="BL35" s="2"/>
      <c r="BM35" s="2"/>
      <c r="BN35" s="2"/>
      <c r="BO35" s="2"/>
      <c r="BP35" s="2"/>
      <c r="BQ35" s="3"/>
    </row>
    <row r="36" ht="351.75" customHeight="1" spans="1:69">
      <c r="A36" s="17">
        <v>21</v>
      </c>
      <c r="B36" s="18" t="s">
        <v>368</v>
      </c>
      <c r="C36" s="2"/>
      <c r="D36" s="3"/>
      <c r="E36" s="18" t="s">
        <v>369</v>
      </c>
      <c r="F36" s="2"/>
      <c r="G36" s="2"/>
      <c r="H36" s="2"/>
      <c r="I36" s="3"/>
      <c r="J36" s="18" t="s">
        <v>370</v>
      </c>
      <c r="K36" s="2"/>
      <c r="L36" s="2"/>
      <c r="M36" s="2"/>
      <c r="N36" s="2"/>
      <c r="O36" s="2"/>
      <c r="P36" s="3"/>
      <c r="Q36" s="18" t="s">
        <v>371</v>
      </c>
      <c r="R36" s="2"/>
      <c r="S36" s="2"/>
      <c r="T36" s="2"/>
      <c r="U36" s="2"/>
      <c r="V36" s="2"/>
      <c r="W36" s="3"/>
      <c r="X36" s="18" t="s">
        <v>372</v>
      </c>
      <c r="Y36" s="2"/>
      <c r="Z36" s="2"/>
      <c r="AA36" s="2"/>
      <c r="AB36" s="2"/>
      <c r="AC36" s="2"/>
      <c r="AD36" s="3"/>
      <c r="AE36" s="19" t="s">
        <v>213</v>
      </c>
      <c r="AF36" s="3"/>
      <c r="AG36" s="21" t="s">
        <v>63</v>
      </c>
      <c r="AH36" s="2"/>
      <c r="AI36" s="3"/>
      <c r="AJ36" s="22"/>
      <c r="AK36" s="2"/>
      <c r="AL36" s="3"/>
      <c r="AM36" s="21" t="s">
        <v>271</v>
      </c>
      <c r="AN36" s="2"/>
      <c r="AO36" s="3"/>
      <c r="AP36" s="23">
        <v>46171</v>
      </c>
      <c r="AQ36" s="2"/>
      <c r="AR36" s="3"/>
      <c r="AS36" s="19"/>
      <c r="AT36" s="2"/>
      <c r="AU36" s="3"/>
      <c r="AV36" s="19" t="s">
        <v>63</v>
      </c>
      <c r="AW36" s="2"/>
      <c r="AX36" s="3"/>
      <c r="AY36" s="19"/>
      <c r="AZ36" s="2"/>
      <c r="BA36" s="3"/>
      <c r="BB36" s="19" t="s">
        <v>306</v>
      </c>
      <c r="BC36" s="2"/>
      <c r="BD36" s="3"/>
      <c r="BE36" s="24">
        <v>46241</v>
      </c>
      <c r="BF36" s="2"/>
      <c r="BG36" s="3"/>
      <c r="BH36" s="19"/>
      <c r="BI36" s="2"/>
      <c r="BJ36" s="3"/>
      <c r="BK36" s="18" t="s">
        <v>373</v>
      </c>
      <c r="BL36" s="2"/>
      <c r="BM36" s="2"/>
      <c r="BN36" s="2"/>
      <c r="BO36" s="2"/>
      <c r="BP36" s="2"/>
      <c r="BQ36" s="3"/>
    </row>
    <row r="37" ht="288" customHeight="1" spans="1:69">
      <c r="A37" s="17">
        <v>22</v>
      </c>
      <c r="B37" s="18" t="s">
        <v>374</v>
      </c>
      <c r="C37" s="2"/>
      <c r="D37" s="3"/>
      <c r="E37" s="18" t="s">
        <v>375</v>
      </c>
      <c r="F37" s="2"/>
      <c r="G37" s="2"/>
      <c r="H37" s="2"/>
      <c r="I37" s="3"/>
      <c r="J37" s="18" t="s">
        <v>348</v>
      </c>
      <c r="K37" s="2"/>
      <c r="L37" s="2"/>
      <c r="M37" s="2"/>
      <c r="N37" s="2"/>
      <c r="O37" s="2"/>
      <c r="P37" s="3"/>
      <c r="Q37" s="18" t="s">
        <v>376</v>
      </c>
      <c r="R37" s="2"/>
      <c r="S37" s="2"/>
      <c r="T37" s="2"/>
      <c r="U37" s="2"/>
      <c r="V37" s="2"/>
      <c r="W37" s="3"/>
      <c r="X37" s="18" t="s">
        <v>377</v>
      </c>
      <c r="Y37" s="2"/>
      <c r="Z37" s="2"/>
      <c r="AA37" s="2"/>
      <c r="AB37" s="2"/>
      <c r="AC37" s="2"/>
      <c r="AD37" s="3"/>
      <c r="AE37" s="19" t="s">
        <v>270</v>
      </c>
      <c r="AF37" s="3"/>
      <c r="AG37" s="21" t="s">
        <v>63</v>
      </c>
      <c r="AH37" s="2"/>
      <c r="AI37" s="3"/>
      <c r="AJ37" s="22"/>
      <c r="AK37" s="2"/>
      <c r="AL37" s="3"/>
      <c r="AM37" s="21" t="s">
        <v>271</v>
      </c>
      <c r="AN37" s="2"/>
      <c r="AO37" s="3"/>
      <c r="AP37" s="23">
        <v>46171</v>
      </c>
      <c r="AQ37" s="2"/>
      <c r="AR37" s="3"/>
      <c r="AS37" s="19"/>
      <c r="AT37" s="2"/>
      <c r="AU37" s="3"/>
      <c r="AV37" s="19" t="s">
        <v>63</v>
      </c>
      <c r="AW37" s="2"/>
      <c r="AX37" s="3"/>
      <c r="AY37" s="19"/>
      <c r="AZ37" s="2"/>
      <c r="BA37" s="3"/>
      <c r="BB37" s="19" t="s">
        <v>306</v>
      </c>
      <c r="BC37" s="2"/>
      <c r="BD37" s="3"/>
      <c r="BE37" s="24">
        <v>46241</v>
      </c>
      <c r="BF37" s="2"/>
      <c r="BG37" s="3"/>
      <c r="BH37" s="19"/>
      <c r="BI37" s="2"/>
      <c r="BJ37" s="3"/>
      <c r="BK37" s="18"/>
      <c r="BL37" s="2"/>
      <c r="BM37" s="2"/>
      <c r="BN37" s="2"/>
      <c r="BO37" s="2"/>
      <c r="BP37" s="2"/>
      <c r="BQ37" s="3"/>
    </row>
    <row r="38" ht="319.5" customHeight="1" spans="1:69">
      <c r="A38" s="17">
        <v>23</v>
      </c>
      <c r="B38" s="18" t="s">
        <v>378</v>
      </c>
      <c r="C38" s="2"/>
      <c r="D38" s="3"/>
      <c r="E38" s="18" t="s">
        <v>379</v>
      </c>
      <c r="F38" s="2"/>
      <c r="G38" s="2"/>
      <c r="H38" s="2"/>
      <c r="I38" s="3"/>
      <c r="J38" s="18" t="s">
        <v>348</v>
      </c>
      <c r="K38" s="2"/>
      <c r="L38" s="2"/>
      <c r="M38" s="2"/>
      <c r="N38" s="2"/>
      <c r="O38" s="2"/>
      <c r="P38" s="3"/>
      <c r="Q38" s="18" t="s">
        <v>380</v>
      </c>
      <c r="R38" s="2"/>
      <c r="S38" s="2"/>
      <c r="T38" s="2"/>
      <c r="U38" s="2"/>
      <c r="V38" s="2"/>
      <c r="W38" s="3"/>
      <c r="X38" s="18" t="s">
        <v>381</v>
      </c>
      <c r="Y38" s="2"/>
      <c r="Z38" s="2"/>
      <c r="AA38" s="2"/>
      <c r="AB38" s="2"/>
      <c r="AC38" s="2"/>
      <c r="AD38" s="3"/>
      <c r="AE38" s="19" t="s">
        <v>270</v>
      </c>
      <c r="AF38" s="3"/>
      <c r="AG38" s="21" t="s">
        <v>63</v>
      </c>
      <c r="AH38" s="2"/>
      <c r="AI38" s="3"/>
      <c r="AJ38" s="22"/>
      <c r="AK38" s="2"/>
      <c r="AL38" s="3"/>
      <c r="AM38" s="21" t="s">
        <v>271</v>
      </c>
      <c r="AN38" s="2"/>
      <c r="AO38" s="3"/>
      <c r="AP38" s="23">
        <v>46171</v>
      </c>
      <c r="AQ38" s="2"/>
      <c r="AR38" s="3"/>
      <c r="AS38" s="19"/>
      <c r="AT38" s="2"/>
      <c r="AU38" s="3"/>
      <c r="AV38" s="19" t="s">
        <v>63</v>
      </c>
      <c r="AW38" s="2"/>
      <c r="AX38" s="3"/>
      <c r="AY38" s="19"/>
      <c r="AZ38" s="2"/>
      <c r="BA38" s="3"/>
      <c r="BB38" s="19" t="s">
        <v>306</v>
      </c>
      <c r="BC38" s="2"/>
      <c r="BD38" s="3"/>
      <c r="BE38" s="24">
        <v>46241</v>
      </c>
      <c r="BF38" s="2"/>
      <c r="BG38" s="3"/>
      <c r="BH38" s="19"/>
      <c r="BI38" s="2"/>
      <c r="BJ38" s="3"/>
      <c r="BK38" s="18"/>
      <c r="BL38" s="2"/>
      <c r="BM38" s="2"/>
      <c r="BN38" s="2"/>
      <c r="BO38" s="2"/>
      <c r="BP38" s="2"/>
      <c r="BQ38" s="3"/>
    </row>
    <row r="39" ht="351.75" customHeight="1" spans="1:69">
      <c r="A39" s="17">
        <v>24</v>
      </c>
      <c r="B39" s="18" t="s">
        <v>382</v>
      </c>
      <c r="C39" s="2"/>
      <c r="D39" s="3"/>
      <c r="E39" s="18" t="s">
        <v>383</v>
      </c>
      <c r="F39" s="2"/>
      <c r="G39" s="2"/>
      <c r="H39" s="2"/>
      <c r="I39" s="3"/>
      <c r="J39" s="18" t="s">
        <v>324</v>
      </c>
      <c r="K39" s="2"/>
      <c r="L39" s="2"/>
      <c r="M39" s="2"/>
      <c r="N39" s="2"/>
      <c r="O39" s="2"/>
      <c r="P39" s="3"/>
      <c r="Q39" s="18" t="s">
        <v>384</v>
      </c>
      <c r="R39" s="2"/>
      <c r="S39" s="2"/>
      <c r="T39" s="2"/>
      <c r="U39" s="2"/>
      <c r="V39" s="2"/>
      <c r="W39" s="3"/>
      <c r="X39" s="18" t="s">
        <v>385</v>
      </c>
      <c r="Y39" s="2"/>
      <c r="Z39" s="2"/>
      <c r="AA39" s="2"/>
      <c r="AB39" s="2"/>
      <c r="AC39" s="2"/>
      <c r="AD39" s="3"/>
      <c r="AE39" s="19" t="s">
        <v>270</v>
      </c>
      <c r="AF39" s="3"/>
      <c r="AG39" s="21" t="s">
        <v>63</v>
      </c>
      <c r="AH39" s="2"/>
      <c r="AI39" s="3"/>
      <c r="AJ39" s="22"/>
      <c r="AK39" s="2"/>
      <c r="AL39" s="3"/>
      <c r="AM39" s="21" t="s">
        <v>271</v>
      </c>
      <c r="AN39" s="2"/>
      <c r="AO39" s="3"/>
      <c r="AP39" s="23">
        <v>46171</v>
      </c>
      <c r="AQ39" s="2"/>
      <c r="AR39" s="3"/>
      <c r="AS39" s="19"/>
      <c r="AT39" s="2"/>
      <c r="AU39" s="3"/>
      <c r="AV39" s="19" t="s">
        <v>63</v>
      </c>
      <c r="AW39" s="2"/>
      <c r="AX39" s="3"/>
      <c r="AY39" s="19"/>
      <c r="AZ39" s="2"/>
      <c r="BA39" s="3"/>
      <c r="BB39" s="19" t="s">
        <v>306</v>
      </c>
      <c r="BC39" s="2"/>
      <c r="BD39" s="3"/>
      <c r="BE39" s="24">
        <v>46241</v>
      </c>
      <c r="BF39" s="2"/>
      <c r="BG39" s="3"/>
      <c r="BH39" s="19"/>
      <c r="BI39" s="2"/>
      <c r="BJ39" s="3"/>
      <c r="BK39" s="18"/>
      <c r="BL39" s="2"/>
      <c r="BM39" s="2"/>
      <c r="BN39" s="2"/>
      <c r="BO39" s="2"/>
      <c r="BP39" s="2"/>
      <c r="BQ39" s="3"/>
    </row>
    <row r="40" ht="240" customHeight="1" spans="1:69">
      <c r="A40" s="17">
        <v>25</v>
      </c>
      <c r="B40" s="18" t="s">
        <v>386</v>
      </c>
      <c r="C40" s="2"/>
      <c r="D40" s="3"/>
      <c r="E40" s="18" t="s">
        <v>387</v>
      </c>
      <c r="F40" s="2"/>
      <c r="G40" s="2"/>
      <c r="H40" s="2"/>
      <c r="I40" s="3"/>
      <c r="J40" s="18" t="s">
        <v>348</v>
      </c>
      <c r="K40" s="2"/>
      <c r="L40" s="2"/>
      <c r="M40" s="2"/>
      <c r="N40" s="2"/>
      <c r="O40" s="2"/>
      <c r="P40" s="3"/>
      <c r="Q40" s="18" t="s">
        <v>388</v>
      </c>
      <c r="R40" s="2"/>
      <c r="S40" s="2"/>
      <c r="T40" s="2"/>
      <c r="U40" s="2"/>
      <c r="V40" s="2"/>
      <c r="W40" s="3"/>
      <c r="X40" s="18" t="s">
        <v>389</v>
      </c>
      <c r="Y40" s="2"/>
      <c r="Z40" s="2"/>
      <c r="AA40" s="2"/>
      <c r="AB40" s="2"/>
      <c r="AC40" s="2"/>
      <c r="AD40" s="3"/>
      <c r="AE40" s="19" t="s">
        <v>213</v>
      </c>
      <c r="AF40" s="3"/>
      <c r="AG40" s="21" t="s">
        <v>63</v>
      </c>
      <c r="AH40" s="2"/>
      <c r="AI40" s="3"/>
      <c r="AJ40" s="22"/>
      <c r="AK40" s="2"/>
      <c r="AL40" s="3"/>
      <c r="AM40" s="21" t="s">
        <v>271</v>
      </c>
      <c r="AN40" s="2"/>
      <c r="AO40" s="3"/>
      <c r="AP40" s="23">
        <v>46171</v>
      </c>
      <c r="AQ40" s="2"/>
      <c r="AR40" s="3"/>
      <c r="AS40" s="19"/>
      <c r="AT40" s="2"/>
      <c r="AU40" s="3"/>
      <c r="AV40" s="19" t="s">
        <v>63</v>
      </c>
      <c r="AW40" s="2"/>
      <c r="AX40" s="3"/>
      <c r="AY40" s="19"/>
      <c r="AZ40" s="2"/>
      <c r="BA40" s="3"/>
      <c r="BB40" s="19" t="s">
        <v>306</v>
      </c>
      <c r="BC40" s="2"/>
      <c r="BD40" s="3"/>
      <c r="BE40" s="24">
        <v>46241</v>
      </c>
      <c r="BF40" s="2"/>
      <c r="BG40" s="3"/>
      <c r="BH40" s="19"/>
      <c r="BI40" s="2"/>
      <c r="BJ40" s="3"/>
      <c r="BK40" s="18"/>
      <c r="BL40" s="2"/>
      <c r="BM40" s="2"/>
      <c r="BN40" s="2"/>
      <c r="BO40" s="2"/>
      <c r="BP40" s="2"/>
      <c r="BQ40" s="3"/>
    </row>
    <row r="41" ht="384" customHeight="1" spans="1:69">
      <c r="A41" s="17">
        <v>26</v>
      </c>
      <c r="B41" s="18" t="s">
        <v>390</v>
      </c>
      <c r="C41" s="2"/>
      <c r="D41" s="3"/>
      <c r="E41" s="18" t="s">
        <v>391</v>
      </c>
      <c r="F41" s="2"/>
      <c r="G41" s="2"/>
      <c r="H41" s="2"/>
      <c r="I41" s="3"/>
      <c r="J41" s="18" t="s">
        <v>348</v>
      </c>
      <c r="K41" s="2"/>
      <c r="L41" s="2"/>
      <c r="M41" s="2"/>
      <c r="N41" s="2"/>
      <c r="O41" s="2"/>
      <c r="P41" s="3"/>
      <c r="Q41" s="18" t="s">
        <v>392</v>
      </c>
      <c r="R41" s="2"/>
      <c r="S41" s="2"/>
      <c r="T41" s="2"/>
      <c r="U41" s="2"/>
      <c r="V41" s="2"/>
      <c r="W41" s="3"/>
      <c r="X41" s="18" t="s">
        <v>393</v>
      </c>
      <c r="Y41" s="2"/>
      <c r="Z41" s="2"/>
      <c r="AA41" s="2"/>
      <c r="AB41" s="2"/>
      <c r="AC41" s="2"/>
      <c r="AD41" s="3"/>
      <c r="AE41" s="19" t="s">
        <v>217</v>
      </c>
      <c r="AF41" s="3"/>
      <c r="AG41" s="21" t="s">
        <v>63</v>
      </c>
      <c r="AH41" s="2"/>
      <c r="AI41" s="3"/>
      <c r="AJ41" s="22"/>
      <c r="AK41" s="2"/>
      <c r="AL41" s="3"/>
      <c r="AM41" s="21" t="s">
        <v>271</v>
      </c>
      <c r="AN41" s="2"/>
      <c r="AO41" s="3"/>
      <c r="AP41" s="23">
        <v>46171</v>
      </c>
      <c r="AQ41" s="2"/>
      <c r="AR41" s="3"/>
      <c r="AS41" s="19"/>
      <c r="AT41" s="2"/>
      <c r="AU41" s="3"/>
      <c r="AV41" s="19" t="s">
        <v>63</v>
      </c>
      <c r="AW41" s="2"/>
      <c r="AX41" s="3"/>
      <c r="AY41" s="19"/>
      <c r="AZ41" s="2"/>
      <c r="BA41" s="3"/>
      <c r="BB41" s="19" t="s">
        <v>306</v>
      </c>
      <c r="BC41" s="2"/>
      <c r="BD41" s="3"/>
      <c r="BE41" s="24">
        <v>46241</v>
      </c>
      <c r="BF41" s="2"/>
      <c r="BG41" s="3"/>
      <c r="BH41" s="19"/>
      <c r="BI41" s="2"/>
      <c r="BJ41" s="3"/>
      <c r="BK41" s="18"/>
      <c r="BL41" s="2"/>
      <c r="BM41" s="2"/>
      <c r="BN41" s="2"/>
      <c r="BO41" s="2"/>
      <c r="BP41" s="2"/>
      <c r="BQ41" s="3"/>
    </row>
    <row r="42" ht="303.75" customHeight="1" spans="1:69">
      <c r="A42" s="17">
        <v>27</v>
      </c>
      <c r="B42" s="18" t="s">
        <v>394</v>
      </c>
      <c r="C42" s="2"/>
      <c r="D42" s="3"/>
      <c r="E42" s="18" t="s">
        <v>395</v>
      </c>
      <c r="F42" s="2"/>
      <c r="G42" s="2"/>
      <c r="H42" s="2"/>
      <c r="I42" s="3"/>
      <c r="J42" s="18" t="s">
        <v>348</v>
      </c>
      <c r="K42" s="2"/>
      <c r="L42" s="2"/>
      <c r="M42" s="2"/>
      <c r="N42" s="2"/>
      <c r="O42" s="2"/>
      <c r="P42" s="3"/>
      <c r="Q42" s="18" t="s">
        <v>396</v>
      </c>
      <c r="R42" s="2"/>
      <c r="S42" s="2"/>
      <c r="T42" s="2"/>
      <c r="U42" s="2"/>
      <c r="V42" s="2"/>
      <c r="W42" s="3"/>
      <c r="X42" s="18" t="s">
        <v>397</v>
      </c>
      <c r="Y42" s="2"/>
      <c r="Z42" s="2"/>
      <c r="AA42" s="2"/>
      <c r="AB42" s="2"/>
      <c r="AC42" s="2"/>
      <c r="AD42" s="3"/>
      <c r="AE42" s="19" t="s">
        <v>270</v>
      </c>
      <c r="AF42" s="3"/>
      <c r="AG42" s="21" t="s">
        <v>63</v>
      </c>
      <c r="AH42" s="2"/>
      <c r="AI42" s="3"/>
      <c r="AJ42" s="22"/>
      <c r="AK42" s="2"/>
      <c r="AL42" s="3"/>
      <c r="AM42" s="21" t="s">
        <v>271</v>
      </c>
      <c r="AN42" s="2"/>
      <c r="AO42" s="3"/>
      <c r="AP42" s="23">
        <v>46171</v>
      </c>
      <c r="AQ42" s="2"/>
      <c r="AR42" s="3"/>
      <c r="AS42" s="19"/>
      <c r="AT42" s="2"/>
      <c r="AU42" s="3"/>
      <c r="AV42" s="19" t="s">
        <v>63</v>
      </c>
      <c r="AW42" s="2"/>
      <c r="AX42" s="3"/>
      <c r="AY42" s="19"/>
      <c r="AZ42" s="2"/>
      <c r="BA42" s="3"/>
      <c r="BB42" s="19" t="s">
        <v>306</v>
      </c>
      <c r="BC42" s="2"/>
      <c r="BD42" s="3"/>
      <c r="BE42" s="24">
        <v>46241</v>
      </c>
      <c r="BF42" s="2"/>
      <c r="BG42" s="3"/>
      <c r="BH42" s="19"/>
      <c r="BI42" s="2"/>
      <c r="BJ42" s="3"/>
      <c r="BK42" s="18"/>
      <c r="BL42" s="2"/>
      <c r="BM42" s="2"/>
      <c r="BN42" s="2"/>
      <c r="BO42" s="2"/>
      <c r="BP42" s="2"/>
      <c r="BQ42" s="3"/>
    </row>
    <row r="43" ht="367.5" customHeight="1" spans="1:69">
      <c r="A43" s="17">
        <v>28</v>
      </c>
      <c r="B43" s="18" t="s">
        <v>398</v>
      </c>
      <c r="C43" s="2"/>
      <c r="D43" s="3"/>
      <c r="E43" s="18" t="s">
        <v>399</v>
      </c>
      <c r="F43" s="2"/>
      <c r="G43" s="2"/>
      <c r="H43" s="2"/>
      <c r="I43" s="3"/>
      <c r="J43" s="18" t="s">
        <v>324</v>
      </c>
      <c r="K43" s="2"/>
      <c r="L43" s="2"/>
      <c r="M43" s="2"/>
      <c r="N43" s="2"/>
      <c r="O43" s="2"/>
      <c r="P43" s="3"/>
      <c r="Q43" s="18" t="s">
        <v>400</v>
      </c>
      <c r="R43" s="2"/>
      <c r="S43" s="2"/>
      <c r="T43" s="2"/>
      <c r="U43" s="2"/>
      <c r="V43" s="2"/>
      <c r="W43" s="3"/>
      <c r="X43" s="18" t="s">
        <v>401</v>
      </c>
      <c r="Y43" s="2"/>
      <c r="Z43" s="2"/>
      <c r="AA43" s="2"/>
      <c r="AB43" s="2"/>
      <c r="AC43" s="2"/>
      <c r="AD43" s="3"/>
      <c r="AE43" s="19" t="s">
        <v>213</v>
      </c>
      <c r="AF43" s="3"/>
      <c r="AG43" s="21" t="s">
        <v>63</v>
      </c>
      <c r="AH43" s="2"/>
      <c r="AI43" s="3"/>
      <c r="AJ43" s="22"/>
      <c r="AK43" s="2"/>
      <c r="AL43" s="3"/>
      <c r="AM43" s="21" t="s">
        <v>271</v>
      </c>
      <c r="AN43" s="2"/>
      <c r="AO43" s="3"/>
      <c r="AP43" s="23">
        <v>46171</v>
      </c>
      <c r="AQ43" s="2"/>
      <c r="AR43" s="3"/>
      <c r="AS43" s="19"/>
      <c r="AT43" s="2"/>
      <c r="AU43" s="3"/>
      <c r="AV43" s="19" t="s">
        <v>63</v>
      </c>
      <c r="AW43" s="2"/>
      <c r="AX43" s="3"/>
      <c r="AY43" s="19"/>
      <c r="AZ43" s="2"/>
      <c r="BA43" s="3"/>
      <c r="BB43" s="19" t="s">
        <v>306</v>
      </c>
      <c r="BC43" s="2"/>
      <c r="BD43" s="3"/>
      <c r="BE43" s="24">
        <v>46241</v>
      </c>
      <c r="BF43" s="2"/>
      <c r="BG43" s="3"/>
      <c r="BH43" s="19"/>
      <c r="BI43" s="2"/>
      <c r="BJ43" s="3"/>
      <c r="BK43" s="18" t="s">
        <v>294</v>
      </c>
      <c r="BL43" s="2"/>
      <c r="BM43" s="2"/>
      <c r="BN43" s="2"/>
      <c r="BO43" s="2"/>
      <c r="BP43" s="2"/>
      <c r="BQ43" s="3"/>
    </row>
    <row r="44" ht="22.5" customHeight="1" spans="1:69">
      <c r="A44" s="16" t="s">
        <v>402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3"/>
    </row>
    <row r="45" ht="409.5" customHeight="1" spans="1:69">
      <c r="A45" s="17">
        <v>29</v>
      </c>
      <c r="B45" s="18" t="s">
        <v>403</v>
      </c>
      <c r="C45" s="2"/>
      <c r="D45" s="3"/>
      <c r="E45" s="18" t="s">
        <v>404</v>
      </c>
      <c r="F45" s="2"/>
      <c r="G45" s="2"/>
      <c r="H45" s="2"/>
      <c r="I45" s="3"/>
      <c r="J45" s="18" t="s">
        <v>324</v>
      </c>
      <c r="K45" s="2"/>
      <c r="L45" s="2"/>
      <c r="M45" s="2"/>
      <c r="N45" s="2"/>
      <c r="O45" s="2"/>
      <c r="P45" s="3"/>
      <c r="Q45" s="18" t="s">
        <v>405</v>
      </c>
      <c r="R45" s="2"/>
      <c r="S45" s="2"/>
      <c r="T45" s="2"/>
      <c r="U45" s="2"/>
      <c r="V45" s="2"/>
      <c r="W45" s="3"/>
      <c r="X45" s="18" t="s">
        <v>406</v>
      </c>
      <c r="Y45" s="2"/>
      <c r="Z45" s="2"/>
      <c r="AA45" s="2"/>
      <c r="AB45" s="2"/>
      <c r="AC45" s="2"/>
      <c r="AD45" s="3"/>
      <c r="AE45" s="19" t="s">
        <v>270</v>
      </c>
      <c r="AF45" s="3"/>
      <c r="AG45" s="21" t="s">
        <v>63</v>
      </c>
      <c r="AH45" s="2"/>
      <c r="AI45" s="3"/>
      <c r="AJ45" s="22"/>
      <c r="AK45" s="2"/>
      <c r="AL45" s="3"/>
      <c r="AM45" s="21" t="s">
        <v>271</v>
      </c>
      <c r="AN45" s="2"/>
      <c r="AO45" s="3"/>
      <c r="AP45" s="23">
        <v>46171</v>
      </c>
      <c r="AQ45" s="2"/>
      <c r="AR45" s="3"/>
      <c r="AS45" s="19"/>
      <c r="AT45" s="2"/>
      <c r="AU45" s="3"/>
      <c r="AV45" s="19" t="s">
        <v>63</v>
      </c>
      <c r="AW45" s="2"/>
      <c r="AX45" s="3"/>
      <c r="AY45" s="19"/>
      <c r="AZ45" s="2"/>
      <c r="BA45" s="3"/>
      <c r="BB45" s="19" t="s">
        <v>306</v>
      </c>
      <c r="BC45" s="2"/>
      <c r="BD45" s="3"/>
      <c r="BE45" s="24">
        <v>46241</v>
      </c>
      <c r="BF45" s="2"/>
      <c r="BG45" s="3"/>
      <c r="BH45" s="19"/>
      <c r="BI45" s="2"/>
      <c r="BJ45" s="3"/>
      <c r="BK45" s="18"/>
      <c r="BL45" s="2"/>
      <c r="BM45" s="2"/>
      <c r="BN45" s="2"/>
      <c r="BO45" s="2"/>
      <c r="BP45" s="2"/>
      <c r="BQ45" s="3"/>
    </row>
    <row r="46" ht="409.5" customHeight="1" spans="1:69">
      <c r="A46" s="17">
        <v>30</v>
      </c>
      <c r="B46" s="18" t="s">
        <v>407</v>
      </c>
      <c r="C46" s="2"/>
      <c r="D46" s="3"/>
      <c r="E46" s="18" t="s">
        <v>408</v>
      </c>
      <c r="F46" s="2"/>
      <c r="G46" s="2"/>
      <c r="H46" s="2"/>
      <c r="I46" s="3"/>
      <c r="J46" s="18" t="s">
        <v>409</v>
      </c>
      <c r="K46" s="2"/>
      <c r="L46" s="2"/>
      <c r="M46" s="2"/>
      <c r="N46" s="2"/>
      <c r="O46" s="2"/>
      <c r="P46" s="3"/>
      <c r="Q46" s="18" t="s">
        <v>410</v>
      </c>
      <c r="R46" s="2"/>
      <c r="S46" s="2"/>
      <c r="T46" s="2"/>
      <c r="U46" s="2"/>
      <c r="V46" s="2"/>
      <c r="W46" s="3"/>
      <c r="X46" s="18" t="s">
        <v>411</v>
      </c>
      <c r="Y46" s="2"/>
      <c r="Z46" s="2"/>
      <c r="AA46" s="2"/>
      <c r="AB46" s="2"/>
      <c r="AC46" s="2"/>
      <c r="AD46" s="3"/>
      <c r="AE46" s="19" t="s">
        <v>213</v>
      </c>
      <c r="AF46" s="3"/>
      <c r="AG46" s="21" t="s">
        <v>63</v>
      </c>
      <c r="AH46" s="2"/>
      <c r="AI46" s="3"/>
      <c r="AJ46" s="22"/>
      <c r="AK46" s="2"/>
      <c r="AL46" s="3"/>
      <c r="AM46" s="21" t="s">
        <v>271</v>
      </c>
      <c r="AN46" s="2"/>
      <c r="AO46" s="3"/>
      <c r="AP46" s="23">
        <v>46171</v>
      </c>
      <c r="AQ46" s="2"/>
      <c r="AR46" s="3"/>
      <c r="AS46" s="19"/>
      <c r="AT46" s="2"/>
      <c r="AU46" s="3"/>
      <c r="AV46" s="19" t="s">
        <v>63</v>
      </c>
      <c r="AW46" s="2"/>
      <c r="AX46" s="3"/>
      <c r="AY46" s="19"/>
      <c r="AZ46" s="2"/>
      <c r="BA46" s="3"/>
      <c r="BB46" s="19" t="s">
        <v>306</v>
      </c>
      <c r="BC46" s="2"/>
      <c r="BD46" s="3"/>
      <c r="BE46" s="24">
        <v>46241</v>
      </c>
      <c r="BF46" s="2"/>
      <c r="BG46" s="3"/>
      <c r="BH46" s="19"/>
      <c r="BI46" s="2"/>
      <c r="BJ46" s="3"/>
      <c r="BK46" s="18"/>
      <c r="BL46" s="2"/>
      <c r="BM46" s="2"/>
      <c r="BN46" s="2"/>
      <c r="BO46" s="2"/>
      <c r="BP46" s="2"/>
      <c r="BQ46" s="3"/>
    </row>
    <row r="47" ht="303.75" customHeight="1" spans="1:69">
      <c r="A47" s="31">
        <v>31</v>
      </c>
      <c r="B47" s="32" t="s">
        <v>412</v>
      </c>
      <c r="C47" s="2"/>
      <c r="D47" s="3"/>
      <c r="E47" s="32" t="s">
        <v>413</v>
      </c>
      <c r="F47" s="2"/>
      <c r="G47" s="2"/>
      <c r="H47" s="2"/>
      <c r="I47" s="3"/>
      <c r="J47" s="32" t="s">
        <v>414</v>
      </c>
      <c r="K47" s="2"/>
      <c r="L47" s="2"/>
      <c r="M47" s="2"/>
      <c r="N47" s="2"/>
      <c r="O47" s="2"/>
      <c r="P47" s="3"/>
      <c r="Q47" s="32" t="s">
        <v>415</v>
      </c>
      <c r="R47" s="2"/>
      <c r="S47" s="2"/>
      <c r="T47" s="2"/>
      <c r="U47" s="2"/>
      <c r="V47" s="2"/>
      <c r="W47" s="3"/>
      <c r="X47" s="32" t="s">
        <v>416</v>
      </c>
      <c r="Y47" s="2"/>
      <c r="Z47" s="2"/>
      <c r="AA47" s="2"/>
      <c r="AB47" s="2"/>
      <c r="AC47" s="2"/>
      <c r="AD47" s="3"/>
      <c r="AE47" s="33" t="s">
        <v>270</v>
      </c>
      <c r="AF47" s="3"/>
      <c r="AG47" s="34" t="s">
        <v>66</v>
      </c>
      <c r="AH47" s="2"/>
      <c r="AI47" s="3"/>
      <c r="AJ47" s="22"/>
      <c r="AK47" s="2"/>
      <c r="AL47" s="3"/>
      <c r="AM47" s="21"/>
      <c r="AN47" s="2"/>
      <c r="AO47" s="3"/>
      <c r="AP47" s="23"/>
      <c r="AQ47" s="2"/>
      <c r="AR47" s="3"/>
      <c r="AS47" s="19"/>
      <c r="AT47" s="2"/>
      <c r="AU47" s="3"/>
      <c r="AV47" s="34" t="s">
        <v>66</v>
      </c>
      <c r="AW47" s="2"/>
      <c r="AX47" s="3"/>
      <c r="AY47" s="19"/>
      <c r="AZ47" s="2"/>
      <c r="BA47" s="3"/>
      <c r="BB47" s="19"/>
      <c r="BC47" s="2"/>
      <c r="BD47" s="3"/>
      <c r="BE47" s="19"/>
      <c r="BF47" s="2"/>
      <c r="BG47" s="3"/>
      <c r="BH47" s="19"/>
      <c r="BI47" s="2"/>
      <c r="BJ47" s="3"/>
      <c r="BK47" s="18"/>
      <c r="BL47" s="2"/>
      <c r="BM47" s="2"/>
      <c r="BN47" s="2"/>
      <c r="BO47" s="2"/>
      <c r="BP47" s="2"/>
      <c r="BQ47" s="3"/>
    </row>
    <row r="48" ht="319.5" customHeight="1" spans="1:69">
      <c r="A48" s="17">
        <v>32</v>
      </c>
      <c r="B48" s="18" t="s">
        <v>417</v>
      </c>
      <c r="C48" s="2"/>
      <c r="D48" s="3"/>
      <c r="E48" s="18" t="s">
        <v>418</v>
      </c>
      <c r="F48" s="2"/>
      <c r="G48" s="2"/>
      <c r="H48" s="2"/>
      <c r="I48" s="3"/>
      <c r="J48" s="18" t="s">
        <v>419</v>
      </c>
      <c r="K48" s="2"/>
      <c r="L48" s="2"/>
      <c r="M48" s="2"/>
      <c r="N48" s="2"/>
      <c r="O48" s="2"/>
      <c r="P48" s="3"/>
      <c r="Q48" s="18" t="s">
        <v>420</v>
      </c>
      <c r="R48" s="2"/>
      <c r="S48" s="2"/>
      <c r="T48" s="2"/>
      <c r="U48" s="2"/>
      <c r="V48" s="2"/>
      <c r="W48" s="3"/>
      <c r="X48" s="18" t="s">
        <v>421</v>
      </c>
      <c r="Y48" s="2"/>
      <c r="Z48" s="2"/>
      <c r="AA48" s="2"/>
      <c r="AB48" s="2"/>
      <c r="AC48" s="2"/>
      <c r="AD48" s="3"/>
      <c r="AE48" s="19" t="s">
        <v>270</v>
      </c>
      <c r="AF48" s="3"/>
      <c r="AG48" s="21" t="s">
        <v>63</v>
      </c>
      <c r="AH48" s="2"/>
      <c r="AI48" s="3"/>
      <c r="AJ48" s="22"/>
      <c r="AK48" s="2"/>
      <c r="AL48" s="3"/>
      <c r="AM48" s="21" t="s">
        <v>271</v>
      </c>
      <c r="AN48" s="2"/>
      <c r="AO48" s="3"/>
      <c r="AP48" s="23">
        <v>46171</v>
      </c>
      <c r="AQ48" s="2"/>
      <c r="AR48" s="3"/>
      <c r="AS48" s="19"/>
      <c r="AT48" s="2"/>
      <c r="AU48" s="3"/>
      <c r="AV48" s="19" t="s">
        <v>63</v>
      </c>
      <c r="AW48" s="2"/>
      <c r="AX48" s="3"/>
      <c r="AY48" s="19"/>
      <c r="AZ48" s="2"/>
      <c r="BA48" s="3"/>
      <c r="BB48" s="19" t="s">
        <v>306</v>
      </c>
      <c r="BC48" s="2"/>
      <c r="BD48" s="3"/>
      <c r="BE48" s="24">
        <v>46241</v>
      </c>
      <c r="BF48" s="2"/>
      <c r="BG48" s="3"/>
      <c r="BH48" s="19"/>
      <c r="BI48" s="2"/>
      <c r="BJ48" s="3"/>
      <c r="BK48" s="18"/>
      <c r="BL48" s="2"/>
      <c r="BM48" s="2"/>
      <c r="BN48" s="2"/>
      <c r="BO48" s="2"/>
      <c r="BP48" s="2"/>
      <c r="BQ48" s="3"/>
    </row>
    <row r="49" ht="409.5" customHeight="1" spans="1:69">
      <c r="A49" s="17">
        <v>33</v>
      </c>
      <c r="B49" s="35" t="s">
        <v>422</v>
      </c>
      <c r="C49" s="2"/>
      <c r="D49" s="3"/>
      <c r="E49" s="35" t="s">
        <v>423</v>
      </c>
      <c r="F49" s="2"/>
      <c r="G49" s="2"/>
      <c r="H49" s="2"/>
      <c r="I49" s="3"/>
      <c r="J49" s="35" t="s">
        <v>424</v>
      </c>
      <c r="K49" s="2"/>
      <c r="L49" s="2"/>
      <c r="M49" s="2"/>
      <c r="N49" s="2"/>
      <c r="O49" s="2"/>
      <c r="P49" s="3"/>
      <c r="Q49" s="35" t="s">
        <v>425</v>
      </c>
      <c r="R49" s="2"/>
      <c r="S49" s="2"/>
      <c r="T49" s="2"/>
      <c r="U49" s="2"/>
      <c r="V49" s="2"/>
      <c r="W49" s="3"/>
      <c r="X49" s="35" t="s">
        <v>426</v>
      </c>
      <c r="Y49" s="2"/>
      <c r="Z49" s="2"/>
      <c r="AA49" s="2"/>
      <c r="AB49" s="2"/>
      <c r="AC49" s="2"/>
      <c r="AD49" s="3"/>
      <c r="AE49" s="36" t="s">
        <v>213</v>
      </c>
      <c r="AF49" s="3"/>
      <c r="AG49" s="36" t="s">
        <v>66</v>
      </c>
      <c r="AH49" s="2"/>
      <c r="AI49" s="3"/>
      <c r="AJ49" s="19"/>
      <c r="AK49" s="2"/>
      <c r="AL49" s="3"/>
      <c r="AM49" s="19"/>
      <c r="AN49" s="2"/>
      <c r="AO49" s="3"/>
      <c r="AP49" s="19"/>
      <c r="AQ49" s="2"/>
      <c r="AR49" s="3"/>
      <c r="AS49" s="19"/>
      <c r="AT49" s="2"/>
      <c r="AU49" s="3"/>
      <c r="AV49" s="36" t="s">
        <v>66</v>
      </c>
      <c r="AW49" s="2"/>
      <c r="AX49" s="3"/>
      <c r="AY49" s="19"/>
      <c r="AZ49" s="2"/>
      <c r="BA49" s="3"/>
      <c r="BB49" s="19"/>
      <c r="BC49" s="2"/>
      <c r="BD49" s="3"/>
      <c r="BE49" s="19"/>
      <c r="BF49" s="2"/>
      <c r="BG49" s="3"/>
      <c r="BH49" s="19"/>
      <c r="BI49" s="2"/>
      <c r="BJ49" s="3"/>
      <c r="BK49" s="18"/>
      <c r="BL49" s="2"/>
      <c r="BM49" s="2"/>
      <c r="BN49" s="2"/>
      <c r="BO49" s="2"/>
      <c r="BP49" s="2"/>
      <c r="BQ49" s="3"/>
    </row>
    <row r="50" ht="288" customHeight="1" spans="1:69">
      <c r="A50" s="17">
        <v>34</v>
      </c>
      <c r="B50" s="18" t="s">
        <v>427</v>
      </c>
      <c r="C50" s="2"/>
      <c r="D50" s="3"/>
      <c r="E50" s="18" t="s">
        <v>428</v>
      </c>
      <c r="F50" s="2"/>
      <c r="G50" s="2"/>
      <c r="H50" s="2"/>
      <c r="I50" s="3"/>
      <c r="J50" s="18" t="s">
        <v>429</v>
      </c>
      <c r="K50" s="2"/>
      <c r="L50" s="2"/>
      <c r="M50" s="2"/>
      <c r="N50" s="2"/>
      <c r="O50" s="2"/>
      <c r="P50" s="3"/>
      <c r="Q50" s="18" t="s">
        <v>430</v>
      </c>
      <c r="R50" s="2"/>
      <c r="S50" s="2"/>
      <c r="T50" s="2"/>
      <c r="U50" s="2"/>
      <c r="V50" s="2"/>
      <c r="W50" s="3"/>
      <c r="X50" s="18" t="s">
        <v>431</v>
      </c>
      <c r="Y50" s="2"/>
      <c r="Z50" s="2"/>
      <c r="AA50" s="2"/>
      <c r="AB50" s="2"/>
      <c r="AC50" s="2"/>
      <c r="AD50" s="3"/>
      <c r="AE50" s="19" t="s">
        <v>217</v>
      </c>
      <c r="AF50" s="3"/>
      <c r="AG50" s="21" t="s">
        <v>63</v>
      </c>
      <c r="AH50" s="2"/>
      <c r="AI50" s="3"/>
      <c r="AJ50" s="22"/>
      <c r="AK50" s="2"/>
      <c r="AL50" s="3"/>
      <c r="AM50" s="21" t="s">
        <v>271</v>
      </c>
      <c r="AN50" s="2"/>
      <c r="AO50" s="3"/>
      <c r="AP50" s="23">
        <v>46171</v>
      </c>
      <c r="AQ50" s="2"/>
      <c r="AR50" s="3"/>
      <c r="AS50" s="19"/>
      <c r="AT50" s="2"/>
      <c r="AU50" s="3"/>
      <c r="AV50" s="19" t="s">
        <v>63</v>
      </c>
      <c r="AW50" s="2"/>
      <c r="AX50" s="3"/>
      <c r="AY50" s="19"/>
      <c r="AZ50" s="2"/>
      <c r="BA50" s="3"/>
      <c r="BB50" s="19" t="s">
        <v>306</v>
      </c>
      <c r="BC50" s="2"/>
      <c r="BD50" s="3"/>
      <c r="BE50" s="24">
        <v>46241</v>
      </c>
      <c r="BF50" s="2"/>
      <c r="BG50" s="3"/>
      <c r="BH50" s="19"/>
      <c r="BI50" s="2"/>
      <c r="BJ50" s="3"/>
      <c r="BK50" s="18" t="s">
        <v>294</v>
      </c>
      <c r="BL50" s="2"/>
      <c r="BM50" s="2"/>
      <c r="BN50" s="2"/>
      <c r="BO50" s="2"/>
      <c r="BP50" s="2"/>
      <c r="BQ50" s="3"/>
    </row>
    <row r="51" ht="22.5" customHeight="1" spans="1:69">
      <c r="A51" s="16" t="s">
        <v>432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3"/>
    </row>
    <row r="52" ht="336" customHeight="1" spans="1:69">
      <c r="A52" s="17">
        <v>35</v>
      </c>
      <c r="B52" s="18" t="s">
        <v>433</v>
      </c>
      <c r="C52" s="2"/>
      <c r="D52" s="3"/>
      <c r="E52" s="18" t="s">
        <v>434</v>
      </c>
      <c r="F52" s="2"/>
      <c r="G52" s="2"/>
      <c r="H52" s="2"/>
      <c r="I52" s="3"/>
      <c r="J52" s="18" t="s">
        <v>435</v>
      </c>
      <c r="K52" s="2"/>
      <c r="L52" s="2"/>
      <c r="M52" s="2"/>
      <c r="N52" s="2"/>
      <c r="O52" s="2"/>
      <c r="P52" s="3"/>
      <c r="Q52" s="18" t="s">
        <v>436</v>
      </c>
      <c r="R52" s="2"/>
      <c r="S52" s="2"/>
      <c r="T52" s="2"/>
      <c r="U52" s="2"/>
      <c r="V52" s="2"/>
      <c r="W52" s="3"/>
      <c r="X52" s="18" t="s">
        <v>437</v>
      </c>
      <c r="Y52" s="2"/>
      <c r="Z52" s="2"/>
      <c r="AA52" s="2"/>
      <c r="AB52" s="2"/>
      <c r="AC52" s="2"/>
      <c r="AD52" s="3"/>
      <c r="AE52" s="19" t="s">
        <v>270</v>
      </c>
      <c r="AF52" s="3"/>
      <c r="AG52" s="21" t="s">
        <v>63</v>
      </c>
      <c r="AH52" s="2"/>
      <c r="AI52" s="3"/>
      <c r="AJ52" s="22"/>
      <c r="AK52" s="2"/>
      <c r="AL52" s="3"/>
      <c r="AM52" s="21" t="s">
        <v>271</v>
      </c>
      <c r="AN52" s="2"/>
      <c r="AO52" s="3"/>
      <c r="AP52" s="23">
        <v>46171</v>
      </c>
      <c r="AQ52" s="2"/>
      <c r="AR52" s="3"/>
      <c r="AS52" s="19"/>
      <c r="AT52" s="2"/>
      <c r="AU52" s="3"/>
      <c r="AV52" s="19" t="s">
        <v>63</v>
      </c>
      <c r="AW52" s="2"/>
      <c r="AX52" s="3"/>
      <c r="AY52" s="19"/>
      <c r="AZ52" s="2"/>
      <c r="BA52" s="3"/>
      <c r="BB52" s="19" t="s">
        <v>306</v>
      </c>
      <c r="BC52" s="2"/>
      <c r="BD52" s="3"/>
      <c r="BE52" s="24">
        <v>46241</v>
      </c>
      <c r="BF52" s="2"/>
      <c r="BG52" s="3"/>
      <c r="BH52" s="19"/>
      <c r="BI52" s="2"/>
      <c r="BJ52" s="3"/>
      <c r="BK52" s="18"/>
      <c r="BL52" s="2"/>
      <c r="BM52" s="2"/>
      <c r="BN52" s="2"/>
      <c r="BO52" s="2"/>
      <c r="BP52" s="2"/>
      <c r="BQ52" s="3"/>
    </row>
    <row r="53" ht="409.5" customHeight="1" spans="1:69">
      <c r="A53" s="17">
        <v>36</v>
      </c>
      <c r="B53" s="18" t="s">
        <v>438</v>
      </c>
      <c r="C53" s="2"/>
      <c r="D53" s="3"/>
      <c r="E53" s="18" t="s">
        <v>439</v>
      </c>
      <c r="F53" s="2"/>
      <c r="G53" s="2"/>
      <c r="H53" s="2"/>
      <c r="I53" s="3"/>
      <c r="J53" s="18" t="s">
        <v>440</v>
      </c>
      <c r="K53" s="2"/>
      <c r="L53" s="2"/>
      <c r="M53" s="2"/>
      <c r="N53" s="2"/>
      <c r="O53" s="2"/>
      <c r="P53" s="3"/>
      <c r="Q53" s="18" t="s">
        <v>441</v>
      </c>
      <c r="R53" s="2"/>
      <c r="S53" s="2"/>
      <c r="T53" s="2"/>
      <c r="U53" s="2"/>
      <c r="V53" s="2"/>
      <c r="W53" s="3"/>
      <c r="X53" s="18" t="s">
        <v>442</v>
      </c>
      <c r="Y53" s="2"/>
      <c r="Z53" s="2"/>
      <c r="AA53" s="2"/>
      <c r="AB53" s="2"/>
      <c r="AC53" s="2"/>
      <c r="AD53" s="3"/>
      <c r="AE53" s="19" t="s">
        <v>270</v>
      </c>
      <c r="AF53" s="3"/>
      <c r="AG53" s="21" t="s">
        <v>63</v>
      </c>
      <c r="AH53" s="2"/>
      <c r="AI53" s="3"/>
      <c r="AJ53" s="22"/>
      <c r="AK53" s="2"/>
      <c r="AL53" s="3"/>
      <c r="AM53" s="21" t="s">
        <v>271</v>
      </c>
      <c r="AN53" s="2"/>
      <c r="AO53" s="3"/>
      <c r="AP53" s="23">
        <v>46171</v>
      </c>
      <c r="AQ53" s="2"/>
      <c r="AR53" s="3"/>
      <c r="AS53" s="19"/>
      <c r="AT53" s="2"/>
      <c r="AU53" s="3"/>
      <c r="AV53" s="19" t="s">
        <v>63</v>
      </c>
      <c r="AW53" s="2"/>
      <c r="AX53" s="3"/>
      <c r="AY53" s="19"/>
      <c r="AZ53" s="2"/>
      <c r="BA53" s="3"/>
      <c r="BB53" s="19" t="s">
        <v>306</v>
      </c>
      <c r="BC53" s="2"/>
      <c r="BD53" s="3"/>
      <c r="BE53" s="24">
        <v>46241</v>
      </c>
      <c r="BF53" s="2"/>
      <c r="BG53" s="3"/>
      <c r="BH53" s="19"/>
      <c r="BI53" s="2"/>
      <c r="BJ53" s="3"/>
      <c r="BK53" s="18"/>
      <c r="BL53" s="2"/>
      <c r="BM53" s="2"/>
      <c r="BN53" s="2"/>
      <c r="BO53" s="2"/>
      <c r="BP53" s="2"/>
      <c r="BQ53" s="3"/>
    </row>
    <row r="54" ht="409.5" customHeight="1" spans="1:69">
      <c r="A54" s="17">
        <v>37</v>
      </c>
      <c r="B54" s="18" t="s">
        <v>443</v>
      </c>
      <c r="C54" s="2"/>
      <c r="D54" s="3"/>
      <c r="E54" s="18" t="s">
        <v>444</v>
      </c>
      <c r="F54" s="2"/>
      <c r="G54" s="2"/>
      <c r="H54" s="2"/>
      <c r="I54" s="3"/>
      <c r="J54" s="18" t="s">
        <v>445</v>
      </c>
      <c r="K54" s="2"/>
      <c r="L54" s="2"/>
      <c r="M54" s="2"/>
      <c r="N54" s="2"/>
      <c r="O54" s="2"/>
      <c r="P54" s="3"/>
      <c r="Q54" s="18" t="s">
        <v>446</v>
      </c>
      <c r="R54" s="2"/>
      <c r="S54" s="2"/>
      <c r="T54" s="2"/>
      <c r="U54" s="2"/>
      <c r="V54" s="2"/>
      <c r="W54" s="3"/>
      <c r="X54" s="18" t="s">
        <v>447</v>
      </c>
      <c r="Y54" s="2"/>
      <c r="Z54" s="2"/>
      <c r="AA54" s="2"/>
      <c r="AB54" s="2"/>
      <c r="AC54" s="2"/>
      <c r="AD54" s="3"/>
      <c r="AE54" s="19" t="s">
        <v>270</v>
      </c>
      <c r="AF54" s="3"/>
      <c r="AG54" s="19" t="s">
        <v>65</v>
      </c>
      <c r="AH54" s="2"/>
      <c r="AI54" s="3"/>
      <c r="AJ54" s="19"/>
      <c r="AK54" s="2"/>
      <c r="AL54" s="3"/>
      <c r="AM54" s="21" t="s">
        <v>271</v>
      </c>
      <c r="AN54" s="2"/>
      <c r="AO54" s="3"/>
      <c r="AP54" s="23">
        <v>46171</v>
      </c>
      <c r="AQ54" s="2"/>
      <c r="AR54" s="3"/>
      <c r="AS54" s="19"/>
      <c r="AT54" s="2"/>
      <c r="AU54" s="3"/>
      <c r="AV54" s="19" t="s">
        <v>63</v>
      </c>
      <c r="AW54" s="2"/>
      <c r="AX54" s="3"/>
      <c r="AY54" s="19"/>
      <c r="AZ54" s="2"/>
      <c r="BA54" s="3"/>
      <c r="BB54" s="19" t="s">
        <v>306</v>
      </c>
      <c r="BC54" s="2"/>
      <c r="BD54" s="3"/>
      <c r="BE54" s="24">
        <v>46241</v>
      </c>
      <c r="BF54" s="2"/>
      <c r="BG54" s="3"/>
      <c r="BH54" s="19"/>
      <c r="BI54" s="2"/>
      <c r="BJ54" s="3"/>
      <c r="BK54" s="18"/>
      <c r="BL54" s="2"/>
      <c r="BM54" s="2"/>
      <c r="BN54" s="2"/>
      <c r="BO54" s="2"/>
      <c r="BP54" s="2"/>
      <c r="BQ54" s="3"/>
    </row>
    <row r="55" ht="319.5" customHeight="1" spans="1:69">
      <c r="A55" s="17">
        <v>38</v>
      </c>
      <c r="B55" s="18" t="s">
        <v>448</v>
      </c>
      <c r="C55" s="2"/>
      <c r="D55" s="3"/>
      <c r="E55" s="18" t="s">
        <v>449</v>
      </c>
      <c r="F55" s="2"/>
      <c r="G55" s="2"/>
      <c r="H55" s="2"/>
      <c r="I55" s="3"/>
      <c r="J55" s="18" t="s">
        <v>450</v>
      </c>
      <c r="K55" s="2"/>
      <c r="L55" s="2"/>
      <c r="M55" s="2"/>
      <c r="N55" s="2"/>
      <c r="O55" s="2"/>
      <c r="P55" s="3"/>
      <c r="Q55" s="18" t="s">
        <v>451</v>
      </c>
      <c r="R55" s="2"/>
      <c r="S55" s="2"/>
      <c r="T55" s="2"/>
      <c r="U55" s="2"/>
      <c r="V55" s="2"/>
      <c r="W55" s="3"/>
      <c r="X55" s="18" t="s">
        <v>452</v>
      </c>
      <c r="Y55" s="2"/>
      <c r="Z55" s="2"/>
      <c r="AA55" s="2"/>
      <c r="AB55" s="2"/>
      <c r="AC55" s="2"/>
      <c r="AD55" s="3"/>
      <c r="AE55" s="19" t="s">
        <v>270</v>
      </c>
      <c r="AF55" s="3"/>
      <c r="AG55" s="21" t="s">
        <v>63</v>
      </c>
      <c r="AH55" s="2"/>
      <c r="AI55" s="3"/>
      <c r="AJ55" s="22"/>
      <c r="AK55" s="2"/>
      <c r="AL55" s="3"/>
      <c r="AM55" s="21" t="s">
        <v>271</v>
      </c>
      <c r="AN55" s="2"/>
      <c r="AO55" s="3"/>
      <c r="AP55" s="23">
        <v>46171</v>
      </c>
      <c r="AQ55" s="2"/>
      <c r="AR55" s="3"/>
      <c r="AS55" s="19"/>
      <c r="AT55" s="2"/>
      <c r="AU55" s="3"/>
      <c r="AV55" s="19" t="s">
        <v>63</v>
      </c>
      <c r="AW55" s="2"/>
      <c r="AX55" s="3"/>
      <c r="AY55" s="19"/>
      <c r="AZ55" s="2"/>
      <c r="BA55" s="3"/>
      <c r="BB55" s="19" t="s">
        <v>306</v>
      </c>
      <c r="BC55" s="2"/>
      <c r="BD55" s="3"/>
      <c r="BE55" s="24">
        <v>46241</v>
      </c>
      <c r="BF55" s="2"/>
      <c r="BG55" s="3"/>
      <c r="BH55" s="19"/>
      <c r="BI55" s="2"/>
      <c r="BJ55" s="3"/>
      <c r="BK55" s="18"/>
      <c r="BL55" s="2"/>
      <c r="BM55" s="2"/>
      <c r="BN55" s="2"/>
      <c r="BO55" s="2"/>
      <c r="BP55" s="2"/>
      <c r="BQ55" s="3"/>
    </row>
    <row r="56" ht="409.5" customHeight="1" spans="1:69">
      <c r="A56" s="17">
        <v>39</v>
      </c>
      <c r="B56" s="18" t="s">
        <v>453</v>
      </c>
      <c r="C56" s="2"/>
      <c r="D56" s="3"/>
      <c r="E56" s="18" t="s">
        <v>454</v>
      </c>
      <c r="F56" s="2"/>
      <c r="G56" s="2"/>
      <c r="H56" s="2"/>
      <c r="I56" s="3"/>
      <c r="J56" s="18" t="s">
        <v>455</v>
      </c>
      <c r="K56" s="2"/>
      <c r="L56" s="2"/>
      <c r="M56" s="2"/>
      <c r="N56" s="2"/>
      <c r="O56" s="2"/>
      <c r="P56" s="3"/>
      <c r="Q56" s="18" t="s">
        <v>456</v>
      </c>
      <c r="R56" s="2"/>
      <c r="S56" s="2"/>
      <c r="T56" s="2"/>
      <c r="U56" s="2"/>
      <c r="V56" s="2"/>
      <c r="W56" s="3"/>
      <c r="X56" s="18" t="s">
        <v>457</v>
      </c>
      <c r="Y56" s="2"/>
      <c r="Z56" s="2"/>
      <c r="AA56" s="2"/>
      <c r="AB56" s="2"/>
      <c r="AC56" s="2"/>
      <c r="AD56" s="3"/>
      <c r="AE56" s="19" t="s">
        <v>270</v>
      </c>
      <c r="AF56" s="3"/>
      <c r="AG56" s="21" t="s">
        <v>63</v>
      </c>
      <c r="AH56" s="2"/>
      <c r="AI56" s="3"/>
      <c r="AJ56" s="22"/>
      <c r="AK56" s="2"/>
      <c r="AL56" s="3"/>
      <c r="AM56" s="21" t="s">
        <v>271</v>
      </c>
      <c r="AN56" s="2"/>
      <c r="AO56" s="3"/>
      <c r="AP56" s="23">
        <v>46171</v>
      </c>
      <c r="AQ56" s="2"/>
      <c r="AR56" s="3"/>
      <c r="AS56" s="19"/>
      <c r="AT56" s="2"/>
      <c r="AU56" s="3"/>
      <c r="AV56" s="19" t="s">
        <v>63</v>
      </c>
      <c r="AW56" s="2"/>
      <c r="AX56" s="3"/>
      <c r="AY56" s="19"/>
      <c r="AZ56" s="2"/>
      <c r="BA56" s="3"/>
      <c r="BB56" s="19" t="s">
        <v>306</v>
      </c>
      <c r="BC56" s="2"/>
      <c r="BD56" s="3"/>
      <c r="BE56" s="24">
        <v>46241</v>
      </c>
      <c r="BF56" s="2"/>
      <c r="BG56" s="3"/>
      <c r="BH56" s="19"/>
      <c r="BI56" s="2"/>
      <c r="BJ56" s="3"/>
      <c r="BK56" s="18"/>
      <c r="BL56" s="2"/>
      <c r="BM56" s="2"/>
      <c r="BN56" s="2"/>
      <c r="BO56" s="2"/>
      <c r="BP56" s="2"/>
      <c r="BQ56" s="3"/>
    </row>
    <row r="57" ht="240" customHeight="1" spans="1:69">
      <c r="A57" s="17">
        <v>40</v>
      </c>
      <c r="B57" s="18" t="s">
        <v>458</v>
      </c>
      <c r="C57" s="2"/>
      <c r="D57" s="3"/>
      <c r="E57" s="18" t="s">
        <v>459</v>
      </c>
      <c r="F57" s="2"/>
      <c r="G57" s="2"/>
      <c r="H57" s="2"/>
      <c r="I57" s="3"/>
      <c r="J57" s="18" t="s">
        <v>460</v>
      </c>
      <c r="K57" s="2"/>
      <c r="L57" s="2"/>
      <c r="M57" s="2"/>
      <c r="N57" s="2"/>
      <c r="O57" s="2"/>
      <c r="P57" s="3"/>
      <c r="Q57" s="18" t="s">
        <v>461</v>
      </c>
      <c r="R57" s="2"/>
      <c r="S57" s="2"/>
      <c r="T57" s="2"/>
      <c r="U57" s="2"/>
      <c r="V57" s="2"/>
      <c r="W57" s="3"/>
      <c r="X57" s="18" t="s">
        <v>462</v>
      </c>
      <c r="Y57" s="2"/>
      <c r="Z57" s="2"/>
      <c r="AA57" s="2"/>
      <c r="AB57" s="2"/>
      <c r="AC57" s="2"/>
      <c r="AD57" s="3"/>
      <c r="AE57" s="19" t="s">
        <v>213</v>
      </c>
      <c r="AF57" s="3"/>
      <c r="AG57" s="21" t="s">
        <v>63</v>
      </c>
      <c r="AH57" s="2"/>
      <c r="AI57" s="3"/>
      <c r="AJ57" s="22"/>
      <c r="AK57" s="2"/>
      <c r="AL57" s="3"/>
      <c r="AM57" s="21" t="s">
        <v>271</v>
      </c>
      <c r="AN57" s="2"/>
      <c r="AO57" s="3"/>
      <c r="AP57" s="23">
        <v>46171</v>
      </c>
      <c r="AQ57" s="2"/>
      <c r="AR57" s="3"/>
      <c r="AS57" s="19"/>
      <c r="AT57" s="2"/>
      <c r="AU57" s="3"/>
      <c r="AV57" s="19" t="s">
        <v>63</v>
      </c>
      <c r="AW57" s="2"/>
      <c r="AX57" s="3"/>
      <c r="AY57" s="19"/>
      <c r="AZ57" s="2"/>
      <c r="BA57" s="3"/>
      <c r="BB57" s="19" t="s">
        <v>306</v>
      </c>
      <c r="BC57" s="2"/>
      <c r="BD57" s="3"/>
      <c r="BE57" s="24">
        <v>46241</v>
      </c>
      <c r="BF57" s="2"/>
      <c r="BG57" s="3"/>
      <c r="BH57" s="19"/>
      <c r="BI57" s="2"/>
      <c r="BJ57" s="3"/>
      <c r="BK57" s="18"/>
      <c r="BL57" s="2"/>
      <c r="BM57" s="2"/>
      <c r="BN57" s="2"/>
      <c r="BO57" s="2"/>
      <c r="BP57" s="2"/>
      <c r="BQ57" s="3"/>
    </row>
    <row r="58" ht="336" customHeight="1" spans="1:69">
      <c r="A58" s="17">
        <v>41</v>
      </c>
      <c r="B58" s="32" t="s">
        <v>463</v>
      </c>
      <c r="C58" s="2"/>
      <c r="D58" s="3"/>
      <c r="E58" s="32" t="s">
        <v>464</v>
      </c>
      <c r="F58" s="2"/>
      <c r="G58" s="2"/>
      <c r="H58" s="2"/>
      <c r="I58" s="3"/>
      <c r="J58" s="32" t="s">
        <v>465</v>
      </c>
      <c r="K58" s="2"/>
      <c r="L58" s="2"/>
      <c r="M58" s="2"/>
      <c r="N58" s="2"/>
      <c r="O58" s="2"/>
      <c r="P58" s="3"/>
      <c r="Q58" s="32" t="s">
        <v>466</v>
      </c>
      <c r="R58" s="2"/>
      <c r="S58" s="2"/>
      <c r="T58" s="2"/>
      <c r="U58" s="2"/>
      <c r="V58" s="2"/>
      <c r="W58" s="3"/>
      <c r="X58" s="32" t="s">
        <v>467</v>
      </c>
      <c r="Y58" s="2"/>
      <c r="Z58" s="2"/>
      <c r="AA58" s="2"/>
      <c r="AB58" s="2"/>
      <c r="AC58" s="2"/>
      <c r="AD58" s="3"/>
      <c r="AE58" s="19" t="s">
        <v>213</v>
      </c>
      <c r="AF58" s="3"/>
      <c r="AG58" s="19" t="s">
        <v>66</v>
      </c>
      <c r="AH58" s="2"/>
      <c r="AI58" s="3"/>
      <c r="AJ58" s="19"/>
      <c r="AK58" s="2"/>
      <c r="AL58" s="3"/>
      <c r="AM58" s="19"/>
      <c r="AN58" s="2"/>
      <c r="AO58" s="3"/>
      <c r="AP58" s="19"/>
      <c r="AQ58" s="2"/>
      <c r="AR58" s="3"/>
      <c r="AS58" s="19"/>
      <c r="AT58" s="2"/>
      <c r="AU58" s="3"/>
      <c r="AV58" s="19" t="s">
        <v>66</v>
      </c>
      <c r="AW58" s="2"/>
      <c r="AX58" s="3"/>
      <c r="AY58" s="19"/>
      <c r="AZ58" s="2"/>
      <c r="BA58" s="3"/>
      <c r="BB58" s="19"/>
      <c r="BC58" s="2"/>
      <c r="BD58" s="3"/>
      <c r="BE58" s="19"/>
      <c r="BF58" s="2"/>
      <c r="BG58" s="3"/>
      <c r="BH58" s="19"/>
      <c r="BI58" s="2"/>
      <c r="BJ58" s="3"/>
      <c r="BK58" s="18" t="s">
        <v>468</v>
      </c>
      <c r="BL58" s="2"/>
      <c r="BM58" s="2"/>
      <c r="BN58" s="2"/>
      <c r="BO58" s="2"/>
      <c r="BP58" s="2"/>
      <c r="BQ58" s="3"/>
    </row>
    <row r="59" ht="409.5" customHeight="1" spans="1:69">
      <c r="A59" s="17">
        <v>42</v>
      </c>
      <c r="B59" s="18" t="s">
        <v>469</v>
      </c>
      <c r="C59" s="2"/>
      <c r="D59" s="3"/>
      <c r="E59" s="18" t="s">
        <v>470</v>
      </c>
      <c r="F59" s="2"/>
      <c r="G59" s="2"/>
      <c r="H59" s="2"/>
      <c r="I59" s="3"/>
      <c r="J59" s="18" t="s">
        <v>471</v>
      </c>
      <c r="K59" s="2"/>
      <c r="L59" s="2"/>
      <c r="M59" s="2"/>
      <c r="N59" s="2"/>
      <c r="O59" s="2"/>
      <c r="P59" s="3"/>
      <c r="Q59" s="18" t="s">
        <v>472</v>
      </c>
      <c r="R59" s="2"/>
      <c r="S59" s="2"/>
      <c r="T59" s="2"/>
      <c r="U59" s="2"/>
      <c r="V59" s="2"/>
      <c r="W59" s="3"/>
      <c r="X59" s="18" t="s">
        <v>473</v>
      </c>
      <c r="Y59" s="2"/>
      <c r="Z59" s="2"/>
      <c r="AA59" s="2"/>
      <c r="AB59" s="2"/>
      <c r="AC59" s="2"/>
      <c r="AD59" s="3"/>
      <c r="AE59" s="19" t="s">
        <v>270</v>
      </c>
      <c r="AF59" s="3"/>
      <c r="AG59" s="21" t="s">
        <v>63</v>
      </c>
      <c r="AH59" s="2"/>
      <c r="AI59" s="3"/>
      <c r="AJ59" s="22"/>
      <c r="AK59" s="2"/>
      <c r="AL59" s="3"/>
      <c r="AM59" s="21" t="s">
        <v>271</v>
      </c>
      <c r="AN59" s="2"/>
      <c r="AO59" s="3"/>
      <c r="AP59" s="23">
        <v>46171</v>
      </c>
      <c r="AQ59" s="2"/>
      <c r="AR59" s="3"/>
      <c r="AS59" s="19"/>
      <c r="AT59" s="2"/>
      <c r="AU59" s="3"/>
      <c r="AV59" s="19" t="s">
        <v>63</v>
      </c>
      <c r="AW59" s="2"/>
      <c r="AX59" s="3"/>
      <c r="AY59" s="19"/>
      <c r="AZ59" s="2"/>
      <c r="BA59" s="3"/>
      <c r="BB59" s="19" t="s">
        <v>306</v>
      </c>
      <c r="BC59" s="2"/>
      <c r="BD59" s="3"/>
      <c r="BE59" s="24">
        <v>46241</v>
      </c>
      <c r="BF59" s="2"/>
      <c r="BG59" s="3"/>
      <c r="BH59" s="19"/>
      <c r="BI59" s="2"/>
      <c r="BJ59" s="3"/>
      <c r="BK59" s="18"/>
      <c r="BL59" s="2"/>
      <c r="BM59" s="2"/>
      <c r="BN59" s="2"/>
      <c r="BO59" s="2"/>
      <c r="BP59" s="2"/>
      <c r="BQ59" s="3"/>
    </row>
    <row r="60" ht="271.5" customHeight="1" spans="1:69">
      <c r="A60" s="17">
        <v>43</v>
      </c>
      <c r="B60" s="18" t="s">
        <v>474</v>
      </c>
      <c r="C60" s="2"/>
      <c r="D60" s="3"/>
      <c r="E60" s="18" t="s">
        <v>475</v>
      </c>
      <c r="F60" s="2"/>
      <c r="G60" s="2"/>
      <c r="H60" s="2"/>
      <c r="I60" s="3"/>
      <c r="J60" s="18" t="s">
        <v>476</v>
      </c>
      <c r="K60" s="2"/>
      <c r="L60" s="2"/>
      <c r="M60" s="2"/>
      <c r="N60" s="2"/>
      <c r="O60" s="2"/>
      <c r="P60" s="3"/>
      <c r="Q60" s="18" t="s">
        <v>477</v>
      </c>
      <c r="R60" s="2"/>
      <c r="S60" s="2"/>
      <c r="T60" s="2"/>
      <c r="U60" s="2"/>
      <c r="V60" s="2"/>
      <c r="W60" s="3"/>
      <c r="X60" s="18" t="s">
        <v>478</v>
      </c>
      <c r="Y60" s="2"/>
      <c r="Z60" s="2"/>
      <c r="AA60" s="2"/>
      <c r="AB60" s="2"/>
      <c r="AC60" s="2"/>
      <c r="AD60" s="3"/>
      <c r="AE60" s="19" t="s">
        <v>270</v>
      </c>
      <c r="AF60" s="3"/>
      <c r="AG60" s="21" t="s">
        <v>63</v>
      </c>
      <c r="AH60" s="2"/>
      <c r="AI60" s="3"/>
      <c r="AJ60" s="22"/>
      <c r="AK60" s="2"/>
      <c r="AL60" s="3"/>
      <c r="AM60" s="21" t="s">
        <v>271</v>
      </c>
      <c r="AN60" s="2"/>
      <c r="AO60" s="3"/>
      <c r="AP60" s="23">
        <v>46171</v>
      </c>
      <c r="AQ60" s="2"/>
      <c r="AR60" s="3"/>
      <c r="AS60" s="19"/>
      <c r="AT60" s="2"/>
      <c r="AU60" s="3"/>
      <c r="AV60" s="19" t="s">
        <v>63</v>
      </c>
      <c r="AW60" s="2"/>
      <c r="AX60" s="3"/>
      <c r="AY60" s="19"/>
      <c r="AZ60" s="2"/>
      <c r="BA60" s="3"/>
      <c r="BB60" s="19" t="s">
        <v>306</v>
      </c>
      <c r="BC60" s="2"/>
      <c r="BD60" s="3"/>
      <c r="BE60" s="24">
        <v>46241</v>
      </c>
      <c r="BF60" s="2"/>
      <c r="BG60" s="3"/>
      <c r="BH60" s="19"/>
      <c r="BI60" s="2"/>
      <c r="BJ60" s="3"/>
      <c r="BK60" s="18"/>
      <c r="BL60" s="2"/>
      <c r="BM60" s="2"/>
      <c r="BN60" s="2"/>
      <c r="BO60" s="2"/>
      <c r="BP60" s="2"/>
      <c r="BQ60" s="3"/>
    </row>
    <row r="61" ht="384" customHeight="1" spans="1:69">
      <c r="A61" s="17">
        <v>44</v>
      </c>
      <c r="B61" s="18" t="s">
        <v>479</v>
      </c>
      <c r="C61" s="2"/>
      <c r="D61" s="3"/>
      <c r="E61" s="18" t="s">
        <v>480</v>
      </c>
      <c r="F61" s="2"/>
      <c r="G61" s="2"/>
      <c r="H61" s="2"/>
      <c r="I61" s="3"/>
      <c r="J61" s="18" t="s">
        <v>481</v>
      </c>
      <c r="K61" s="2"/>
      <c r="L61" s="2"/>
      <c r="M61" s="2"/>
      <c r="N61" s="2"/>
      <c r="O61" s="2"/>
      <c r="P61" s="3"/>
      <c r="Q61" s="18" t="s">
        <v>482</v>
      </c>
      <c r="R61" s="2"/>
      <c r="S61" s="2"/>
      <c r="T61" s="2"/>
      <c r="U61" s="2"/>
      <c r="V61" s="2"/>
      <c r="W61" s="3"/>
      <c r="X61" s="18" t="s">
        <v>483</v>
      </c>
      <c r="Y61" s="2"/>
      <c r="Z61" s="2"/>
      <c r="AA61" s="2"/>
      <c r="AB61" s="2"/>
      <c r="AC61" s="2"/>
      <c r="AD61" s="3"/>
      <c r="AE61" s="19" t="s">
        <v>213</v>
      </c>
      <c r="AF61" s="3"/>
      <c r="AG61" s="21" t="s">
        <v>65</v>
      </c>
      <c r="AH61" s="2"/>
      <c r="AI61" s="3"/>
      <c r="AJ61" s="22"/>
      <c r="AK61" s="2"/>
      <c r="AL61" s="3"/>
      <c r="AM61" s="21" t="s">
        <v>271</v>
      </c>
      <c r="AN61" s="2"/>
      <c r="AO61" s="3"/>
      <c r="AP61" s="23">
        <v>46171</v>
      </c>
      <c r="AQ61" s="2"/>
      <c r="AR61" s="3"/>
      <c r="AS61" s="19"/>
      <c r="AT61" s="2"/>
      <c r="AU61" s="3"/>
      <c r="AV61" s="19" t="s">
        <v>63</v>
      </c>
      <c r="AW61" s="2"/>
      <c r="AX61" s="3"/>
      <c r="AY61" s="19"/>
      <c r="AZ61" s="2"/>
      <c r="BA61" s="3"/>
      <c r="BB61" s="19"/>
      <c r="BC61" s="2"/>
      <c r="BD61" s="3"/>
      <c r="BE61" s="19"/>
      <c r="BF61" s="2"/>
      <c r="BG61" s="3"/>
      <c r="BH61" s="19"/>
      <c r="BI61" s="2"/>
      <c r="BJ61" s="3"/>
      <c r="BK61" s="18" t="s">
        <v>484</v>
      </c>
      <c r="BL61" s="2"/>
      <c r="BM61" s="2"/>
      <c r="BN61" s="2"/>
      <c r="BO61" s="2"/>
      <c r="BP61" s="2"/>
      <c r="BQ61" s="3"/>
    </row>
    <row r="62" ht="336" customHeight="1" spans="1:69">
      <c r="A62" s="17">
        <v>45</v>
      </c>
      <c r="B62" s="18" t="s">
        <v>485</v>
      </c>
      <c r="C62" s="2"/>
      <c r="D62" s="3"/>
      <c r="E62" s="18" t="s">
        <v>486</v>
      </c>
      <c r="F62" s="2"/>
      <c r="G62" s="2"/>
      <c r="H62" s="2"/>
      <c r="I62" s="3"/>
      <c r="J62" s="18" t="s">
        <v>487</v>
      </c>
      <c r="K62" s="2"/>
      <c r="L62" s="2"/>
      <c r="M62" s="2"/>
      <c r="N62" s="2"/>
      <c r="O62" s="2"/>
      <c r="P62" s="3"/>
      <c r="Q62" s="18" t="s">
        <v>488</v>
      </c>
      <c r="R62" s="2"/>
      <c r="S62" s="2"/>
      <c r="T62" s="2"/>
      <c r="U62" s="2"/>
      <c r="V62" s="2"/>
      <c r="W62" s="3"/>
      <c r="X62" s="18" t="s">
        <v>489</v>
      </c>
      <c r="Y62" s="2"/>
      <c r="Z62" s="2"/>
      <c r="AA62" s="2"/>
      <c r="AB62" s="2"/>
      <c r="AC62" s="2"/>
      <c r="AD62" s="3"/>
      <c r="AE62" s="19" t="s">
        <v>213</v>
      </c>
      <c r="AF62" s="3"/>
      <c r="AG62" s="21" t="s">
        <v>65</v>
      </c>
      <c r="AH62" s="2"/>
      <c r="AI62" s="3"/>
      <c r="AJ62" s="22"/>
      <c r="AK62" s="2"/>
      <c r="AL62" s="3"/>
      <c r="AM62" s="21" t="s">
        <v>271</v>
      </c>
      <c r="AN62" s="2"/>
      <c r="AO62" s="3"/>
      <c r="AP62" s="23">
        <v>46171</v>
      </c>
      <c r="AQ62" s="2"/>
      <c r="AR62" s="3"/>
      <c r="AS62" s="19"/>
      <c r="AT62" s="2"/>
      <c r="AU62" s="3"/>
      <c r="AV62" s="19" t="s">
        <v>63</v>
      </c>
      <c r="AW62" s="2"/>
      <c r="AX62" s="3"/>
      <c r="AY62" s="19"/>
      <c r="AZ62" s="2"/>
      <c r="BA62" s="3"/>
      <c r="BB62" s="19"/>
      <c r="BC62" s="2"/>
      <c r="BD62" s="3"/>
      <c r="BE62" s="19"/>
      <c r="BF62" s="2"/>
      <c r="BG62" s="3"/>
      <c r="BH62" s="19"/>
      <c r="BI62" s="2"/>
      <c r="BJ62" s="3"/>
      <c r="BK62" s="18" t="s">
        <v>294</v>
      </c>
      <c r="BL62" s="2"/>
      <c r="BM62" s="2"/>
      <c r="BN62" s="2"/>
      <c r="BO62" s="2"/>
      <c r="BP62" s="2"/>
      <c r="BQ62" s="3"/>
    </row>
    <row r="63" ht="22.5" customHeight="1" spans="1:69">
      <c r="A63" s="16" t="s">
        <v>490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3"/>
    </row>
    <row r="64" ht="384" customHeight="1" spans="1:69">
      <c r="A64" s="17">
        <v>46</v>
      </c>
      <c r="B64" s="18" t="s">
        <v>491</v>
      </c>
      <c r="C64" s="2"/>
      <c r="D64" s="3"/>
      <c r="E64" s="18" t="s">
        <v>492</v>
      </c>
      <c r="F64" s="2"/>
      <c r="G64" s="2"/>
      <c r="H64" s="2"/>
      <c r="I64" s="3"/>
      <c r="J64" s="18" t="s">
        <v>493</v>
      </c>
      <c r="K64" s="2"/>
      <c r="L64" s="2"/>
      <c r="M64" s="2"/>
      <c r="N64" s="2"/>
      <c r="O64" s="2"/>
      <c r="P64" s="3"/>
      <c r="Q64" s="18" t="s">
        <v>494</v>
      </c>
      <c r="R64" s="2"/>
      <c r="S64" s="2"/>
      <c r="T64" s="2"/>
      <c r="U64" s="2"/>
      <c r="V64" s="2"/>
      <c r="W64" s="3"/>
      <c r="X64" s="18" t="s">
        <v>495</v>
      </c>
      <c r="Y64" s="2"/>
      <c r="Z64" s="2"/>
      <c r="AA64" s="2"/>
      <c r="AB64" s="2"/>
      <c r="AC64" s="2"/>
      <c r="AD64" s="3"/>
      <c r="AE64" s="19" t="s">
        <v>213</v>
      </c>
      <c r="AF64" s="3"/>
      <c r="AG64" s="21" t="s">
        <v>63</v>
      </c>
      <c r="AH64" s="2"/>
      <c r="AI64" s="3"/>
      <c r="AJ64" s="22"/>
      <c r="AK64" s="2"/>
      <c r="AL64" s="3"/>
      <c r="AM64" s="21" t="s">
        <v>271</v>
      </c>
      <c r="AN64" s="2"/>
      <c r="AO64" s="3"/>
      <c r="AP64" s="23">
        <v>46171</v>
      </c>
      <c r="AQ64" s="2"/>
      <c r="AR64" s="3"/>
      <c r="AS64" s="19"/>
      <c r="AT64" s="2"/>
      <c r="AU64" s="3"/>
      <c r="AV64" s="19" t="s">
        <v>63</v>
      </c>
      <c r="AW64" s="2"/>
      <c r="AX64" s="3"/>
      <c r="AY64" s="19"/>
      <c r="AZ64" s="2"/>
      <c r="BA64" s="3"/>
      <c r="BB64" s="19" t="s">
        <v>306</v>
      </c>
      <c r="BC64" s="2"/>
      <c r="BD64" s="3"/>
      <c r="BE64" s="24">
        <v>46241</v>
      </c>
      <c r="BF64" s="2"/>
      <c r="BG64" s="3"/>
      <c r="BH64" s="19"/>
      <c r="BI64" s="2"/>
      <c r="BJ64" s="3"/>
      <c r="BK64" s="18"/>
      <c r="BL64" s="2"/>
      <c r="BM64" s="2"/>
      <c r="BN64" s="2"/>
      <c r="BO64" s="2"/>
      <c r="BP64" s="2"/>
      <c r="BQ64" s="3"/>
    </row>
    <row r="65" ht="319.5" customHeight="1" spans="1:69">
      <c r="A65" s="17">
        <v>47</v>
      </c>
      <c r="B65" s="18" t="s">
        <v>496</v>
      </c>
      <c r="C65" s="2"/>
      <c r="D65" s="3"/>
      <c r="E65" s="18" t="s">
        <v>497</v>
      </c>
      <c r="F65" s="2"/>
      <c r="G65" s="2"/>
      <c r="H65" s="2"/>
      <c r="I65" s="3"/>
      <c r="J65" s="18" t="s">
        <v>498</v>
      </c>
      <c r="K65" s="2"/>
      <c r="L65" s="2"/>
      <c r="M65" s="2"/>
      <c r="N65" s="2"/>
      <c r="O65" s="2"/>
      <c r="P65" s="3"/>
      <c r="Q65" s="18" t="s">
        <v>499</v>
      </c>
      <c r="R65" s="2"/>
      <c r="S65" s="2"/>
      <c r="T65" s="2"/>
      <c r="U65" s="2"/>
      <c r="V65" s="2"/>
      <c r="W65" s="3"/>
      <c r="X65" s="18" t="s">
        <v>500</v>
      </c>
      <c r="Y65" s="2"/>
      <c r="Z65" s="2"/>
      <c r="AA65" s="2"/>
      <c r="AB65" s="2"/>
      <c r="AC65" s="2"/>
      <c r="AD65" s="3"/>
      <c r="AE65" s="19" t="s">
        <v>213</v>
      </c>
      <c r="AF65" s="3"/>
      <c r="AG65" s="21" t="s">
        <v>63</v>
      </c>
      <c r="AH65" s="2"/>
      <c r="AI65" s="3"/>
      <c r="AJ65" s="22"/>
      <c r="AK65" s="2"/>
      <c r="AL65" s="3"/>
      <c r="AM65" s="21" t="s">
        <v>271</v>
      </c>
      <c r="AN65" s="2"/>
      <c r="AO65" s="3"/>
      <c r="AP65" s="23">
        <v>46171</v>
      </c>
      <c r="AQ65" s="2"/>
      <c r="AR65" s="3"/>
      <c r="AS65" s="19"/>
      <c r="AT65" s="2"/>
      <c r="AU65" s="3"/>
      <c r="AV65" s="19" t="s">
        <v>63</v>
      </c>
      <c r="AW65" s="2"/>
      <c r="AX65" s="3"/>
      <c r="AY65" s="19"/>
      <c r="AZ65" s="2"/>
      <c r="BA65" s="3"/>
      <c r="BB65" s="19" t="s">
        <v>306</v>
      </c>
      <c r="BC65" s="2"/>
      <c r="BD65" s="3"/>
      <c r="BE65" s="24">
        <v>46241</v>
      </c>
      <c r="BF65" s="2"/>
      <c r="BG65" s="3"/>
      <c r="BH65" s="19"/>
      <c r="BI65" s="2"/>
      <c r="BJ65" s="3"/>
      <c r="BK65" s="18"/>
      <c r="BL65" s="2"/>
      <c r="BM65" s="2"/>
      <c r="BN65" s="2"/>
      <c r="BO65" s="2"/>
      <c r="BP65" s="2"/>
      <c r="BQ65" s="3"/>
    </row>
    <row r="66" ht="319.5" customHeight="1" spans="1:69">
      <c r="A66" s="17">
        <v>48</v>
      </c>
      <c r="B66" s="18" t="s">
        <v>501</v>
      </c>
      <c r="C66" s="2"/>
      <c r="D66" s="3"/>
      <c r="E66" s="18" t="s">
        <v>502</v>
      </c>
      <c r="F66" s="2"/>
      <c r="G66" s="2"/>
      <c r="H66" s="2"/>
      <c r="I66" s="3"/>
      <c r="J66" s="18" t="s">
        <v>498</v>
      </c>
      <c r="K66" s="2"/>
      <c r="L66" s="2"/>
      <c r="M66" s="2"/>
      <c r="N66" s="2"/>
      <c r="O66" s="2"/>
      <c r="P66" s="3"/>
      <c r="Q66" s="18" t="s">
        <v>503</v>
      </c>
      <c r="R66" s="2"/>
      <c r="S66" s="2"/>
      <c r="T66" s="2"/>
      <c r="U66" s="2"/>
      <c r="V66" s="2"/>
      <c r="W66" s="3"/>
      <c r="X66" s="18" t="s">
        <v>504</v>
      </c>
      <c r="Y66" s="2"/>
      <c r="Z66" s="2"/>
      <c r="AA66" s="2"/>
      <c r="AB66" s="2"/>
      <c r="AC66" s="2"/>
      <c r="AD66" s="3"/>
      <c r="AE66" s="19" t="s">
        <v>213</v>
      </c>
      <c r="AF66" s="3"/>
      <c r="AG66" s="21" t="s">
        <v>63</v>
      </c>
      <c r="AH66" s="2"/>
      <c r="AI66" s="3"/>
      <c r="AJ66" s="22"/>
      <c r="AK66" s="2"/>
      <c r="AL66" s="3"/>
      <c r="AM66" s="21" t="s">
        <v>271</v>
      </c>
      <c r="AN66" s="2"/>
      <c r="AO66" s="3"/>
      <c r="AP66" s="23">
        <v>46171</v>
      </c>
      <c r="AQ66" s="2"/>
      <c r="AR66" s="3"/>
      <c r="AS66" s="19"/>
      <c r="AT66" s="2"/>
      <c r="AU66" s="3"/>
      <c r="AV66" s="19" t="s">
        <v>63</v>
      </c>
      <c r="AW66" s="2"/>
      <c r="AX66" s="3"/>
      <c r="AY66" s="19"/>
      <c r="AZ66" s="2"/>
      <c r="BA66" s="3"/>
      <c r="BB66" s="19" t="s">
        <v>306</v>
      </c>
      <c r="BC66" s="2"/>
      <c r="BD66" s="3"/>
      <c r="BE66" s="24">
        <v>46241</v>
      </c>
      <c r="BF66" s="2"/>
      <c r="BG66" s="3"/>
      <c r="BH66" s="19"/>
      <c r="BI66" s="2"/>
      <c r="BJ66" s="3"/>
      <c r="BK66" s="18"/>
      <c r="BL66" s="2"/>
      <c r="BM66" s="2"/>
      <c r="BN66" s="2"/>
      <c r="BO66" s="2"/>
      <c r="BP66" s="2"/>
      <c r="BQ66" s="3"/>
    </row>
    <row r="67" ht="303.75" customHeight="1" spans="1:69">
      <c r="A67" s="17">
        <v>49</v>
      </c>
      <c r="B67" s="18" t="s">
        <v>505</v>
      </c>
      <c r="C67" s="2"/>
      <c r="D67" s="3"/>
      <c r="E67" s="18" t="s">
        <v>506</v>
      </c>
      <c r="F67" s="2"/>
      <c r="G67" s="2"/>
      <c r="H67" s="2"/>
      <c r="I67" s="3"/>
      <c r="J67" s="18" t="s">
        <v>498</v>
      </c>
      <c r="K67" s="2"/>
      <c r="L67" s="2"/>
      <c r="M67" s="2"/>
      <c r="N67" s="2"/>
      <c r="O67" s="2"/>
      <c r="P67" s="3"/>
      <c r="Q67" s="18" t="s">
        <v>507</v>
      </c>
      <c r="R67" s="2"/>
      <c r="S67" s="2"/>
      <c r="T67" s="2"/>
      <c r="U67" s="2"/>
      <c r="V67" s="2"/>
      <c r="W67" s="3"/>
      <c r="X67" s="18" t="s">
        <v>508</v>
      </c>
      <c r="Y67" s="2"/>
      <c r="Z67" s="2"/>
      <c r="AA67" s="2"/>
      <c r="AB67" s="2"/>
      <c r="AC67" s="2"/>
      <c r="AD67" s="3"/>
      <c r="AE67" s="19" t="s">
        <v>213</v>
      </c>
      <c r="AF67" s="3"/>
      <c r="AG67" s="21" t="s">
        <v>63</v>
      </c>
      <c r="AH67" s="2"/>
      <c r="AI67" s="3"/>
      <c r="AJ67" s="22"/>
      <c r="AK67" s="2"/>
      <c r="AL67" s="3"/>
      <c r="AM67" s="21" t="s">
        <v>271</v>
      </c>
      <c r="AN67" s="2"/>
      <c r="AO67" s="3"/>
      <c r="AP67" s="23">
        <v>46171</v>
      </c>
      <c r="AQ67" s="2"/>
      <c r="AR67" s="3"/>
      <c r="AS67" s="19"/>
      <c r="AT67" s="2"/>
      <c r="AU67" s="3"/>
      <c r="AV67" s="19" t="s">
        <v>63</v>
      </c>
      <c r="AW67" s="2"/>
      <c r="AX67" s="3"/>
      <c r="AY67" s="19"/>
      <c r="AZ67" s="2"/>
      <c r="BA67" s="3"/>
      <c r="BB67" s="19" t="s">
        <v>306</v>
      </c>
      <c r="BC67" s="2"/>
      <c r="BD67" s="3"/>
      <c r="BE67" s="24">
        <v>46241</v>
      </c>
      <c r="BF67" s="2"/>
      <c r="BG67" s="3"/>
      <c r="BH67" s="19"/>
      <c r="BI67" s="2"/>
      <c r="BJ67" s="3"/>
      <c r="BK67" s="18"/>
      <c r="BL67" s="2"/>
      <c r="BM67" s="2"/>
      <c r="BN67" s="2"/>
      <c r="BO67" s="2"/>
      <c r="BP67" s="2"/>
      <c r="BQ67" s="3"/>
    </row>
    <row r="68" ht="367.5" customHeight="1" spans="1:69">
      <c r="A68" s="17">
        <v>50</v>
      </c>
      <c r="B68" s="18" t="s">
        <v>509</v>
      </c>
      <c r="C68" s="2"/>
      <c r="D68" s="3"/>
      <c r="E68" s="18" t="s">
        <v>510</v>
      </c>
      <c r="F68" s="2"/>
      <c r="G68" s="2"/>
      <c r="H68" s="2"/>
      <c r="I68" s="3"/>
      <c r="J68" s="18" t="s">
        <v>511</v>
      </c>
      <c r="K68" s="2"/>
      <c r="L68" s="2"/>
      <c r="M68" s="2"/>
      <c r="N68" s="2"/>
      <c r="O68" s="2"/>
      <c r="P68" s="3"/>
      <c r="Q68" s="18" t="s">
        <v>512</v>
      </c>
      <c r="R68" s="2"/>
      <c r="S68" s="2"/>
      <c r="T68" s="2"/>
      <c r="U68" s="2"/>
      <c r="V68" s="2"/>
      <c r="W68" s="3"/>
      <c r="X68" s="18" t="s">
        <v>513</v>
      </c>
      <c r="Y68" s="2"/>
      <c r="Z68" s="2"/>
      <c r="AA68" s="2"/>
      <c r="AB68" s="2"/>
      <c r="AC68" s="2"/>
      <c r="AD68" s="3"/>
      <c r="AE68" s="19" t="s">
        <v>213</v>
      </c>
      <c r="AF68" s="3"/>
      <c r="AG68" s="21" t="s">
        <v>65</v>
      </c>
      <c r="AH68" s="2"/>
      <c r="AI68" s="3"/>
      <c r="AJ68" s="22"/>
      <c r="AK68" s="2"/>
      <c r="AL68" s="3"/>
      <c r="AM68" s="21" t="s">
        <v>271</v>
      </c>
      <c r="AN68" s="2"/>
      <c r="AO68" s="3"/>
      <c r="AP68" s="23">
        <v>46171</v>
      </c>
      <c r="AQ68" s="2"/>
      <c r="AR68" s="3"/>
      <c r="AS68" s="19"/>
      <c r="AT68" s="2"/>
      <c r="AU68" s="3"/>
      <c r="AV68" s="19" t="s">
        <v>63</v>
      </c>
      <c r="AW68" s="2"/>
      <c r="AX68" s="3"/>
      <c r="AY68" s="19"/>
      <c r="AZ68" s="2"/>
      <c r="BA68" s="3"/>
      <c r="BB68" s="19" t="s">
        <v>306</v>
      </c>
      <c r="BC68" s="2"/>
      <c r="BD68" s="3"/>
      <c r="BE68" s="24">
        <v>46241</v>
      </c>
      <c r="BF68" s="2"/>
      <c r="BG68" s="3"/>
      <c r="BH68" s="19"/>
      <c r="BI68" s="2"/>
      <c r="BJ68" s="3"/>
      <c r="BK68" s="18"/>
      <c r="BL68" s="2"/>
      <c r="BM68" s="2"/>
      <c r="BN68" s="2"/>
      <c r="BO68" s="2"/>
      <c r="BP68" s="2"/>
      <c r="BQ68" s="3"/>
    </row>
    <row r="69" ht="351.75" customHeight="1" spans="1:69">
      <c r="A69" s="17">
        <v>51</v>
      </c>
      <c r="B69" s="18" t="s">
        <v>514</v>
      </c>
      <c r="C69" s="2"/>
      <c r="D69" s="3"/>
      <c r="E69" s="18" t="s">
        <v>515</v>
      </c>
      <c r="F69" s="2"/>
      <c r="G69" s="2"/>
      <c r="H69" s="2"/>
      <c r="I69" s="3"/>
      <c r="J69" s="18" t="s">
        <v>516</v>
      </c>
      <c r="K69" s="2"/>
      <c r="L69" s="2"/>
      <c r="M69" s="2"/>
      <c r="N69" s="2"/>
      <c r="O69" s="2"/>
      <c r="P69" s="3"/>
      <c r="Q69" s="18" t="s">
        <v>517</v>
      </c>
      <c r="R69" s="2"/>
      <c r="S69" s="2"/>
      <c r="T69" s="2"/>
      <c r="U69" s="2"/>
      <c r="V69" s="2"/>
      <c r="W69" s="3"/>
      <c r="X69" s="18" t="s">
        <v>518</v>
      </c>
      <c r="Y69" s="2"/>
      <c r="Z69" s="2"/>
      <c r="AA69" s="2"/>
      <c r="AB69" s="2"/>
      <c r="AC69" s="2"/>
      <c r="AD69" s="3"/>
      <c r="AE69" s="19" t="s">
        <v>213</v>
      </c>
      <c r="AF69" s="3"/>
      <c r="AG69" s="21" t="s">
        <v>63</v>
      </c>
      <c r="AH69" s="2"/>
      <c r="AI69" s="3"/>
      <c r="AJ69" s="22"/>
      <c r="AK69" s="2"/>
      <c r="AL69" s="3"/>
      <c r="AM69" s="21" t="s">
        <v>271</v>
      </c>
      <c r="AN69" s="2"/>
      <c r="AO69" s="3"/>
      <c r="AP69" s="23">
        <v>46171</v>
      </c>
      <c r="AQ69" s="2"/>
      <c r="AR69" s="3"/>
      <c r="AS69" s="19"/>
      <c r="AT69" s="2"/>
      <c r="AU69" s="3"/>
      <c r="AV69" s="19" t="s">
        <v>63</v>
      </c>
      <c r="AW69" s="2"/>
      <c r="AX69" s="3"/>
      <c r="AY69" s="19"/>
      <c r="AZ69" s="2"/>
      <c r="BA69" s="3"/>
      <c r="BB69" s="19" t="s">
        <v>306</v>
      </c>
      <c r="BC69" s="2"/>
      <c r="BD69" s="3"/>
      <c r="BE69" s="24">
        <v>46241</v>
      </c>
      <c r="BF69" s="2"/>
      <c r="BG69" s="3"/>
      <c r="BH69" s="19"/>
      <c r="BI69" s="2"/>
      <c r="BJ69" s="3"/>
      <c r="BK69" s="18"/>
      <c r="BL69" s="2"/>
      <c r="BM69" s="2"/>
      <c r="BN69" s="2"/>
      <c r="BO69" s="2"/>
      <c r="BP69" s="2"/>
      <c r="BQ69" s="3"/>
    </row>
    <row r="70" ht="351.75" customHeight="1" spans="1:69">
      <c r="A70" s="17">
        <v>52</v>
      </c>
      <c r="B70" s="18" t="s">
        <v>519</v>
      </c>
      <c r="C70" s="2"/>
      <c r="D70" s="3"/>
      <c r="E70" s="18" t="s">
        <v>520</v>
      </c>
      <c r="F70" s="2"/>
      <c r="G70" s="2"/>
      <c r="H70" s="2"/>
      <c r="I70" s="3"/>
      <c r="J70" s="18" t="s">
        <v>521</v>
      </c>
      <c r="K70" s="2"/>
      <c r="L70" s="2"/>
      <c r="M70" s="2"/>
      <c r="N70" s="2"/>
      <c r="O70" s="2"/>
      <c r="P70" s="3"/>
      <c r="Q70" s="18" t="s">
        <v>522</v>
      </c>
      <c r="R70" s="2"/>
      <c r="S70" s="2"/>
      <c r="T70" s="2"/>
      <c r="U70" s="2"/>
      <c r="V70" s="2"/>
      <c r="W70" s="3"/>
      <c r="X70" s="18" t="s">
        <v>523</v>
      </c>
      <c r="Y70" s="2"/>
      <c r="Z70" s="2"/>
      <c r="AA70" s="2"/>
      <c r="AB70" s="2"/>
      <c r="AC70" s="2"/>
      <c r="AD70" s="3"/>
      <c r="AE70" s="19" t="s">
        <v>213</v>
      </c>
      <c r="AF70" s="3"/>
      <c r="AG70" s="21" t="s">
        <v>63</v>
      </c>
      <c r="AH70" s="2"/>
      <c r="AI70" s="3"/>
      <c r="AJ70" s="22"/>
      <c r="AK70" s="2"/>
      <c r="AL70" s="3"/>
      <c r="AM70" s="21" t="s">
        <v>271</v>
      </c>
      <c r="AN70" s="2"/>
      <c r="AO70" s="3"/>
      <c r="AP70" s="23">
        <v>46171</v>
      </c>
      <c r="AQ70" s="2"/>
      <c r="AR70" s="3"/>
      <c r="AS70" s="19"/>
      <c r="AT70" s="2"/>
      <c r="AU70" s="3"/>
      <c r="AV70" s="19" t="s">
        <v>63</v>
      </c>
      <c r="AW70" s="2"/>
      <c r="AX70" s="3"/>
      <c r="AY70" s="19"/>
      <c r="AZ70" s="2"/>
      <c r="BA70" s="3"/>
      <c r="BB70" s="19" t="s">
        <v>306</v>
      </c>
      <c r="BC70" s="2"/>
      <c r="BD70" s="3"/>
      <c r="BE70" s="24">
        <v>46241</v>
      </c>
      <c r="BF70" s="2"/>
      <c r="BG70" s="3"/>
      <c r="BH70" s="19"/>
      <c r="BI70" s="2"/>
      <c r="BJ70" s="3"/>
      <c r="BK70" s="18"/>
      <c r="BL70" s="2"/>
      <c r="BM70" s="2"/>
      <c r="BN70" s="2"/>
      <c r="BO70" s="2"/>
      <c r="BP70" s="2"/>
      <c r="BQ70" s="3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57">
    <mergeCell ref="A1:E1"/>
    <mergeCell ref="F1:Q1"/>
    <mergeCell ref="R1:V1"/>
    <mergeCell ref="W1:AH1"/>
    <mergeCell ref="A2:E2"/>
    <mergeCell ref="F2:Q2"/>
    <mergeCell ref="R2:V2"/>
    <mergeCell ref="W2:AH2"/>
    <mergeCell ref="A3:E3"/>
    <mergeCell ref="F3:Q3"/>
    <mergeCell ref="R3:V3"/>
    <mergeCell ref="W3:AH3"/>
    <mergeCell ref="A4:E4"/>
    <mergeCell ref="F4:AH4"/>
    <mergeCell ref="A5:S5"/>
    <mergeCell ref="T5:AH5"/>
    <mergeCell ref="A6:G6"/>
    <mergeCell ref="H6:J6"/>
    <mergeCell ref="K6:M6"/>
    <mergeCell ref="N6:P6"/>
    <mergeCell ref="Q6:S6"/>
    <mergeCell ref="T6:V6"/>
    <mergeCell ref="W6:Y6"/>
    <mergeCell ref="Z6:AB6"/>
    <mergeCell ref="AC6:AE6"/>
    <mergeCell ref="AF6:AH6"/>
    <mergeCell ref="A7:G7"/>
    <mergeCell ref="H7:J7"/>
    <mergeCell ref="K7:M7"/>
    <mergeCell ref="N7:P7"/>
    <mergeCell ref="Q7:S7"/>
    <mergeCell ref="T7:V7"/>
    <mergeCell ref="W7:Y7"/>
    <mergeCell ref="Z7:AB7"/>
    <mergeCell ref="AC7:AE7"/>
    <mergeCell ref="AF7:AH7"/>
    <mergeCell ref="A8:G8"/>
    <mergeCell ref="H8:J8"/>
    <mergeCell ref="K8:M8"/>
    <mergeCell ref="N8:P8"/>
    <mergeCell ref="Q8:S8"/>
    <mergeCell ref="T8:V8"/>
    <mergeCell ref="W8:Y8"/>
    <mergeCell ref="Z8:AB8"/>
    <mergeCell ref="AC8:AE8"/>
    <mergeCell ref="AF8:AH8"/>
    <mergeCell ref="AG10:AU10"/>
    <mergeCell ref="AV10:BJ10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A12:BQ12"/>
    <mergeCell ref="B13:D13"/>
    <mergeCell ref="E13:I13"/>
    <mergeCell ref="J13:P13"/>
    <mergeCell ref="Q13:W13"/>
    <mergeCell ref="X13:AD13"/>
    <mergeCell ref="AE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BE13:BG13"/>
    <mergeCell ref="BH13:BJ13"/>
    <mergeCell ref="BK13:BQ13"/>
    <mergeCell ref="B14:D14"/>
    <mergeCell ref="E14:I14"/>
    <mergeCell ref="J14:P14"/>
    <mergeCell ref="Q14:W14"/>
    <mergeCell ref="X14:AD14"/>
    <mergeCell ref="AE14:AF14"/>
    <mergeCell ref="AG14:AI14"/>
    <mergeCell ref="AJ14:AL14"/>
    <mergeCell ref="AM14:AO14"/>
    <mergeCell ref="AP14:AR14"/>
    <mergeCell ref="AS14:AU14"/>
    <mergeCell ref="AV14:AX14"/>
    <mergeCell ref="AY14:BA14"/>
    <mergeCell ref="BB14:BD14"/>
    <mergeCell ref="BE14:BG14"/>
    <mergeCell ref="BH14:BJ14"/>
    <mergeCell ref="BK14:BQ14"/>
    <mergeCell ref="B15:D15"/>
    <mergeCell ref="E15:I15"/>
    <mergeCell ref="J15:P15"/>
    <mergeCell ref="Q15:W15"/>
    <mergeCell ref="X15:AD15"/>
    <mergeCell ref="AE15:AF15"/>
    <mergeCell ref="AG15:AI15"/>
    <mergeCell ref="AJ15:AL15"/>
    <mergeCell ref="AM15:AO15"/>
    <mergeCell ref="AP15:AR15"/>
    <mergeCell ref="AS15:AU15"/>
    <mergeCell ref="AV15:AX15"/>
    <mergeCell ref="AY15:BA15"/>
    <mergeCell ref="BB15:BD15"/>
    <mergeCell ref="BE15:BG15"/>
    <mergeCell ref="BH15:BJ15"/>
    <mergeCell ref="BK15:BQ15"/>
    <mergeCell ref="B16:D16"/>
    <mergeCell ref="E16:I16"/>
    <mergeCell ref="J16:P16"/>
    <mergeCell ref="Q16:W16"/>
    <mergeCell ref="X16:AD16"/>
    <mergeCell ref="AE16:AF16"/>
    <mergeCell ref="AG16:AI16"/>
    <mergeCell ref="AJ16:AL16"/>
    <mergeCell ref="AM16:AO16"/>
    <mergeCell ref="AP16:AR16"/>
    <mergeCell ref="AS16:AU16"/>
    <mergeCell ref="AV16:AX16"/>
    <mergeCell ref="AY16:BA16"/>
    <mergeCell ref="BB16:BD16"/>
    <mergeCell ref="BE16:BG16"/>
    <mergeCell ref="BH16:BJ16"/>
    <mergeCell ref="BK16:BQ16"/>
    <mergeCell ref="B17:D17"/>
    <mergeCell ref="E17:I17"/>
    <mergeCell ref="J17:P17"/>
    <mergeCell ref="Q17:W17"/>
    <mergeCell ref="X17:AD17"/>
    <mergeCell ref="AE17:AF17"/>
    <mergeCell ref="AG17:AI17"/>
    <mergeCell ref="AJ17:AL17"/>
    <mergeCell ref="AM17:AO17"/>
    <mergeCell ref="AP17:AR17"/>
    <mergeCell ref="AS17:AU17"/>
    <mergeCell ref="AV17:AX17"/>
    <mergeCell ref="AY17:BA17"/>
    <mergeCell ref="BB17:BD17"/>
    <mergeCell ref="BE17:BG17"/>
    <mergeCell ref="BH17:BJ17"/>
    <mergeCell ref="BK17:BQ17"/>
    <mergeCell ref="A18:BQ18"/>
    <mergeCell ref="B19:D19"/>
    <mergeCell ref="E19:I19"/>
    <mergeCell ref="J19:P19"/>
    <mergeCell ref="Q19:W19"/>
    <mergeCell ref="X19:AD19"/>
    <mergeCell ref="AE19:AF19"/>
    <mergeCell ref="AG19:AI19"/>
    <mergeCell ref="AJ19:AL19"/>
    <mergeCell ref="AM19:AO19"/>
    <mergeCell ref="AP19:AR19"/>
    <mergeCell ref="AS19:AU19"/>
    <mergeCell ref="AV19:AX19"/>
    <mergeCell ref="AY19:BA19"/>
    <mergeCell ref="BB19:BD19"/>
    <mergeCell ref="BE19:BG19"/>
    <mergeCell ref="BH19:BJ19"/>
    <mergeCell ref="BK19:BQ19"/>
    <mergeCell ref="B20:D20"/>
    <mergeCell ref="E20:I20"/>
    <mergeCell ref="J20:P20"/>
    <mergeCell ref="Q20:W20"/>
    <mergeCell ref="X20:AD20"/>
    <mergeCell ref="AE20:AF20"/>
    <mergeCell ref="AG20:AI20"/>
    <mergeCell ref="AJ20:AL20"/>
    <mergeCell ref="AM20:AO20"/>
    <mergeCell ref="AP20:AR20"/>
    <mergeCell ref="AS20:AU20"/>
    <mergeCell ref="AV20:AX20"/>
    <mergeCell ref="AY20:BA20"/>
    <mergeCell ref="BB20:BD20"/>
    <mergeCell ref="BE20:BG20"/>
    <mergeCell ref="BH20:BJ20"/>
    <mergeCell ref="BK20:BQ20"/>
    <mergeCell ref="B21:D21"/>
    <mergeCell ref="E21:I21"/>
    <mergeCell ref="J21:P21"/>
    <mergeCell ref="Q21:W21"/>
    <mergeCell ref="X21:AD21"/>
    <mergeCell ref="AE21:AF21"/>
    <mergeCell ref="AG21:AI21"/>
    <mergeCell ref="AJ21:AL21"/>
    <mergeCell ref="AM21:AO21"/>
    <mergeCell ref="AP21:AR21"/>
    <mergeCell ref="AS21:AU21"/>
    <mergeCell ref="AV21:AX21"/>
    <mergeCell ref="AY21:BA21"/>
    <mergeCell ref="BB21:BD21"/>
    <mergeCell ref="BE21:BG21"/>
    <mergeCell ref="BH21:BJ21"/>
    <mergeCell ref="BK21:BQ21"/>
    <mergeCell ref="B22:D22"/>
    <mergeCell ref="E22:I22"/>
    <mergeCell ref="J22:P22"/>
    <mergeCell ref="Q22:W22"/>
    <mergeCell ref="X22:AD22"/>
    <mergeCell ref="AE22:AF22"/>
    <mergeCell ref="AG22:AI22"/>
    <mergeCell ref="AJ22:AL22"/>
    <mergeCell ref="AM22:AO22"/>
    <mergeCell ref="AP22:AR22"/>
    <mergeCell ref="AS22:AU22"/>
    <mergeCell ref="AV22:AX22"/>
    <mergeCell ref="AY22:BA22"/>
    <mergeCell ref="BB22:BD22"/>
    <mergeCell ref="BE22:BG22"/>
    <mergeCell ref="BH22:BJ22"/>
    <mergeCell ref="BK22:BQ22"/>
    <mergeCell ref="B23:D23"/>
    <mergeCell ref="E23:I23"/>
    <mergeCell ref="J23:P23"/>
    <mergeCell ref="Q23:W23"/>
    <mergeCell ref="X23:AD23"/>
    <mergeCell ref="AE23:AF23"/>
    <mergeCell ref="AG23:AI23"/>
    <mergeCell ref="AJ23:AL23"/>
    <mergeCell ref="AM23:AO23"/>
    <mergeCell ref="AP23:AR23"/>
    <mergeCell ref="AS23:AU23"/>
    <mergeCell ref="AV23:AX23"/>
    <mergeCell ref="AY23:BA23"/>
    <mergeCell ref="BB23:BD23"/>
    <mergeCell ref="BE23:BG23"/>
    <mergeCell ref="BH23:BJ23"/>
    <mergeCell ref="BK23:BQ23"/>
    <mergeCell ref="B24:D24"/>
    <mergeCell ref="E24:I24"/>
    <mergeCell ref="J24:P24"/>
    <mergeCell ref="Q24:W24"/>
    <mergeCell ref="X24:AD24"/>
    <mergeCell ref="AE24:AF24"/>
    <mergeCell ref="AG24:AI24"/>
    <mergeCell ref="AJ24:AL24"/>
    <mergeCell ref="AM24:AO24"/>
    <mergeCell ref="AP24:AR24"/>
    <mergeCell ref="AS24:AU24"/>
    <mergeCell ref="AV24:AX24"/>
    <mergeCell ref="AY24:BA24"/>
    <mergeCell ref="BB24:BD24"/>
    <mergeCell ref="BE24:BG24"/>
    <mergeCell ref="BH24:BJ24"/>
    <mergeCell ref="BK24:BQ24"/>
    <mergeCell ref="A25:BQ25"/>
    <mergeCell ref="B26:D26"/>
    <mergeCell ref="E26:I26"/>
    <mergeCell ref="J26:P26"/>
    <mergeCell ref="Q26:W26"/>
    <mergeCell ref="X26:AD26"/>
    <mergeCell ref="AE26:AF26"/>
    <mergeCell ref="AG26:AI26"/>
    <mergeCell ref="AJ26:AL26"/>
    <mergeCell ref="AM26:AO26"/>
    <mergeCell ref="AP26:AR26"/>
    <mergeCell ref="AS26:AU26"/>
    <mergeCell ref="AV26:AX26"/>
    <mergeCell ref="AY26:BA26"/>
    <mergeCell ref="BB26:BD26"/>
    <mergeCell ref="BE26:BG26"/>
    <mergeCell ref="BH26:BJ26"/>
    <mergeCell ref="BK26:BQ26"/>
    <mergeCell ref="B27:D27"/>
    <mergeCell ref="E27:I27"/>
    <mergeCell ref="J27:P27"/>
    <mergeCell ref="Q27:W27"/>
    <mergeCell ref="X27:AD27"/>
    <mergeCell ref="AE27:AF27"/>
    <mergeCell ref="AG27:AI27"/>
    <mergeCell ref="AJ27:AL27"/>
    <mergeCell ref="AM27:AO27"/>
    <mergeCell ref="AP27:AR27"/>
    <mergeCell ref="AS27:AU27"/>
    <mergeCell ref="AV27:AX27"/>
    <mergeCell ref="AY27:BA27"/>
    <mergeCell ref="BB27:BD27"/>
    <mergeCell ref="BE27:BG27"/>
    <mergeCell ref="BH27:BJ27"/>
    <mergeCell ref="BK27:BQ27"/>
    <mergeCell ref="B28:D28"/>
    <mergeCell ref="E28:I28"/>
    <mergeCell ref="J28:P28"/>
    <mergeCell ref="Q28:W28"/>
    <mergeCell ref="X28:AD28"/>
    <mergeCell ref="AE28:AF28"/>
    <mergeCell ref="AG28:AI28"/>
    <mergeCell ref="AJ28:AL28"/>
    <mergeCell ref="AM28:AO28"/>
    <mergeCell ref="AP28:AR28"/>
    <mergeCell ref="AS28:AU28"/>
    <mergeCell ref="AV28:AX28"/>
    <mergeCell ref="AY28:BA28"/>
    <mergeCell ref="BB28:BD28"/>
    <mergeCell ref="BE28:BG28"/>
    <mergeCell ref="BH28:BJ28"/>
    <mergeCell ref="BK28:BQ28"/>
    <mergeCell ref="A29:BQ29"/>
    <mergeCell ref="B30:D30"/>
    <mergeCell ref="E30:I30"/>
    <mergeCell ref="J30:P30"/>
    <mergeCell ref="Q30:W30"/>
    <mergeCell ref="X30:AD30"/>
    <mergeCell ref="AE30:AF30"/>
    <mergeCell ref="AG30:AI30"/>
    <mergeCell ref="AJ30:AL30"/>
    <mergeCell ref="AM30:AO30"/>
    <mergeCell ref="AP30:AR30"/>
    <mergeCell ref="AS30:AU30"/>
    <mergeCell ref="AV30:AX30"/>
    <mergeCell ref="AY30:BA30"/>
    <mergeCell ref="BB30:BD30"/>
    <mergeCell ref="BE30:BG30"/>
    <mergeCell ref="BH30:BJ30"/>
    <mergeCell ref="BK30:BQ30"/>
    <mergeCell ref="B31:D31"/>
    <mergeCell ref="E31:I31"/>
    <mergeCell ref="J31:P31"/>
    <mergeCell ref="Q31:W31"/>
    <mergeCell ref="X31:AD31"/>
    <mergeCell ref="AE31:AF31"/>
    <mergeCell ref="AG31:AI31"/>
    <mergeCell ref="AJ31:AL31"/>
    <mergeCell ref="AM31:AO31"/>
    <mergeCell ref="AP31:AR31"/>
    <mergeCell ref="AS31:AU31"/>
    <mergeCell ref="AV31:AX31"/>
    <mergeCell ref="AY31:BA31"/>
    <mergeCell ref="BB31:BD31"/>
    <mergeCell ref="BE31:BG31"/>
    <mergeCell ref="BH31:BJ31"/>
    <mergeCell ref="BK31:BQ31"/>
    <mergeCell ref="B32:D32"/>
    <mergeCell ref="E32:I32"/>
    <mergeCell ref="J32:P32"/>
    <mergeCell ref="Q32:W32"/>
    <mergeCell ref="X32:AD32"/>
    <mergeCell ref="AE32:AF32"/>
    <mergeCell ref="AG32:AI32"/>
    <mergeCell ref="AJ32:AL32"/>
    <mergeCell ref="AM32:AO32"/>
    <mergeCell ref="AP32:AR32"/>
    <mergeCell ref="AS32:AU32"/>
    <mergeCell ref="AV32:AX32"/>
    <mergeCell ref="AY32:BA32"/>
    <mergeCell ref="BB32:BD32"/>
    <mergeCell ref="BE32:BG32"/>
    <mergeCell ref="BH32:BJ32"/>
    <mergeCell ref="BK32:BQ32"/>
    <mergeCell ref="B33:D33"/>
    <mergeCell ref="E33:I33"/>
    <mergeCell ref="J33:P33"/>
    <mergeCell ref="Q33:W33"/>
    <mergeCell ref="X33:AD33"/>
    <mergeCell ref="AE33:AF33"/>
    <mergeCell ref="AG33:AI33"/>
    <mergeCell ref="AJ33:AL33"/>
    <mergeCell ref="AM33:AO33"/>
    <mergeCell ref="AP33:AR33"/>
    <mergeCell ref="AS33:AU33"/>
    <mergeCell ref="AV33:AX33"/>
    <mergeCell ref="AY33:BA33"/>
    <mergeCell ref="BB33:BD33"/>
    <mergeCell ref="BE33:BG33"/>
    <mergeCell ref="BH33:BJ33"/>
    <mergeCell ref="BK33:BQ33"/>
    <mergeCell ref="B34:D34"/>
    <mergeCell ref="E34:I34"/>
    <mergeCell ref="J34:P34"/>
    <mergeCell ref="Q34:W34"/>
    <mergeCell ref="X34:AD34"/>
    <mergeCell ref="AE34:AF34"/>
    <mergeCell ref="AG34:AI34"/>
    <mergeCell ref="AJ34:AL34"/>
    <mergeCell ref="AM34:AO34"/>
    <mergeCell ref="AP34:AR34"/>
    <mergeCell ref="AS34:AU34"/>
    <mergeCell ref="AV34:AX34"/>
    <mergeCell ref="AY34:BA34"/>
    <mergeCell ref="BB34:BD34"/>
    <mergeCell ref="BE34:BG34"/>
    <mergeCell ref="BH34:BJ34"/>
    <mergeCell ref="BK34:BQ34"/>
    <mergeCell ref="B35:D35"/>
    <mergeCell ref="E35:I35"/>
    <mergeCell ref="J35:P35"/>
    <mergeCell ref="Q35:W35"/>
    <mergeCell ref="X35:AD35"/>
    <mergeCell ref="AE35:AF35"/>
    <mergeCell ref="AG35:AI35"/>
    <mergeCell ref="AJ35:AL35"/>
    <mergeCell ref="AM35:AO35"/>
    <mergeCell ref="AP35:AR35"/>
    <mergeCell ref="AS35:AU35"/>
    <mergeCell ref="AV35:AX35"/>
    <mergeCell ref="AY35:BA35"/>
    <mergeCell ref="BB35:BD35"/>
    <mergeCell ref="BE35:BG35"/>
    <mergeCell ref="BH35:BJ35"/>
    <mergeCell ref="BK35:BQ35"/>
    <mergeCell ref="B36:D36"/>
    <mergeCell ref="E36:I36"/>
    <mergeCell ref="J36:P36"/>
    <mergeCell ref="Q36:W36"/>
    <mergeCell ref="X36:AD36"/>
    <mergeCell ref="AE36:AF36"/>
    <mergeCell ref="AG36:AI36"/>
    <mergeCell ref="AJ36:AL36"/>
    <mergeCell ref="AM36:AO36"/>
    <mergeCell ref="AP36:AR36"/>
    <mergeCell ref="AS36:AU36"/>
    <mergeCell ref="AV36:AX36"/>
    <mergeCell ref="AY36:BA36"/>
    <mergeCell ref="BB36:BD36"/>
    <mergeCell ref="BE36:BG36"/>
    <mergeCell ref="BH36:BJ36"/>
    <mergeCell ref="BK36:BQ36"/>
    <mergeCell ref="B37:D37"/>
    <mergeCell ref="E37:I37"/>
    <mergeCell ref="J37:P37"/>
    <mergeCell ref="Q37:W37"/>
    <mergeCell ref="X37:AD37"/>
    <mergeCell ref="AE37:AF37"/>
    <mergeCell ref="AG37:AI37"/>
    <mergeCell ref="AJ37:AL37"/>
    <mergeCell ref="AM37:AO37"/>
    <mergeCell ref="AP37:AR37"/>
    <mergeCell ref="AS37:AU37"/>
    <mergeCell ref="AV37:AX37"/>
    <mergeCell ref="AY37:BA37"/>
    <mergeCell ref="BB37:BD37"/>
    <mergeCell ref="BE37:BG37"/>
    <mergeCell ref="BH37:BJ37"/>
    <mergeCell ref="BK37:BQ37"/>
    <mergeCell ref="B38:D38"/>
    <mergeCell ref="E38:I38"/>
    <mergeCell ref="J38:P38"/>
    <mergeCell ref="Q38:W38"/>
    <mergeCell ref="X38:AD38"/>
    <mergeCell ref="AE38:AF38"/>
    <mergeCell ref="AG38:AI38"/>
    <mergeCell ref="AJ38:AL38"/>
    <mergeCell ref="AM38:AO38"/>
    <mergeCell ref="AP38:AR38"/>
    <mergeCell ref="AS38:AU38"/>
    <mergeCell ref="AV38:AX38"/>
    <mergeCell ref="AY38:BA38"/>
    <mergeCell ref="BB38:BD38"/>
    <mergeCell ref="BE38:BG38"/>
    <mergeCell ref="BH38:BJ38"/>
    <mergeCell ref="BK38:BQ38"/>
    <mergeCell ref="B39:D39"/>
    <mergeCell ref="E39:I39"/>
    <mergeCell ref="J39:P39"/>
    <mergeCell ref="Q39:W39"/>
    <mergeCell ref="X39:AD39"/>
    <mergeCell ref="AE39:AF39"/>
    <mergeCell ref="AG39:AI39"/>
    <mergeCell ref="AJ39:AL39"/>
    <mergeCell ref="AM39:AO39"/>
    <mergeCell ref="AP39:AR39"/>
    <mergeCell ref="AS39:AU39"/>
    <mergeCell ref="AV39:AX39"/>
    <mergeCell ref="AY39:BA39"/>
    <mergeCell ref="BB39:BD39"/>
    <mergeCell ref="BE39:BG39"/>
    <mergeCell ref="BH39:BJ39"/>
    <mergeCell ref="BK39:BQ39"/>
    <mergeCell ref="B40:D40"/>
    <mergeCell ref="E40:I40"/>
    <mergeCell ref="J40:P40"/>
    <mergeCell ref="Q40:W40"/>
    <mergeCell ref="X40:AD40"/>
    <mergeCell ref="AE40:AF40"/>
    <mergeCell ref="AG40:AI40"/>
    <mergeCell ref="AJ40:AL40"/>
    <mergeCell ref="AM40:AO40"/>
    <mergeCell ref="AP40:AR40"/>
    <mergeCell ref="AS40:AU40"/>
    <mergeCell ref="AV40:AX40"/>
    <mergeCell ref="AY40:BA40"/>
    <mergeCell ref="BB40:BD40"/>
    <mergeCell ref="BE40:BG40"/>
    <mergeCell ref="BH40:BJ40"/>
    <mergeCell ref="BK40:BQ40"/>
    <mergeCell ref="B41:D41"/>
    <mergeCell ref="E41:I41"/>
    <mergeCell ref="J41:P41"/>
    <mergeCell ref="Q41:W41"/>
    <mergeCell ref="X41:AD41"/>
    <mergeCell ref="AE41:AF41"/>
    <mergeCell ref="AG41:AI41"/>
    <mergeCell ref="AJ41:AL41"/>
    <mergeCell ref="AM41:AO41"/>
    <mergeCell ref="AP41:AR41"/>
    <mergeCell ref="AS41:AU41"/>
    <mergeCell ref="AV41:AX41"/>
    <mergeCell ref="AY41:BA41"/>
    <mergeCell ref="BB41:BD41"/>
    <mergeCell ref="BE41:BG41"/>
    <mergeCell ref="BH41:BJ41"/>
    <mergeCell ref="BK41:BQ41"/>
    <mergeCell ref="B42:D42"/>
    <mergeCell ref="E42:I42"/>
    <mergeCell ref="J42:P42"/>
    <mergeCell ref="Q42:W42"/>
    <mergeCell ref="X42:AD42"/>
    <mergeCell ref="AE42:AF42"/>
    <mergeCell ref="AG42:AI42"/>
    <mergeCell ref="AJ42:AL42"/>
    <mergeCell ref="AM42:AO42"/>
    <mergeCell ref="AP42:AR42"/>
    <mergeCell ref="AS42:AU42"/>
    <mergeCell ref="AV42:AX42"/>
    <mergeCell ref="AY42:BA42"/>
    <mergeCell ref="BB42:BD42"/>
    <mergeCell ref="BE42:BG42"/>
    <mergeCell ref="BH42:BJ42"/>
    <mergeCell ref="BK42:BQ42"/>
    <mergeCell ref="B43:D43"/>
    <mergeCell ref="E43:I43"/>
    <mergeCell ref="J43:P43"/>
    <mergeCell ref="Q43:W43"/>
    <mergeCell ref="X43:AD43"/>
    <mergeCell ref="AE43:AF43"/>
    <mergeCell ref="AG43:AI43"/>
    <mergeCell ref="AJ43:AL43"/>
    <mergeCell ref="AM43:AO43"/>
    <mergeCell ref="AP43:AR43"/>
    <mergeCell ref="AS43:AU43"/>
    <mergeCell ref="AV43:AX43"/>
    <mergeCell ref="AY43:BA43"/>
    <mergeCell ref="BB43:BD43"/>
    <mergeCell ref="BE43:BG43"/>
    <mergeCell ref="BH43:BJ43"/>
    <mergeCell ref="BK43:BQ43"/>
    <mergeCell ref="A44:BQ44"/>
    <mergeCell ref="B45:D45"/>
    <mergeCell ref="E45:I45"/>
    <mergeCell ref="J45:P45"/>
    <mergeCell ref="Q45:W45"/>
    <mergeCell ref="X45:AD45"/>
    <mergeCell ref="AE45:AF45"/>
    <mergeCell ref="AG45:AI45"/>
    <mergeCell ref="AJ45:AL45"/>
    <mergeCell ref="AM45:AO45"/>
    <mergeCell ref="AP45:AR45"/>
    <mergeCell ref="AS45:AU45"/>
    <mergeCell ref="AV45:AX45"/>
    <mergeCell ref="AY45:BA45"/>
    <mergeCell ref="BB45:BD45"/>
    <mergeCell ref="BE45:BG45"/>
    <mergeCell ref="BH45:BJ45"/>
    <mergeCell ref="BK45:BQ45"/>
    <mergeCell ref="B46:D46"/>
    <mergeCell ref="E46:I46"/>
    <mergeCell ref="J46:P46"/>
    <mergeCell ref="Q46:W46"/>
    <mergeCell ref="X46:AD46"/>
    <mergeCell ref="AE46:AF46"/>
    <mergeCell ref="AG46:AI46"/>
    <mergeCell ref="AJ46:AL46"/>
    <mergeCell ref="AM46:AO46"/>
    <mergeCell ref="AP46:AR46"/>
    <mergeCell ref="AS46:AU46"/>
    <mergeCell ref="AV46:AX46"/>
    <mergeCell ref="AY46:BA46"/>
    <mergeCell ref="BB46:BD46"/>
    <mergeCell ref="BE46:BG46"/>
    <mergeCell ref="BH46:BJ46"/>
    <mergeCell ref="BK46:BQ46"/>
    <mergeCell ref="B47:D47"/>
    <mergeCell ref="E47:I47"/>
    <mergeCell ref="J47:P47"/>
    <mergeCell ref="Q47:W47"/>
    <mergeCell ref="X47:AD47"/>
    <mergeCell ref="AE47:AF47"/>
    <mergeCell ref="AG47:AI47"/>
    <mergeCell ref="AJ47:AL47"/>
    <mergeCell ref="AM47:AO47"/>
    <mergeCell ref="AP47:AR47"/>
    <mergeCell ref="AS47:AU47"/>
    <mergeCell ref="AV47:AX47"/>
    <mergeCell ref="AY47:BA47"/>
    <mergeCell ref="BB47:BD47"/>
    <mergeCell ref="BE47:BG47"/>
    <mergeCell ref="BH47:BJ47"/>
    <mergeCell ref="BK47:BQ47"/>
    <mergeCell ref="B48:D48"/>
    <mergeCell ref="E48:I48"/>
    <mergeCell ref="J48:P48"/>
    <mergeCell ref="Q48:W48"/>
    <mergeCell ref="X48:AD48"/>
    <mergeCell ref="AE48:AF48"/>
    <mergeCell ref="AG48:AI48"/>
    <mergeCell ref="AJ48:AL48"/>
    <mergeCell ref="AM48:AO48"/>
    <mergeCell ref="AP48:AR48"/>
    <mergeCell ref="AS48:AU48"/>
    <mergeCell ref="AV48:AX48"/>
    <mergeCell ref="AY48:BA48"/>
    <mergeCell ref="BB48:BD48"/>
    <mergeCell ref="BE48:BG48"/>
    <mergeCell ref="BH48:BJ48"/>
    <mergeCell ref="BK48:BQ48"/>
    <mergeCell ref="B49:D49"/>
    <mergeCell ref="E49:I49"/>
    <mergeCell ref="J49:P49"/>
    <mergeCell ref="Q49:W49"/>
    <mergeCell ref="X49:AD49"/>
    <mergeCell ref="AE49:AF49"/>
    <mergeCell ref="AG49:AI49"/>
    <mergeCell ref="AJ49:AL49"/>
    <mergeCell ref="AM49:AO49"/>
    <mergeCell ref="AP49:AR49"/>
    <mergeCell ref="AS49:AU49"/>
    <mergeCell ref="AV49:AX49"/>
    <mergeCell ref="AY49:BA49"/>
    <mergeCell ref="BB49:BD49"/>
    <mergeCell ref="BE49:BG49"/>
    <mergeCell ref="BH49:BJ49"/>
    <mergeCell ref="BK49:BQ49"/>
    <mergeCell ref="B50:D50"/>
    <mergeCell ref="E50:I50"/>
    <mergeCell ref="J50:P50"/>
    <mergeCell ref="Q50:W50"/>
    <mergeCell ref="X50:AD50"/>
    <mergeCell ref="AE50:AF50"/>
    <mergeCell ref="AG50:AI50"/>
    <mergeCell ref="AJ50:AL50"/>
    <mergeCell ref="AM50:AO50"/>
    <mergeCell ref="AP50:AR50"/>
    <mergeCell ref="AS50:AU50"/>
    <mergeCell ref="AV50:AX50"/>
    <mergeCell ref="AY50:BA50"/>
    <mergeCell ref="BB50:BD50"/>
    <mergeCell ref="BE50:BG50"/>
    <mergeCell ref="BH50:BJ50"/>
    <mergeCell ref="BK50:BQ50"/>
    <mergeCell ref="A51:BQ51"/>
    <mergeCell ref="B52:D52"/>
    <mergeCell ref="E52:I52"/>
    <mergeCell ref="J52:P52"/>
    <mergeCell ref="Q52:W52"/>
    <mergeCell ref="X52:AD52"/>
    <mergeCell ref="AE52:AF52"/>
    <mergeCell ref="AG52:AI52"/>
    <mergeCell ref="AJ52:AL52"/>
    <mergeCell ref="AM52:AO52"/>
    <mergeCell ref="AP52:AR52"/>
    <mergeCell ref="AS52:AU52"/>
    <mergeCell ref="AV52:AX52"/>
    <mergeCell ref="AY52:BA52"/>
    <mergeCell ref="BB52:BD52"/>
    <mergeCell ref="BE52:BG52"/>
    <mergeCell ref="BH52:BJ52"/>
    <mergeCell ref="BK52:BQ52"/>
    <mergeCell ref="B53:D53"/>
    <mergeCell ref="E53:I53"/>
    <mergeCell ref="J53:P53"/>
    <mergeCell ref="Q53:W53"/>
    <mergeCell ref="X53:AD53"/>
    <mergeCell ref="AE53:AF53"/>
    <mergeCell ref="AG53:AI53"/>
    <mergeCell ref="AJ53:AL53"/>
    <mergeCell ref="AM53:AO53"/>
    <mergeCell ref="AP53:AR53"/>
    <mergeCell ref="AS53:AU53"/>
    <mergeCell ref="AV53:AX53"/>
    <mergeCell ref="AY53:BA53"/>
    <mergeCell ref="BB53:BD53"/>
    <mergeCell ref="BE53:BG53"/>
    <mergeCell ref="BH53:BJ53"/>
    <mergeCell ref="BK53:BQ53"/>
    <mergeCell ref="B54:D54"/>
    <mergeCell ref="E54:I54"/>
    <mergeCell ref="J54:P54"/>
    <mergeCell ref="Q54:W54"/>
    <mergeCell ref="X54:AD54"/>
    <mergeCell ref="AE54:AF54"/>
    <mergeCell ref="AG54:AI54"/>
    <mergeCell ref="AJ54:AL54"/>
    <mergeCell ref="AM54:AO54"/>
    <mergeCell ref="AP54:AR54"/>
    <mergeCell ref="AS54:AU54"/>
    <mergeCell ref="AV54:AX54"/>
    <mergeCell ref="AY54:BA54"/>
    <mergeCell ref="BB54:BD54"/>
    <mergeCell ref="BE54:BG54"/>
    <mergeCell ref="BH54:BJ54"/>
    <mergeCell ref="BK54:BQ54"/>
    <mergeCell ref="B55:D55"/>
    <mergeCell ref="E55:I55"/>
    <mergeCell ref="J55:P55"/>
    <mergeCell ref="Q55:W55"/>
    <mergeCell ref="X55:AD55"/>
    <mergeCell ref="AE55:AF55"/>
    <mergeCell ref="AG55:AI55"/>
    <mergeCell ref="AJ55:AL55"/>
    <mergeCell ref="AM55:AO55"/>
    <mergeCell ref="AP55:AR55"/>
    <mergeCell ref="AS55:AU55"/>
    <mergeCell ref="AV55:AX55"/>
    <mergeCell ref="AY55:BA55"/>
    <mergeCell ref="BB55:BD55"/>
    <mergeCell ref="BE55:BG55"/>
    <mergeCell ref="BH55:BJ55"/>
    <mergeCell ref="BK55:BQ55"/>
    <mergeCell ref="B56:D56"/>
    <mergeCell ref="E56:I56"/>
    <mergeCell ref="J56:P56"/>
    <mergeCell ref="Q56:W56"/>
    <mergeCell ref="X56:AD56"/>
    <mergeCell ref="AE56:AF56"/>
    <mergeCell ref="AG56:AI56"/>
    <mergeCell ref="AJ56:AL56"/>
    <mergeCell ref="AM56:AO56"/>
    <mergeCell ref="AP56:AR56"/>
    <mergeCell ref="AS56:AU56"/>
    <mergeCell ref="AV56:AX56"/>
    <mergeCell ref="AY56:BA56"/>
    <mergeCell ref="BB56:BD56"/>
    <mergeCell ref="BE56:BG56"/>
    <mergeCell ref="BH56:BJ56"/>
    <mergeCell ref="BK56:BQ56"/>
    <mergeCell ref="B57:D57"/>
    <mergeCell ref="E57:I57"/>
    <mergeCell ref="J57:P57"/>
    <mergeCell ref="Q57:W57"/>
    <mergeCell ref="X57:AD57"/>
    <mergeCell ref="AE57:AF57"/>
    <mergeCell ref="AG57:AI57"/>
    <mergeCell ref="AJ57:AL57"/>
    <mergeCell ref="AM57:AO57"/>
    <mergeCell ref="AP57:AR57"/>
    <mergeCell ref="AS57:AU57"/>
    <mergeCell ref="AV57:AX57"/>
    <mergeCell ref="AY57:BA57"/>
    <mergeCell ref="BB57:BD57"/>
    <mergeCell ref="BE57:BG57"/>
    <mergeCell ref="BH57:BJ57"/>
    <mergeCell ref="BK57:BQ57"/>
    <mergeCell ref="B58:D58"/>
    <mergeCell ref="E58:I58"/>
    <mergeCell ref="J58:P58"/>
    <mergeCell ref="Q58:W58"/>
    <mergeCell ref="X58:AD58"/>
    <mergeCell ref="AE58:AF58"/>
    <mergeCell ref="AG58:AI58"/>
    <mergeCell ref="AJ58:AL58"/>
    <mergeCell ref="AM58:AO58"/>
    <mergeCell ref="AP58:AR58"/>
    <mergeCell ref="AS58:AU58"/>
    <mergeCell ref="AV58:AX58"/>
    <mergeCell ref="AY58:BA58"/>
    <mergeCell ref="BB58:BD58"/>
    <mergeCell ref="BE58:BG58"/>
    <mergeCell ref="BH58:BJ58"/>
    <mergeCell ref="BK58:BQ58"/>
    <mergeCell ref="B59:D59"/>
    <mergeCell ref="E59:I59"/>
    <mergeCell ref="J59:P59"/>
    <mergeCell ref="Q59:W59"/>
    <mergeCell ref="X59:AD59"/>
    <mergeCell ref="AE59:AF59"/>
    <mergeCell ref="AG59:AI59"/>
    <mergeCell ref="AJ59:AL59"/>
    <mergeCell ref="AM59:AO59"/>
    <mergeCell ref="AP59:AR59"/>
    <mergeCell ref="AS59:AU59"/>
    <mergeCell ref="AV59:AX59"/>
    <mergeCell ref="AY59:BA59"/>
    <mergeCell ref="BB59:BD59"/>
    <mergeCell ref="BE59:BG59"/>
    <mergeCell ref="BH59:BJ59"/>
    <mergeCell ref="BK59:BQ59"/>
    <mergeCell ref="B60:D60"/>
    <mergeCell ref="E60:I60"/>
    <mergeCell ref="J60:P60"/>
    <mergeCell ref="Q60:W60"/>
    <mergeCell ref="X60:AD60"/>
    <mergeCell ref="AE60:AF60"/>
    <mergeCell ref="AG60:AI60"/>
    <mergeCell ref="AJ60:AL60"/>
    <mergeCell ref="AM60:AO60"/>
    <mergeCell ref="AP60:AR60"/>
    <mergeCell ref="AS60:AU60"/>
    <mergeCell ref="AV60:AX60"/>
    <mergeCell ref="AY60:BA60"/>
    <mergeCell ref="BB60:BD60"/>
    <mergeCell ref="BE60:BG60"/>
    <mergeCell ref="BH60:BJ60"/>
    <mergeCell ref="BK60:BQ60"/>
    <mergeCell ref="B61:D61"/>
    <mergeCell ref="E61:I61"/>
    <mergeCell ref="J61:P61"/>
    <mergeCell ref="Q61:W61"/>
    <mergeCell ref="X61:AD61"/>
    <mergeCell ref="AE61:AF61"/>
    <mergeCell ref="AG61:AI61"/>
    <mergeCell ref="AJ61:AL61"/>
    <mergeCell ref="AM61:AO61"/>
    <mergeCell ref="AP61:AR61"/>
    <mergeCell ref="AS61:AU61"/>
    <mergeCell ref="AV61:AX61"/>
    <mergeCell ref="AY61:BA61"/>
    <mergeCell ref="BB61:BD61"/>
    <mergeCell ref="BE61:BG61"/>
    <mergeCell ref="BH61:BJ61"/>
    <mergeCell ref="BK61:BQ61"/>
    <mergeCell ref="B62:D62"/>
    <mergeCell ref="E62:I62"/>
    <mergeCell ref="J62:P62"/>
    <mergeCell ref="Q62:W62"/>
    <mergeCell ref="X62:AD62"/>
    <mergeCell ref="AE62:AF62"/>
    <mergeCell ref="AG62:AI62"/>
    <mergeCell ref="AJ62:AL62"/>
    <mergeCell ref="AM62:AO62"/>
    <mergeCell ref="AP62:AR62"/>
    <mergeCell ref="AS62:AU62"/>
    <mergeCell ref="AV62:AX62"/>
    <mergeCell ref="AY62:BA62"/>
    <mergeCell ref="BB62:BD62"/>
    <mergeCell ref="BE62:BG62"/>
    <mergeCell ref="BH62:BJ62"/>
    <mergeCell ref="BK62:BQ62"/>
    <mergeCell ref="A63:BQ63"/>
    <mergeCell ref="B64:D64"/>
    <mergeCell ref="E64:I64"/>
    <mergeCell ref="J64:P64"/>
    <mergeCell ref="Q64:W64"/>
    <mergeCell ref="X64:AD64"/>
    <mergeCell ref="AE64:AF64"/>
    <mergeCell ref="AG64:AI64"/>
    <mergeCell ref="AJ64:AL64"/>
    <mergeCell ref="AM64:AO64"/>
    <mergeCell ref="AP64:AR64"/>
    <mergeCell ref="AS64:AU64"/>
    <mergeCell ref="AV64:AX64"/>
    <mergeCell ref="AY64:BA64"/>
    <mergeCell ref="BB64:BD64"/>
    <mergeCell ref="BE64:BG64"/>
    <mergeCell ref="BH64:BJ64"/>
    <mergeCell ref="BK64:BQ64"/>
    <mergeCell ref="B65:D65"/>
    <mergeCell ref="E65:I65"/>
    <mergeCell ref="J65:P65"/>
    <mergeCell ref="Q65:W65"/>
    <mergeCell ref="X65:AD65"/>
    <mergeCell ref="AE65:AF65"/>
    <mergeCell ref="AG65:AI65"/>
    <mergeCell ref="AJ65:AL65"/>
    <mergeCell ref="AM65:AO65"/>
    <mergeCell ref="AP65:AR65"/>
    <mergeCell ref="AS65:AU65"/>
    <mergeCell ref="AV65:AX65"/>
    <mergeCell ref="AY65:BA65"/>
    <mergeCell ref="BB65:BD65"/>
    <mergeCell ref="BE65:BG65"/>
    <mergeCell ref="BH65:BJ65"/>
    <mergeCell ref="BK65:BQ65"/>
    <mergeCell ref="B66:D66"/>
    <mergeCell ref="E66:I66"/>
    <mergeCell ref="J66:P66"/>
    <mergeCell ref="Q66:W66"/>
    <mergeCell ref="X66:AD66"/>
    <mergeCell ref="AE66:AF66"/>
    <mergeCell ref="AG66:AI66"/>
    <mergeCell ref="AJ66:AL66"/>
    <mergeCell ref="AM66:AO66"/>
    <mergeCell ref="AP66:AR66"/>
    <mergeCell ref="AS66:AU66"/>
    <mergeCell ref="AV66:AX66"/>
    <mergeCell ref="AY66:BA66"/>
    <mergeCell ref="BB66:BD66"/>
    <mergeCell ref="BE66:BG66"/>
    <mergeCell ref="BH66:BJ66"/>
    <mergeCell ref="BK66:BQ66"/>
    <mergeCell ref="B67:D67"/>
    <mergeCell ref="E67:I67"/>
    <mergeCell ref="J67:P67"/>
    <mergeCell ref="Q67:W67"/>
    <mergeCell ref="X67:AD67"/>
    <mergeCell ref="AE67:AF67"/>
    <mergeCell ref="AG67:AI67"/>
    <mergeCell ref="AJ67:AL67"/>
    <mergeCell ref="AM67:AO67"/>
    <mergeCell ref="AP67:AR67"/>
    <mergeCell ref="AS67:AU67"/>
    <mergeCell ref="AV67:AX67"/>
    <mergeCell ref="AY67:BA67"/>
    <mergeCell ref="BB67:BD67"/>
    <mergeCell ref="BE67:BG67"/>
    <mergeCell ref="BH67:BJ67"/>
    <mergeCell ref="BK67:BQ67"/>
    <mergeCell ref="B68:D68"/>
    <mergeCell ref="E68:I68"/>
    <mergeCell ref="J68:P68"/>
    <mergeCell ref="Q68:W68"/>
    <mergeCell ref="X68:AD68"/>
    <mergeCell ref="AE68:AF68"/>
    <mergeCell ref="AG68:AI68"/>
    <mergeCell ref="AJ68:AL68"/>
    <mergeCell ref="AM68:AO68"/>
    <mergeCell ref="AP68:AR68"/>
    <mergeCell ref="AS68:AU68"/>
    <mergeCell ref="AV68:AX68"/>
    <mergeCell ref="AY68:BA68"/>
    <mergeCell ref="BB68:BD68"/>
    <mergeCell ref="BE68:BG68"/>
    <mergeCell ref="BH68:BJ68"/>
    <mergeCell ref="BK68:BQ68"/>
    <mergeCell ref="B69:D69"/>
    <mergeCell ref="E69:I69"/>
    <mergeCell ref="J69:P69"/>
    <mergeCell ref="Q69:W69"/>
    <mergeCell ref="X69:AD69"/>
    <mergeCell ref="AE69:AF69"/>
    <mergeCell ref="AG69:AI69"/>
    <mergeCell ref="AJ69:AL69"/>
    <mergeCell ref="AM69:AO69"/>
    <mergeCell ref="AP69:AR69"/>
    <mergeCell ref="AS69:AU69"/>
    <mergeCell ref="AV69:AX69"/>
    <mergeCell ref="AY69:BA69"/>
    <mergeCell ref="BB69:BD69"/>
    <mergeCell ref="BE69:BG69"/>
    <mergeCell ref="BH69:BJ69"/>
    <mergeCell ref="BK69:BQ69"/>
    <mergeCell ref="B70:D70"/>
    <mergeCell ref="E70:I70"/>
    <mergeCell ref="J70:P70"/>
    <mergeCell ref="Q70:W70"/>
    <mergeCell ref="X70:AD70"/>
    <mergeCell ref="AE70:AF70"/>
    <mergeCell ref="AG70:AI70"/>
    <mergeCell ref="AJ70:AL70"/>
    <mergeCell ref="AM70:AO70"/>
    <mergeCell ref="AP70:AR70"/>
    <mergeCell ref="AS70:AU70"/>
    <mergeCell ref="AV70:AX70"/>
    <mergeCell ref="AY70:BA70"/>
    <mergeCell ref="BB70:BD70"/>
    <mergeCell ref="BE70:BG70"/>
    <mergeCell ref="BH70:BJ70"/>
    <mergeCell ref="BK70:BQ70"/>
    <mergeCell ref="A10:A11"/>
    <mergeCell ref="BK10:BQ11"/>
    <mergeCell ref="B10:D11"/>
    <mergeCell ref="E10:I11"/>
    <mergeCell ref="J10:P11"/>
    <mergeCell ref="Q10:W11"/>
    <mergeCell ref="X10:AD11"/>
    <mergeCell ref="AE10:AF11"/>
  </mergeCells>
  <dataValidations count="3">
    <dataValidation type="list" allowBlank="1" sqref="F1">
      <formula1>"単体テスト,結合テスト,システムテスト"</formula1>
    </dataValidation>
    <dataValidation type="list" allowBlank="1" sqref="AV26 AV27 AV28 AV47 AV48 AV49 AV50 AV58 AV61 AV62 AG13:AG17 AG19:AG24 AG26:AG28 AG30:AG43 AG45:AG50 AG52:AG62 AG64:AG70 AV13:AV17 AV19:AV24 AV30:AV43 AV45:AV46 AV52:AV57 AV59:AV60 AV64:AV70">
      <formula1>"合格,不合格,未テスト,N/A"</formula1>
    </dataValidation>
    <dataValidation type="list" allowBlank="1" sqref="AE13:AE17 AE19:AE24 AE26:AE28 AE30:AE43 AE45:AE50 AE52:AE62 AE64:AE70">
      <formula1>"N,A,B"</formula1>
    </dataValidation>
  </dataValidation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表紙</vt:lpstr>
      <vt:lpstr>変更履歴</vt:lpstr>
      <vt:lpstr>概要</vt:lpstr>
      <vt:lpstr>テスト報告書</vt:lpstr>
      <vt:lpstr>テスト観点</vt:lpstr>
      <vt:lpstr>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anh.vuquang</cp:lastModifiedBy>
  <dcterms:created xsi:type="dcterms:W3CDTF">2026-05-22T03:43:00Z</dcterms:created>
  <dcterms:modified xsi:type="dcterms:W3CDTF">2026-08-28T04:10:07Z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0C447E2360694E8CA834F27EAF7BD1AA_12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