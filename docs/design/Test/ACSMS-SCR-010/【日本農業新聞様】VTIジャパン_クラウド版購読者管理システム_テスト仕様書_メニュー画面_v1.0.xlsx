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5"/>
  </bookViews>
  <sheets>
    <sheet name="表紙" sheetId="1" r:id="rId1"/>
    <sheet name="変更履歴" sheetId="2" r:id="rId2"/>
    <sheet name="概要" sheetId="3" r:id="rId3"/>
    <sheet name="テスト報告書" sheetId="4" r:id="rId4"/>
    <sheet name="テスト観点" sheetId="5" r:id="rId5"/>
    <sheet name="機能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<sst xmlns="http://schemas.openxmlformats.org/spreadsheetml/2006/main" count="716" uniqueCount="418">
  <si>
    <t>クラウド版購読者管理システム</t>
  </si>
  <si>
    <t>メニュー画面</t>
  </si>
  <si>
    <t>版1.0</t>
  </si>
  <si>
    <t>フォーマットコード</t>
  </si>
  <si>
    <t>16-BM/PM/VTI</t>
  </si>
  <si>
    <t>フォーマットバージョン</t>
  </si>
  <si>
    <t>1.0</t>
  </si>
  <si>
    <t>発行日</t>
  </si>
  <si>
    <t>2026/06/03</t>
  </si>
  <si>
    <t>項番</t>
  </si>
  <si>
    <t>バージョン</t>
  </si>
  <si>
    <t>担当者</t>
  </si>
  <si>
    <t>変更内容</t>
  </si>
  <si>
    <t>確認者</t>
  </si>
  <si>
    <t>承認者</t>
  </si>
  <si>
    <t>2026-06-03</t>
  </si>
  <si>
    <t>Kieu Thi Diem</t>
  </si>
  <si>
    <t>Tạo mới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</si>
  <si>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</si>
  <si>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</si>
  <si>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</si>
  <si>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</si>
  <si>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</si>
  <si>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</si>
  <si>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</si>
  <si>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</si>
  <si>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テスト仕様書</t>
  </si>
  <si>
    <t>概要</t>
  </si>
  <si>
    <t>1.システム概要</t>
  </si>
  <si>
    <t>本システムは、JA向けのクラウド型読者管理システムであり、</t>
  </si>
  <si>
    <t>購読者情報の管理、購読履歴の管理、口座振替データの管理などの機能を提供する。</t>
  </si>
  <si>
    <t>主な機能として、購読者情報の登録・更新・検索、</t>
  </si>
  <si>
    <t>購読内容の変更履歴管理、口座振替データの作成および管理、</t>
  </si>
  <si>
    <t>ファイルのアップロード・ダウンロード機能、システムのお知らせ管理などを提供する。</t>
  </si>
  <si>
    <t>また、ユーザーのログイン管理、ログイン履歴の記録、</t>
  </si>
  <si>
    <t>ユーザー操作ログの記録などのセキュリティ・監査機能をサポートする。</t>
  </si>
  <si>
    <t>2.資料目的</t>
  </si>
  <si>
    <t>Tài liệu mô tả chi tiết test specification được tạo mới trên hệ thống cho màn hình「メニュー画面（ACSMS-SCR-010）」.</t>
  </si>
  <si>
    <t>Tài liệu này tham khảo ISTQB và IEEE 829, đáp ứng các tiêu chí chất lượng sau.</t>
  </si>
  <si>
    <t>- Mỗi testcase được tạo dựa trên một kịch bản duy nhất (single responsibility).</t>
  </si>
  <si>
    <t>- Mô tả thủ tục ở mức độ có thể tái hiện, nêu rõ test data.</t>
  </si>
  <si>
    <t>- Kết quả mong đợi phải đo lường được (nội dung message, kết quả query DB, HTTP status code, v.v.).</t>
  </si>
  <si>
    <t>3.関連資料</t>
  </si>
  <si>
    <t>No</t>
  </si>
  <si>
    <t>資料コード</t>
  </si>
  <si>
    <t>資料名</t>
  </si>
  <si>
    <t>ACSMS-SCR-010</t>
  </si>
  <si>
    <t>Tài liệu thiết kế màn hình メニュー画面</t>
  </si>
  <si>
    <t>ACSMS-SCR-010-api</t>
  </si>
  <si>
    <t>Tài liệu thiết kế API メニュー画面</t>
  </si>
  <si>
    <t>testcase-viewpoints</t>
  </si>
  <si>
    <t>Danh sách quan điểm test chung toàn hệ thống</t>
  </si>
  <si>
    <t>&lt;単体/結合/システム&gt; テスト報告書</t>
  </si>
  <si>
    <t>プロジェクト名</t>
  </si>
  <si>
    <t>プロジェクトマネージャ</t>
  </si>
  <si>
    <t>#</t>
  </si>
  <si>
    <t>機能名</t>
  </si>
  <si>
    <t>テストケース分類</t>
  </si>
  <si>
    <t>合計</t>
  </si>
  <si>
    <t>テスト結果</t>
  </si>
  <si>
    <t>正常</t>
  </si>
  <si>
    <t>異常</t>
  </si>
  <si>
    <t>境界</t>
  </si>
  <si>
    <t>合格</t>
  </si>
  <si>
    <t>不合格</t>
  </si>
  <si>
    <t>未テスト</t>
  </si>
  <si>
    <t>N/A</t>
  </si>
  <si>
    <t>進捗（%）</t>
  </si>
  <si>
    <t>テスト1回目</t>
  </si>
  <si>
    <t>機能</t>
  </si>
  <si>
    <t>テスト2回目</t>
  </si>
  <si>
    <t>テスト観点</t>
  </si>
  <si>
    <t>1. テスト観点一覧</t>
  </si>
  <si>
    <t>観点ID</t>
  </si>
  <si>
    <t>大分類</t>
  </si>
  <si>
    <t>観点名</t>
  </si>
  <si>
    <t>リスク</t>
  </si>
  <si>
    <t>対象画面範囲</t>
  </si>
  <si>
    <t>TC見積</t>
  </si>
  <si>
    <t>VP-A-01</t>
  </si>
  <si>
    <t>A. セキュリティ・権限</t>
  </si>
  <si>
    <t>ロール別権限制御（RBAC gate）</t>
  </si>
  <si>
    <t>高</t>
  </si>
  <si>
    <t>約25保護画面</t>
  </si>
  <si>
    <t>VP-A-02</t>
  </si>
  <si>
    <t>データ範囲（DataScope）</t>
  </si>
  <si>
    <t>約20一覧／詳細画面</t>
  </si>
  <si>
    <t>VP-A-03</t>
  </si>
  <si>
    <t>項目レベル制限（Field-level restriction）</t>
  </si>
  <si>
    <t>5マスタ</t>
  </si>
  <si>
    <t>VP-A-04</t>
  </si>
  <si>
    <t>URL直接アクセス攻撃</t>
  </si>
  <si>
    <t>VP-A-05</t>
  </si>
  <si>
    <t>セッション失効／401 ハンドリング</t>
  </si>
  <si>
    <t>全システム</t>
  </si>
  <si>
    <t>VP-A-06</t>
  </si>
  <si>
    <t>XSS／HTML 描画安全性</t>
  </si>
  <si>
    <t>約20フォーム</t>
  </si>
  <si>
    <t>VP-A-07</t>
  </si>
  <si>
    <t>CSRF／Cookie セキュリティフラグ</t>
  </si>
  <si>
    <t>VP-A-08</t>
  </si>
  <si>
    <t>レート制限・Throttling</t>
  </si>
  <si>
    <t>中</t>
  </si>
  <si>
    <t>全公開API＋認証エンドポイント</t>
  </si>
  <si>
    <t>VP-A-09</t>
  </si>
  <si>
    <t>アカウントロック・解除運用</t>
  </si>
  <si>
    <t>SCR-001／002＋管理機能</t>
  </si>
  <si>
    <t>VP-A-10</t>
  </si>
  <si>
    <t>SQL インジェクション</t>
  </si>
  <si>
    <t>約20フォーム＋検索</t>
  </si>
  <si>
    <t>VP-B-01</t>
  </si>
  <si>
    <t>B. データバリデーション</t>
  </si>
  <si>
    <t>必須項目チェック</t>
  </si>
  <si>
    <t>約25フォーム</t>
  </si>
  <si>
    <t>VP-B-02</t>
  </si>
  <si>
    <t>最小／最大長境界</t>
  </si>
  <si>
    <t>VP-B-03</t>
  </si>
  <si>
    <t>形式正規表現（郵便／電話／コード）</t>
  </si>
  <si>
    <t>VP-B-04</t>
  </si>
  <si>
    <t>半角／全角ハンドリング</t>
  </si>
  <si>
    <t>VP-B-05</t>
  </si>
  <si>
    <t>日付ロジック</t>
  </si>
  <si>
    <t>約10日付付きフォーム</t>
  </si>
  <si>
    <t>VP-B-06</t>
  </si>
  <si>
    <t>通貨／パーセント形式</t>
  </si>
  <si>
    <t>2-3フォーム（単価）</t>
  </si>
  <si>
    <t>VP-B-07</t>
  </si>
  <si>
    <t>マスタコード（m_code）参照</t>
  </si>
  <si>
    <t>約15ドロップダウン付きフォーム</t>
  </si>
  <si>
    <t>VP-B-08</t>
  </si>
  <si>
    <t>キー重複（duplicate code）</t>
  </si>
  <si>
    <t>約10マスタ</t>
  </si>
  <si>
    <t>VP-B-09</t>
  </si>
  <si>
    <t>IME・全角入力・貼付ハンドリング</t>
  </si>
  <si>
    <t>全テキスト入力フォーム＋検索画面</t>
  </si>
  <si>
    <t>VP-C-01</t>
  </si>
  <si>
    <t>C. 業務ロジック</t>
  </si>
  <si>
    <t>CRUD 正常系 + DB 永続化</t>
  </si>
  <si>
    <t>VP-C-02</t>
  </si>
  <si>
    <t>同時編集競合</t>
  </si>
  <si>
    <t>約8編集画面</t>
  </si>
  <si>
    <t>VP-C-03</t>
  </si>
  <si>
    <t>論理削除 + FK 関連</t>
  </si>
  <si>
    <t>約6関連付きマスタ</t>
  </si>
  <si>
    <t>VP-C-04</t>
  </si>
  <si>
    <t>税込／税抜計算</t>
  </si>
  <si>
    <t>単価マスタ</t>
  </si>
  <si>
    <t>VP-C-05</t>
  </si>
  <si>
    <t>購読者種別ルール（読み取り専用）</t>
  </si>
  <si>
    <t>購読者マスタ</t>
  </si>
  <si>
    <t>VP-C-06</t>
  </si>
  <si>
    <t>Excel取込 部分成功</t>
  </si>
  <si>
    <t>2取込画面</t>
  </si>
  <si>
    <t>VP-C-07</t>
  </si>
  <si>
    <t>販売店一括置換</t>
  </si>
  <si>
    <t>一括置換</t>
  </si>
  <si>
    <t>VP-C-08</t>
  </si>
  <si>
    <t>レポート集計の正確性</t>
  </si>
  <si>
    <t>3レポート</t>
  </si>
  <si>
    <t>VP-D-01</t>
  </si>
  <si>
    <t>D. 統合・システム</t>
  </si>
  <si>
    <t>ログイン + MFA フロー</t>
  </si>
  <si>
    <t>SCR-001／002</t>
  </si>
  <si>
    <t>VP-D-02</t>
  </si>
  <si>
    <t>セッションスライディング 24h</t>
  </si>
  <si>
    <t>VP-D-03</t>
  </si>
  <si>
    <t>パスワード再発行フロー</t>
  </si>
  <si>
    <t>SCR-007</t>
  </si>
  <si>
    <t>VP-D-04</t>
  </si>
  <si>
    <t>監査ログの完全性</t>
  </si>
  <si>
    <t>VP-D-05</t>
  </si>
  <si>
    <t>ファイルアップロード S3</t>
  </si>
  <si>
    <t>SCR-022</t>
  </si>
  <si>
    <t>VP-D-06</t>
  </si>
  <si>
    <t>メール通知</t>
  </si>
  <si>
    <t>SCR-001／007／お知らせ</t>
  </si>
  <si>
    <t>VP-D-07</t>
  </si>
  <si>
    <t>外部 CSV 形式準拠</t>
  </si>
  <si>
    <t>SCR-008／009</t>
  </si>
  <si>
    <t>VP-D-08</t>
  </si>
  <si>
    <t>ネットワーク／500／タイムアウト</t>
  </si>
  <si>
    <t>VP-D-09</t>
  </si>
  <si>
    <t>パスワード再発行 旧token無効化＋クールダウン</t>
  </si>
  <si>
    <t>VP-E-01</t>
  </si>
  <si>
    <t>E. 非機能・ユーザビリティ</t>
  </si>
  <si>
    <t>レイアウト／デザイントークン</t>
  </si>
  <si>
    <t>低</t>
  </si>
  <si>
    <t>全画面</t>
  </si>
  <si>
    <t>VP-E-02</t>
  </si>
  <si>
    <t>レスポンシブ（モバイル／タブレット）</t>
  </si>
  <si>
    <t>VP-E-03</t>
  </si>
  <si>
    <t>キーボード操作</t>
  </si>
  <si>
    <t>VP-E-04</t>
  </si>
  <si>
    <t>ブラウザ互換性</t>
  </si>
  <si>
    <t>VP-E-05</t>
  </si>
  <si>
    <t>マルチタブセッション同期</t>
  </si>
  <si>
    <t>VP-E-07</t>
  </si>
  <si>
    <t>未保存変更ガード・ブラウザ離脱</t>
  </si>
  <si>
    <t>全 CRUD 編集フォーム</t>
  </si>
  <si>
    <t>VP-F-01</t>
  </si>
  <si>
    <t>F. 性能</t>
  </si>
  <si>
    <t>性能ベンチマーク</t>
  </si>
  <si>
    <t>全画面パフォーマンス計測対象</t>
  </si>
  <si>
    <t>VP-F-02</t>
  </si>
  <si>
    <t>大量データ表示性能</t>
  </si>
  <si>
    <t>一覧／レポート画面</t>
  </si>
  <si>
    <t>2. 観点ID 命名規約・グループ凡例</t>
  </si>
  <si>
    <t>グループ</t>
  </si>
  <si>
    <t>接頭辞</t>
  </si>
  <si>
    <t>名称</t>
  </si>
  <si>
    <t>観点数</t>
  </si>
  <si>
    <t>リスク傾向</t>
  </si>
  <si>
    <t>代表的なテスト観点</t>
  </si>
  <si>
    <t>A</t>
  </si>
  <si>
    <t>VP-A-NN</t>
  </si>
  <si>
    <t>セキュリティ・権限</t>
  </si>
  <si>
    <t>RBAC、DataScope、項目レベル制限、URL直接攻撃、セッション失効、XSS、CSRF、レート制限、アカウントロック、SQL注入</t>
  </si>
  <si>
    <t>B</t>
  </si>
  <si>
    <t>VP-B-NN</t>
  </si>
  <si>
    <t>データバリデーション</t>
  </si>
  <si>
    <t>必須／長さ／形式／半角全角／日付／通貨／m_code／重複キー／IME・貼付ハンドリング</t>
  </si>
  <si>
    <t>C</t>
  </si>
  <si>
    <t>VP-C-NN</t>
  </si>
  <si>
    <t>業務ロジック</t>
  </si>
  <si>
    <t>CRUD 永続化、同時編集競合、論理削除＋FK、税計算、購読者ルール、Excel 取込、レポート集計</t>
  </si>
  <si>
    <t>D</t>
  </si>
  <si>
    <t>VP-D-NN</t>
  </si>
  <si>
    <t>統合・システム</t>
  </si>
  <si>
    <t>ログイン＋MFA、セッション管理、パスワード再発行、監査ログ、S3、メール、CSV 準拠、ネットワーク／500</t>
  </si>
  <si>
    <t>E</t>
  </si>
  <si>
    <t>VP-E-NN</t>
  </si>
  <si>
    <t>非機能・ユーザビリティ</t>
  </si>
  <si>
    <t>低〜中</t>
  </si>
  <si>
    <t>レイアウト、レスポンシブ、キーボード操作、ブラウザ互換、マルチタブ同期、未保存変更ガード</t>
  </si>
  <si>
    <t>F</t>
  </si>
  <si>
    <t>VP-F-NN</t>
  </si>
  <si>
    <t>性能</t>
  </si>
  <si>
    <t>性能ベンチマーク、大量データ表示性能</t>
  </si>
  <si>
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</si>
  <si>
    <t>テストレベル</t>
  </si>
  <si>
    <t>結合テスト</t>
  </si>
  <si>
    <t>機能／モジュール</t>
  </si>
  <si>
    <t>ACSMS-SCR-010_メニュー画面</t>
  </si>
  <si>
    <t>確認日</t>
  </si>
  <si>
    <t>テスト環境</t>
  </si>
  <si>
    <t>Windows 10/11, Chrome, Edge</t>
  </si>
  <si>
    <t>分類</t>
  </si>
  <si>
    <t>回目</t>
  </si>
  <si>
    <t>境界値</t>
  </si>
  <si>
    <t>1回目</t>
  </si>
  <si>
    <t>2回目</t>
  </si>
  <si>
    <t>要件ID</t>
  </si>
  <si>
    <t>説明</t>
  </si>
  <si>
    <t>前提条件</t>
  </si>
  <si>
    <t>ステップ／手順</t>
  </si>
  <si>
    <t>期待結果／アウトプット</t>
  </si>
  <si>
    <t>種類</t>
  </si>
  <si>
    <t>テスト1回目の結果</t>
  </si>
  <si>
    <t>テスト2回目の結果</t>
  </si>
  <si>
    <t>備考</t>
  </si>
  <si>
    <t>結果</t>
  </si>
  <si>
    <t>実績／
アウトプット</t>
  </si>
  <si>
    <t>確認日付
（MM/DD）</t>
  </si>
  <si>
    <t>バグID</t>
  </si>
  <si>
    <t>Kiểm soát quyền truy cập (Access Control)</t>
  </si>
  <si>
    <t>ACSMS-TC-010-001</t>
  </si>
  <si>
    <t>Cấm user chưa xác thực truy cập màn hình menu</t>
  </si>
  <si>
    <t>・Chưa login (không có session Cookie, hoặc đã hết hạn)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</si>
  <si>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`/dashboard` vào address bar của browser và truy cập trực tiếp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Gọi trực tiếp GET `/api/v1/oshirase/menu` từ tab Network của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</si>
  <si>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menu không hiển thị, chuyển về `/login` (kèm query `?redirect=/dashboard`)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401 (`error_code: UNAUTHORIZED`, message `セッションが切れました。再度ログインしてください。`)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・Màn hình menu là màn hình bắt buộc xác thực, khi chưa xác thực thì router guard phía frontend dẫn về màn hình login
</t>
    </r>
    <r>
      <rPr>
        <sz val="10"/>
        <color rgb="FF000000"/>
        <rFont val="メイリオ"/>
        <charset val="134"/>
      </rPr>
      <t>・Phía backend SessionAuthGuard cũng trả về 401</t>
    </r>
  </si>
  <si>
    <t>diem.kieuthi</t>
  </si>
  <si>
    <t>tuyem.tranduc</t>
  </si>
  <si>
    <t>ACSMS-TC-010-002</t>
  </si>
  <si>
    <t>NICHINO_ADMIN hiển thị menu・ẩn khu vực phê duyệt độc giả bản điện tử</t>
  </si>
  <si>
    <t>・role: NICHINO_ADMIN
・Đã login + đã xác thực MFA
・Không có quyền「dokusya.view」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</si>
  <si>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Sau khi login, mở màn hình menu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sự hiện diện của khu vực phê duyệt độc giả bản điện tử (button「Web申込読者承認」)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các menu card được hiển thị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Gọi trực tiếp GET `/api/v1/dokusya/pending-approval/count` từ tab Network của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</si>
  <si>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menu được hiển thị (màn hình menu cho phép mọi user đã xác thực truy cập)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Khu vực phê duyệt độc giả bản điện tử không hiển thị (vì NICHINO_ADMIN không xử lý bản điện tử)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Chỉ hiển thị menu gắn với quyền đang nắm giữ (マスタ管理：JAマスタ・管理支店マスタ, その他：ファイルアップロード・ファイルダウンロード, 管理者機能：ログ参照・アカウント管理・お知らせ一覧). 単価マスタ・支店マスタ không hiển thị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Trả về HTTP 403 (`error_code: FORBIDDEN`, message `この画面へのアクセス権限がありません。`)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・Việc phán định hiển thị khu vực phê duyệt độc giả bản điện tử được thực hiện phía frontend dựa trên việc có quyền `dokusya.view` hay không
</t>
    </r>
    <r>
      <rPr>
        <sz val="10"/>
        <color rgb="FF000000"/>
        <rFont val="メイリオ"/>
        <charset val="134"/>
      </rPr>
      <t>・API lấy số lượng chờ phê duyệt phía backend cũng trả về 403 khi không có quyền `dokusya.view`</t>
    </r>
  </si>
  <si>
    <t>N</t>
  </si>
  <si>
    <t>Theo bảng quyền `account_concept.md`, màn hình menu là ○ với mọi role. Khu vực phê duyệt độc giả bản điện tử chỉ hiển thị với account xử lý bản điện tử.</t>
  </si>
  <si>
    <t>ACSMS-TC-010-003</t>
  </si>
  <si>
    <t>NICHINO_STAFF hiển thị menu・ẩn khu vực phê duyệt độc giả bản điện tử</t>
  </si>
  <si>
    <t>・role: NICHINO_STAFF
・Đã login + đã xác thực MFA
・Không có quyền「dokusya.view」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</si>
  <si>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Sau khi login, mở màn hình menu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sự hiện diện của khu vực phê duyệt độc giả bản điện tử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các menu card được hiển thị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Gọi trực tiếp GET `/api/v1/dokusya/pending-approval/count` từ tab Network của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</si>
  <si>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menu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Khu vực phê duyệt độc giả bản điện tử không hiển thị (vì NICHINO_STAFF không xử lý bản điện tử)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Chỉ hiển thị menu gắn với quyền đang nắm giữ (その他：ファイルアップロード・ファイルダウンロード, 管理者機能：ログ参照・販売店代行入力). マスタ管理 không hiển thị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Trả về HTTP 403 (`error_code: FORBIDDEN`, message `この画面へのアクセス権限がありません。`)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・NICHINO_STAFF không có `dokusya.view` nên API lấy số lượng chờ phê duyệt trả về 403
</t>
    </r>
    <r>
      <rPr>
        <sz val="10"/>
        <color rgb="FF000000"/>
        <rFont val="メイリオ"/>
        <charset val="134"/>
      </rPr>
      <t>・Menu 販売店代行入力 chỉ hiển thị với NICHINO_STAFF có quyền `hanbaiten.daiko_input`</t>
    </r>
  </si>
  <si>
    <t>ACSMS-TC-010-004</t>
  </si>
  <si>
    <t>CHUOKAI hiển thị menu・hiển thị khu vực phê duyệt độc giả bản điện tử (scope chuokai của mình)</t>
  </si>
  <si>
    <t>・role: CHUOKAI (thuộc chuokai-001, ja_id=100)
・Có quyền「dokusya.view」
・Flag xử lý bản điện tử `denshi_flg = true`
・Tồn tại từ 1 độc giả chờ phê duyệt (`denshi_shonin_status = 0`) trong chuokai của mình (ja_id=100)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</si>
  <si>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Sau khi login, mở màn hình menu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hiển thị khu vực phê duyệt độc giả bản điện tử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response của GET `/api/v1/dokusya/pending-approval/count` ở tab Network của DevTools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DB: `SELECT COUNT(*) FROM t_dokusya WHERE denshi_shonin_status = 0 AND deleted_at IS NULL AND ja_id = 100`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</si>
  <si>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menu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Khu vực phê duyệt độc giả bản điện tử được hiển thị (hiển thị text「電子版読者承認」＋ message「承認待ちの読者がいます」＋ button「Web申込読者承認」)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200 (`data.count` là số lượng chờ phê duyệt theo scope chuokai của mình, `data.ja_id` là 100)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Giá trị `count` trả về ở bước 3 khớp với số lượng tổng hợp từ DB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・Phán định hiển thị khu vực phê duyệt độc giả bản điện tử chỉ khi thỏa cả quyền `dokusya.view` ＋ `denshi_flg = true`
</t>
    </r>
    <r>
      <rPr>
        <sz val="10"/>
        <color rgb="FF000000"/>
        <rFont val="メイリオ"/>
        <charset val="134"/>
      </rPr>
      <t>・API lấy số lượng chờ phê duyệt theo DataScope chỉ tổng hợp data `ja_id = :user_ja_id`</t>
    </r>
  </si>
  <si>
    <t>ACSMS-TC-010-005</t>
  </si>
  <si>
    <t>JA_HONTEN hiển thị menu・hiển thị khu vực phê duyệt độc giả bản điện tử (scope JA của mình)</t>
  </si>
  <si>
    <t>・role: JA_HONTEN (thuộc ja_id=100)
・Có quyền「dokusya.view」
・Flag xử lý bản điện tử `denshi_flg = true`
・JA khác: ja_id=200 (ngoài JA của mình)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</si>
  <si>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Sau khi login, mở màn hình menu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hiển thị khu vực phê duyệt độc giả bản điện tử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Kiểm tra response của GET `/api/v1/dokusya/pending-approval/count` ở tab Network của DevTools
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</si>
  <si>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menu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Khu vực phê duyệt độc giả bản điện tử được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200 (`data.count` là số lượng chờ phê duyệt theo scope JA của mình (ja_id=100), độc giả JA khác (ja_id=200) không nằm trong tổng hợp)
</t>
    </r>
  </si>
  <si>
    <t>ACSMS-TC-010-006</t>
  </si>
  <si>
    <t>JA_KANRI_SHITEN hiển thị menu・hiển thị khu vực phê duyệt độc giả bản điện tử (scope chi nhánh quản lý của mình)</t>
  </si>
  <si>
    <t>・role: JA_KANRI_SHITEN (thuộc ja_id=100 / kanri_shiten_id=10)
・Có quyền「dokusya.view」
・Flag xử lý bản điện tử `denshi_flg = true`
・Chi nhánh quản lý khác: kanri_shiten_id=11 (cùng JA)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</si>
  <si>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menu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Khu vực phê duyệt độc giả bản điện tử được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200 (`data.count` là số lượng chờ phê duyệt theo scope chi nhánh quản lý của mình (ja_id=100 và kanri_shiten_id=10), độc giả chi nhánh quản lý khác (kanri_shiten_id=11) không nằm trong tổng hợp)
</t>
    </r>
  </si>
  <si>
    <t>(なし)
---</t>
  </si>
  <si>
    <t>Hiển thị màn hình・Responsive (Layout &amp; Responsive)</t>
  </si>
  <si>
    <t>ACSMS-TC-010-007</t>
  </si>
  <si>
    <t>Layout tổng thể màn hình menu khớp với thiết kế</t>
  </si>
  <si>
    <t>・role: JA_HONTEN (thuộc ja_id=100)
・Browser: Chrome (latest), độ phân giải 1920×1080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</si>
  <si>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Sau khi login, mở màn hình menu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So sánh màn hình với tài liệu thiết kế (screen-design.md / index.html)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vị trí từng phần tử (vị trí header, khu vực phê duyệt độc giả bản điện tử, khu vực お知らせ, bố trí menu card)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</si>
  <si>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menu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Màu nền, font, cỡ font, padding/margin, màu button, style card đều khớp với thiết kế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Các phần tử được bố trí đúng theo thiết kế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có khác biệt thị giác so với thiết kế
</t>
    </r>
    <r>
      <rPr>
        <sz val="10"/>
        <color rgb="FF000000"/>
        <rFont val="メイリオ"/>
        <charset val="134"/>
      </rPr>
      <t>・design tokens (`design-tokens.ts`) được áp dụng (không có màu hardcode)</t>
    </r>
  </si>
  <si>
    <t>ACSMS-TC-010-008</t>
  </si>
  <si>
    <t>Hiển thị header (title・tên account・tên quyền account)</t>
  </si>
  <si>
    <t>・role: JA_HONTEN (thuộc ja_id=100)
・Đã login + đã xác thực MFA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</si>
  <si>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title bên trái header phía trên màn hình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hiển thị tên account (`account_name`) bên phải header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hiển thị tên quyền account (label role)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</si>
  <si>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Chữ「メニュー画面」được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Tên account đang login được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Label tiếng Nhật theo role được hiển thị (với JA_HONTEN thì hiển thị「JA本店アカウント」)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・Chuyển đổi label role: NICHINO_ADMIN→日農管理者アカウント / NICHINO_STAFF→日農担当者アカウント / CHUOKAI→中央会アカウント / JA_HONTEN→JA本店アカウント / JA_KANRI_SHITEN→JA管理支店アカウント</t>
    </r>
  </si>
  <si>
    <t>ACSMS-TC-010-009</t>
  </si>
  <si>
    <t>Hiển thị danh sách お知らせ và thứ tự sắp xếp</t>
  </si>
  <si>
    <t>・role: JA_HONTEN (thuộc ja_id=100)
・Tồn tại nhiều お知らせ dành cho màn hình menu (`publish_location = 2`, `status = 2`, `oshirase_type != 4`)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</si>
  <si>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khu vực お知らせ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hiển thị ngày (`publish_start_date`) và title (`title`) của từng dòng お知らせ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thứ tự sắp xếp của お知らせ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お知らせ trong vòng 7 ngày từ ngày bắt đầu công khai có hiển thị NEWアイコン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</si>
  <si>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Danh sách お知らせ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Mỗi dòng hiển thị ngày (định dạng `YYYY/MM/DD HH:mm`) và title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theo thứ tự ngày bắt đầu công khai (`publish_start_date`) mới nhất trước (giảm dần)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お知らせ có `is_new = true` hiển thị NEWアイコン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・Danh sách お知らせ hiển thị các dòng `oshirase_type != 4` (loại trừ thời gian deadline)
</t>
    </r>
    <r>
      <rPr>
        <sz val="10"/>
        <color rgb="FF000000"/>
        <rFont val="メイリオ"/>
        <charset val="134"/>
      </rPr>
      <t>・Hiển thị 5 dòng mỗi lần, scroll để xem phần còn lại</t>
    </r>
  </si>
  <si>
    <t>ACSMS-TC-010-010</t>
  </si>
  <si>
    <t>Hiển thị chip thời gian deadline (deadline_notice)</t>
  </si>
  <si>
    <t>・role: JA_HONTEN (thuộc ja_id=100)
・Tồn tại 1 お知らせ thời gian deadline (`publish_location = 2`, `oshirase_type = 4`, `status = 2`)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</si>
  <si>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bên phải header của khu vực お知らせ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hiển thị title của chip thời gian deadline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</si>
  <si>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Chip thời gian deadline được hiển thị (khi tồn tại お知らせ `deadline_notice`)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Title (`title`) của お知らせ thời gian deadline được hiển thị trên chip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・お知らせ thời gian deadline hiển thị tối đa 1 dòng `oshirase_type = 4` và `publish_location = 2`
</t>
    </r>
    <r>
      <rPr>
        <sz val="10"/>
        <color rgb="FF000000"/>
        <rFont val="メイリオ"/>
        <charset val="134"/>
      </rPr>
      <t>・Khi không có record tương ứng (`deadline_notice` là `null`) thì chip không hiển thị</t>
    </r>
  </si>
  <si>
    <t>ACSMS-TC-010-011</t>
  </si>
  <si>
    <t>Đóng/mở dialog chi tiết お知らせ</t>
  </si>
  <si>
    <t>・role: JA_HONTEN (thuộc ja_id=100)
・Trạng thái đang hiển thị từ 1 お知らせ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</si>
  <si>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link「詳細」của dòng お知らせ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hiển thị title・nội dung (`content`) trong dialog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button đóng dialog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</si>
  <si>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Dialog chi tiết お知らせ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Title và toàn văn nội dung của お知らせ được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Dialog đóng lại, quay về màn hình menu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・Click link 詳細 thì toàn văn お知らせ hiển thị dạng popup
</t>
    </r>
    <r>
      <rPr>
        <sz val="10"/>
        <color rgb="FF000000"/>
        <rFont val="メイリオ"/>
        <charset val="134"/>
      </rPr>
      <t>・Nội dung hiển thị dạng literal text, HTML tag không được thực thi</t>
    </r>
  </si>
  <si>
    <t>ACSMS-TC-010-012</t>
  </si>
  <si>
    <t>Hiển thị grid menu card</t>
  </si>
  <si>
    <t>・role: CHUOKAI (thuộc chuokai-001, ja_id=100)
・Đã login + đã xác thực MFA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</si>
  <si>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grid menu card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tiêu đề category và item menu của từng card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việc chuyển màn khi click item menu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</si>
  <si>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Menu card được hiển thị dạng grid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Category (購読者管理・販売店管理・データ作成・レポート作成・マスタ管理・その他・管理者機能) và item gắn với quyền đang nắm giữ được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Click item menu thì chuyển về màn hình tương ứng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・Sidebar và menu card tham chiếu cùng một định nghĩa menu (`MENU_SECTIONS` / `useMenu`), nội dung hiển thị khớp nhau
</t>
    </r>
    <r>
      <rPr>
        <sz val="10"/>
        <color rgb="FF000000"/>
        <rFont val="メイリオ"/>
        <charset val="134"/>
      </rPr>
      <t>・Chức năng không sử dụng được thì ẩn hoàn toàn (ẩn chứ không phải làm xám)</t>
    </r>
  </si>
  <si>
    <t>ACSMS-TC-010-013</t>
  </si>
  <si>
    <t>Responsive — breakpoint PC／Tablet／Mobile</t>
  </si>
  <si>
    <t>・Trạng thái đang mở màn hình menu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</si>
  <si>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Đặt kích thước cửa sổ 1920×1080 (PC)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Đổi sang 768×1024 (Tablet)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Đổi sang 375×667 (Mobile)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</si>
  <si>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Sidebar hiển thị cố định, menu card hiển thị nhiều cột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Sidebar gập lại, số cột của menu card giảm xuống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Sidebar dạng overlay, menu card xếp dọc, không phát sinh scroll ngang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・Cả 3 breakpoint không vỡ layout, không phát sinh scroll ngang
</t>
    </r>
    <r>
      <rPr>
        <sz val="10"/>
        <color rgb="FF000000"/>
        <rFont val="メイリオ"/>
        <charset val="134"/>
      </rPr>
      <t>・Khu vực お知らせ・khu vực phê duyệt độc giả bản điện tử đều thao tác được</t>
    </r>
  </si>
  <si>
    <t>ACSMS-TC-010-014</t>
  </si>
  <si>
    <t>Thao tác bàn phím và thứ tự tab</t>
  </si>
  <si>
    <t>・Trạng thái đang mở màn hình menu, focus ở body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</si>
  <si>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Nhấn phím Tab liên tục, kiểm tra việc chuyển focus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Focus vào button「Web申込読者承認」và nhấn phím Enter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Khi dialog chi tiết お知らせ đang mở, nhấn phím Escape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</si>
  <si>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Focus chuyển theo thứ tự khu vực phê duyệt độc giả bản điện tử → お知らせ → menu card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Xử lý click button「Web申込読者承認」được thực hiện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Dialog đóng lại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・Mọi phần tử thao tác đều thao tác được bằng bàn phím
</t>
    </r>
    <r>
      <rPr>
        <sz val="10"/>
        <color rgb="FF000000"/>
        <rFont val="メイリオ"/>
        <charset val="134"/>
      </rPr>
      <t>・Thứ tự tab đúng theo thiết kế</t>
    </r>
  </si>
  <si>
    <t>Logic nghiệp vụ (Function)</t>
  </si>
  <si>
    <t>ACSMS-TC-010-015</t>
  </si>
  <si>
    <t>Lấy お知らせ normal (danh sách + tách thời gian deadline)</t>
  </si>
  <si>
    <t>・role: JA_HONTEN (thuộc ja_id=100)
・Tồn tại nhiều お知らせ dành cho màn hình menu (`publish_location = 2`, `status = 2`, `deleted_at IS NULL`, `publish_start_date &lt;= NOW()`)
・Tồn tại 1 お知らせ thời gian deadline `oshirase_type = 4`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</si>
  <si>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hình menu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response của GET `/api/v1/oshirase/menu?limit=20` ở tab Network của DevTools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`oshirase_type` của từng phần tử trong `data.oshirase_list`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nội dung của `data.deadline_notice`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</si>
  <si>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Danh sách お知らせ và chip thời gian deadline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 (gồm `data.oshirase_list` (mảng) và `data.deadline_notice` (object hoặc null))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Toàn bộ phần tử của `oshirase_list` là `oshirase_type != 4` (loại trừ thời gian deadline), giảm dần theo `publish_start_date`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`oshirase_type` của `deadline_notice` là 4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・Điều kiện lấy: `publish_location = 2` và `status = 2` và `deleted_at IS NULL` và `publish_start_date &lt;= NOW()` và (`publish_end_date IS NULL` hoặc `publish_end_date &gt;= NOW()`) và (`ja_id IS NULL` hoặc `ja_id = :user_ja_id`)
</t>
    </r>
    <r>
      <rPr>
        <sz val="10"/>
        <color rgb="FF000000"/>
        <rFont val="メイリオ"/>
        <charset val="134"/>
      </rPr>
      <t>・お知らせ `ja_id IS NULL` (dành cho mọi JA) và dành cho JA của mình (`ja_id = 100`) là đối tượng lấy</t>
    </r>
  </si>
  <si>
    <t>ACSMS-TC-010-016</t>
  </si>
  <si>
    <t>Lấy お知らせ — không có thời gian deadline (deadline_notice là null)</t>
  </si>
  <si>
    <t>・role: JA_HONTEN (thuộc ja_id=100)
・Không tồn tại お知らせ thời gian deadline `oshirase_type = 4` (hoặc ngoài kỳ công khai)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</si>
  <si>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Mở màn hình menu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Kiểm tra response của GET `/api/v1/oshirase/menu` ở tab Network của DevTools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>Kiểm tra bên phải header của khu vực お知らせ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</si>
  <si>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Danh sách お知らせ được hiển thị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Trả về HTTP 200 (`data.deadline_notice` là `null`)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 xml:space="preserve">Chip thời gian deadline không hiển thị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・Khi お知らせ thời gian deadline không tương ứng, `deadline_notice` được set `null`
</t>
    </r>
    <r>
      <rPr>
        <strike/>
        <sz val="10"/>
        <color rgb="FF000000"/>
        <rFont val="メイリオ"/>
        <charset val="134"/>
      </rPr>
      <t>・`oshirase_list` trả về bình thường không liên quan đến thời gian deadline</t>
    </r>
  </si>
  <si>
    <t>Case này k đúng với hiện tại nên k test</t>
  </si>
  <si>
    <t>ACSMS-TC-010-017</t>
  </si>
  <si>
    <t>Lấy お知らせ — trường hợp không tìm thấy dữ liệu</t>
  </si>
  <si>
    <t>・role: JA_HONTEN (thuộc ja_id=100)
・Không tồn tại お知らせ công khai dành cho màn hình menu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</si>
  <si>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hình menu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response của GET `/api/v1/oshirase/menu` ở tab Network của DevTools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hiển thị khu vực お知らせ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</si>
  <si>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Không tồn tại dữ liệu ở khu vực お知らせ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 (`data.oshirase_list` là mảng rỗng, `data.deadline_notice` là `null`)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Không hiển thị ACSMS-MSG-010-001 message `データの取得に失敗しました。`, mà hiển thị nội dung お知らせ là 0 dòng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・Ngay cả khi お知らせ là 0 dòng vẫn trả về HTTP 200 với mảng rỗng
</t>
    </r>
    <r>
      <rPr>
        <sz val="10"/>
        <color rgb="FF000000"/>
        <rFont val="メイリオ"/>
        <charset val="134"/>
      </rPr>
      <t>・Chỉ khi bản thân xử lý lấy thất bại mới hiển thị ACSMS-MSG-010-001 (xem Xử lý lỗi chung)</t>
    </r>
  </si>
  <si>
    <t>ACSMS-TC-010-018</t>
  </si>
  <si>
    <t>Lấy số lượng chờ phê duyệt normal + DataScope</t>
  </si>
  <si>
    <t>・role: CHUOKAI (thuộc chuokai-001, ja_id=100)
・Có quyền「dokusya.view」, `denshi_flg = true`
・Trong scope của mình tồn tại 5 độc giả chờ phê duyệt (`denshi_shonin_status = 0`)
・JA khác (ja_id=200) tồn tại 3 độc giả chờ phê duyệt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</si>
  <si>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hình menu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response của GET `/api/v1/dokusya/pending-approval/count` ở tab Network của DevTools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DB: `SELECT COUNT(*) FROM t_dokusya WHERE denshi_shonin_status = 0 AND deleted_at IS NULL AND ja_id = 100`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</si>
  <si>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Số lượng chờ phê duyệt được hiển thị ở khu vực phê duyệt độc giả bản điện tử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 (`data.count = 5`, `data.ja_id = 100`, 3 dòng của JA khác (ja_id=200) không nằm trong tổng hợp)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Số lượng tổng hợp DB là 5 dòng, khớp với `count` của response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・Lấy số lượng chờ phê duyệt theo DataScope chỉ tổng hợp data trong scope của mình
</t>
    </r>
    <r>
      <rPr>
        <sz val="10"/>
        <color rgb="FF000000"/>
        <rFont val="メイリオ"/>
        <charset val="134"/>
      </rPr>
      <t>・Điều kiện lọc: `denshi_shonin_status = 0` và `deleted_at IS NULL`</t>
    </r>
  </si>
  <si>
    <t xml:space="preserve">Case này chưa test được vì hiện tại khi nào bên khách hàng tạo data thì mới có phần chờ phê duyệt này </t>
  </si>
  <si>
    <t>ACSMS-TC-010-019</t>
  </si>
  <si>
    <t>Chuyển Web申込読者承認 (số lượng chờ phê duyệt từ 1 trở lên)</t>
  </si>
  <si>
    <t>・role: JA_HONTEN (thuộc ja_id=100)
・Có quyền「dokusya.view」, `denshi_flg = true`
・Số lượng chờ phê duyệt từ 1 trở lên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</si>
  <si>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hình menu, kiểm tra khu vực phê duyệt độc giả bản điện tử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trạng thái của button「Web申込読者承認」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Click button「Web申込読者承認」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trạng thái lọc của màn hình tìm kiếm chi tiết độc giả ở màn chuyển đến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</si>
  <si>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Khu vực phê duyệt độc giả bản điện tử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Button「Web申込読者承認」hiển thị ở trạng thái active (vì chờ phê duyệt từ 1 trở lên)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màn hình tìm kiếm chi tiết độc giả (DokusyaList) (kèm query `?denshi_shonin_status=0`)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Danh sách hiển thị ở trạng thái đã lọc chỉ độc giả chờ phê duyệt (chưa phê duyệt)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・Click button「Web申込読者承認」chuyển sang màn hình tìm kiếm chi tiết độc giả kèm lọc trạng thái phê duyệt bản điện tử = chưa phê duyệt (`denshi_shonin_status=0`)</t>
    </r>
  </si>
  <si>
    <t>ACSMS-TC-010-020</t>
  </si>
  <si>
    <t>Web申込読者承認 — số lượng chờ phê duyệt 0 thì button disable</t>
  </si>
  <si>
    <t>・role: JA_HONTEN (thuộc ja_id=100)
・Có quyền「dokusya.view」, `denshi_flg = true`
・Số lượng chờ phê duyệt là 0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</si>
  <si>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hình menu, kiểm tra khu vực phê duyệt độc giả bản điện tử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sự hiện diện của message「承認待ちの読者がいます」và thông báo về deadline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trạng thái của button「Web申込読者承認」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</si>
  <si>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Khu vực phê duyệt độc giả bản điện tử (text「電子版読者承認」＋ button)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Message「承認待ちの読者がいます」và thông báo về deadline không hiển thị (vì chờ phê duyệt là 0)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Button「Web申込読者承認」hiển thị ở trạng thái disable (vì chờ phê duyệt là 0)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・Khi chờ phê duyệt là 0, message chờ phê duyệt và thông báo deadline bị ẩn
</t>
    </r>
    <r>
      <rPr>
        <sz val="10"/>
        <color rgb="FF000000"/>
        <rFont val="メイリオ"/>
        <charset val="134"/>
      </rPr>
      <t>・Bản thân khu vực phê duyệt độc giả bản điện tử vẫn tiếp tục hiển thị</t>
    </r>
  </si>
  <si>
    <t>ACSMS-TC-010-021</t>
  </si>
  <si>
    <t>Logout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</si>
  <si>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Click「ログアウト」ở khu vực thông tin account của header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chuyển màn và message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session Cookie ở tab Application của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</si>
  <si>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Xử lý logout được thực hiện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sang màn hình login, message `ログアウトしました。` (ACSMS-MSG-010-002) được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Session Cookie đã hết hạn (Redis session đã bị xóa)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・Logout thì Redis session phía backend bị xóa và Cookie hết hạn</t>
    </r>
  </si>
  <si>
    <t>Xử lý lỗi chung (Common Error Handling)</t>
  </si>
  <si>
    <t>ACSMS-TC-010-022</t>
  </si>
  <si>
    <t>Lỗi chung — UNAUTHORIZED — xử lý khi session hết hạn</t>
  </si>
  <si>
    <t>・role: JA_HONTEN (thuộc ja_id=100)
・Đang hiển thị màn hình menu
・Đã quá 24 giờ từ thao tác cuối, Redis session TTL đã hết hạn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</si>
  <si>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Reload màn hình menu, gửi request GET `/api/v1/oshirase/menu`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nội dung response và chuyển màn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</si>
  <si>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401 (`error_code: UNAUTHORIZED`, message `セッションが切れました。再度ログインしてください。`)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Phía frontend trạng thái user của Pinia auth store được clear, tự động chuyển về `/login?redirect=/dashboard`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・Khi session hết hạn, phía backend SessionAuthGuard trả về 401 và phía frontend axios interceptor dẫn đồng nhất về màn hình login</t>
    </r>
  </si>
  <si>
    <t>ACSMS-TC-010-023</t>
  </si>
  <si>
    <t>Lỗi chung — FORBIDDEN — lấy số lượng chờ phê duyệt khi không có quyền</t>
  </si>
  <si>
    <t>・role: NICHINO_ADMIN
・Không có quyền「dokusya.view」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</si>
  <si>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Thực thi `fetch('/api/v1/dokusya/pending-approval/count', { credentials: 'include' })` từ Console của DevTools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HTTP status và error_code của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</si>
  <si>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bị từ chối bởi kiểm tra quyền phía backend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403 (`error_code: FORBIDDEN`, message `この画面へのアクセス権限がありません。`)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・Role không có quyền `dokusya.view` dù gọi trực tiếp API lấy số lượng chờ phê duyệt thì phía backend vẫn trả về 403</t>
    </r>
  </si>
  <si>
    <t>ACSMS-TC-010-024</t>
  </si>
  <si>
    <t>Lỗi chung — DENSHI_NOT_ENABLED — account chưa kích hoạt chức năng bản điện tử</t>
  </si>
  <si>
    <t>・role: JA_HONTEN (thuộc ja_id=100)
・Có quyền「dokusya.view」
・Flag xử lý bản điện tử `denshi_flg = false`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</si>
  <si>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hình menu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Thực thi `fetch('/api/v1/dokusya/pending-approval/count', { credentials: 'include' })` từ Console của DevTools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hiển thị khu vực phê duyệt độc giả bản điện tử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</si>
  <si>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menu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403 (`error_code: DENSHI_NOT_ENABLED`, message `このアカウントでは電子版機能が有効化されていません。`)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Toàn bộ khu vực phê duyệt độc giả bản điện tử không hiển thị (vì là account không xử lý bản điện tử)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・Account `denshi_flg = false` thì API lấy số lượng chờ phê duyệt trả về 403 (`DENSHI_NOT_ENABLED`)
</t>
    </r>
    <r>
      <rPr>
        <sz val="10"/>
        <color rgb="FF000000"/>
        <rFont val="メイリオ"/>
        <charset val="134"/>
      </rPr>
      <t>・Phía frontend ẩn toàn bộ khu vực phê duyệt độc giả bản điện tử</t>
    </r>
  </si>
  <si>
    <t>ACSMS-TC-010-025</t>
  </si>
  <si>
    <t>Lỗi chung — BAD_REQUEST — tham số request không hợp lệ</t>
  </si>
  <si>
    <t>・role: JA_HONTEN (thuộc ja_id=100)
・Đang mở tab Network của DevTools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</si>
  <si>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Thực thi `fetch('/api/v1/oshirase/menu?limit=abc', { credentials: 'include' })` từ Console của DevTools (chỉ định limit không phải số)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HTTP status và error_code của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</si>
  <si>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bị từ chối bởi validation phía backend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(`error_code: BAD_REQUEST`, message `リクエストパラメータが不正です。`)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・Tham số limit được kiểm tra kiểu số (1〜100), khi giá trị không hợp lệ thì map sang BAD_REQUEST</t>
    </r>
  </si>
  <si>
    <t>ACSMS-TC-010-026</t>
  </si>
  <si>
    <t>Lỗi chung — TOO_MANY_REQUESTS — vượt rate limit</t>
  </si>
  <si>
    <t>・role: JA_HONTEN (thuộc ja_id=100)
・Dùng script test gửi GET `/api/v1/oshirase/menu` vượt giới hạn trong 1 phút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</si>
  <si>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Khởi động script, gửi request tần suất cao đến API lấy お知らせ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HTTP status và error_code của response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hiển thị toast phía màn hình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</si>
  <si>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Đến giới hạn thì trả về bình thường, sau đó trả về 429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429 (`error_code: TOO_MANY_REQUESTS`, message `リクエスト回数が上限を超えました。しばらくしてから再度お試しください。`)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Toast `リクエスト回数が上限を超えました。しばらくしてから再度お試しください。` được hiển thị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・NestJS @Throttle decorator + AWS WAF rate limit chặn ở cả tầng hạ tầng／ứng dụng
</t>
    </r>
    <r>
      <rPr>
        <sz val="10"/>
        <color rgb="FF000000"/>
        <rFont val="メイリオ"/>
        <charset val="134"/>
      </rPr>
      <t>・Tuân thủ quan điểm VP-A-08「レート制限・Throttling」(testcase-viewpoints.md v1.1)</t>
    </r>
  </si>
  <si>
    <t>ACSMS-TC-010-027</t>
  </si>
  <si>
    <t>Lỗi chung — INTERNAL_SERVER_ERROR — lỗi server</t>
  </si>
  <si>
    <t>・role: JA_HONTEN (thuộc ja_id=100)
・Trạng thái có thể giả lập sự cố server như lỗi kết nối DB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</si>
  <si>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hình menu ở trạng thái giả lập sự cố server (lỗi kết nối DB v.v.)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HTTP status và error_code của response GET `/api/v1/oshirase/menu`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hiển thị toast phía màn hình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</si>
  <si>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Xử lý lấy お知らせ thất bại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500 (`error_code: INTERNAL_SERVER_ERROR`, message `システムエラーが発生しました。しばらくしてから再度お試しください。`)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Toast `システムエラーが発生しました。しばらくしてから再度お試しください。` được hiển thị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・Sự cố server như lỗi kết nối DB được map sang INTERNAL_SERVER_ERROR
</t>
    </r>
    <r>
      <rPr>
        <sz val="10"/>
        <color rgb="FF000000"/>
        <rFont val="メイリオ"/>
        <charset val="134"/>
      </rPr>
      <t>・Dù phát sinh lỗi ngoài dự kiến thì stack trace không hiển thị cho người dùng</t>
    </r>
  </si>
  <si>
    <t>ACSMS-TC-010-028</t>
  </si>
  <si>
    <t>Lỗi chung — message khi lấy お知らせ thất bại</t>
  </si>
  <si>
    <t>・role: JA_HONTEN (thuộc ja_id=100)
・Giả lập trạng thái API lấy お知らせ trả về lỗi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</si>
  <si>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hình menu ở trạng thái API lấy お知らせ trả về lỗi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hiển thị và message của khu vực お知らせ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</si>
  <si>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Xử lý lấy お知らせ thất bại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ACSMS-MSG-010-001 message `データの取得に失敗しました。` được hiển thị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・Khi lấy お知らせ thất bại, message ACSMS-MSG-010-001 `データの取得に失敗しました。` của định nghĩa item màn hình được hiển thị
</t>
    </r>
    <r>
      <rPr>
        <sz val="10"/>
        <color rgb="FF000000"/>
        <rFont val="メイリオ"/>
        <charset val="134"/>
      </rPr>
      <t>・Việc lấy thất bại không cản trở hiển thị toàn bộ màn hình menu (chỉ khu vực お知らせ hiển thị lỗi)</t>
    </r>
  </si>
  <si>
    <t>ACSMS-TC-010-029</t>
  </si>
  <si>
    <t>Lỗi chung — xử lý khi mất kết nối mạng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</si>
  <si>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Đặt mất kết nối mạng (offline) ở tab Network của DevTools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Reload màn hình menu, gửi GET `/api/v1/oshirase/menu`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hiển thị toast phía màn hình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</si>
  <si>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Trở thành trạng thái mất kết nối mạng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API request trở thành lỗi mạng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Toast `ネットワークエラーが発生しました。しばらくしてから再度お試しください。` được hiển thị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・Khi mất kết nối mạng, phía frontend axios interceptor hiển thị toast lỗi mạng
</t>
    </r>
    <r>
      <rPr>
        <sz val="10"/>
        <color rgb="FF000000"/>
        <rFont val="メイリオ"/>
        <charset val="134"/>
      </rPr>
      <t>・Không phát sinh lỗi ngoài dự kiến</t>
    </r>
  </si>
  <si>
    <t>Văn bản toast lỗi mạng tuân thủ implementation của axios interceptor phía frontend.
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</si>
</sst>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.0%"/>
  </numFmts>
  <fonts count="37">
    <font>
      <sz val="11"/>
      <color theme="1"/>
      <name val="Calibri"/>
      <charset val="134"/>
      <scheme val="minor"/>
    </font>
    <font>
      <b/>
      <sz val="11"/>
      <color rgb="FF000000"/>
      <name val="游ゴシック"/>
      <charset val="134"/>
    </font>
    <font>
      <sz val="11"/>
      <name val="Calibri"/>
      <charset val="134"/>
      <scheme val="minor"/>
    </font>
    <font>
      <sz val="11"/>
      <color rgb="FF000000"/>
      <name val="游ゴシック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trike/>
      <sz val="11"/>
      <color rgb="FF000000"/>
      <name val="游ゴシック"/>
      <charset val="134"/>
    </font>
    <font>
      <i/>
      <sz val="11"/>
      <color rgb="FF000000"/>
      <name val="游ゴシック"/>
      <charset val="134"/>
    </font>
    <font>
      <b/>
      <sz val="14"/>
      <color rgb="FF000000"/>
      <name val="游ゴシック"/>
      <charset val="134"/>
    </font>
    <font>
      <sz val="26"/>
      <color rgb="FF1F3864"/>
      <name val="游ゴシック"/>
      <charset val="134"/>
    </font>
    <font>
      <sz val="24"/>
      <color rgb="FF1F3864"/>
      <name val="游ゴシック"/>
      <charset val="134"/>
    </font>
    <font>
      <sz val="15"/>
      <color theme="1"/>
      <name val="游ゴシック"/>
      <charset val="134"/>
    </font>
    <font>
      <sz val="10"/>
      <color rgb="FF000000"/>
      <name val="游ゴシック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游ゴシック"/>
      <charset val="134"/>
    </font>
    <font>
      <b/>
      <sz val="10"/>
      <color rgb="FF000000"/>
      <name val="メイリオ"/>
      <charset val="134"/>
    </font>
    <font>
      <sz val="10"/>
      <color rgb="FF000000"/>
      <name val="メイリオ"/>
      <charset val="134"/>
    </font>
    <font>
      <b/>
      <strike/>
      <sz val="10"/>
      <color rgb="FF000000"/>
      <name val="メイリオ"/>
      <charset val="134"/>
    </font>
    <font>
      <strike/>
      <sz val="10"/>
      <color rgb="FF000000"/>
      <name val="メイリオ"/>
      <charset val="134"/>
    </font>
  </fonts>
  <fills count="4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99"/>
        <bgColor rgb="FFFFFF99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8" applyNumberFormat="0" applyAlignment="0" applyProtection="0">
      <alignment vertical="center"/>
    </xf>
    <xf numFmtId="0" fontId="22" fillId="12" borderId="19" applyNumberFormat="0" applyAlignment="0" applyProtection="0">
      <alignment vertical="center"/>
    </xf>
    <xf numFmtId="0" fontId="23" fillId="12" borderId="18" applyNumberFormat="0" applyAlignment="0" applyProtection="0">
      <alignment vertical="center"/>
    </xf>
    <xf numFmtId="0" fontId="24" fillId="13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6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78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178" fontId="4" fillId="0" borderId="1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8" borderId="0" xfId="0" applyFont="1" applyFill="1" applyBorder="1" applyAlignment="1">
      <alignment horizontal="left" vertical="center" wrapText="1"/>
    </xf>
    <xf numFmtId="0" fontId="2" fillId="0" borderId="0" xfId="0" applyFont="1" applyBorder="1"/>
    <xf numFmtId="0" fontId="1" fillId="4" borderId="1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3" xfId="0" applyFont="1" applyBorder="1"/>
    <xf numFmtId="0" fontId="5" fillId="0" borderId="14" xfId="0" applyFont="1" applyBorder="1"/>
    <xf numFmtId="0" fontId="9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49" fontId="12" fillId="9" borderId="1" xfId="0" applyNumberFormat="1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0</xdr:colOff>
      <xdr:row>2</xdr:row>
      <xdr:rowOff>0</xdr:rowOff>
    </xdr:from>
    <xdr:ext cx="1333500" cy="514350"/>
    <xdr:pic>
      <xdr:nvPicPr>
        <xdr:cNvPr id="2" name="image1.png" descr="Pictur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314700" y="409575"/>
          <a:ext cx="13335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3.71428571428571" customWidth="1"/>
    <col min="2" max="37" width="3.28571428571429" customWidth="1"/>
  </cols>
  <sheetData>
    <row r="1" ht="19.5" customHeight="1"/>
    <row r="2" ht="12.75" customHeight="1" spans="2:37">
      <c r="B2" s="50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2"/>
    </row>
    <row r="3" ht="12.75" customHeight="1" spans="2:37">
      <c r="B3" s="53"/>
      <c r="AK3" s="54"/>
    </row>
    <row r="4" ht="12.75" customHeight="1" spans="2:37">
      <c r="B4" s="53"/>
      <c r="AK4" s="54"/>
    </row>
    <row r="5" ht="12.75" customHeight="1" spans="2:37">
      <c r="B5" s="53"/>
      <c r="AK5" s="54"/>
    </row>
    <row r="6" ht="12.75" customHeight="1" spans="2:37">
      <c r="B6" s="53"/>
      <c r="AK6" s="54"/>
    </row>
    <row r="7" ht="12.75" customHeight="1" spans="2:37">
      <c r="B7" s="53"/>
      <c r="AK7" s="54"/>
    </row>
    <row r="8" ht="12.75" customHeight="1" spans="2:37">
      <c r="B8" s="53"/>
      <c r="AK8" s="54"/>
    </row>
    <row r="9" ht="12.75" customHeight="1" spans="2:37">
      <c r="B9" s="53"/>
      <c r="AK9" s="54"/>
    </row>
    <row r="10" ht="29.25" customHeight="1" spans="2:37">
      <c r="B10" s="55" t="s">
        <v>0</v>
      </c>
      <c r="AK10" s="56"/>
    </row>
    <row r="11" ht="12.75" customHeight="1" spans="2:37">
      <c r="B11" s="53"/>
      <c r="AK11" s="54"/>
    </row>
    <row r="12" ht="39" customHeight="1" spans="2:37">
      <c r="B12" s="57" t="s">
        <v>1</v>
      </c>
      <c r="AK12" s="56"/>
    </row>
    <row r="13" ht="12.75" customHeight="1" spans="2:37">
      <c r="B13" s="53"/>
      <c r="AK13" s="54"/>
    </row>
    <row r="14" ht="12.75" customHeight="1" spans="2:37">
      <c r="B14" s="53"/>
      <c r="AK14" s="54"/>
    </row>
    <row r="15" ht="12.75" customHeight="1" spans="2:37">
      <c r="B15" s="58" t="s">
        <v>2</v>
      </c>
      <c r="AK15" s="56"/>
    </row>
    <row r="16" ht="12.75" customHeight="1" spans="2:37">
      <c r="B16" s="53"/>
      <c r="AK16" s="54"/>
    </row>
    <row r="17" ht="12.75" customHeight="1" spans="2:37">
      <c r="B17" s="53"/>
      <c r="AK17" s="54"/>
    </row>
    <row r="18" ht="12.75" customHeight="1" spans="2:37">
      <c r="B18" s="53"/>
      <c r="N18" s="59" t="s">
        <v>3</v>
      </c>
      <c r="O18" s="2"/>
      <c r="P18" s="2"/>
      <c r="Q18" s="2"/>
      <c r="R18" s="3"/>
      <c r="S18" s="59" t="s">
        <v>4</v>
      </c>
      <c r="T18" s="2"/>
      <c r="U18" s="2"/>
      <c r="V18" s="2"/>
      <c r="W18" s="3"/>
      <c r="AK18" s="54"/>
    </row>
    <row r="19" ht="12.75" customHeight="1" spans="2:37">
      <c r="B19" s="53"/>
      <c r="N19" s="59" t="s">
        <v>5</v>
      </c>
      <c r="O19" s="2"/>
      <c r="P19" s="2"/>
      <c r="Q19" s="2"/>
      <c r="R19" s="3"/>
      <c r="S19" s="59" t="s">
        <v>6</v>
      </c>
      <c r="T19" s="2"/>
      <c r="U19" s="2"/>
      <c r="V19" s="2"/>
      <c r="W19" s="3"/>
      <c r="AK19" s="54"/>
    </row>
    <row r="20" ht="12.75" customHeight="1" spans="2:37">
      <c r="B20" s="53"/>
      <c r="N20" s="59" t="s">
        <v>7</v>
      </c>
      <c r="O20" s="2"/>
      <c r="P20" s="2"/>
      <c r="Q20" s="2"/>
      <c r="R20" s="3"/>
      <c r="S20" s="60" t="s">
        <v>8</v>
      </c>
      <c r="T20" s="2"/>
      <c r="U20" s="2"/>
      <c r="V20" s="2"/>
      <c r="W20" s="3"/>
      <c r="AK20" s="54"/>
    </row>
    <row r="21" ht="12.75" customHeight="1" spans="2:37">
      <c r="B21" s="53"/>
      <c r="AK21" s="54"/>
    </row>
    <row r="22" ht="12.75" customHeight="1" spans="2:37">
      <c r="B22" s="53"/>
      <c r="AK22" s="54"/>
    </row>
    <row r="23" ht="12.75" customHeight="1" spans="2:37">
      <c r="B23" s="53"/>
      <c r="AK23" s="54"/>
    </row>
    <row r="24" ht="12.75" customHeight="1" spans="2:37">
      <c r="B24" s="53"/>
      <c r="AK24" s="54"/>
    </row>
    <row r="25" ht="12.75" customHeight="1" spans="2:37">
      <c r="B25" s="53"/>
      <c r="AK25" s="54"/>
    </row>
    <row r="26" ht="12.75" customHeight="1" spans="2:37">
      <c r="B26" s="53"/>
      <c r="AK26" s="54"/>
    </row>
    <row r="27" ht="12.75" customHeight="1" spans="2:37">
      <c r="B27" s="53"/>
      <c r="AK27" s="54"/>
    </row>
    <row r="28" ht="12.75" customHeight="1" spans="2:37">
      <c r="B28" s="53"/>
      <c r="AK28" s="54"/>
    </row>
    <row r="29" ht="12.75" customHeight="1" spans="2:37">
      <c r="B29" s="53"/>
      <c r="AK29" s="54"/>
    </row>
    <row r="30" ht="12.75" customHeight="1" spans="2:37">
      <c r="B30" s="53"/>
      <c r="AK30" s="54"/>
    </row>
    <row r="31" ht="12.75" customHeight="1" spans="2:37">
      <c r="B31" s="53"/>
      <c r="AK31" s="54"/>
    </row>
    <row r="32" ht="12.75" customHeight="1" spans="2:37">
      <c r="B32" s="53"/>
      <c r="AK32" s="54"/>
    </row>
    <row r="33" ht="12.75" customHeight="1" spans="2:37">
      <c r="B33" s="53"/>
      <c r="AK33" s="54"/>
    </row>
    <row r="34" ht="12.75" customHeight="1" spans="2:37"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3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10:AK10"/>
    <mergeCell ref="B12:AK12"/>
    <mergeCell ref="B15:AK15"/>
    <mergeCell ref="N18:R18"/>
    <mergeCell ref="S18:W18"/>
    <mergeCell ref="N19:R19"/>
    <mergeCell ref="S19:W19"/>
    <mergeCell ref="N20:R20"/>
    <mergeCell ref="S20:W20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8" customWidth="1"/>
    <col min="2" max="34" width="3.28571428571429" customWidth="1"/>
  </cols>
  <sheetData>
    <row r="1" ht="22.5" customHeight="1" spans="1:34">
      <c r="A1" s="49" t="s">
        <v>9</v>
      </c>
      <c r="B1" s="27" t="s">
        <v>7</v>
      </c>
      <c r="C1" s="2"/>
      <c r="D1" s="2"/>
      <c r="E1" s="3"/>
      <c r="F1" s="27" t="s">
        <v>10</v>
      </c>
      <c r="G1" s="2"/>
      <c r="H1" s="3"/>
      <c r="I1" s="27" t="s">
        <v>11</v>
      </c>
      <c r="J1" s="2"/>
      <c r="K1" s="2"/>
      <c r="L1" s="2"/>
      <c r="M1" s="2"/>
      <c r="N1" s="3"/>
      <c r="O1" s="27" t="s">
        <v>12</v>
      </c>
      <c r="P1" s="2"/>
      <c r="Q1" s="2"/>
      <c r="R1" s="2"/>
      <c r="S1" s="2"/>
      <c r="T1" s="2"/>
      <c r="U1" s="2"/>
      <c r="V1" s="3"/>
      <c r="W1" s="27" t="s">
        <v>13</v>
      </c>
      <c r="X1" s="2"/>
      <c r="Y1" s="2"/>
      <c r="Z1" s="2"/>
      <c r="AA1" s="2"/>
      <c r="AB1" s="3"/>
      <c r="AC1" s="27" t="s">
        <v>14</v>
      </c>
      <c r="AD1" s="2"/>
      <c r="AE1" s="2"/>
      <c r="AF1" s="2"/>
      <c r="AG1" s="2"/>
      <c r="AH1" s="3"/>
    </row>
    <row r="2" ht="22.5" customHeight="1" spans="1:34">
      <c r="A2" s="43">
        <v>1</v>
      </c>
      <c r="B2" s="6" t="s">
        <v>15</v>
      </c>
      <c r="C2" s="2"/>
      <c r="D2" s="2"/>
      <c r="E2" s="3"/>
      <c r="F2" s="6" t="s">
        <v>6</v>
      </c>
      <c r="G2" s="2"/>
      <c r="H2" s="3"/>
      <c r="I2" s="6" t="s">
        <v>16</v>
      </c>
      <c r="J2" s="2"/>
      <c r="K2" s="2"/>
      <c r="L2" s="2"/>
      <c r="M2" s="2"/>
      <c r="N2" s="3"/>
      <c r="O2" s="4" t="s">
        <v>17</v>
      </c>
      <c r="P2" s="2"/>
      <c r="Q2" s="2"/>
      <c r="R2" s="2"/>
      <c r="S2" s="2"/>
      <c r="T2" s="2"/>
      <c r="U2" s="2"/>
      <c r="V2" s="3"/>
      <c r="W2" s="6" t="s">
        <v>18</v>
      </c>
      <c r="X2" s="2"/>
      <c r="Y2" s="2"/>
      <c r="Z2" s="2"/>
      <c r="AA2" s="2"/>
      <c r="AB2" s="3"/>
      <c r="AC2" s="6"/>
      <c r="AD2" s="2"/>
      <c r="AE2" s="2"/>
      <c r="AF2" s="2"/>
      <c r="AG2" s="2"/>
      <c r="AH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:E1"/>
    <mergeCell ref="F1:H1"/>
    <mergeCell ref="I1:N1"/>
    <mergeCell ref="O1:V1"/>
    <mergeCell ref="W1:AB1"/>
    <mergeCell ref="AC1:AH1"/>
    <mergeCell ref="B2:E2"/>
    <mergeCell ref="F2:H2"/>
    <mergeCell ref="I2:N2"/>
    <mergeCell ref="O2:V2"/>
    <mergeCell ref="W2:AB2"/>
    <mergeCell ref="AC2:AH2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27" t="s">
        <v>19</v>
      </c>
      <c r="B1" s="2"/>
      <c r="C1" s="2"/>
      <c r="D1" s="2"/>
      <c r="E1" s="2"/>
      <c r="F1" s="2"/>
      <c r="G1" s="2"/>
      <c r="H1" s="2"/>
      <c r="I1" s="3"/>
      <c r="J1" s="27" t="s">
        <v>20</v>
      </c>
      <c r="K1" s="2"/>
      <c r="L1" s="2"/>
      <c r="M1" s="2"/>
      <c r="N1" s="2"/>
      <c r="O1" s="2"/>
      <c r="P1" s="3"/>
      <c r="Q1" s="27" t="s">
        <v>21</v>
      </c>
      <c r="R1" s="2"/>
      <c r="S1" s="2"/>
      <c r="T1" s="2"/>
      <c r="U1" s="3"/>
      <c r="V1" s="27" t="s">
        <v>22</v>
      </c>
      <c r="W1" s="2"/>
      <c r="X1" s="2"/>
      <c r="Y1" s="3"/>
      <c r="Z1" s="27" t="s">
        <v>23</v>
      </c>
      <c r="AA1" s="2"/>
      <c r="AB1" s="2"/>
      <c r="AC1" s="3"/>
      <c r="AD1" s="27" t="s">
        <v>24</v>
      </c>
      <c r="AE1" s="2"/>
      <c r="AF1" s="2"/>
      <c r="AG1" s="3"/>
      <c r="AH1" s="27" t="s">
        <v>25</v>
      </c>
      <c r="AI1" s="2"/>
      <c r="AJ1" s="2"/>
      <c r="AK1" s="3"/>
    </row>
    <row r="2" ht="19.5" customHeight="1" spans="1:37">
      <c r="A2" s="28" t="s">
        <v>0</v>
      </c>
      <c r="B2" s="10"/>
      <c r="C2" s="10"/>
      <c r="D2" s="10"/>
      <c r="E2" s="10"/>
      <c r="F2" s="10"/>
      <c r="G2" s="10"/>
      <c r="H2" s="10"/>
      <c r="I2" s="11"/>
      <c r="J2" s="28" t="s">
        <v>26</v>
      </c>
      <c r="K2" s="10"/>
      <c r="L2" s="10"/>
      <c r="M2" s="10"/>
      <c r="N2" s="10"/>
      <c r="O2" s="10"/>
      <c r="P2" s="11"/>
      <c r="Q2" s="28" t="s">
        <v>27</v>
      </c>
      <c r="R2" s="10"/>
      <c r="S2" s="10"/>
      <c r="T2" s="10"/>
      <c r="U2" s="11"/>
      <c r="V2" s="29" t="s">
        <v>8</v>
      </c>
      <c r="W2" s="10"/>
      <c r="X2" s="10"/>
      <c r="Y2" s="11"/>
      <c r="Z2" s="28" t="s">
        <v>16</v>
      </c>
      <c r="AA2" s="10"/>
      <c r="AB2" s="10"/>
      <c r="AC2" s="11"/>
      <c r="AD2" s="29" t="s">
        <v>8</v>
      </c>
      <c r="AE2" s="10"/>
      <c r="AF2" s="10"/>
      <c r="AG2" s="11"/>
      <c r="AH2" s="28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30" t="s">
        <v>28</v>
      </c>
    </row>
    <row r="6" ht="19.5" customHeight="1" spans="1:37">
      <c r="C6" s="46" t="s">
        <v>29</v>
      </c>
    </row>
    <row r="7" ht="19.5" customHeight="1" spans="1:37">
      <c r="C7" s="46" t="s">
        <v>30</v>
      </c>
    </row>
    <row r="8" ht="19.5" customHeight="1" spans="1:37">
      <c r="C8" s="46" t="s">
        <v>31</v>
      </c>
    </row>
    <row r="9" ht="19.5" customHeight="1" spans="1:37">
      <c r="C9" s="46" t="s">
        <v>32</v>
      </c>
    </row>
    <row r="10" ht="19.5" customHeight="1" spans="1:37">
      <c r="C10" s="46" t="s">
        <v>33</v>
      </c>
    </row>
    <row r="11" ht="19.5" customHeight="1" spans="1:37">
      <c r="C11" s="46" t="s">
        <v>34</v>
      </c>
    </row>
    <row r="12" ht="19.5" customHeight="1" spans="1:37">
      <c r="C12" s="46" t="s">
        <v>35</v>
      </c>
    </row>
    <row r="14" ht="19.5" customHeight="1" spans="1:37">
      <c r="B14" s="30" t="s">
        <v>36</v>
      </c>
    </row>
    <row r="15" ht="19.5" customHeight="1" spans="1:37">
      <c r="C15" s="47" t="s">
        <v>37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</row>
    <row r="16" ht="19.5" customHeight="1" spans="1:37">
      <c r="C16" s="47" t="s">
        <v>38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</row>
    <row r="17" ht="19.5" customHeight="1" spans="2:37">
      <c r="C17" s="47" t="s">
        <v>39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</row>
    <row r="18" ht="19.5" customHeight="1" spans="2:37">
      <c r="C18" s="47" t="s">
        <v>40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</row>
    <row r="19" ht="19.5" customHeight="1" spans="2:37">
      <c r="C19" s="47" t="s">
        <v>41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1" ht="19.5" customHeight="1" spans="2:37">
      <c r="B21" s="30" t="s">
        <v>42</v>
      </c>
    </row>
    <row r="23" ht="22.5" customHeight="1" spans="2:37">
      <c r="C23" s="49" t="s">
        <v>43</v>
      </c>
      <c r="D23" s="27" t="s">
        <v>44</v>
      </c>
      <c r="E23" s="2"/>
      <c r="F23" s="2"/>
      <c r="G23" s="2"/>
      <c r="H23" s="2"/>
      <c r="I23" s="2"/>
      <c r="J23" s="2"/>
      <c r="K23" s="2"/>
      <c r="L23" s="2"/>
      <c r="M23" s="2"/>
      <c r="N23" s="3"/>
      <c r="O23" s="27" t="s">
        <v>45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ht="22.5" customHeight="1" spans="2:37">
      <c r="C24" s="43">
        <v>1</v>
      </c>
      <c r="D24" s="4" t="s">
        <v>46</v>
      </c>
      <c r="E24" s="2"/>
      <c r="F24" s="2"/>
      <c r="G24" s="2"/>
      <c r="H24" s="2"/>
      <c r="I24" s="2"/>
      <c r="J24" s="2"/>
      <c r="K24" s="2"/>
      <c r="L24" s="2"/>
      <c r="M24" s="2"/>
      <c r="N24" s="3"/>
      <c r="O24" s="4" t="s">
        <v>47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3"/>
    </row>
    <row r="25" ht="22.5" customHeight="1" spans="2:37">
      <c r="C25" s="43">
        <v>2</v>
      </c>
      <c r="D25" s="4" t="s">
        <v>48</v>
      </c>
      <c r="E25" s="2"/>
      <c r="F25" s="2"/>
      <c r="G25" s="2"/>
      <c r="H25" s="2"/>
      <c r="I25" s="2"/>
      <c r="J25" s="2"/>
      <c r="K25" s="2"/>
      <c r="L25" s="2"/>
      <c r="M25" s="2"/>
      <c r="N25" s="3"/>
      <c r="O25" s="4" t="s">
        <v>49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3"/>
    </row>
    <row r="26" ht="22.5" customHeight="1" spans="2:37">
      <c r="C26" s="43">
        <v>3</v>
      </c>
      <c r="D26" s="4" t="s">
        <v>50</v>
      </c>
      <c r="E26" s="2"/>
      <c r="F26" s="2"/>
      <c r="G26" s="2"/>
      <c r="H26" s="2"/>
      <c r="I26" s="2"/>
      <c r="J26" s="2"/>
      <c r="K26" s="2"/>
      <c r="L26" s="2"/>
      <c r="M26" s="2"/>
      <c r="N26" s="3"/>
      <c r="O26" s="4" t="s">
        <v>51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I1"/>
    <mergeCell ref="J1:P1"/>
    <mergeCell ref="Q1:U1"/>
    <mergeCell ref="V1:Y1"/>
    <mergeCell ref="Z1:AC1"/>
    <mergeCell ref="AD1:AG1"/>
    <mergeCell ref="AH1:AK1"/>
    <mergeCell ref="B5:AK5"/>
    <mergeCell ref="C6:AK6"/>
    <mergeCell ref="C7:AK7"/>
    <mergeCell ref="C8:AK8"/>
    <mergeCell ref="C9:AK9"/>
    <mergeCell ref="C10:AK10"/>
    <mergeCell ref="C11:AK11"/>
    <mergeCell ref="C12:AK12"/>
    <mergeCell ref="B14:AK14"/>
    <mergeCell ref="C15:AK15"/>
    <mergeCell ref="C16:AK16"/>
    <mergeCell ref="C17:AK17"/>
    <mergeCell ref="C18:AK18"/>
    <mergeCell ref="C19:AK19"/>
    <mergeCell ref="B21:AK21"/>
    <mergeCell ref="D23:N23"/>
    <mergeCell ref="O23:AG23"/>
    <mergeCell ref="D24:N24"/>
    <mergeCell ref="O24:AG24"/>
    <mergeCell ref="D25:N25"/>
    <mergeCell ref="O25:AG25"/>
    <mergeCell ref="D26:N26"/>
    <mergeCell ref="O26:AG2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:AH1"/>
    </sheetView>
  </sheetViews>
  <sheetFormatPr defaultColWidth="14.4285714285714" defaultRowHeight="15" customHeight="1"/>
  <cols>
    <col min="1" max="1" width="13" customWidth="1"/>
    <col min="2" max="34" width="5" customWidth="1"/>
  </cols>
  <sheetData>
    <row r="1" ht="28.5" customHeight="1" spans="1:34">
      <c r="A1" s="39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3" ht="22.5" customHeight="1" spans="1:34">
      <c r="A3" s="16" t="s">
        <v>53</v>
      </c>
      <c r="B3" s="2"/>
      <c r="C3" s="2"/>
      <c r="D3" s="2"/>
      <c r="E3" s="2"/>
      <c r="F3" s="3"/>
      <c r="G3" s="4" t="s">
        <v>0</v>
      </c>
      <c r="H3" s="2"/>
      <c r="I3" s="2"/>
      <c r="J3" s="2"/>
      <c r="K3" s="2"/>
      <c r="L3" s="2"/>
      <c r="M3" s="2"/>
      <c r="N3" s="2"/>
      <c r="O3" s="3"/>
      <c r="P3" s="16" t="s">
        <v>54</v>
      </c>
      <c r="Q3" s="2"/>
      <c r="R3" s="2"/>
      <c r="S3" s="2"/>
      <c r="T3" s="2"/>
      <c r="U3" s="2"/>
      <c r="V3" s="2"/>
      <c r="W3" s="3"/>
      <c r="X3" s="4" t="s">
        <v>18</v>
      </c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34">
      <c r="A4" s="16" t="s">
        <v>11</v>
      </c>
      <c r="B4" s="2"/>
      <c r="C4" s="2"/>
      <c r="D4" s="2"/>
      <c r="E4" s="2"/>
      <c r="F4" s="3"/>
      <c r="G4" s="4" t="s">
        <v>16</v>
      </c>
      <c r="H4" s="2"/>
      <c r="I4" s="2"/>
      <c r="J4" s="2"/>
      <c r="K4" s="2"/>
      <c r="L4" s="2"/>
      <c r="M4" s="2"/>
      <c r="N4" s="2"/>
      <c r="O4" s="3"/>
      <c r="P4" s="16" t="s">
        <v>22</v>
      </c>
      <c r="Q4" s="2"/>
      <c r="R4" s="2"/>
      <c r="S4" s="2"/>
      <c r="T4" s="2"/>
      <c r="U4" s="2"/>
      <c r="V4" s="2"/>
      <c r="W4" s="3"/>
      <c r="X4" s="5" t="s">
        <v>8</v>
      </c>
      <c r="Y4" s="2"/>
      <c r="Z4" s="2"/>
      <c r="AA4" s="2"/>
      <c r="AB4" s="2"/>
      <c r="AC4" s="2"/>
      <c r="AD4" s="2"/>
      <c r="AE4" s="2"/>
      <c r="AF4" s="2"/>
      <c r="AG4" s="2"/>
      <c r="AH4" s="3"/>
    </row>
    <row r="6" ht="22.5" customHeight="1" spans="1:34">
      <c r="A6" s="40" t="s">
        <v>55</v>
      </c>
      <c r="B6" s="41" t="s">
        <v>56</v>
      </c>
      <c r="C6" s="10"/>
      <c r="D6" s="10"/>
      <c r="E6" s="10"/>
      <c r="F6" s="10"/>
      <c r="G6" s="11"/>
      <c r="H6" s="36" t="s">
        <v>57</v>
      </c>
      <c r="I6" s="2"/>
      <c r="J6" s="2"/>
      <c r="K6" s="2"/>
      <c r="L6" s="2"/>
      <c r="M6" s="2"/>
      <c r="N6" s="2"/>
      <c r="O6" s="2"/>
      <c r="P6" s="3"/>
      <c r="Q6" s="41" t="s">
        <v>58</v>
      </c>
      <c r="R6" s="10"/>
      <c r="S6" s="11"/>
      <c r="T6" s="36" t="s">
        <v>59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/>
    </row>
    <row r="7" ht="22.5" customHeight="1" spans="1:34">
      <c r="A7" s="12"/>
      <c r="B7" s="13"/>
      <c r="C7" s="14"/>
      <c r="D7" s="14"/>
      <c r="E7" s="14"/>
      <c r="F7" s="14"/>
      <c r="G7" s="15"/>
      <c r="H7" s="36" t="s">
        <v>60</v>
      </c>
      <c r="I7" s="2"/>
      <c r="J7" s="3"/>
      <c r="K7" s="36" t="s">
        <v>61</v>
      </c>
      <c r="L7" s="2"/>
      <c r="M7" s="3"/>
      <c r="N7" s="36" t="s">
        <v>62</v>
      </c>
      <c r="O7" s="2"/>
      <c r="P7" s="3"/>
      <c r="Q7" s="13"/>
      <c r="R7" s="14"/>
      <c r="S7" s="15"/>
      <c r="T7" s="36" t="s">
        <v>63</v>
      </c>
      <c r="U7" s="2"/>
      <c r="V7" s="3"/>
      <c r="W7" s="36" t="s">
        <v>64</v>
      </c>
      <c r="X7" s="2"/>
      <c r="Y7" s="3"/>
      <c r="Z7" s="36" t="s">
        <v>65</v>
      </c>
      <c r="AA7" s="2"/>
      <c r="AB7" s="3"/>
      <c r="AC7" s="36" t="s">
        <v>66</v>
      </c>
      <c r="AD7" s="2"/>
      <c r="AE7" s="3"/>
      <c r="AF7" s="36" t="s">
        <v>67</v>
      </c>
      <c r="AG7" s="2"/>
      <c r="AH7" s="3"/>
    </row>
    <row r="8" ht="22.5" customHeight="1" spans="1:34">
      <c r="A8" s="42" t="s">
        <v>68</v>
      </c>
    </row>
    <row r="9" ht="22.5" customHeight="1" spans="1:34">
      <c r="A9" s="43">
        <v>1</v>
      </c>
      <c r="B9" s="4" t="s">
        <v>69</v>
      </c>
      <c r="C9" s="2"/>
      <c r="D9" s="2"/>
      <c r="E9" s="2"/>
      <c r="F9" s="2"/>
      <c r="G9" s="3"/>
      <c r="H9" s="6">
        <f ca="1" t="array" ref="H9">INDIRECT("'"&amp;$B9&amp;"'!H7",TRUE)</f>
        <v>20</v>
      </c>
      <c r="I9" s="2"/>
      <c r="J9" s="3"/>
      <c r="K9" s="6">
        <f ca="1" t="array" ref="K9">INDIRECT("'"&amp;$B9&amp;"'!K7",TRUE)</f>
        <v>9</v>
      </c>
      <c r="L9" s="2"/>
      <c r="M9" s="3"/>
      <c r="N9" s="6">
        <f ca="1" t="array" ref="N9">INDIRECT("'"&amp;$B9&amp;"'!N7",TRUE)</f>
        <v>0</v>
      </c>
      <c r="O9" s="2"/>
      <c r="P9" s="3"/>
      <c r="Q9" s="6">
        <f ca="1" t="array" ref="Q9">INDIRECT("'"&amp;$B9&amp;"'!Q7",TRUE)</f>
        <v>29</v>
      </c>
      <c r="R9" s="2"/>
      <c r="S9" s="3"/>
      <c r="T9" s="6">
        <f ca="1" t="array" ref="T9">INDIRECT("'"&amp;$B9&amp;"'!T7",TRUE)</f>
        <v>25</v>
      </c>
      <c r="U9" s="2"/>
      <c r="V9" s="3"/>
      <c r="W9" s="6">
        <f ca="1" t="array" ref="W9">INDIRECT("'"&amp;$B9&amp;"'!W7",TRUE)</f>
        <v>0</v>
      </c>
      <c r="X9" s="2"/>
      <c r="Y9" s="3"/>
      <c r="Z9" s="6">
        <f ca="1" t="array" ref="Z9">INDIRECT("'"&amp;$B9&amp;"'!Z7",TRUE)</f>
        <v>3</v>
      </c>
      <c r="AA9" s="2"/>
      <c r="AB9" s="3"/>
      <c r="AC9" s="6">
        <f ca="1" t="array" ref="AC9">INDIRECT("'"&amp;$B9&amp;"'!AC7",TRUE)</f>
        <v>1</v>
      </c>
      <c r="AD9" s="2"/>
      <c r="AE9" s="3"/>
      <c r="AF9" s="44">
        <f ca="1">IFERROR((T9+W9+AC9)/Q9,0)</f>
        <v>0.896551724137931</v>
      </c>
      <c r="AG9" s="2"/>
      <c r="AH9" s="3"/>
    </row>
    <row r="10" ht="22.5" customHeight="1" spans="1:34">
      <c r="A10" s="43">
        <v>2</v>
      </c>
      <c r="B10" s="4"/>
      <c r="C10" s="2"/>
      <c r="D10" s="2"/>
      <c r="E10" s="2"/>
      <c r="F10" s="2"/>
      <c r="G10" s="3"/>
      <c r="H10" s="6"/>
      <c r="I10" s="2"/>
      <c r="J10" s="3"/>
      <c r="K10" s="6"/>
      <c r="L10" s="2"/>
      <c r="M10" s="3"/>
      <c r="N10" s="6"/>
      <c r="O10" s="2"/>
      <c r="P10" s="3"/>
      <c r="Q10" s="6"/>
      <c r="R10" s="2"/>
      <c r="S10" s="3"/>
      <c r="T10" s="6"/>
      <c r="U10" s="2"/>
      <c r="V10" s="3"/>
      <c r="W10" s="6"/>
      <c r="X10" s="2"/>
      <c r="Y10" s="3"/>
      <c r="Z10" s="6"/>
      <c r="AA10" s="2"/>
      <c r="AB10" s="3"/>
      <c r="AC10" s="6"/>
      <c r="AD10" s="2"/>
      <c r="AE10" s="3"/>
      <c r="AF10" s="44"/>
      <c r="AG10" s="2"/>
      <c r="AH10" s="3"/>
    </row>
    <row r="11" ht="22.5" customHeight="1" spans="1:34">
      <c r="A11" s="43"/>
      <c r="B11" s="36" t="s">
        <v>58</v>
      </c>
      <c r="C11" s="2"/>
      <c r="D11" s="2"/>
      <c r="E11" s="2"/>
      <c r="F11" s="2"/>
      <c r="G11" s="3"/>
      <c r="H11" s="7">
        <f ca="1">SUM(H9:J10)</f>
        <v>20</v>
      </c>
      <c r="I11" s="2"/>
      <c r="J11" s="3"/>
      <c r="K11" s="7">
        <f ca="1">SUM(K9:M10)</f>
        <v>9</v>
      </c>
      <c r="L11" s="2"/>
      <c r="M11" s="3"/>
      <c r="N11" s="7">
        <f ca="1">SUM(N9:P10)</f>
        <v>0</v>
      </c>
      <c r="O11" s="2"/>
      <c r="P11" s="3"/>
      <c r="Q11" s="7">
        <f ca="1">SUM(Q9:S10)</f>
        <v>29</v>
      </c>
      <c r="R11" s="2"/>
      <c r="S11" s="3"/>
      <c r="T11" s="7">
        <f ca="1">SUM(T9:V10)</f>
        <v>25</v>
      </c>
      <c r="U11" s="2"/>
      <c r="V11" s="3"/>
      <c r="W11" s="7">
        <f ca="1">SUM(W9:Y10)</f>
        <v>0</v>
      </c>
      <c r="X11" s="2"/>
      <c r="Y11" s="3"/>
      <c r="Z11" s="7">
        <f ca="1">SUM(Z9:AB10)</f>
        <v>3</v>
      </c>
      <c r="AA11" s="2"/>
      <c r="AB11" s="3"/>
      <c r="AC11" s="7">
        <f ca="1">SUM(AC9:AE10)</f>
        <v>1</v>
      </c>
      <c r="AD11" s="2"/>
      <c r="AE11" s="3"/>
      <c r="AF11" s="45">
        <f ca="1">IFERROR((T11+W11+AC11)/Q11,0)</f>
        <v>0.896551724137931</v>
      </c>
      <c r="AG11" s="2"/>
      <c r="AH11" s="3"/>
    </row>
    <row r="12" ht="22.5" customHeight="1" spans="1:34">
      <c r="A12" s="42" t="s">
        <v>70</v>
      </c>
    </row>
    <row r="13" ht="22.5" customHeight="1" spans="1:34">
      <c r="A13" s="43">
        <v>1</v>
      </c>
      <c r="B13" s="4" t="s">
        <v>69</v>
      </c>
      <c r="C13" s="2"/>
      <c r="D13" s="2"/>
      <c r="E13" s="2"/>
      <c r="F13" s="2"/>
      <c r="G13" s="3"/>
      <c r="H13" s="6">
        <f ca="1" t="array" ref="H13">INDIRECT("'"&amp;$B13&amp;"'!H8",TRUE)</f>
        <v>20</v>
      </c>
      <c r="I13" s="2"/>
      <c r="J13" s="3"/>
      <c r="K13" s="6">
        <f ca="1" t="array" ref="K13">INDIRECT("'"&amp;$B13&amp;"'!K8",TRUE)</f>
        <v>9</v>
      </c>
      <c r="L13" s="2"/>
      <c r="M13" s="3"/>
      <c r="N13" s="6">
        <f ca="1" t="array" ref="N13">INDIRECT("'"&amp;$B13&amp;"'!N8",TRUE)</f>
        <v>0</v>
      </c>
      <c r="O13" s="2"/>
      <c r="P13" s="3"/>
      <c r="Q13" s="6">
        <f ca="1" t="array" ref="Q13">INDIRECT("'"&amp;$B13&amp;"'!Q8",TRUE)</f>
        <v>29</v>
      </c>
      <c r="R13" s="2"/>
      <c r="S13" s="3"/>
      <c r="T13" s="6">
        <f ca="1" t="array" ref="T13">INDIRECT("'"&amp;$B13&amp;"'!T8",TRUE)</f>
        <v>28</v>
      </c>
      <c r="U13" s="2"/>
      <c r="V13" s="3"/>
      <c r="W13" s="6">
        <f ca="1" t="array" ref="W13">INDIRECT("'"&amp;$B13&amp;"'!W8",TRUE)</f>
        <v>0</v>
      </c>
      <c r="X13" s="2"/>
      <c r="Y13" s="3"/>
      <c r="Z13" s="6">
        <f ca="1" t="array" ref="Z13">INDIRECT("'"&amp;$B13&amp;"'!Z8",TRUE)</f>
        <v>0</v>
      </c>
      <c r="AA13" s="2"/>
      <c r="AB13" s="3"/>
      <c r="AC13" s="6">
        <f ca="1" t="array" ref="AC13">INDIRECT("'"&amp;$B13&amp;"'!AC8",TRUE)</f>
        <v>1</v>
      </c>
      <c r="AD13" s="2"/>
      <c r="AE13" s="3"/>
      <c r="AF13" s="44">
        <f ca="1">IFERROR((T13+W13+AC13)/Q13,0)</f>
        <v>1</v>
      </c>
      <c r="AG13" s="2"/>
      <c r="AH13" s="3"/>
    </row>
    <row r="14" ht="22.5" customHeight="1" spans="1:34">
      <c r="A14" s="43">
        <v>2</v>
      </c>
      <c r="B14" s="4"/>
      <c r="C14" s="2"/>
      <c r="D14" s="2"/>
      <c r="E14" s="2"/>
      <c r="F14" s="2"/>
      <c r="G14" s="3"/>
      <c r="H14" s="6"/>
      <c r="I14" s="2"/>
      <c r="J14" s="3"/>
      <c r="K14" s="6"/>
      <c r="L14" s="2"/>
      <c r="M14" s="3"/>
      <c r="N14" s="6"/>
      <c r="O14" s="2"/>
      <c r="P14" s="3"/>
      <c r="Q14" s="6"/>
      <c r="R14" s="2"/>
      <c r="S14" s="3"/>
      <c r="T14" s="6"/>
      <c r="U14" s="2"/>
      <c r="V14" s="3"/>
      <c r="W14" s="6"/>
      <c r="X14" s="2"/>
      <c r="Y14" s="3"/>
      <c r="Z14" s="6"/>
      <c r="AA14" s="2"/>
      <c r="AB14" s="3"/>
      <c r="AC14" s="6"/>
      <c r="AD14" s="2"/>
      <c r="AE14" s="3"/>
      <c r="AF14" s="44"/>
      <c r="AG14" s="2"/>
      <c r="AH14" s="3"/>
    </row>
    <row r="15" ht="22.5" customHeight="1" spans="1:34">
      <c r="A15" s="43"/>
      <c r="B15" s="36" t="s">
        <v>58</v>
      </c>
      <c r="C15" s="2"/>
      <c r="D15" s="2"/>
      <c r="E15" s="2"/>
      <c r="F15" s="2"/>
      <c r="G15" s="3"/>
      <c r="H15" s="7">
        <f ca="1">SUM(H13:J14)</f>
        <v>20</v>
      </c>
      <c r="I15" s="2"/>
      <c r="J15" s="3"/>
      <c r="K15" s="7">
        <f ca="1">SUM(K13:M14)</f>
        <v>9</v>
      </c>
      <c r="L15" s="2"/>
      <c r="M15" s="3"/>
      <c r="N15" s="7">
        <f ca="1">SUM(N13:P14)</f>
        <v>0</v>
      </c>
      <c r="O15" s="2"/>
      <c r="P15" s="3"/>
      <c r="Q15" s="7">
        <f ca="1">SUM(Q13:S14)</f>
        <v>29</v>
      </c>
      <c r="R15" s="2"/>
      <c r="S15" s="3"/>
      <c r="T15" s="7">
        <f ca="1">SUM(T13:V14)</f>
        <v>28</v>
      </c>
      <c r="U15" s="2"/>
      <c r="V15" s="3"/>
      <c r="W15" s="7">
        <f ca="1">SUM(W13:Y14)</f>
        <v>0</v>
      </c>
      <c r="X15" s="2"/>
      <c r="Y15" s="3"/>
      <c r="Z15" s="7">
        <f ca="1">SUM(Z13:AB14)</f>
        <v>0</v>
      </c>
      <c r="AA15" s="2"/>
      <c r="AB15" s="3"/>
      <c r="AC15" s="7">
        <f ca="1">SUM(AC13:AE14)</f>
        <v>1</v>
      </c>
      <c r="AD15" s="2"/>
      <c r="AE15" s="3"/>
      <c r="AF15" s="45">
        <f ca="1">IFERROR((T15+W15+AC15)/Q15,0)</f>
        <v>1</v>
      </c>
      <c r="AG15" s="2"/>
      <c r="AH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A1:AH1"/>
    <mergeCell ref="A3:F3"/>
    <mergeCell ref="G3:O3"/>
    <mergeCell ref="P3:W3"/>
    <mergeCell ref="X3:AH3"/>
    <mergeCell ref="A4:F4"/>
    <mergeCell ref="G4:O4"/>
    <mergeCell ref="P4:W4"/>
    <mergeCell ref="X4:AH4"/>
    <mergeCell ref="H6:P6"/>
    <mergeCell ref="T6:AH6"/>
    <mergeCell ref="H7:J7"/>
    <mergeCell ref="K7:M7"/>
    <mergeCell ref="N7:P7"/>
    <mergeCell ref="T7:V7"/>
    <mergeCell ref="W7:Y7"/>
    <mergeCell ref="Z7:AB7"/>
    <mergeCell ref="AC7:AE7"/>
    <mergeCell ref="AF7:AH7"/>
    <mergeCell ref="B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B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B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B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B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6:A7"/>
    <mergeCell ref="B6:G7"/>
    <mergeCell ref="Q6:S7"/>
  </mergeCells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27" t="s">
        <v>19</v>
      </c>
      <c r="B1" s="2"/>
      <c r="C1" s="2"/>
      <c r="D1" s="2"/>
      <c r="E1" s="2"/>
      <c r="F1" s="2"/>
      <c r="G1" s="2"/>
      <c r="H1" s="2"/>
      <c r="I1" s="3"/>
      <c r="J1" s="27" t="s">
        <v>20</v>
      </c>
      <c r="K1" s="2"/>
      <c r="L1" s="2"/>
      <c r="M1" s="2"/>
      <c r="N1" s="2"/>
      <c r="O1" s="2"/>
      <c r="P1" s="3"/>
      <c r="Q1" s="27" t="s">
        <v>21</v>
      </c>
      <c r="R1" s="2"/>
      <c r="S1" s="2"/>
      <c r="T1" s="2"/>
      <c r="U1" s="3"/>
      <c r="V1" s="27" t="s">
        <v>22</v>
      </c>
      <c r="W1" s="2"/>
      <c r="X1" s="2"/>
      <c r="Y1" s="3"/>
      <c r="Z1" s="27" t="s">
        <v>23</v>
      </c>
      <c r="AA1" s="2"/>
      <c r="AB1" s="2"/>
      <c r="AC1" s="3"/>
      <c r="AD1" s="27" t="s">
        <v>24</v>
      </c>
      <c r="AE1" s="2"/>
      <c r="AF1" s="2"/>
      <c r="AG1" s="3"/>
      <c r="AH1" s="27" t="s">
        <v>25</v>
      </c>
      <c r="AI1" s="2"/>
      <c r="AJ1" s="2"/>
      <c r="AK1" s="3"/>
    </row>
    <row r="2" ht="19.5" customHeight="1" spans="1:37">
      <c r="A2" s="28" t="s">
        <v>0</v>
      </c>
      <c r="B2" s="10"/>
      <c r="C2" s="10"/>
      <c r="D2" s="10"/>
      <c r="E2" s="10"/>
      <c r="F2" s="10"/>
      <c r="G2" s="10"/>
      <c r="H2" s="10"/>
      <c r="I2" s="11"/>
      <c r="J2" s="28" t="s">
        <v>26</v>
      </c>
      <c r="K2" s="10"/>
      <c r="L2" s="10"/>
      <c r="M2" s="10"/>
      <c r="N2" s="10"/>
      <c r="O2" s="10"/>
      <c r="P2" s="11"/>
      <c r="Q2" s="28" t="s">
        <v>71</v>
      </c>
      <c r="R2" s="10"/>
      <c r="S2" s="10"/>
      <c r="T2" s="10"/>
      <c r="U2" s="11"/>
      <c r="V2" s="29" t="s">
        <v>8</v>
      </c>
      <c r="W2" s="10"/>
      <c r="X2" s="10"/>
      <c r="Y2" s="11"/>
      <c r="Z2" s="28" t="s">
        <v>16</v>
      </c>
      <c r="AA2" s="10"/>
      <c r="AB2" s="10"/>
      <c r="AC2" s="11"/>
      <c r="AD2" s="29" t="s">
        <v>8</v>
      </c>
      <c r="AE2" s="10"/>
      <c r="AF2" s="10"/>
      <c r="AG2" s="11"/>
      <c r="AH2" s="28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30" t="s">
        <v>72</v>
      </c>
    </row>
    <row r="7" ht="28.5" customHeight="1" spans="1:37">
      <c r="B7" s="31" t="s">
        <v>55</v>
      </c>
      <c r="C7" s="1" t="s">
        <v>73</v>
      </c>
      <c r="D7" s="2"/>
      <c r="E7" s="3"/>
      <c r="F7" s="1" t="s">
        <v>74</v>
      </c>
      <c r="G7" s="2"/>
      <c r="H7" s="2"/>
      <c r="I7" s="2"/>
      <c r="J7" s="2"/>
      <c r="K7" s="2"/>
      <c r="L7" s="3"/>
      <c r="M7" s="1" t="s">
        <v>75</v>
      </c>
      <c r="N7" s="2"/>
      <c r="O7" s="2"/>
      <c r="P7" s="2"/>
      <c r="Q7" s="2"/>
      <c r="R7" s="2"/>
      <c r="S7" s="2"/>
      <c r="T7" s="3"/>
      <c r="U7" s="1" t="s">
        <v>76</v>
      </c>
      <c r="V7" s="3"/>
      <c r="W7" s="1" t="s">
        <v>77</v>
      </c>
      <c r="X7" s="2"/>
      <c r="Y7" s="2"/>
      <c r="Z7" s="2"/>
      <c r="AA7" s="2"/>
      <c r="AB7" s="2"/>
      <c r="AC7" s="3"/>
      <c r="AD7" s="1" t="s">
        <v>78</v>
      </c>
      <c r="AE7" s="2"/>
      <c r="AF7" s="3"/>
    </row>
    <row r="8" ht="30" customHeight="1" spans="1:37">
      <c r="B8" s="17">
        <v>1</v>
      </c>
      <c r="C8" s="19" t="s">
        <v>79</v>
      </c>
      <c r="D8" s="2"/>
      <c r="E8" s="3"/>
      <c r="F8" s="18" t="s">
        <v>80</v>
      </c>
      <c r="G8" s="2"/>
      <c r="H8" s="2"/>
      <c r="I8" s="2"/>
      <c r="J8" s="2"/>
      <c r="K8" s="2"/>
      <c r="L8" s="3"/>
      <c r="M8" s="18" t="s">
        <v>81</v>
      </c>
      <c r="N8" s="2"/>
      <c r="O8" s="2"/>
      <c r="P8" s="2"/>
      <c r="Q8" s="2"/>
      <c r="R8" s="2"/>
      <c r="S8" s="2"/>
      <c r="T8" s="3"/>
      <c r="U8" s="32" t="s">
        <v>82</v>
      </c>
      <c r="V8" s="3"/>
      <c r="W8" s="18" t="s">
        <v>83</v>
      </c>
      <c r="X8" s="2"/>
      <c r="Y8" s="2"/>
      <c r="Z8" s="2"/>
      <c r="AA8" s="2"/>
      <c r="AB8" s="2"/>
      <c r="AC8" s="3"/>
      <c r="AD8" s="19">
        <v>265</v>
      </c>
      <c r="AE8" s="2"/>
      <c r="AF8" s="3"/>
    </row>
    <row r="9" ht="30" customHeight="1" spans="1:37">
      <c r="B9" s="17">
        <v>2</v>
      </c>
      <c r="C9" s="19" t="s">
        <v>84</v>
      </c>
      <c r="D9" s="2"/>
      <c r="E9" s="3"/>
      <c r="F9" s="18" t="s">
        <v>80</v>
      </c>
      <c r="G9" s="2"/>
      <c r="H9" s="2"/>
      <c r="I9" s="2"/>
      <c r="J9" s="2"/>
      <c r="K9" s="2"/>
      <c r="L9" s="3"/>
      <c r="M9" s="18" t="s">
        <v>85</v>
      </c>
      <c r="N9" s="2"/>
      <c r="O9" s="2"/>
      <c r="P9" s="2"/>
      <c r="Q9" s="2"/>
      <c r="R9" s="2"/>
      <c r="S9" s="2"/>
      <c r="T9" s="3"/>
      <c r="U9" s="32" t="s">
        <v>82</v>
      </c>
      <c r="V9" s="3"/>
      <c r="W9" s="18" t="s">
        <v>86</v>
      </c>
      <c r="X9" s="2"/>
      <c r="Y9" s="2"/>
      <c r="Z9" s="2"/>
      <c r="AA9" s="2"/>
      <c r="AB9" s="2"/>
      <c r="AC9" s="3"/>
      <c r="AD9" s="19">
        <v>200</v>
      </c>
      <c r="AE9" s="2"/>
      <c r="AF9" s="3"/>
    </row>
    <row r="10" ht="36" customHeight="1" spans="1:37">
      <c r="B10" s="17">
        <v>3</v>
      </c>
      <c r="C10" s="19" t="s">
        <v>87</v>
      </c>
      <c r="D10" s="2"/>
      <c r="E10" s="3"/>
      <c r="F10" s="18" t="s">
        <v>80</v>
      </c>
      <c r="G10" s="2"/>
      <c r="H10" s="2"/>
      <c r="I10" s="2"/>
      <c r="J10" s="2"/>
      <c r="K10" s="2"/>
      <c r="L10" s="3"/>
      <c r="M10" s="18" t="s">
        <v>88</v>
      </c>
      <c r="N10" s="2"/>
      <c r="O10" s="2"/>
      <c r="P10" s="2"/>
      <c r="Q10" s="2"/>
      <c r="R10" s="2"/>
      <c r="S10" s="2"/>
      <c r="T10" s="3"/>
      <c r="U10" s="32" t="s">
        <v>82</v>
      </c>
      <c r="V10" s="3"/>
      <c r="W10" s="18" t="s">
        <v>89</v>
      </c>
      <c r="X10" s="2"/>
      <c r="Y10" s="2"/>
      <c r="Z10" s="2"/>
      <c r="AA10" s="2"/>
      <c r="AB10" s="2"/>
      <c r="AC10" s="3"/>
      <c r="AD10" s="19">
        <v>50</v>
      </c>
      <c r="AE10" s="2"/>
      <c r="AF10" s="3"/>
    </row>
    <row r="11" ht="30" customHeight="1" spans="1:37">
      <c r="B11" s="17">
        <v>4</v>
      </c>
      <c r="C11" s="19" t="s">
        <v>90</v>
      </c>
      <c r="D11" s="2"/>
      <c r="E11" s="3"/>
      <c r="F11" s="18" t="s">
        <v>80</v>
      </c>
      <c r="G11" s="2"/>
      <c r="H11" s="2"/>
      <c r="I11" s="2"/>
      <c r="J11" s="2"/>
      <c r="K11" s="2"/>
      <c r="L11" s="3"/>
      <c r="M11" s="18" t="s">
        <v>91</v>
      </c>
      <c r="N11" s="2"/>
      <c r="O11" s="2"/>
      <c r="P11" s="2"/>
      <c r="Q11" s="2"/>
      <c r="R11" s="2"/>
      <c r="S11" s="2"/>
      <c r="T11" s="3"/>
      <c r="U11" s="32" t="s">
        <v>82</v>
      </c>
      <c r="V11" s="3"/>
      <c r="W11" s="18" t="s">
        <v>83</v>
      </c>
      <c r="X11" s="2"/>
      <c r="Y11" s="2"/>
      <c r="Z11" s="2"/>
      <c r="AA11" s="2"/>
      <c r="AB11" s="2"/>
      <c r="AC11" s="3"/>
      <c r="AD11" s="19">
        <v>75</v>
      </c>
      <c r="AE11" s="2"/>
      <c r="AF11" s="3"/>
    </row>
    <row r="12" ht="30" customHeight="1" spans="1:37">
      <c r="B12" s="17">
        <v>5</v>
      </c>
      <c r="C12" s="19" t="s">
        <v>92</v>
      </c>
      <c r="D12" s="2"/>
      <c r="E12" s="3"/>
      <c r="F12" s="18" t="s">
        <v>80</v>
      </c>
      <c r="G12" s="2"/>
      <c r="H12" s="2"/>
      <c r="I12" s="2"/>
      <c r="J12" s="2"/>
      <c r="K12" s="2"/>
      <c r="L12" s="3"/>
      <c r="M12" s="18" t="s">
        <v>93</v>
      </c>
      <c r="N12" s="2"/>
      <c r="O12" s="2"/>
      <c r="P12" s="2"/>
      <c r="Q12" s="2"/>
      <c r="R12" s="2"/>
      <c r="S12" s="2"/>
      <c r="T12" s="3"/>
      <c r="U12" s="32" t="s">
        <v>82</v>
      </c>
      <c r="V12" s="3"/>
      <c r="W12" s="18" t="s">
        <v>94</v>
      </c>
      <c r="X12" s="2"/>
      <c r="Y12" s="2"/>
      <c r="Z12" s="2"/>
      <c r="AA12" s="2"/>
      <c r="AB12" s="2"/>
      <c r="AC12" s="3"/>
      <c r="AD12" s="19">
        <v>30</v>
      </c>
      <c r="AE12" s="2"/>
      <c r="AF12" s="3"/>
    </row>
    <row r="13" ht="30" customHeight="1" spans="1:37">
      <c r="B13" s="17">
        <v>6</v>
      </c>
      <c r="C13" s="19" t="s">
        <v>95</v>
      </c>
      <c r="D13" s="2"/>
      <c r="E13" s="3"/>
      <c r="F13" s="18" t="s">
        <v>80</v>
      </c>
      <c r="G13" s="2"/>
      <c r="H13" s="2"/>
      <c r="I13" s="2"/>
      <c r="J13" s="2"/>
      <c r="K13" s="2"/>
      <c r="L13" s="3"/>
      <c r="M13" s="18" t="s">
        <v>96</v>
      </c>
      <c r="N13" s="2"/>
      <c r="O13" s="2"/>
      <c r="P13" s="2"/>
      <c r="Q13" s="2"/>
      <c r="R13" s="2"/>
      <c r="S13" s="2"/>
      <c r="T13" s="3"/>
      <c r="U13" s="32" t="s">
        <v>82</v>
      </c>
      <c r="V13" s="3"/>
      <c r="W13" s="18" t="s">
        <v>97</v>
      </c>
      <c r="X13" s="2"/>
      <c r="Y13" s="2"/>
      <c r="Z13" s="2"/>
      <c r="AA13" s="2"/>
      <c r="AB13" s="2"/>
      <c r="AC13" s="3"/>
      <c r="AD13" s="19">
        <v>50</v>
      </c>
      <c r="AE13" s="2"/>
      <c r="AF13" s="3"/>
    </row>
    <row r="14" ht="30" customHeight="1" spans="1:37">
      <c r="B14" s="17">
        <v>7</v>
      </c>
      <c r="C14" s="19" t="s">
        <v>98</v>
      </c>
      <c r="D14" s="2"/>
      <c r="E14" s="3"/>
      <c r="F14" s="18" t="s">
        <v>80</v>
      </c>
      <c r="G14" s="2"/>
      <c r="H14" s="2"/>
      <c r="I14" s="2"/>
      <c r="J14" s="2"/>
      <c r="K14" s="2"/>
      <c r="L14" s="3"/>
      <c r="M14" s="18" t="s">
        <v>99</v>
      </c>
      <c r="N14" s="2"/>
      <c r="O14" s="2"/>
      <c r="P14" s="2"/>
      <c r="Q14" s="2"/>
      <c r="R14" s="2"/>
      <c r="S14" s="2"/>
      <c r="T14" s="3"/>
      <c r="U14" s="32" t="s">
        <v>82</v>
      </c>
      <c r="V14" s="3"/>
      <c r="W14" s="18" t="s">
        <v>94</v>
      </c>
      <c r="X14" s="2"/>
      <c r="Y14" s="2"/>
      <c r="Z14" s="2"/>
      <c r="AA14" s="2"/>
      <c r="AB14" s="2"/>
      <c r="AC14" s="3"/>
      <c r="AD14" s="19">
        <v>10</v>
      </c>
      <c r="AE14" s="2"/>
      <c r="AF14" s="3"/>
    </row>
    <row r="15" ht="30" customHeight="1" spans="1:37">
      <c r="B15" s="17">
        <v>8</v>
      </c>
      <c r="C15" s="19" t="s">
        <v>100</v>
      </c>
      <c r="D15" s="2"/>
      <c r="E15" s="3"/>
      <c r="F15" s="18" t="s">
        <v>80</v>
      </c>
      <c r="G15" s="2"/>
      <c r="H15" s="2"/>
      <c r="I15" s="2"/>
      <c r="J15" s="2"/>
      <c r="K15" s="2"/>
      <c r="L15" s="3"/>
      <c r="M15" s="18" t="s">
        <v>101</v>
      </c>
      <c r="N15" s="2"/>
      <c r="O15" s="2"/>
      <c r="P15" s="2"/>
      <c r="Q15" s="2"/>
      <c r="R15" s="2"/>
      <c r="S15" s="2"/>
      <c r="T15" s="3"/>
      <c r="U15" s="33" t="s">
        <v>102</v>
      </c>
      <c r="V15" s="3"/>
      <c r="W15" s="18" t="s">
        <v>103</v>
      </c>
      <c r="X15" s="2"/>
      <c r="Y15" s="2"/>
      <c r="Z15" s="2"/>
      <c r="AA15" s="2"/>
      <c r="AB15" s="2"/>
      <c r="AC15" s="3"/>
      <c r="AD15" s="19">
        <v>20</v>
      </c>
      <c r="AE15" s="2"/>
      <c r="AF15" s="3"/>
    </row>
    <row r="16" ht="30" customHeight="1" spans="1:37">
      <c r="B16" s="17">
        <v>9</v>
      </c>
      <c r="C16" s="19" t="s">
        <v>104</v>
      </c>
      <c r="D16" s="2"/>
      <c r="E16" s="3"/>
      <c r="F16" s="18" t="s">
        <v>80</v>
      </c>
      <c r="G16" s="2"/>
      <c r="H16" s="2"/>
      <c r="I16" s="2"/>
      <c r="J16" s="2"/>
      <c r="K16" s="2"/>
      <c r="L16" s="3"/>
      <c r="M16" s="18" t="s">
        <v>105</v>
      </c>
      <c r="N16" s="2"/>
      <c r="O16" s="2"/>
      <c r="P16" s="2"/>
      <c r="Q16" s="2"/>
      <c r="R16" s="2"/>
      <c r="S16" s="2"/>
      <c r="T16" s="3"/>
      <c r="U16" s="32" t="s">
        <v>82</v>
      </c>
      <c r="V16" s="3"/>
      <c r="W16" s="18" t="s">
        <v>106</v>
      </c>
      <c r="X16" s="2"/>
      <c r="Y16" s="2"/>
      <c r="Z16" s="2"/>
      <c r="AA16" s="2"/>
      <c r="AB16" s="2"/>
      <c r="AC16" s="3"/>
      <c r="AD16" s="19">
        <v>8</v>
      </c>
      <c r="AE16" s="2"/>
      <c r="AF16" s="3"/>
    </row>
    <row r="17" ht="30" customHeight="1" spans="2:32">
      <c r="B17" s="17">
        <v>10</v>
      </c>
      <c r="C17" s="19" t="s">
        <v>107</v>
      </c>
      <c r="D17" s="2"/>
      <c r="E17" s="3"/>
      <c r="F17" s="18" t="s">
        <v>80</v>
      </c>
      <c r="G17" s="2"/>
      <c r="H17" s="2"/>
      <c r="I17" s="2"/>
      <c r="J17" s="2"/>
      <c r="K17" s="2"/>
      <c r="L17" s="3"/>
      <c r="M17" s="18" t="s">
        <v>108</v>
      </c>
      <c r="N17" s="2"/>
      <c r="O17" s="2"/>
      <c r="P17" s="2"/>
      <c r="Q17" s="2"/>
      <c r="R17" s="2"/>
      <c r="S17" s="2"/>
      <c r="T17" s="3"/>
      <c r="U17" s="32" t="s">
        <v>82</v>
      </c>
      <c r="V17" s="3"/>
      <c r="W17" s="18" t="s">
        <v>109</v>
      </c>
      <c r="X17" s="2"/>
      <c r="Y17" s="2"/>
      <c r="Z17" s="2"/>
      <c r="AA17" s="2"/>
      <c r="AB17" s="2"/>
      <c r="AC17" s="3"/>
      <c r="AD17" s="19">
        <v>30</v>
      </c>
      <c r="AE17" s="2"/>
      <c r="AF17" s="3"/>
    </row>
    <row r="18" ht="30" customHeight="1" spans="2:32">
      <c r="B18" s="17">
        <v>11</v>
      </c>
      <c r="C18" s="19" t="s">
        <v>110</v>
      </c>
      <c r="D18" s="2"/>
      <c r="E18" s="3"/>
      <c r="F18" s="18" t="s">
        <v>111</v>
      </c>
      <c r="G18" s="2"/>
      <c r="H18" s="2"/>
      <c r="I18" s="2"/>
      <c r="J18" s="2"/>
      <c r="K18" s="2"/>
      <c r="L18" s="3"/>
      <c r="M18" s="18" t="s">
        <v>112</v>
      </c>
      <c r="N18" s="2"/>
      <c r="O18" s="2"/>
      <c r="P18" s="2"/>
      <c r="Q18" s="2"/>
      <c r="R18" s="2"/>
      <c r="S18" s="2"/>
      <c r="T18" s="3"/>
      <c r="U18" s="33" t="s">
        <v>102</v>
      </c>
      <c r="V18" s="3"/>
      <c r="W18" s="18" t="s">
        <v>113</v>
      </c>
      <c r="X18" s="2"/>
      <c r="Y18" s="2"/>
      <c r="Z18" s="2"/>
      <c r="AA18" s="2"/>
      <c r="AB18" s="2"/>
      <c r="AC18" s="3"/>
      <c r="AD18" s="19">
        <v>100</v>
      </c>
      <c r="AE18" s="2"/>
      <c r="AF18" s="3"/>
    </row>
    <row r="19" ht="30" customHeight="1" spans="2:32">
      <c r="B19" s="17">
        <v>12</v>
      </c>
      <c r="C19" s="19" t="s">
        <v>114</v>
      </c>
      <c r="D19" s="2"/>
      <c r="E19" s="3"/>
      <c r="F19" s="18" t="s">
        <v>111</v>
      </c>
      <c r="G19" s="2"/>
      <c r="H19" s="2"/>
      <c r="I19" s="2"/>
      <c r="J19" s="2"/>
      <c r="K19" s="2"/>
      <c r="L19" s="3"/>
      <c r="M19" s="18" t="s">
        <v>115</v>
      </c>
      <c r="N19" s="2"/>
      <c r="O19" s="2"/>
      <c r="P19" s="2"/>
      <c r="Q19" s="2"/>
      <c r="R19" s="2"/>
      <c r="S19" s="2"/>
      <c r="T19" s="3"/>
      <c r="U19" s="33" t="s">
        <v>102</v>
      </c>
      <c r="V19" s="3"/>
      <c r="W19" s="18" t="s">
        <v>113</v>
      </c>
      <c r="X19" s="2"/>
      <c r="Y19" s="2"/>
      <c r="Z19" s="2"/>
      <c r="AA19" s="2"/>
      <c r="AB19" s="2"/>
      <c r="AC19" s="3"/>
      <c r="AD19" s="19">
        <v>80</v>
      </c>
      <c r="AE19" s="2"/>
      <c r="AF19" s="3"/>
    </row>
    <row r="20" ht="30" customHeight="1" spans="2:32">
      <c r="B20" s="17">
        <v>13</v>
      </c>
      <c r="C20" s="19" t="s">
        <v>116</v>
      </c>
      <c r="D20" s="2"/>
      <c r="E20" s="3"/>
      <c r="F20" s="18" t="s">
        <v>111</v>
      </c>
      <c r="G20" s="2"/>
      <c r="H20" s="2"/>
      <c r="I20" s="2"/>
      <c r="J20" s="2"/>
      <c r="K20" s="2"/>
      <c r="L20" s="3"/>
      <c r="M20" s="18" t="s">
        <v>117</v>
      </c>
      <c r="N20" s="2"/>
      <c r="O20" s="2"/>
      <c r="P20" s="2"/>
      <c r="Q20" s="2"/>
      <c r="R20" s="2"/>
      <c r="S20" s="2"/>
      <c r="T20" s="3"/>
      <c r="U20" s="33" t="s">
        <v>102</v>
      </c>
      <c r="V20" s="3"/>
      <c r="W20" s="18" t="s">
        <v>97</v>
      </c>
      <c r="X20" s="2"/>
      <c r="Y20" s="2"/>
      <c r="Z20" s="2"/>
      <c r="AA20" s="2"/>
      <c r="AB20" s="2"/>
      <c r="AC20" s="3"/>
      <c r="AD20" s="19">
        <v>60</v>
      </c>
      <c r="AE20" s="2"/>
      <c r="AF20" s="3"/>
    </row>
    <row r="21" ht="30" customHeight="1" spans="2:32">
      <c r="B21" s="17">
        <v>14</v>
      </c>
      <c r="C21" s="19" t="s">
        <v>118</v>
      </c>
      <c r="D21" s="2"/>
      <c r="E21" s="3"/>
      <c r="F21" s="18" t="s">
        <v>111</v>
      </c>
      <c r="G21" s="2"/>
      <c r="H21" s="2"/>
      <c r="I21" s="2"/>
      <c r="J21" s="2"/>
      <c r="K21" s="2"/>
      <c r="L21" s="3"/>
      <c r="M21" s="18" t="s">
        <v>119</v>
      </c>
      <c r="N21" s="2"/>
      <c r="O21" s="2"/>
      <c r="P21" s="2"/>
      <c r="Q21" s="2"/>
      <c r="R21" s="2"/>
      <c r="S21" s="2"/>
      <c r="T21" s="3"/>
      <c r="U21" s="33" t="s">
        <v>102</v>
      </c>
      <c r="V21" s="3"/>
      <c r="W21" s="18" t="s">
        <v>113</v>
      </c>
      <c r="X21" s="2"/>
      <c r="Y21" s="2"/>
      <c r="Z21" s="2"/>
      <c r="AA21" s="2"/>
      <c r="AB21" s="2"/>
      <c r="AC21" s="3"/>
      <c r="AD21" s="19">
        <v>50</v>
      </c>
      <c r="AE21" s="2"/>
      <c r="AF21" s="3"/>
    </row>
    <row r="22" ht="30" customHeight="1" spans="2:32">
      <c r="B22" s="17">
        <v>15</v>
      </c>
      <c r="C22" s="19" t="s">
        <v>120</v>
      </c>
      <c r="D22" s="2"/>
      <c r="E22" s="3"/>
      <c r="F22" s="18" t="s">
        <v>111</v>
      </c>
      <c r="G22" s="2"/>
      <c r="H22" s="2"/>
      <c r="I22" s="2"/>
      <c r="J22" s="2"/>
      <c r="K22" s="2"/>
      <c r="L22" s="3"/>
      <c r="M22" s="18" t="s">
        <v>121</v>
      </c>
      <c r="N22" s="2"/>
      <c r="O22" s="2"/>
      <c r="P22" s="2"/>
      <c r="Q22" s="2"/>
      <c r="R22" s="2"/>
      <c r="S22" s="2"/>
      <c r="T22" s="3"/>
      <c r="U22" s="33" t="s">
        <v>102</v>
      </c>
      <c r="V22" s="3"/>
      <c r="W22" s="18" t="s">
        <v>122</v>
      </c>
      <c r="X22" s="2"/>
      <c r="Y22" s="2"/>
      <c r="Z22" s="2"/>
      <c r="AA22" s="2"/>
      <c r="AB22" s="2"/>
      <c r="AC22" s="3"/>
      <c r="AD22" s="19">
        <v>30</v>
      </c>
      <c r="AE22" s="2"/>
      <c r="AF22" s="3"/>
    </row>
    <row r="23" ht="30" customHeight="1" spans="2:32">
      <c r="B23" s="17">
        <v>16</v>
      </c>
      <c r="C23" s="19" t="s">
        <v>123</v>
      </c>
      <c r="D23" s="2"/>
      <c r="E23" s="3"/>
      <c r="F23" s="18" t="s">
        <v>111</v>
      </c>
      <c r="G23" s="2"/>
      <c r="H23" s="2"/>
      <c r="I23" s="2"/>
      <c r="J23" s="2"/>
      <c r="K23" s="2"/>
      <c r="L23" s="3"/>
      <c r="M23" s="18" t="s">
        <v>124</v>
      </c>
      <c r="N23" s="2"/>
      <c r="O23" s="2"/>
      <c r="P23" s="2"/>
      <c r="Q23" s="2"/>
      <c r="R23" s="2"/>
      <c r="S23" s="2"/>
      <c r="T23" s="3"/>
      <c r="U23" s="32" t="s">
        <v>82</v>
      </c>
      <c r="V23" s="3"/>
      <c r="W23" s="18" t="s">
        <v>125</v>
      </c>
      <c r="X23" s="2"/>
      <c r="Y23" s="2"/>
      <c r="Z23" s="2"/>
      <c r="AA23" s="2"/>
      <c r="AB23" s="2"/>
      <c r="AC23" s="3"/>
      <c r="AD23" s="19">
        <v>15</v>
      </c>
      <c r="AE23" s="2"/>
      <c r="AF23" s="3"/>
    </row>
    <row r="24" ht="36" customHeight="1" spans="2:32">
      <c r="B24" s="17">
        <v>17</v>
      </c>
      <c r="C24" s="19" t="s">
        <v>126</v>
      </c>
      <c r="D24" s="2"/>
      <c r="E24" s="3"/>
      <c r="F24" s="18" t="s">
        <v>111</v>
      </c>
      <c r="G24" s="2"/>
      <c r="H24" s="2"/>
      <c r="I24" s="2"/>
      <c r="J24" s="2"/>
      <c r="K24" s="2"/>
      <c r="L24" s="3"/>
      <c r="M24" s="18" t="s">
        <v>127</v>
      </c>
      <c r="N24" s="2"/>
      <c r="O24" s="2"/>
      <c r="P24" s="2"/>
      <c r="Q24" s="2"/>
      <c r="R24" s="2"/>
      <c r="S24" s="2"/>
      <c r="T24" s="3"/>
      <c r="U24" s="33" t="s">
        <v>102</v>
      </c>
      <c r="V24" s="3"/>
      <c r="W24" s="18" t="s">
        <v>128</v>
      </c>
      <c r="X24" s="2"/>
      <c r="Y24" s="2"/>
      <c r="Z24" s="2"/>
      <c r="AA24" s="2"/>
      <c r="AB24" s="2"/>
      <c r="AC24" s="3"/>
      <c r="AD24" s="19">
        <v>45</v>
      </c>
      <c r="AE24" s="2"/>
      <c r="AF24" s="3"/>
    </row>
    <row r="25" ht="30" customHeight="1" spans="2:32">
      <c r="B25" s="17">
        <v>18</v>
      </c>
      <c r="C25" s="19" t="s">
        <v>129</v>
      </c>
      <c r="D25" s="2"/>
      <c r="E25" s="3"/>
      <c r="F25" s="18" t="s">
        <v>111</v>
      </c>
      <c r="G25" s="2"/>
      <c r="H25" s="2"/>
      <c r="I25" s="2"/>
      <c r="J25" s="2"/>
      <c r="K25" s="2"/>
      <c r="L25" s="3"/>
      <c r="M25" s="18" t="s">
        <v>130</v>
      </c>
      <c r="N25" s="2"/>
      <c r="O25" s="2"/>
      <c r="P25" s="2"/>
      <c r="Q25" s="2"/>
      <c r="R25" s="2"/>
      <c r="S25" s="2"/>
      <c r="T25" s="3"/>
      <c r="U25" s="33" t="s">
        <v>102</v>
      </c>
      <c r="V25" s="3"/>
      <c r="W25" s="18" t="s">
        <v>131</v>
      </c>
      <c r="X25" s="2"/>
      <c r="Y25" s="2"/>
      <c r="Z25" s="2"/>
      <c r="AA25" s="2"/>
      <c r="AB25" s="2"/>
      <c r="AC25" s="3"/>
      <c r="AD25" s="19">
        <v>30</v>
      </c>
      <c r="AE25" s="2"/>
      <c r="AF25" s="3"/>
    </row>
    <row r="26" ht="36" customHeight="1" spans="2:32">
      <c r="B26" s="17">
        <v>19</v>
      </c>
      <c r="C26" s="19" t="s">
        <v>132</v>
      </c>
      <c r="D26" s="2"/>
      <c r="E26" s="3"/>
      <c r="F26" s="18" t="s">
        <v>111</v>
      </c>
      <c r="G26" s="2"/>
      <c r="H26" s="2"/>
      <c r="I26" s="2"/>
      <c r="J26" s="2"/>
      <c r="K26" s="2"/>
      <c r="L26" s="3"/>
      <c r="M26" s="18" t="s">
        <v>133</v>
      </c>
      <c r="N26" s="2"/>
      <c r="O26" s="2"/>
      <c r="P26" s="2"/>
      <c r="Q26" s="2"/>
      <c r="R26" s="2"/>
      <c r="S26" s="2"/>
      <c r="T26" s="3"/>
      <c r="U26" s="33" t="s">
        <v>102</v>
      </c>
      <c r="V26" s="3"/>
      <c r="W26" s="18" t="s">
        <v>134</v>
      </c>
      <c r="X26" s="2"/>
      <c r="Y26" s="2"/>
      <c r="Z26" s="2"/>
      <c r="AA26" s="2"/>
      <c r="AB26" s="2"/>
      <c r="AC26" s="3"/>
      <c r="AD26" s="19">
        <v>25</v>
      </c>
      <c r="AE26" s="2"/>
      <c r="AF26" s="3"/>
    </row>
    <row r="27" ht="30" customHeight="1" spans="2:32">
      <c r="B27" s="17">
        <v>20</v>
      </c>
      <c r="C27" s="19" t="s">
        <v>135</v>
      </c>
      <c r="D27" s="2"/>
      <c r="E27" s="3"/>
      <c r="F27" s="18" t="s">
        <v>136</v>
      </c>
      <c r="G27" s="2"/>
      <c r="H27" s="2"/>
      <c r="I27" s="2"/>
      <c r="J27" s="2"/>
      <c r="K27" s="2"/>
      <c r="L27" s="3"/>
      <c r="M27" s="18" t="s">
        <v>137</v>
      </c>
      <c r="N27" s="2"/>
      <c r="O27" s="2"/>
      <c r="P27" s="2"/>
      <c r="Q27" s="2"/>
      <c r="R27" s="2"/>
      <c r="S27" s="2"/>
      <c r="T27" s="3"/>
      <c r="U27" s="32" t="s">
        <v>82</v>
      </c>
      <c r="V27" s="3"/>
      <c r="W27" s="18" t="s">
        <v>131</v>
      </c>
      <c r="X27" s="2"/>
      <c r="Y27" s="2"/>
      <c r="Z27" s="2"/>
      <c r="AA27" s="2"/>
      <c r="AB27" s="2"/>
      <c r="AC27" s="3"/>
      <c r="AD27" s="19">
        <v>60</v>
      </c>
      <c r="AE27" s="2"/>
      <c r="AF27" s="3"/>
    </row>
    <row r="28" ht="30" customHeight="1" spans="2:32">
      <c r="B28" s="17">
        <v>21</v>
      </c>
      <c r="C28" s="19" t="s">
        <v>138</v>
      </c>
      <c r="D28" s="2"/>
      <c r="E28" s="3"/>
      <c r="F28" s="18" t="s">
        <v>136</v>
      </c>
      <c r="G28" s="2"/>
      <c r="H28" s="2"/>
      <c r="I28" s="2"/>
      <c r="J28" s="2"/>
      <c r="K28" s="2"/>
      <c r="L28" s="3"/>
      <c r="M28" s="18" t="s">
        <v>139</v>
      </c>
      <c r="N28" s="2"/>
      <c r="O28" s="2"/>
      <c r="P28" s="2"/>
      <c r="Q28" s="2"/>
      <c r="R28" s="2"/>
      <c r="S28" s="2"/>
      <c r="T28" s="3"/>
      <c r="U28" s="33" t="s">
        <v>102</v>
      </c>
      <c r="V28" s="3"/>
      <c r="W28" s="18" t="s">
        <v>140</v>
      </c>
      <c r="X28" s="2"/>
      <c r="Y28" s="2"/>
      <c r="Z28" s="2"/>
      <c r="AA28" s="2"/>
      <c r="AB28" s="2"/>
      <c r="AC28" s="3"/>
      <c r="AD28" s="19">
        <v>16</v>
      </c>
      <c r="AE28" s="2"/>
      <c r="AF28" s="3"/>
    </row>
    <row r="29" ht="30" customHeight="1" spans="2:32">
      <c r="B29" s="17">
        <v>22</v>
      </c>
      <c r="C29" s="19" t="s">
        <v>141</v>
      </c>
      <c r="D29" s="2"/>
      <c r="E29" s="3"/>
      <c r="F29" s="18" t="s">
        <v>136</v>
      </c>
      <c r="G29" s="2"/>
      <c r="H29" s="2"/>
      <c r="I29" s="2"/>
      <c r="J29" s="2"/>
      <c r="K29" s="2"/>
      <c r="L29" s="3"/>
      <c r="M29" s="18" t="s">
        <v>142</v>
      </c>
      <c r="N29" s="2"/>
      <c r="O29" s="2"/>
      <c r="P29" s="2"/>
      <c r="Q29" s="2"/>
      <c r="R29" s="2"/>
      <c r="S29" s="2"/>
      <c r="T29" s="3"/>
      <c r="U29" s="32" t="s">
        <v>82</v>
      </c>
      <c r="V29" s="3"/>
      <c r="W29" s="18" t="s">
        <v>143</v>
      </c>
      <c r="X29" s="2"/>
      <c r="Y29" s="2"/>
      <c r="Z29" s="2"/>
      <c r="AA29" s="2"/>
      <c r="AB29" s="2"/>
      <c r="AC29" s="3"/>
      <c r="AD29" s="19">
        <v>18</v>
      </c>
      <c r="AE29" s="2"/>
      <c r="AF29" s="3"/>
    </row>
    <row r="30" ht="30" customHeight="1" spans="2:32">
      <c r="B30" s="17">
        <v>23</v>
      </c>
      <c r="C30" s="19" t="s">
        <v>144</v>
      </c>
      <c r="D30" s="2"/>
      <c r="E30" s="3"/>
      <c r="F30" s="18" t="s">
        <v>136</v>
      </c>
      <c r="G30" s="2"/>
      <c r="H30" s="2"/>
      <c r="I30" s="2"/>
      <c r="J30" s="2"/>
      <c r="K30" s="2"/>
      <c r="L30" s="3"/>
      <c r="M30" s="18" t="s">
        <v>145</v>
      </c>
      <c r="N30" s="2"/>
      <c r="O30" s="2"/>
      <c r="P30" s="2"/>
      <c r="Q30" s="2"/>
      <c r="R30" s="2"/>
      <c r="S30" s="2"/>
      <c r="T30" s="3"/>
      <c r="U30" s="33" t="s">
        <v>102</v>
      </c>
      <c r="V30" s="3"/>
      <c r="W30" s="18" t="s">
        <v>146</v>
      </c>
      <c r="X30" s="2"/>
      <c r="Y30" s="2"/>
      <c r="Z30" s="2"/>
      <c r="AA30" s="2"/>
      <c r="AB30" s="2"/>
      <c r="AC30" s="3"/>
      <c r="AD30" s="19">
        <v>8</v>
      </c>
      <c r="AE30" s="2"/>
      <c r="AF30" s="3"/>
    </row>
    <row r="31" ht="30" customHeight="1" spans="2:32">
      <c r="B31" s="17">
        <v>24</v>
      </c>
      <c r="C31" s="19" t="s">
        <v>147</v>
      </c>
      <c r="D31" s="2"/>
      <c r="E31" s="3"/>
      <c r="F31" s="18" t="s">
        <v>136</v>
      </c>
      <c r="G31" s="2"/>
      <c r="H31" s="2"/>
      <c r="I31" s="2"/>
      <c r="J31" s="2"/>
      <c r="K31" s="2"/>
      <c r="L31" s="3"/>
      <c r="M31" s="18" t="s">
        <v>148</v>
      </c>
      <c r="N31" s="2"/>
      <c r="O31" s="2"/>
      <c r="P31" s="2"/>
      <c r="Q31" s="2"/>
      <c r="R31" s="2"/>
      <c r="S31" s="2"/>
      <c r="T31" s="3"/>
      <c r="U31" s="32" t="s">
        <v>82</v>
      </c>
      <c r="V31" s="3"/>
      <c r="W31" s="18" t="s">
        <v>149</v>
      </c>
      <c r="X31" s="2"/>
      <c r="Y31" s="2"/>
      <c r="Z31" s="2"/>
      <c r="AA31" s="2"/>
      <c r="AB31" s="2"/>
      <c r="AC31" s="3"/>
      <c r="AD31" s="19">
        <v>10</v>
      </c>
      <c r="AE31" s="2"/>
      <c r="AF31" s="3"/>
    </row>
    <row r="32" ht="30" customHeight="1" spans="2:32">
      <c r="B32" s="17">
        <v>25</v>
      </c>
      <c r="C32" s="19" t="s">
        <v>150</v>
      </c>
      <c r="D32" s="2"/>
      <c r="E32" s="3"/>
      <c r="F32" s="18" t="s">
        <v>136</v>
      </c>
      <c r="G32" s="2"/>
      <c r="H32" s="2"/>
      <c r="I32" s="2"/>
      <c r="J32" s="2"/>
      <c r="K32" s="2"/>
      <c r="L32" s="3"/>
      <c r="M32" s="18" t="s">
        <v>151</v>
      </c>
      <c r="N32" s="2"/>
      <c r="O32" s="2"/>
      <c r="P32" s="2"/>
      <c r="Q32" s="2"/>
      <c r="R32" s="2"/>
      <c r="S32" s="2"/>
      <c r="T32" s="3"/>
      <c r="U32" s="33" t="s">
        <v>102</v>
      </c>
      <c r="V32" s="3"/>
      <c r="W32" s="18" t="s">
        <v>152</v>
      </c>
      <c r="X32" s="2"/>
      <c r="Y32" s="2"/>
      <c r="Z32" s="2"/>
      <c r="AA32" s="2"/>
      <c r="AB32" s="2"/>
      <c r="AC32" s="3"/>
      <c r="AD32" s="19">
        <v>30</v>
      </c>
      <c r="AE32" s="2"/>
      <c r="AF32" s="3"/>
    </row>
    <row r="33" ht="30" customHeight="1" spans="2:32">
      <c r="B33" s="17">
        <v>26</v>
      </c>
      <c r="C33" s="19" t="s">
        <v>153</v>
      </c>
      <c r="D33" s="2"/>
      <c r="E33" s="3"/>
      <c r="F33" s="18" t="s">
        <v>136</v>
      </c>
      <c r="G33" s="2"/>
      <c r="H33" s="2"/>
      <c r="I33" s="2"/>
      <c r="J33" s="2"/>
      <c r="K33" s="2"/>
      <c r="L33" s="3"/>
      <c r="M33" s="18" t="s">
        <v>154</v>
      </c>
      <c r="N33" s="2"/>
      <c r="O33" s="2"/>
      <c r="P33" s="2"/>
      <c r="Q33" s="2"/>
      <c r="R33" s="2"/>
      <c r="S33" s="2"/>
      <c r="T33" s="3"/>
      <c r="U33" s="32" t="s">
        <v>82</v>
      </c>
      <c r="V33" s="3"/>
      <c r="W33" s="18" t="s">
        <v>155</v>
      </c>
      <c r="X33" s="2"/>
      <c r="Y33" s="2"/>
      <c r="Z33" s="2"/>
      <c r="AA33" s="2"/>
      <c r="AB33" s="2"/>
      <c r="AC33" s="3"/>
      <c r="AD33" s="19">
        <v>15</v>
      </c>
      <c r="AE33" s="2"/>
      <c r="AF33" s="3"/>
    </row>
    <row r="34" ht="30" customHeight="1" spans="2:32">
      <c r="B34" s="17">
        <v>27</v>
      </c>
      <c r="C34" s="19" t="s">
        <v>156</v>
      </c>
      <c r="D34" s="2"/>
      <c r="E34" s="3"/>
      <c r="F34" s="18" t="s">
        <v>136</v>
      </c>
      <c r="G34" s="2"/>
      <c r="H34" s="2"/>
      <c r="I34" s="2"/>
      <c r="J34" s="2"/>
      <c r="K34" s="2"/>
      <c r="L34" s="3"/>
      <c r="M34" s="18" t="s">
        <v>157</v>
      </c>
      <c r="N34" s="2"/>
      <c r="O34" s="2"/>
      <c r="P34" s="2"/>
      <c r="Q34" s="2"/>
      <c r="R34" s="2"/>
      <c r="S34" s="2"/>
      <c r="T34" s="3"/>
      <c r="U34" s="32" t="s">
        <v>82</v>
      </c>
      <c r="V34" s="3"/>
      <c r="W34" s="18" t="s">
        <v>158</v>
      </c>
      <c r="X34" s="2"/>
      <c r="Y34" s="2"/>
      <c r="Z34" s="2"/>
      <c r="AA34" s="2"/>
      <c r="AB34" s="2"/>
      <c r="AC34" s="3"/>
      <c r="AD34" s="19">
        <v>18</v>
      </c>
      <c r="AE34" s="2"/>
      <c r="AF34" s="3"/>
    </row>
    <row r="35" ht="30" customHeight="1" spans="2:32">
      <c r="B35" s="17">
        <v>28</v>
      </c>
      <c r="C35" s="19" t="s">
        <v>159</v>
      </c>
      <c r="D35" s="2"/>
      <c r="E35" s="3"/>
      <c r="F35" s="18" t="s">
        <v>160</v>
      </c>
      <c r="G35" s="2"/>
      <c r="H35" s="2"/>
      <c r="I35" s="2"/>
      <c r="J35" s="2"/>
      <c r="K35" s="2"/>
      <c r="L35" s="3"/>
      <c r="M35" s="18" t="s">
        <v>161</v>
      </c>
      <c r="N35" s="2"/>
      <c r="O35" s="2"/>
      <c r="P35" s="2"/>
      <c r="Q35" s="2"/>
      <c r="R35" s="2"/>
      <c r="S35" s="2"/>
      <c r="T35" s="3"/>
      <c r="U35" s="32" t="s">
        <v>82</v>
      </c>
      <c r="V35" s="3"/>
      <c r="W35" s="18" t="s">
        <v>162</v>
      </c>
      <c r="X35" s="2"/>
      <c r="Y35" s="2"/>
      <c r="Z35" s="2"/>
      <c r="AA35" s="2"/>
      <c r="AB35" s="2"/>
      <c r="AC35" s="3"/>
      <c r="AD35" s="19">
        <v>25</v>
      </c>
      <c r="AE35" s="2"/>
      <c r="AF35" s="3"/>
    </row>
    <row r="36" ht="30" customHeight="1" spans="2:32">
      <c r="B36" s="17">
        <v>29</v>
      </c>
      <c r="C36" s="19" t="s">
        <v>163</v>
      </c>
      <c r="D36" s="2"/>
      <c r="E36" s="3"/>
      <c r="F36" s="18" t="s">
        <v>160</v>
      </c>
      <c r="G36" s="2"/>
      <c r="H36" s="2"/>
      <c r="I36" s="2"/>
      <c r="J36" s="2"/>
      <c r="K36" s="2"/>
      <c r="L36" s="3"/>
      <c r="M36" s="18" t="s">
        <v>164</v>
      </c>
      <c r="N36" s="2"/>
      <c r="O36" s="2"/>
      <c r="P36" s="2"/>
      <c r="Q36" s="2"/>
      <c r="R36" s="2"/>
      <c r="S36" s="2"/>
      <c r="T36" s="3"/>
      <c r="U36" s="32" t="s">
        <v>82</v>
      </c>
      <c r="V36" s="3"/>
      <c r="W36" s="18" t="s">
        <v>94</v>
      </c>
      <c r="X36" s="2"/>
      <c r="Y36" s="2"/>
      <c r="Z36" s="2"/>
      <c r="AA36" s="2"/>
      <c r="AB36" s="2"/>
      <c r="AC36" s="3"/>
      <c r="AD36" s="19">
        <v>8</v>
      </c>
      <c r="AE36" s="2"/>
      <c r="AF36" s="3"/>
    </row>
    <row r="37" ht="30" customHeight="1" spans="2:32">
      <c r="B37" s="17">
        <v>30</v>
      </c>
      <c r="C37" s="19" t="s">
        <v>165</v>
      </c>
      <c r="D37" s="2"/>
      <c r="E37" s="3"/>
      <c r="F37" s="18" t="s">
        <v>160</v>
      </c>
      <c r="G37" s="2"/>
      <c r="H37" s="2"/>
      <c r="I37" s="2"/>
      <c r="J37" s="2"/>
      <c r="K37" s="2"/>
      <c r="L37" s="3"/>
      <c r="M37" s="18" t="s">
        <v>166</v>
      </c>
      <c r="N37" s="2"/>
      <c r="O37" s="2"/>
      <c r="P37" s="2"/>
      <c r="Q37" s="2"/>
      <c r="R37" s="2"/>
      <c r="S37" s="2"/>
      <c r="T37" s="3"/>
      <c r="U37" s="32" t="s">
        <v>82</v>
      </c>
      <c r="V37" s="3"/>
      <c r="W37" s="18" t="s">
        <v>167</v>
      </c>
      <c r="X37" s="2"/>
      <c r="Y37" s="2"/>
      <c r="Z37" s="2"/>
      <c r="AA37" s="2"/>
      <c r="AB37" s="2"/>
      <c r="AC37" s="3"/>
      <c r="AD37" s="19">
        <v>15</v>
      </c>
      <c r="AE37" s="2"/>
      <c r="AF37" s="3"/>
    </row>
    <row r="38" ht="30" customHeight="1" spans="2:32">
      <c r="B38" s="17">
        <v>31</v>
      </c>
      <c r="C38" s="19" t="s">
        <v>168</v>
      </c>
      <c r="D38" s="2"/>
      <c r="E38" s="3"/>
      <c r="F38" s="18" t="s">
        <v>160</v>
      </c>
      <c r="G38" s="2"/>
      <c r="H38" s="2"/>
      <c r="I38" s="2"/>
      <c r="J38" s="2"/>
      <c r="K38" s="2"/>
      <c r="L38" s="3"/>
      <c r="M38" s="18" t="s">
        <v>169</v>
      </c>
      <c r="N38" s="2"/>
      <c r="O38" s="2"/>
      <c r="P38" s="2"/>
      <c r="Q38" s="2"/>
      <c r="R38" s="2"/>
      <c r="S38" s="2"/>
      <c r="T38" s="3"/>
      <c r="U38" s="32" t="s">
        <v>82</v>
      </c>
      <c r="V38" s="3"/>
      <c r="W38" s="18" t="s">
        <v>94</v>
      </c>
      <c r="X38" s="2"/>
      <c r="Y38" s="2"/>
      <c r="Z38" s="2"/>
      <c r="AA38" s="2"/>
      <c r="AB38" s="2"/>
      <c r="AC38" s="3"/>
      <c r="AD38" s="19">
        <v>40</v>
      </c>
      <c r="AE38" s="2"/>
      <c r="AF38" s="3"/>
    </row>
    <row r="39" ht="30" customHeight="1" spans="2:32">
      <c r="B39" s="17">
        <v>32</v>
      </c>
      <c r="C39" s="19" t="s">
        <v>170</v>
      </c>
      <c r="D39" s="2"/>
      <c r="E39" s="3"/>
      <c r="F39" s="18" t="s">
        <v>160</v>
      </c>
      <c r="G39" s="2"/>
      <c r="H39" s="2"/>
      <c r="I39" s="2"/>
      <c r="J39" s="2"/>
      <c r="K39" s="2"/>
      <c r="L39" s="3"/>
      <c r="M39" s="18" t="s">
        <v>171</v>
      </c>
      <c r="N39" s="2"/>
      <c r="O39" s="2"/>
      <c r="P39" s="2"/>
      <c r="Q39" s="2"/>
      <c r="R39" s="2"/>
      <c r="S39" s="2"/>
      <c r="T39" s="3"/>
      <c r="U39" s="33" t="s">
        <v>102</v>
      </c>
      <c r="V39" s="3"/>
      <c r="W39" s="18" t="s">
        <v>172</v>
      </c>
      <c r="X39" s="2"/>
      <c r="Y39" s="2"/>
      <c r="Z39" s="2"/>
      <c r="AA39" s="2"/>
      <c r="AB39" s="2"/>
      <c r="AC39" s="3"/>
      <c r="AD39" s="19">
        <v>20</v>
      </c>
      <c r="AE39" s="2"/>
      <c r="AF39" s="3"/>
    </row>
    <row r="40" ht="30" customHeight="1" spans="2:32">
      <c r="B40" s="17">
        <v>33</v>
      </c>
      <c r="C40" s="19" t="s">
        <v>173</v>
      </c>
      <c r="D40" s="2"/>
      <c r="E40" s="3"/>
      <c r="F40" s="18" t="s">
        <v>160</v>
      </c>
      <c r="G40" s="2"/>
      <c r="H40" s="2"/>
      <c r="I40" s="2"/>
      <c r="J40" s="2"/>
      <c r="K40" s="2"/>
      <c r="L40" s="3"/>
      <c r="M40" s="18" t="s">
        <v>174</v>
      </c>
      <c r="N40" s="2"/>
      <c r="O40" s="2"/>
      <c r="P40" s="2"/>
      <c r="Q40" s="2"/>
      <c r="R40" s="2"/>
      <c r="S40" s="2"/>
      <c r="T40" s="3"/>
      <c r="U40" s="33" t="s">
        <v>102</v>
      </c>
      <c r="V40" s="3"/>
      <c r="W40" s="18" t="s">
        <v>175</v>
      </c>
      <c r="X40" s="2"/>
      <c r="Y40" s="2"/>
      <c r="Z40" s="2"/>
      <c r="AA40" s="2"/>
      <c r="AB40" s="2"/>
      <c r="AC40" s="3"/>
      <c r="AD40" s="19">
        <v>12</v>
      </c>
      <c r="AE40" s="2"/>
      <c r="AF40" s="3"/>
    </row>
    <row r="41" ht="30" customHeight="1" spans="2:32">
      <c r="B41" s="17">
        <v>34</v>
      </c>
      <c r="C41" s="19" t="s">
        <v>176</v>
      </c>
      <c r="D41" s="2"/>
      <c r="E41" s="3"/>
      <c r="F41" s="18" t="s">
        <v>160</v>
      </c>
      <c r="G41" s="2"/>
      <c r="H41" s="2"/>
      <c r="I41" s="2"/>
      <c r="J41" s="2"/>
      <c r="K41" s="2"/>
      <c r="L41" s="3"/>
      <c r="M41" s="18" t="s">
        <v>177</v>
      </c>
      <c r="N41" s="2"/>
      <c r="O41" s="2"/>
      <c r="P41" s="2"/>
      <c r="Q41" s="2"/>
      <c r="R41" s="2"/>
      <c r="S41" s="2"/>
      <c r="T41" s="3"/>
      <c r="U41" s="32" t="s">
        <v>82</v>
      </c>
      <c r="V41" s="3"/>
      <c r="W41" s="18" t="s">
        <v>178</v>
      </c>
      <c r="X41" s="2"/>
      <c r="Y41" s="2"/>
      <c r="Z41" s="2"/>
      <c r="AA41" s="2"/>
      <c r="AB41" s="2"/>
      <c r="AC41" s="3"/>
      <c r="AD41" s="19">
        <v>15</v>
      </c>
      <c r="AE41" s="2"/>
      <c r="AF41" s="3"/>
    </row>
    <row r="42" ht="30" customHeight="1" spans="2:32">
      <c r="B42" s="17">
        <v>35</v>
      </c>
      <c r="C42" s="19" t="s">
        <v>179</v>
      </c>
      <c r="D42" s="2"/>
      <c r="E42" s="3"/>
      <c r="F42" s="18" t="s">
        <v>160</v>
      </c>
      <c r="G42" s="2"/>
      <c r="H42" s="2"/>
      <c r="I42" s="2"/>
      <c r="J42" s="2"/>
      <c r="K42" s="2"/>
      <c r="L42" s="3"/>
      <c r="M42" s="18" t="s">
        <v>180</v>
      </c>
      <c r="N42" s="2"/>
      <c r="O42" s="2"/>
      <c r="P42" s="2"/>
      <c r="Q42" s="2"/>
      <c r="R42" s="2"/>
      <c r="S42" s="2"/>
      <c r="T42" s="3"/>
      <c r="U42" s="33" t="s">
        <v>102</v>
      </c>
      <c r="V42" s="3"/>
      <c r="W42" s="18" t="s">
        <v>94</v>
      </c>
      <c r="X42" s="2"/>
      <c r="Y42" s="2"/>
      <c r="Z42" s="2"/>
      <c r="AA42" s="2"/>
      <c r="AB42" s="2"/>
      <c r="AC42" s="3"/>
      <c r="AD42" s="19">
        <v>30</v>
      </c>
      <c r="AE42" s="2"/>
      <c r="AF42" s="3"/>
    </row>
    <row r="43" ht="36" customHeight="1" spans="2:32">
      <c r="B43" s="17">
        <v>36</v>
      </c>
      <c r="C43" s="19" t="s">
        <v>181</v>
      </c>
      <c r="D43" s="2"/>
      <c r="E43" s="3"/>
      <c r="F43" s="18" t="s">
        <v>160</v>
      </c>
      <c r="G43" s="2"/>
      <c r="H43" s="2"/>
      <c r="I43" s="2"/>
      <c r="J43" s="2"/>
      <c r="K43" s="2"/>
      <c r="L43" s="3"/>
      <c r="M43" s="18" t="s">
        <v>182</v>
      </c>
      <c r="N43" s="2"/>
      <c r="O43" s="2"/>
      <c r="P43" s="2"/>
      <c r="Q43" s="2"/>
      <c r="R43" s="2"/>
      <c r="S43" s="2"/>
      <c r="T43" s="3"/>
      <c r="U43" s="32" t="s">
        <v>82</v>
      </c>
      <c r="V43" s="3"/>
      <c r="W43" s="18" t="s">
        <v>167</v>
      </c>
      <c r="X43" s="2"/>
      <c r="Y43" s="2"/>
      <c r="Z43" s="2"/>
      <c r="AA43" s="2"/>
      <c r="AB43" s="2"/>
      <c r="AC43" s="3"/>
      <c r="AD43" s="19">
        <v>6</v>
      </c>
      <c r="AE43" s="2"/>
      <c r="AF43" s="3"/>
    </row>
    <row r="44" ht="30" customHeight="1" spans="2:32">
      <c r="B44" s="17">
        <v>37</v>
      </c>
      <c r="C44" s="19" t="s">
        <v>183</v>
      </c>
      <c r="D44" s="2"/>
      <c r="E44" s="3"/>
      <c r="F44" s="18" t="s">
        <v>184</v>
      </c>
      <c r="G44" s="2"/>
      <c r="H44" s="2"/>
      <c r="I44" s="2"/>
      <c r="J44" s="2"/>
      <c r="K44" s="2"/>
      <c r="L44" s="3"/>
      <c r="M44" s="18" t="s">
        <v>185</v>
      </c>
      <c r="N44" s="2"/>
      <c r="O44" s="2"/>
      <c r="P44" s="2"/>
      <c r="Q44" s="2"/>
      <c r="R44" s="2"/>
      <c r="S44" s="2"/>
      <c r="T44" s="3"/>
      <c r="U44" s="34" t="s">
        <v>186</v>
      </c>
      <c r="V44" s="3"/>
      <c r="W44" s="18" t="s">
        <v>187</v>
      </c>
      <c r="X44" s="2"/>
      <c r="Y44" s="2"/>
      <c r="Z44" s="2"/>
      <c r="AA44" s="2"/>
      <c r="AB44" s="2"/>
      <c r="AC44" s="3"/>
      <c r="AD44" s="19">
        <v>60</v>
      </c>
      <c r="AE44" s="2"/>
      <c r="AF44" s="3"/>
    </row>
    <row r="45" ht="36" customHeight="1" spans="2:32">
      <c r="B45" s="17">
        <v>38</v>
      </c>
      <c r="C45" s="19" t="s">
        <v>188</v>
      </c>
      <c r="D45" s="2"/>
      <c r="E45" s="3"/>
      <c r="F45" s="18" t="s">
        <v>184</v>
      </c>
      <c r="G45" s="2"/>
      <c r="H45" s="2"/>
      <c r="I45" s="2"/>
      <c r="J45" s="2"/>
      <c r="K45" s="2"/>
      <c r="L45" s="3"/>
      <c r="M45" s="18" t="s">
        <v>189</v>
      </c>
      <c r="N45" s="2"/>
      <c r="O45" s="2"/>
      <c r="P45" s="2"/>
      <c r="Q45" s="2"/>
      <c r="R45" s="2"/>
      <c r="S45" s="2"/>
      <c r="T45" s="3"/>
      <c r="U45" s="34" t="s">
        <v>186</v>
      </c>
      <c r="V45" s="3"/>
      <c r="W45" s="18" t="s">
        <v>187</v>
      </c>
      <c r="X45" s="2"/>
      <c r="Y45" s="2"/>
      <c r="Z45" s="2"/>
      <c r="AA45" s="2"/>
      <c r="AB45" s="2"/>
      <c r="AC45" s="3"/>
      <c r="AD45" s="19">
        <v>40</v>
      </c>
      <c r="AE45" s="2"/>
      <c r="AF45" s="3"/>
    </row>
    <row r="46" ht="30" customHeight="1" spans="2:32">
      <c r="B46" s="17">
        <v>39</v>
      </c>
      <c r="C46" s="19" t="s">
        <v>190</v>
      </c>
      <c r="D46" s="2"/>
      <c r="E46" s="3"/>
      <c r="F46" s="18" t="s">
        <v>184</v>
      </c>
      <c r="G46" s="2"/>
      <c r="H46" s="2"/>
      <c r="I46" s="2"/>
      <c r="J46" s="2"/>
      <c r="K46" s="2"/>
      <c r="L46" s="3"/>
      <c r="M46" s="18" t="s">
        <v>191</v>
      </c>
      <c r="N46" s="2"/>
      <c r="O46" s="2"/>
      <c r="P46" s="2"/>
      <c r="Q46" s="2"/>
      <c r="R46" s="2"/>
      <c r="S46" s="2"/>
      <c r="T46" s="3"/>
      <c r="U46" s="34" t="s">
        <v>186</v>
      </c>
      <c r="V46" s="3"/>
      <c r="W46" s="18" t="s">
        <v>113</v>
      </c>
      <c r="X46" s="2"/>
      <c r="Y46" s="2"/>
      <c r="Z46" s="2"/>
      <c r="AA46" s="2"/>
      <c r="AB46" s="2"/>
      <c r="AC46" s="3"/>
      <c r="AD46" s="19">
        <v>25</v>
      </c>
      <c r="AE46" s="2"/>
      <c r="AF46" s="3"/>
    </row>
    <row r="47" ht="30" customHeight="1" spans="2:32">
      <c r="B47" s="17">
        <v>40</v>
      </c>
      <c r="C47" s="19" t="s">
        <v>192</v>
      </c>
      <c r="D47" s="2"/>
      <c r="E47" s="3"/>
      <c r="F47" s="18" t="s">
        <v>184</v>
      </c>
      <c r="G47" s="2"/>
      <c r="H47" s="2"/>
      <c r="I47" s="2"/>
      <c r="J47" s="2"/>
      <c r="K47" s="2"/>
      <c r="L47" s="3"/>
      <c r="M47" s="18" t="s">
        <v>193</v>
      </c>
      <c r="N47" s="2"/>
      <c r="O47" s="2"/>
      <c r="P47" s="2"/>
      <c r="Q47" s="2"/>
      <c r="R47" s="2"/>
      <c r="S47" s="2"/>
      <c r="T47" s="3"/>
      <c r="U47" s="34" t="s">
        <v>186</v>
      </c>
      <c r="V47" s="3"/>
      <c r="W47" s="18" t="s">
        <v>94</v>
      </c>
      <c r="X47" s="2"/>
      <c r="Y47" s="2"/>
      <c r="Z47" s="2"/>
      <c r="AA47" s="2"/>
      <c r="AB47" s="2"/>
      <c r="AC47" s="3"/>
      <c r="AD47" s="19">
        <v>5</v>
      </c>
      <c r="AE47" s="2"/>
      <c r="AF47" s="3"/>
    </row>
    <row r="48" ht="30" customHeight="1" spans="2:32">
      <c r="B48" s="17">
        <v>41</v>
      </c>
      <c r="C48" s="19" t="s">
        <v>194</v>
      </c>
      <c r="D48" s="2"/>
      <c r="E48" s="3"/>
      <c r="F48" s="18" t="s">
        <v>184</v>
      </c>
      <c r="G48" s="2"/>
      <c r="H48" s="2"/>
      <c r="I48" s="2"/>
      <c r="J48" s="2"/>
      <c r="K48" s="2"/>
      <c r="L48" s="3"/>
      <c r="M48" s="18" t="s">
        <v>195</v>
      </c>
      <c r="N48" s="2"/>
      <c r="O48" s="2"/>
      <c r="P48" s="2"/>
      <c r="Q48" s="2"/>
      <c r="R48" s="2"/>
      <c r="S48" s="2"/>
      <c r="T48" s="3"/>
      <c r="U48" s="32" t="s">
        <v>82</v>
      </c>
      <c r="V48" s="3"/>
      <c r="W48" s="18" t="s">
        <v>94</v>
      </c>
      <c r="X48" s="2"/>
      <c r="Y48" s="2"/>
      <c r="Z48" s="2"/>
      <c r="AA48" s="2"/>
      <c r="AB48" s="2"/>
      <c r="AC48" s="3"/>
      <c r="AD48" s="19">
        <v>5</v>
      </c>
      <c r="AE48" s="2"/>
      <c r="AF48" s="3"/>
    </row>
    <row r="49" ht="30" customHeight="1" spans="2:37">
      <c r="B49" s="17">
        <v>42</v>
      </c>
      <c r="C49" s="19" t="s">
        <v>196</v>
      </c>
      <c r="D49" s="2"/>
      <c r="E49" s="3"/>
      <c r="F49" s="18" t="s">
        <v>184</v>
      </c>
      <c r="G49" s="2"/>
      <c r="H49" s="2"/>
      <c r="I49" s="2"/>
      <c r="J49" s="2"/>
      <c r="K49" s="2"/>
      <c r="L49" s="3"/>
      <c r="M49" s="18" t="s">
        <v>197</v>
      </c>
      <c r="N49" s="2"/>
      <c r="O49" s="2"/>
      <c r="P49" s="2"/>
      <c r="Q49" s="2"/>
      <c r="R49" s="2"/>
      <c r="S49" s="2"/>
      <c r="T49" s="3"/>
      <c r="U49" s="33" t="s">
        <v>102</v>
      </c>
      <c r="V49" s="3"/>
      <c r="W49" s="18" t="s">
        <v>198</v>
      </c>
      <c r="X49" s="2"/>
      <c r="Y49" s="2"/>
      <c r="Z49" s="2"/>
      <c r="AA49" s="2"/>
      <c r="AB49" s="2"/>
      <c r="AC49" s="3"/>
      <c r="AD49" s="19">
        <v>8</v>
      </c>
      <c r="AE49" s="2"/>
      <c r="AF49" s="3"/>
    </row>
    <row r="50" ht="30" customHeight="1" spans="2:37">
      <c r="B50" s="17">
        <v>43</v>
      </c>
      <c r="C50" s="19" t="s">
        <v>199</v>
      </c>
      <c r="D50" s="2"/>
      <c r="E50" s="3"/>
      <c r="F50" s="18" t="s">
        <v>200</v>
      </c>
      <c r="G50" s="2"/>
      <c r="H50" s="2"/>
      <c r="I50" s="2"/>
      <c r="J50" s="2"/>
      <c r="K50" s="2"/>
      <c r="L50" s="3"/>
      <c r="M50" s="18" t="s">
        <v>201</v>
      </c>
      <c r="N50" s="2"/>
      <c r="O50" s="2"/>
      <c r="P50" s="2"/>
      <c r="Q50" s="2"/>
      <c r="R50" s="2"/>
      <c r="S50" s="2"/>
      <c r="T50" s="3"/>
      <c r="U50" s="33" t="s">
        <v>102</v>
      </c>
      <c r="V50" s="3"/>
      <c r="W50" s="18" t="s">
        <v>202</v>
      </c>
      <c r="X50" s="2"/>
      <c r="Y50" s="2"/>
      <c r="Z50" s="2"/>
      <c r="AA50" s="2"/>
      <c r="AB50" s="2"/>
      <c r="AC50" s="3"/>
      <c r="AD50" s="19">
        <v>12</v>
      </c>
      <c r="AE50" s="2"/>
      <c r="AF50" s="3"/>
    </row>
    <row r="51" ht="30" customHeight="1" spans="2:37">
      <c r="B51" s="17">
        <v>44</v>
      </c>
      <c r="C51" s="19" t="s">
        <v>203</v>
      </c>
      <c r="D51" s="2"/>
      <c r="E51" s="3"/>
      <c r="F51" s="18" t="s">
        <v>200</v>
      </c>
      <c r="G51" s="2"/>
      <c r="H51" s="2"/>
      <c r="I51" s="2"/>
      <c r="J51" s="2"/>
      <c r="K51" s="2"/>
      <c r="L51" s="3"/>
      <c r="M51" s="18" t="s">
        <v>204</v>
      </c>
      <c r="N51" s="2"/>
      <c r="O51" s="2"/>
      <c r="P51" s="2"/>
      <c r="Q51" s="2"/>
      <c r="R51" s="2"/>
      <c r="S51" s="2"/>
      <c r="T51" s="3"/>
      <c r="U51" s="33" t="s">
        <v>102</v>
      </c>
      <c r="V51" s="3"/>
      <c r="W51" s="18" t="s">
        <v>205</v>
      </c>
      <c r="X51" s="2"/>
      <c r="Y51" s="2"/>
      <c r="Z51" s="2"/>
      <c r="AA51" s="2"/>
      <c r="AB51" s="2"/>
      <c r="AC51" s="3"/>
      <c r="AD51" s="19">
        <v>8</v>
      </c>
      <c r="AE51" s="2"/>
      <c r="AF51" s="3"/>
    </row>
    <row r="52" ht="22.5" customHeight="1" spans="2:37">
      <c r="B52" s="35" t="s">
        <v>58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  <c r="U52" s="36"/>
      <c r="V52" s="3"/>
      <c r="W52" s="36"/>
      <c r="X52" s="2"/>
      <c r="Y52" s="2"/>
      <c r="Z52" s="2"/>
      <c r="AA52" s="2"/>
      <c r="AB52" s="2"/>
      <c r="AC52" s="3"/>
      <c r="AD52" s="36">
        <f>SUM(AD8:AD51)</f>
        <v>1682</v>
      </c>
      <c r="AE52" s="2"/>
      <c r="AF52" s="3"/>
    </row>
    <row r="53" ht="15.75" customHeight="1"/>
    <row r="54" ht="19.5" customHeight="1" spans="2:37">
      <c r="B54" s="30" t="s">
        <v>206</v>
      </c>
    </row>
    <row r="55" ht="15.75" customHeight="1"/>
    <row r="56" ht="28.5" customHeight="1" spans="2:37">
      <c r="B56" s="1" t="s">
        <v>207</v>
      </c>
      <c r="C56" s="3"/>
      <c r="D56" s="1" t="s">
        <v>208</v>
      </c>
      <c r="E56" s="2"/>
      <c r="F56" s="3"/>
      <c r="G56" s="1" t="s">
        <v>209</v>
      </c>
      <c r="H56" s="2"/>
      <c r="I56" s="2"/>
      <c r="J56" s="2"/>
      <c r="K56" s="2"/>
      <c r="L56" s="3"/>
      <c r="M56" s="1" t="s">
        <v>210</v>
      </c>
      <c r="N56" s="3"/>
      <c r="O56" s="1" t="s">
        <v>211</v>
      </c>
      <c r="P56" s="2"/>
      <c r="Q56" s="3"/>
      <c r="R56" s="1" t="s">
        <v>212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</row>
    <row r="57" ht="36" customHeight="1" spans="2:37">
      <c r="B57" s="37" t="s">
        <v>213</v>
      </c>
      <c r="C57" s="3"/>
      <c r="D57" s="19" t="s">
        <v>214</v>
      </c>
      <c r="E57" s="2"/>
      <c r="F57" s="3"/>
      <c r="G57" s="18" t="s">
        <v>215</v>
      </c>
      <c r="H57" s="2"/>
      <c r="I57" s="2"/>
      <c r="J57" s="2"/>
      <c r="K57" s="2"/>
      <c r="L57" s="3"/>
      <c r="M57" s="19">
        <v>10</v>
      </c>
      <c r="N57" s="3"/>
      <c r="O57" s="19" t="s">
        <v>82</v>
      </c>
      <c r="P57" s="2"/>
      <c r="Q57" s="3"/>
      <c r="R57" s="18" t="s">
        <v>216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</row>
    <row r="58" ht="30" customHeight="1" spans="2:37">
      <c r="B58" s="37" t="s">
        <v>217</v>
      </c>
      <c r="C58" s="3"/>
      <c r="D58" s="19" t="s">
        <v>218</v>
      </c>
      <c r="E58" s="2"/>
      <c r="F58" s="3"/>
      <c r="G58" s="18" t="s">
        <v>219</v>
      </c>
      <c r="H58" s="2"/>
      <c r="I58" s="2"/>
      <c r="J58" s="2"/>
      <c r="K58" s="2"/>
      <c r="L58" s="3"/>
      <c r="M58" s="19">
        <v>9</v>
      </c>
      <c r="N58" s="3"/>
      <c r="O58" s="19" t="s">
        <v>102</v>
      </c>
      <c r="P58" s="2"/>
      <c r="Q58" s="3"/>
      <c r="R58" s="18" t="s">
        <v>220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/>
    </row>
    <row r="59" ht="36" customHeight="1" spans="2:37">
      <c r="B59" s="37" t="s">
        <v>221</v>
      </c>
      <c r="C59" s="3"/>
      <c r="D59" s="19" t="s">
        <v>222</v>
      </c>
      <c r="E59" s="2"/>
      <c r="F59" s="3"/>
      <c r="G59" s="18" t="s">
        <v>223</v>
      </c>
      <c r="H59" s="2"/>
      <c r="I59" s="2"/>
      <c r="J59" s="2"/>
      <c r="K59" s="2"/>
      <c r="L59" s="3"/>
      <c r="M59" s="19">
        <v>8</v>
      </c>
      <c r="N59" s="3"/>
      <c r="O59" s="19" t="s">
        <v>82</v>
      </c>
      <c r="P59" s="2"/>
      <c r="Q59" s="3"/>
      <c r="R59" s="18" t="s">
        <v>224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</row>
    <row r="60" ht="36" customHeight="1" spans="2:37">
      <c r="B60" s="37" t="s">
        <v>225</v>
      </c>
      <c r="C60" s="3"/>
      <c r="D60" s="19" t="s">
        <v>226</v>
      </c>
      <c r="E60" s="2"/>
      <c r="F60" s="3"/>
      <c r="G60" s="18" t="s">
        <v>227</v>
      </c>
      <c r="H60" s="2"/>
      <c r="I60" s="2"/>
      <c r="J60" s="2"/>
      <c r="K60" s="2"/>
      <c r="L60" s="3"/>
      <c r="M60" s="19">
        <v>9</v>
      </c>
      <c r="N60" s="3"/>
      <c r="O60" s="19" t="s">
        <v>82</v>
      </c>
      <c r="P60" s="2"/>
      <c r="Q60" s="3"/>
      <c r="R60" s="18" t="s">
        <v>228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/>
    </row>
    <row r="61" ht="36" customHeight="1" spans="2:37">
      <c r="B61" s="37" t="s">
        <v>229</v>
      </c>
      <c r="C61" s="3"/>
      <c r="D61" s="19" t="s">
        <v>230</v>
      </c>
      <c r="E61" s="2"/>
      <c r="F61" s="3"/>
      <c r="G61" s="18" t="s">
        <v>231</v>
      </c>
      <c r="H61" s="2"/>
      <c r="I61" s="2"/>
      <c r="J61" s="2"/>
      <c r="K61" s="2"/>
      <c r="L61" s="3"/>
      <c r="M61" s="19">
        <v>6</v>
      </c>
      <c r="N61" s="3"/>
      <c r="O61" s="19" t="s">
        <v>232</v>
      </c>
      <c r="P61" s="2"/>
      <c r="Q61" s="3"/>
      <c r="R61" s="18" t="s">
        <v>233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/>
    </row>
    <row r="62" ht="30" customHeight="1" spans="2:37">
      <c r="B62" s="37" t="s">
        <v>234</v>
      </c>
      <c r="C62" s="3"/>
      <c r="D62" s="19" t="s">
        <v>235</v>
      </c>
      <c r="E62" s="2"/>
      <c r="F62" s="3"/>
      <c r="G62" s="18" t="s">
        <v>236</v>
      </c>
      <c r="H62" s="2"/>
      <c r="I62" s="2"/>
      <c r="J62" s="2"/>
      <c r="K62" s="2"/>
      <c r="L62" s="3"/>
      <c r="M62" s="19">
        <v>2</v>
      </c>
      <c r="N62" s="3"/>
      <c r="O62" s="19" t="s">
        <v>102</v>
      </c>
      <c r="P62" s="2"/>
      <c r="Q62" s="3"/>
      <c r="R62" s="18" t="s">
        <v>237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</row>
    <row r="63" ht="15.75" customHeight="1"/>
    <row r="64" ht="30" customHeight="1" spans="2:37">
      <c r="B64" s="38" t="s">
        <v>238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3">
    <mergeCell ref="A1:I1"/>
    <mergeCell ref="J1:P1"/>
    <mergeCell ref="Q1:U1"/>
    <mergeCell ref="V1:Y1"/>
    <mergeCell ref="Z1:AC1"/>
    <mergeCell ref="AD1:AG1"/>
    <mergeCell ref="AH1:AK1"/>
    <mergeCell ref="B5:AK5"/>
    <mergeCell ref="C7:E7"/>
    <mergeCell ref="F7:L7"/>
    <mergeCell ref="M7:T7"/>
    <mergeCell ref="U7:V7"/>
    <mergeCell ref="W7:AC7"/>
    <mergeCell ref="AD7:AF7"/>
    <mergeCell ref="C8:E8"/>
    <mergeCell ref="F8:L8"/>
    <mergeCell ref="M8:T8"/>
    <mergeCell ref="U8:V8"/>
    <mergeCell ref="W8:AC8"/>
    <mergeCell ref="AD8:AF8"/>
    <mergeCell ref="C9:E9"/>
    <mergeCell ref="F9:L9"/>
    <mergeCell ref="M9:T9"/>
    <mergeCell ref="U9:V9"/>
    <mergeCell ref="W9:AC9"/>
    <mergeCell ref="AD9:AF9"/>
    <mergeCell ref="C10:E10"/>
    <mergeCell ref="F10:L10"/>
    <mergeCell ref="M10:T10"/>
    <mergeCell ref="U10:V10"/>
    <mergeCell ref="W10:AC10"/>
    <mergeCell ref="AD10:AF10"/>
    <mergeCell ref="C11:E11"/>
    <mergeCell ref="F11:L11"/>
    <mergeCell ref="M11:T11"/>
    <mergeCell ref="U11:V11"/>
    <mergeCell ref="W11:AC11"/>
    <mergeCell ref="AD11:AF11"/>
    <mergeCell ref="C12:E12"/>
    <mergeCell ref="F12:L12"/>
    <mergeCell ref="M12:T12"/>
    <mergeCell ref="U12:V12"/>
    <mergeCell ref="W12:AC12"/>
    <mergeCell ref="AD12:AF12"/>
    <mergeCell ref="C13:E13"/>
    <mergeCell ref="F13:L13"/>
    <mergeCell ref="M13:T13"/>
    <mergeCell ref="U13:V13"/>
    <mergeCell ref="W13:AC13"/>
    <mergeCell ref="AD13:AF13"/>
    <mergeCell ref="C14:E14"/>
    <mergeCell ref="F14:L14"/>
    <mergeCell ref="M14:T14"/>
    <mergeCell ref="U14:V14"/>
    <mergeCell ref="W14:AC14"/>
    <mergeCell ref="AD14:AF14"/>
    <mergeCell ref="C15:E15"/>
    <mergeCell ref="F15:L15"/>
    <mergeCell ref="M15:T15"/>
    <mergeCell ref="U15:V15"/>
    <mergeCell ref="W15:AC15"/>
    <mergeCell ref="AD15:AF15"/>
    <mergeCell ref="C16:E16"/>
    <mergeCell ref="F16:L16"/>
    <mergeCell ref="M16:T16"/>
    <mergeCell ref="U16:V16"/>
    <mergeCell ref="W16:AC16"/>
    <mergeCell ref="AD16:AF16"/>
    <mergeCell ref="C17:E17"/>
    <mergeCell ref="F17:L17"/>
    <mergeCell ref="M17:T17"/>
    <mergeCell ref="U17:V17"/>
    <mergeCell ref="W17:AC17"/>
    <mergeCell ref="AD17:AF17"/>
    <mergeCell ref="C18:E18"/>
    <mergeCell ref="F18:L18"/>
    <mergeCell ref="M18:T18"/>
    <mergeCell ref="U18:V18"/>
    <mergeCell ref="W18:AC18"/>
    <mergeCell ref="AD18:AF18"/>
    <mergeCell ref="C19:E19"/>
    <mergeCell ref="F19:L19"/>
    <mergeCell ref="M19:T19"/>
    <mergeCell ref="U19:V19"/>
    <mergeCell ref="W19:AC19"/>
    <mergeCell ref="AD19:AF19"/>
    <mergeCell ref="C20:E20"/>
    <mergeCell ref="F20:L20"/>
    <mergeCell ref="M20:T20"/>
    <mergeCell ref="U20:V20"/>
    <mergeCell ref="W20:AC20"/>
    <mergeCell ref="AD20:AF20"/>
    <mergeCell ref="C21:E21"/>
    <mergeCell ref="F21:L21"/>
    <mergeCell ref="M21:T21"/>
    <mergeCell ref="U21:V21"/>
    <mergeCell ref="W21:AC21"/>
    <mergeCell ref="AD21:AF21"/>
    <mergeCell ref="C22:E22"/>
    <mergeCell ref="F22:L22"/>
    <mergeCell ref="M22:T22"/>
    <mergeCell ref="U22:V22"/>
    <mergeCell ref="W22:AC22"/>
    <mergeCell ref="AD22:AF22"/>
    <mergeCell ref="C23:E23"/>
    <mergeCell ref="F23:L23"/>
    <mergeCell ref="M23:T23"/>
    <mergeCell ref="U23:V23"/>
    <mergeCell ref="W23:AC23"/>
    <mergeCell ref="AD23:AF23"/>
    <mergeCell ref="C24:E24"/>
    <mergeCell ref="F24:L24"/>
    <mergeCell ref="M24:T24"/>
    <mergeCell ref="U24:V24"/>
    <mergeCell ref="W24:AC24"/>
    <mergeCell ref="AD24:AF24"/>
    <mergeCell ref="C25:E25"/>
    <mergeCell ref="F25:L25"/>
    <mergeCell ref="M25:T25"/>
    <mergeCell ref="U25:V25"/>
    <mergeCell ref="W25:AC25"/>
    <mergeCell ref="AD25:AF25"/>
    <mergeCell ref="C26:E26"/>
    <mergeCell ref="F26:L26"/>
    <mergeCell ref="M26:T26"/>
    <mergeCell ref="U26:V26"/>
    <mergeCell ref="W26:AC26"/>
    <mergeCell ref="AD26:AF26"/>
    <mergeCell ref="C27:E27"/>
    <mergeCell ref="F27:L27"/>
    <mergeCell ref="M27:T27"/>
    <mergeCell ref="U27:V27"/>
    <mergeCell ref="W27:AC27"/>
    <mergeCell ref="AD27:AF27"/>
    <mergeCell ref="C28:E28"/>
    <mergeCell ref="F28:L28"/>
    <mergeCell ref="M28:T28"/>
    <mergeCell ref="U28:V28"/>
    <mergeCell ref="W28:AC28"/>
    <mergeCell ref="AD28:AF28"/>
    <mergeCell ref="C29:E29"/>
    <mergeCell ref="F29:L29"/>
    <mergeCell ref="M29:T29"/>
    <mergeCell ref="U29:V29"/>
    <mergeCell ref="W29:AC29"/>
    <mergeCell ref="AD29:AF29"/>
    <mergeCell ref="C30:E30"/>
    <mergeCell ref="F30:L30"/>
    <mergeCell ref="M30:T30"/>
    <mergeCell ref="U30:V30"/>
    <mergeCell ref="W30:AC30"/>
    <mergeCell ref="AD30:AF30"/>
    <mergeCell ref="C31:E31"/>
    <mergeCell ref="F31:L31"/>
    <mergeCell ref="M31:T31"/>
    <mergeCell ref="U31:V31"/>
    <mergeCell ref="W31:AC31"/>
    <mergeCell ref="AD31:AF31"/>
    <mergeCell ref="C32:E32"/>
    <mergeCell ref="F32:L32"/>
    <mergeCell ref="M32:T32"/>
    <mergeCell ref="U32:V32"/>
    <mergeCell ref="W32:AC32"/>
    <mergeCell ref="AD32:AF32"/>
    <mergeCell ref="C33:E33"/>
    <mergeCell ref="F33:L33"/>
    <mergeCell ref="M33:T33"/>
    <mergeCell ref="U33:V33"/>
    <mergeCell ref="W33:AC33"/>
    <mergeCell ref="AD33:AF33"/>
    <mergeCell ref="C34:E34"/>
    <mergeCell ref="F34:L34"/>
    <mergeCell ref="M34:T34"/>
    <mergeCell ref="U34:V34"/>
    <mergeCell ref="W34:AC34"/>
    <mergeCell ref="AD34:AF34"/>
    <mergeCell ref="C35:E35"/>
    <mergeCell ref="F35:L35"/>
    <mergeCell ref="M35:T35"/>
    <mergeCell ref="U35:V35"/>
    <mergeCell ref="W35:AC35"/>
    <mergeCell ref="AD35:AF35"/>
    <mergeCell ref="C36:E36"/>
    <mergeCell ref="F36:L36"/>
    <mergeCell ref="M36:T36"/>
    <mergeCell ref="U36:V36"/>
    <mergeCell ref="W36:AC36"/>
    <mergeCell ref="AD36:AF36"/>
    <mergeCell ref="C37:E37"/>
    <mergeCell ref="F37:L37"/>
    <mergeCell ref="M37:T37"/>
    <mergeCell ref="U37:V37"/>
    <mergeCell ref="W37:AC37"/>
    <mergeCell ref="AD37:AF37"/>
    <mergeCell ref="C38:E38"/>
    <mergeCell ref="F38:L38"/>
    <mergeCell ref="M38:T38"/>
    <mergeCell ref="U38:V38"/>
    <mergeCell ref="W38:AC38"/>
    <mergeCell ref="AD38:AF38"/>
    <mergeCell ref="C39:E39"/>
    <mergeCell ref="F39:L39"/>
    <mergeCell ref="M39:T39"/>
    <mergeCell ref="U39:V39"/>
    <mergeCell ref="W39:AC39"/>
    <mergeCell ref="AD39:AF39"/>
    <mergeCell ref="C40:E40"/>
    <mergeCell ref="F40:L40"/>
    <mergeCell ref="M40:T40"/>
    <mergeCell ref="U40:V40"/>
    <mergeCell ref="W40:AC40"/>
    <mergeCell ref="AD40:AF40"/>
    <mergeCell ref="C41:E41"/>
    <mergeCell ref="F41:L41"/>
    <mergeCell ref="M41:T41"/>
    <mergeCell ref="U41:V41"/>
    <mergeCell ref="W41:AC41"/>
    <mergeCell ref="AD41:AF41"/>
    <mergeCell ref="C42:E42"/>
    <mergeCell ref="F42:L42"/>
    <mergeCell ref="M42:T42"/>
    <mergeCell ref="U42:V42"/>
    <mergeCell ref="W42:AC42"/>
    <mergeCell ref="AD42:AF42"/>
    <mergeCell ref="C43:E43"/>
    <mergeCell ref="F43:L43"/>
    <mergeCell ref="M43:T43"/>
    <mergeCell ref="U43:V43"/>
    <mergeCell ref="W43:AC43"/>
    <mergeCell ref="AD43:AF43"/>
    <mergeCell ref="C44:E44"/>
    <mergeCell ref="F44:L44"/>
    <mergeCell ref="M44:T44"/>
    <mergeCell ref="U44:V44"/>
    <mergeCell ref="W44:AC44"/>
    <mergeCell ref="AD44:AF44"/>
    <mergeCell ref="C45:E45"/>
    <mergeCell ref="F45:L45"/>
    <mergeCell ref="M45:T45"/>
    <mergeCell ref="U45:V45"/>
    <mergeCell ref="W45:AC45"/>
    <mergeCell ref="AD45:AF45"/>
    <mergeCell ref="C46:E46"/>
    <mergeCell ref="F46:L46"/>
    <mergeCell ref="M46:T46"/>
    <mergeCell ref="U46:V46"/>
    <mergeCell ref="W46:AC46"/>
    <mergeCell ref="AD46:AF46"/>
    <mergeCell ref="C47:E47"/>
    <mergeCell ref="F47:L47"/>
    <mergeCell ref="M47:T47"/>
    <mergeCell ref="U47:V47"/>
    <mergeCell ref="W47:AC47"/>
    <mergeCell ref="AD47:AF47"/>
    <mergeCell ref="C48:E48"/>
    <mergeCell ref="F48:L48"/>
    <mergeCell ref="M48:T48"/>
    <mergeCell ref="U48:V48"/>
    <mergeCell ref="W48:AC48"/>
    <mergeCell ref="AD48:AF48"/>
    <mergeCell ref="C49:E49"/>
    <mergeCell ref="F49:L49"/>
    <mergeCell ref="M49:T49"/>
    <mergeCell ref="U49:V49"/>
    <mergeCell ref="W49:AC49"/>
    <mergeCell ref="AD49:AF49"/>
    <mergeCell ref="C50:E50"/>
    <mergeCell ref="F50:L50"/>
    <mergeCell ref="M50:T50"/>
    <mergeCell ref="U50:V50"/>
    <mergeCell ref="W50:AC50"/>
    <mergeCell ref="AD50:AF50"/>
    <mergeCell ref="C51:E51"/>
    <mergeCell ref="F51:L51"/>
    <mergeCell ref="M51:T51"/>
    <mergeCell ref="U51:V51"/>
    <mergeCell ref="W51:AC51"/>
    <mergeCell ref="AD51:AF51"/>
    <mergeCell ref="B52:T52"/>
    <mergeCell ref="U52:V52"/>
    <mergeCell ref="W52:AC52"/>
    <mergeCell ref="AD52:AF52"/>
    <mergeCell ref="B54:AK54"/>
    <mergeCell ref="B56:C56"/>
    <mergeCell ref="D56:F56"/>
    <mergeCell ref="G56:L56"/>
    <mergeCell ref="M56:N56"/>
    <mergeCell ref="O56:Q56"/>
    <mergeCell ref="R56:AK56"/>
    <mergeCell ref="B57:C57"/>
    <mergeCell ref="D57:F57"/>
    <mergeCell ref="G57:L57"/>
    <mergeCell ref="M57:N57"/>
    <mergeCell ref="O57:Q57"/>
    <mergeCell ref="R57:AK57"/>
    <mergeCell ref="B58:C58"/>
    <mergeCell ref="D58:F58"/>
    <mergeCell ref="G58:L58"/>
    <mergeCell ref="M58:N58"/>
    <mergeCell ref="O58:Q58"/>
    <mergeCell ref="R58:AK58"/>
    <mergeCell ref="B59:C59"/>
    <mergeCell ref="D59:F59"/>
    <mergeCell ref="G59:L59"/>
    <mergeCell ref="M59:N59"/>
    <mergeCell ref="O59:Q59"/>
    <mergeCell ref="R59:AK59"/>
    <mergeCell ref="B60:C60"/>
    <mergeCell ref="D60:F60"/>
    <mergeCell ref="G60:L60"/>
    <mergeCell ref="M60:N60"/>
    <mergeCell ref="O60:Q60"/>
    <mergeCell ref="R60:AK60"/>
    <mergeCell ref="B61:C61"/>
    <mergeCell ref="D61:F61"/>
    <mergeCell ref="G61:L61"/>
    <mergeCell ref="M61:N61"/>
    <mergeCell ref="O61:Q61"/>
    <mergeCell ref="R61:AK61"/>
    <mergeCell ref="B62:C62"/>
    <mergeCell ref="D62:F62"/>
    <mergeCell ref="G62:L62"/>
    <mergeCell ref="M62:N62"/>
    <mergeCell ref="O62:Q62"/>
    <mergeCell ref="R62:AK62"/>
    <mergeCell ref="B64:AK64"/>
    <mergeCell ref="J2:P3"/>
    <mergeCell ref="Q2:U3"/>
    <mergeCell ref="V2:Y3"/>
    <mergeCell ref="Z2:AC3"/>
    <mergeCell ref="AD2:AG3"/>
    <mergeCell ref="AH2:AK3"/>
    <mergeCell ref="A2:I3"/>
  </mergeCells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00"/>
  <sheetViews>
    <sheetView showGridLines="0" tabSelected="1" topLeftCell="A29" workbookViewId="0">
      <selection activeCell="AY30" sqref="AY30:BA30"/>
    </sheetView>
  </sheetViews>
  <sheetFormatPr defaultColWidth="14.4285714285714" defaultRowHeight="15" customHeight="1"/>
  <cols>
    <col min="1" max="69" width="4" customWidth="1"/>
  </cols>
  <sheetData>
    <row r="1" ht="22.5" customHeight="1" spans="1:69">
      <c r="A1" s="1" t="s">
        <v>239</v>
      </c>
      <c r="B1" s="2"/>
      <c r="C1" s="2"/>
      <c r="D1" s="2"/>
      <c r="E1" s="3"/>
      <c r="F1" s="4" t="s">
        <v>240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1" t="s">
        <v>241</v>
      </c>
      <c r="S1" s="2"/>
      <c r="T1" s="2"/>
      <c r="U1" s="2"/>
      <c r="V1" s="3"/>
      <c r="W1" s="4" t="s">
        <v>242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22.5" customHeight="1" spans="1:69">
      <c r="A2" s="1" t="s">
        <v>23</v>
      </c>
      <c r="B2" s="2"/>
      <c r="C2" s="2"/>
      <c r="D2" s="2"/>
      <c r="E2" s="3"/>
      <c r="F2" s="4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" t="s">
        <v>22</v>
      </c>
      <c r="S2" s="2"/>
      <c r="T2" s="2"/>
      <c r="U2" s="2"/>
      <c r="V2" s="3"/>
      <c r="W2" s="5" t="s">
        <v>8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 ht="22.5" customHeight="1" spans="1:69">
      <c r="A3" s="1" t="s">
        <v>13</v>
      </c>
      <c r="B3" s="2"/>
      <c r="C3" s="2"/>
      <c r="D3" s="2"/>
      <c r="E3" s="3"/>
      <c r="F3" s="4" t="s">
        <v>18</v>
      </c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1" t="s">
        <v>243</v>
      </c>
      <c r="S3" s="2"/>
      <c r="T3" s="2"/>
      <c r="U3" s="2"/>
      <c r="V3" s="3"/>
      <c r="W3" s="5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69">
      <c r="A4" s="1" t="s">
        <v>244</v>
      </c>
      <c r="B4" s="2"/>
      <c r="C4" s="2"/>
      <c r="D4" s="2"/>
      <c r="E4" s="3"/>
      <c r="F4" s="4" t="s">
        <v>245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/>
    </row>
    <row r="5" ht="22.5" customHeight="1" spans="1:69">
      <c r="A5" s="1" t="s">
        <v>246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1" t="s">
        <v>59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</row>
    <row r="6" ht="22.5" customHeight="1" spans="1:69">
      <c r="A6" s="1" t="s">
        <v>247</v>
      </c>
      <c r="B6" s="2"/>
      <c r="C6" s="2"/>
      <c r="D6" s="2"/>
      <c r="E6" s="2"/>
      <c r="F6" s="2"/>
      <c r="G6" s="3"/>
      <c r="H6" s="1" t="s">
        <v>60</v>
      </c>
      <c r="I6" s="2"/>
      <c r="J6" s="3"/>
      <c r="K6" s="1" t="s">
        <v>61</v>
      </c>
      <c r="L6" s="2"/>
      <c r="M6" s="3"/>
      <c r="N6" s="1" t="s">
        <v>248</v>
      </c>
      <c r="O6" s="2"/>
      <c r="P6" s="3"/>
      <c r="Q6" s="1" t="s">
        <v>58</v>
      </c>
      <c r="R6" s="2"/>
      <c r="S6" s="3"/>
      <c r="T6" s="1" t="s">
        <v>63</v>
      </c>
      <c r="U6" s="2"/>
      <c r="V6" s="3"/>
      <c r="W6" s="1" t="s">
        <v>64</v>
      </c>
      <c r="X6" s="2"/>
      <c r="Y6" s="3"/>
      <c r="Z6" s="1" t="s">
        <v>65</v>
      </c>
      <c r="AA6" s="2"/>
      <c r="AB6" s="3"/>
      <c r="AC6" s="1" t="s">
        <v>66</v>
      </c>
      <c r="AD6" s="2"/>
      <c r="AE6" s="3"/>
      <c r="AF6" s="1" t="s">
        <v>58</v>
      </c>
      <c r="AG6" s="2"/>
      <c r="AH6" s="3"/>
    </row>
    <row r="7" ht="22.5" customHeight="1" spans="1:69">
      <c r="A7" s="1" t="s">
        <v>249</v>
      </c>
      <c r="B7" s="2"/>
      <c r="C7" s="2"/>
      <c r="D7" s="2"/>
      <c r="E7" s="2"/>
      <c r="F7" s="2"/>
      <c r="G7" s="3"/>
      <c r="H7" s="6">
        <f t="shared" ref="H7:H8" si="0">COUNTIF($AE$12:$AF$1049,"N")</f>
        <v>20</v>
      </c>
      <c r="I7" s="2"/>
      <c r="J7" s="3"/>
      <c r="K7" s="6">
        <f t="shared" ref="K7:K8" si="1">COUNTIF($AE$12:$AF$1049,"A")</f>
        <v>9</v>
      </c>
      <c r="L7" s="2"/>
      <c r="M7" s="3"/>
      <c r="N7" s="6">
        <f t="shared" ref="N7:N8" si="2">COUNTIF($AE$12:$AF$1049,"B")</f>
        <v>0</v>
      </c>
      <c r="O7" s="2"/>
      <c r="P7" s="3"/>
      <c r="Q7" s="7">
        <f t="shared" ref="Q7:Q8" si="3">SUM(H7:P7)</f>
        <v>29</v>
      </c>
      <c r="R7" s="2"/>
      <c r="S7" s="3"/>
      <c r="T7" s="6">
        <f>COUNTIF($AG$12:$AI$1049,T$6)</f>
        <v>25</v>
      </c>
      <c r="U7" s="2"/>
      <c r="V7" s="3"/>
      <c r="W7" s="6">
        <f>COUNTIF($AG$12:$AI$1049,W$6)</f>
        <v>0</v>
      </c>
      <c r="X7" s="2"/>
      <c r="Y7" s="3"/>
      <c r="Z7" s="6">
        <f>COUNTIF($AG$12:$AI$1049,Z$6)</f>
        <v>3</v>
      </c>
      <c r="AA7" s="2"/>
      <c r="AB7" s="3"/>
      <c r="AC7" s="6">
        <f>COUNTIF($AG$12:$AI$1049,AC$6)</f>
        <v>1</v>
      </c>
      <c r="AD7" s="2"/>
      <c r="AE7" s="3"/>
      <c r="AF7" s="7">
        <f t="shared" ref="AF7:AF8" si="4">SUM(T7:AE7)</f>
        <v>29</v>
      </c>
      <c r="AG7" s="2"/>
      <c r="AH7" s="3"/>
    </row>
    <row r="8" ht="22.5" customHeight="1" spans="1:69">
      <c r="A8" s="1" t="s">
        <v>250</v>
      </c>
      <c r="B8" s="2"/>
      <c r="C8" s="2"/>
      <c r="D8" s="2"/>
      <c r="E8" s="2"/>
      <c r="F8" s="2"/>
      <c r="G8" s="3"/>
      <c r="H8" s="6">
        <f t="shared" si="0"/>
        <v>20</v>
      </c>
      <c r="I8" s="2"/>
      <c r="J8" s="3"/>
      <c r="K8" s="6">
        <f t="shared" si="1"/>
        <v>9</v>
      </c>
      <c r="L8" s="2"/>
      <c r="M8" s="3"/>
      <c r="N8" s="6">
        <f t="shared" si="2"/>
        <v>0</v>
      </c>
      <c r="O8" s="2"/>
      <c r="P8" s="3"/>
      <c r="Q8" s="7">
        <f t="shared" si="3"/>
        <v>29</v>
      </c>
      <c r="R8" s="2"/>
      <c r="S8" s="3"/>
      <c r="T8" s="6">
        <f>COUNTIF($AV$12:$AX$1049,T$6)</f>
        <v>28</v>
      </c>
      <c r="U8" s="2"/>
      <c r="V8" s="3"/>
      <c r="W8" s="6">
        <f>COUNTIF($AV$12:$AX$1049,W$6)</f>
        <v>0</v>
      </c>
      <c r="X8" s="2"/>
      <c r="Y8" s="3"/>
      <c r="Z8" s="6">
        <f>COUNTIF($AV$12:$AX$1049,Z$6)</f>
        <v>0</v>
      </c>
      <c r="AA8" s="2"/>
      <c r="AB8" s="3"/>
      <c r="AC8" s="6">
        <f>COUNTIF($AV$12:$AX$1049,AC$6)</f>
        <v>1</v>
      </c>
      <c r="AD8" s="2"/>
      <c r="AE8" s="3"/>
      <c r="AF8" s="7">
        <f t="shared" si="4"/>
        <v>29</v>
      </c>
      <c r="AG8" s="2"/>
      <c r="AH8" s="3"/>
    </row>
    <row r="9" ht="12.75" customHeight="1"/>
    <row r="10" ht="36" customHeight="1" spans="1:69">
      <c r="A10" s="8" t="s">
        <v>55</v>
      </c>
      <c r="B10" s="9" t="s">
        <v>251</v>
      </c>
      <c r="C10" s="10"/>
      <c r="D10" s="11"/>
      <c r="E10" s="9" t="s">
        <v>252</v>
      </c>
      <c r="F10" s="10"/>
      <c r="G10" s="10"/>
      <c r="H10" s="10"/>
      <c r="I10" s="11"/>
      <c r="J10" s="9" t="s">
        <v>253</v>
      </c>
      <c r="K10" s="10"/>
      <c r="L10" s="10"/>
      <c r="M10" s="10"/>
      <c r="N10" s="10"/>
      <c r="O10" s="10"/>
      <c r="P10" s="11"/>
      <c r="Q10" s="9" t="s">
        <v>254</v>
      </c>
      <c r="R10" s="10"/>
      <c r="S10" s="10"/>
      <c r="T10" s="10"/>
      <c r="U10" s="10"/>
      <c r="V10" s="10"/>
      <c r="W10" s="11"/>
      <c r="X10" s="9" t="s">
        <v>255</v>
      </c>
      <c r="Y10" s="10"/>
      <c r="Z10" s="10"/>
      <c r="AA10" s="10"/>
      <c r="AB10" s="10"/>
      <c r="AC10" s="10"/>
      <c r="AD10" s="11"/>
      <c r="AE10" s="9" t="s">
        <v>256</v>
      </c>
      <c r="AF10" s="11"/>
      <c r="AG10" s="1" t="s">
        <v>257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3"/>
      <c r="AV10" s="1" t="s">
        <v>258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3"/>
      <c r="BK10" s="9" t="s">
        <v>259</v>
      </c>
      <c r="BL10" s="10"/>
      <c r="BM10" s="10"/>
      <c r="BN10" s="10"/>
      <c r="BO10" s="10"/>
      <c r="BP10" s="10"/>
      <c r="BQ10" s="11"/>
    </row>
    <row r="11" ht="36" customHeight="1" spans="1:69">
      <c r="A11" s="12"/>
      <c r="B11" s="13"/>
      <c r="C11" s="14"/>
      <c r="D11" s="15"/>
      <c r="E11" s="13"/>
      <c r="F11" s="14"/>
      <c r="G11" s="14"/>
      <c r="H11" s="14"/>
      <c r="I11" s="15"/>
      <c r="J11" s="13"/>
      <c r="K11" s="14"/>
      <c r="L11" s="14"/>
      <c r="M11" s="14"/>
      <c r="N11" s="14"/>
      <c r="O11" s="14"/>
      <c r="P11" s="15"/>
      <c r="Q11" s="13"/>
      <c r="R11" s="14"/>
      <c r="S11" s="14"/>
      <c r="T11" s="14"/>
      <c r="U11" s="14"/>
      <c r="V11" s="14"/>
      <c r="W11" s="15"/>
      <c r="X11" s="13"/>
      <c r="Y11" s="14"/>
      <c r="Z11" s="14"/>
      <c r="AA11" s="14"/>
      <c r="AB11" s="14"/>
      <c r="AC11" s="14"/>
      <c r="AD11" s="15"/>
      <c r="AE11" s="13"/>
      <c r="AF11" s="15"/>
      <c r="AG11" s="1" t="s">
        <v>260</v>
      </c>
      <c r="AH11" s="2"/>
      <c r="AI11" s="3"/>
      <c r="AJ11" s="1" t="s">
        <v>261</v>
      </c>
      <c r="AK11" s="2"/>
      <c r="AL11" s="3"/>
      <c r="AM11" s="1" t="s">
        <v>11</v>
      </c>
      <c r="AN11" s="2"/>
      <c r="AO11" s="3"/>
      <c r="AP11" s="1" t="s">
        <v>262</v>
      </c>
      <c r="AQ11" s="2"/>
      <c r="AR11" s="3"/>
      <c r="AS11" s="1" t="s">
        <v>263</v>
      </c>
      <c r="AT11" s="2"/>
      <c r="AU11" s="3"/>
      <c r="AV11" s="1" t="s">
        <v>260</v>
      </c>
      <c r="AW11" s="2"/>
      <c r="AX11" s="3"/>
      <c r="AY11" s="1" t="s">
        <v>261</v>
      </c>
      <c r="AZ11" s="2"/>
      <c r="BA11" s="3"/>
      <c r="BB11" s="1" t="s">
        <v>11</v>
      </c>
      <c r="BC11" s="2"/>
      <c r="BD11" s="3"/>
      <c r="BE11" s="1" t="s">
        <v>262</v>
      </c>
      <c r="BF11" s="2"/>
      <c r="BG11" s="3"/>
      <c r="BH11" s="1" t="s">
        <v>263</v>
      </c>
      <c r="BI11" s="2"/>
      <c r="BJ11" s="3"/>
      <c r="BK11" s="13"/>
      <c r="BL11" s="14"/>
      <c r="BM11" s="14"/>
      <c r="BN11" s="14"/>
      <c r="BO11" s="14"/>
      <c r="BP11" s="14"/>
      <c r="BQ11" s="15"/>
    </row>
    <row r="12" ht="22.5" customHeight="1" spans="1:69">
      <c r="A12" s="16" t="s">
        <v>264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3"/>
    </row>
    <row r="13" ht="303.75" customHeight="1" spans="1:69">
      <c r="A13" s="17">
        <v>1</v>
      </c>
      <c r="B13" s="18" t="s">
        <v>265</v>
      </c>
      <c r="C13" s="2"/>
      <c r="D13" s="3"/>
      <c r="E13" s="18" t="s">
        <v>266</v>
      </c>
      <c r="F13" s="2"/>
      <c r="G13" s="2"/>
      <c r="H13" s="2"/>
      <c r="I13" s="3"/>
      <c r="J13" s="18" t="s">
        <v>267</v>
      </c>
      <c r="K13" s="2"/>
      <c r="L13" s="2"/>
      <c r="M13" s="2"/>
      <c r="N13" s="2"/>
      <c r="O13" s="2"/>
      <c r="P13" s="3"/>
      <c r="Q13" s="18" t="s">
        <v>268</v>
      </c>
      <c r="R13" s="2"/>
      <c r="S13" s="2"/>
      <c r="T13" s="2"/>
      <c r="U13" s="2"/>
      <c r="V13" s="2"/>
      <c r="W13" s="3"/>
      <c r="X13" s="18" t="s">
        <v>269</v>
      </c>
      <c r="Y13" s="2"/>
      <c r="Z13" s="2"/>
      <c r="AA13" s="2"/>
      <c r="AB13" s="2"/>
      <c r="AC13" s="2"/>
      <c r="AD13" s="3"/>
      <c r="AE13" s="19" t="s">
        <v>213</v>
      </c>
      <c r="AF13" s="3"/>
      <c r="AG13" s="19" t="s">
        <v>63</v>
      </c>
      <c r="AH13" s="2"/>
      <c r="AI13" s="3"/>
      <c r="AJ13" s="19"/>
      <c r="AK13" s="2"/>
      <c r="AL13" s="3"/>
      <c r="AM13" s="19" t="s">
        <v>270</v>
      </c>
      <c r="AN13" s="2"/>
      <c r="AO13" s="3"/>
      <c r="AP13" s="20">
        <v>46199</v>
      </c>
      <c r="AQ13" s="2"/>
      <c r="AR13" s="3"/>
      <c r="AS13" s="19"/>
      <c r="AT13" s="2"/>
      <c r="AU13" s="3"/>
      <c r="AV13" s="19" t="s">
        <v>63</v>
      </c>
      <c r="AW13" s="2"/>
      <c r="AX13" s="3"/>
      <c r="AY13" s="19"/>
      <c r="AZ13" s="2"/>
      <c r="BA13" s="3"/>
      <c r="BB13" s="19" t="s">
        <v>271</v>
      </c>
      <c r="BC13" s="2"/>
      <c r="BD13" s="3"/>
      <c r="BE13" s="20">
        <v>46244</v>
      </c>
      <c r="BF13" s="2"/>
      <c r="BG13" s="3"/>
      <c r="BH13" s="19"/>
      <c r="BI13" s="2"/>
      <c r="BJ13" s="3"/>
      <c r="BK13" s="18"/>
      <c r="BL13" s="2"/>
      <c r="BM13" s="2"/>
      <c r="BN13" s="2"/>
      <c r="BO13" s="2"/>
      <c r="BP13" s="2"/>
      <c r="BQ13" s="3"/>
    </row>
    <row r="14" ht="409.5" customHeight="1" spans="1:69">
      <c r="A14" s="17">
        <v>2</v>
      </c>
      <c r="B14" s="18" t="s">
        <v>272</v>
      </c>
      <c r="C14" s="2"/>
      <c r="D14" s="3"/>
      <c r="E14" s="18" t="s">
        <v>273</v>
      </c>
      <c r="F14" s="2"/>
      <c r="G14" s="2"/>
      <c r="H14" s="2"/>
      <c r="I14" s="3"/>
      <c r="J14" s="18" t="s">
        <v>274</v>
      </c>
      <c r="K14" s="2"/>
      <c r="L14" s="2"/>
      <c r="M14" s="2"/>
      <c r="N14" s="2"/>
      <c r="O14" s="2"/>
      <c r="P14" s="3"/>
      <c r="Q14" s="18" t="s">
        <v>275</v>
      </c>
      <c r="R14" s="2"/>
      <c r="S14" s="2"/>
      <c r="T14" s="2"/>
      <c r="U14" s="2"/>
      <c r="V14" s="2"/>
      <c r="W14" s="3"/>
      <c r="X14" s="18" t="s">
        <v>276</v>
      </c>
      <c r="Y14" s="2"/>
      <c r="Z14" s="2"/>
      <c r="AA14" s="2"/>
      <c r="AB14" s="2"/>
      <c r="AC14" s="2"/>
      <c r="AD14" s="3"/>
      <c r="AE14" s="19" t="s">
        <v>277</v>
      </c>
      <c r="AF14" s="3"/>
      <c r="AG14" s="19" t="s">
        <v>63</v>
      </c>
      <c r="AH14" s="2"/>
      <c r="AI14" s="3"/>
      <c r="AJ14" s="19"/>
      <c r="AK14" s="2"/>
      <c r="AL14" s="3"/>
      <c r="AM14" s="19" t="s">
        <v>270</v>
      </c>
      <c r="AN14" s="2"/>
      <c r="AO14" s="3"/>
      <c r="AP14" s="20">
        <v>46199</v>
      </c>
      <c r="AQ14" s="2"/>
      <c r="AR14" s="3"/>
      <c r="AS14" s="19"/>
      <c r="AT14" s="2"/>
      <c r="AU14" s="3"/>
      <c r="AV14" s="19" t="s">
        <v>63</v>
      </c>
      <c r="AW14" s="2"/>
      <c r="AX14" s="3"/>
      <c r="AY14" s="19"/>
      <c r="AZ14" s="2"/>
      <c r="BA14" s="3"/>
      <c r="BB14" s="19" t="s">
        <v>271</v>
      </c>
      <c r="BC14" s="2"/>
      <c r="BD14" s="3"/>
      <c r="BE14" s="20">
        <v>46244</v>
      </c>
      <c r="BF14" s="2"/>
      <c r="BG14" s="3"/>
      <c r="BH14" s="19"/>
      <c r="BI14" s="2"/>
      <c r="BJ14" s="3"/>
      <c r="BK14" s="18" t="s">
        <v>278</v>
      </c>
      <c r="BL14" s="2"/>
      <c r="BM14" s="2"/>
      <c r="BN14" s="2"/>
      <c r="BO14" s="2"/>
      <c r="BP14" s="2"/>
      <c r="BQ14" s="3"/>
    </row>
    <row r="15" ht="409.5" customHeight="1" spans="1:69">
      <c r="A15" s="17">
        <v>3</v>
      </c>
      <c r="B15" s="18" t="s">
        <v>279</v>
      </c>
      <c r="C15" s="2"/>
      <c r="D15" s="3"/>
      <c r="E15" s="18" t="s">
        <v>280</v>
      </c>
      <c r="F15" s="2"/>
      <c r="G15" s="2"/>
      <c r="H15" s="2"/>
      <c r="I15" s="3"/>
      <c r="J15" s="18" t="s">
        <v>281</v>
      </c>
      <c r="K15" s="2"/>
      <c r="L15" s="2"/>
      <c r="M15" s="2"/>
      <c r="N15" s="2"/>
      <c r="O15" s="2"/>
      <c r="P15" s="3"/>
      <c r="Q15" s="18" t="s">
        <v>282</v>
      </c>
      <c r="R15" s="2"/>
      <c r="S15" s="2"/>
      <c r="T15" s="2"/>
      <c r="U15" s="2"/>
      <c r="V15" s="2"/>
      <c r="W15" s="3"/>
      <c r="X15" s="18" t="s">
        <v>283</v>
      </c>
      <c r="Y15" s="2"/>
      <c r="Z15" s="2"/>
      <c r="AA15" s="2"/>
      <c r="AB15" s="2"/>
      <c r="AC15" s="2"/>
      <c r="AD15" s="3"/>
      <c r="AE15" s="19" t="s">
        <v>277</v>
      </c>
      <c r="AF15" s="3"/>
      <c r="AG15" s="21" t="s">
        <v>63</v>
      </c>
      <c r="AH15" s="2"/>
      <c r="AI15" s="3"/>
      <c r="AJ15" s="22"/>
      <c r="AK15" s="2"/>
      <c r="AL15" s="3"/>
      <c r="AM15" s="21" t="s">
        <v>270</v>
      </c>
      <c r="AN15" s="2"/>
      <c r="AO15" s="3"/>
      <c r="AP15" s="23">
        <v>46199</v>
      </c>
      <c r="AQ15" s="2"/>
      <c r="AR15" s="3"/>
      <c r="AS15" s="19"/>
      <c r="AT15" s="2"/>
      <c r="AU15" s="3"/>
      <c r="AV15" s="19" t="s">
        <v>63</v>
      </c>
      <c r="AW15" s="2"/>
      <c r="AX15" s="3"/>
      <c r="AY15" s="19"/>
      <c r="AZ15" s="2"/>
      <c r="BA15" s="3"/>
      <c r="BB15" s="19" t="s">
        <v>271</v>
      </c>
      <c r="BC15" s="2"/>
      <c r="BD15" s="3"/>
      <c r="BE15" s="20">
        <v>46244</v>
      </c>
      <c r="BF15" s="2"/>
      <c r="BG15" s="3"/>
      <c r="BH15" s="19"/>
      <c r="BI15" s="2"/>
      <c r="BJ15" s="3"/>
      <c r="BK15" s="18"/>
      <c r="BL15" s="2"/>
      <c r="BM15" s="2"/>
      <c r="BN15" s="2"/>
      <c r="BO15" s="2"/>
      <c r="BP15" s="2"/>
      <c r="BQ15" s="3"/>
    </row>
    <row r="16" ht="409.5" customHeight="1" spans="1:69">
      <c r="A16" s="17">
        <v>4</v>
      </c>
      <c r="B16" s="18" t="s">
        <v>284</v>
      </c>
      <c r="C16" s="2"/>
      <c r="D16" s="3"/>
      <c r="E16" s="18" t="s">
        <v>285</v>
      </c>
      <c r="F16" s="2"/>
      <c r="G16" s="2"/>
      <c r="H16" s="2"/>
      <c r="I16" s="3"/>
      <c r="J16" s="18" t="s">
        <v>286</v>
      </c>
      <c r="K16" s="2"/>
      <c r="L16" s="2"/>
      <c r="M16" s="2"/>
      <c r="N16" s="2"/>
      <c r="O16" s="2"/>
      <c r="P16" s="3"/>
      <c r="Q16" s="18" t="s">
        <v>287</v>
      </c>
      <c r="R16" s="2"/>
      <c r="S16" s="2"/>
      <c r="T16" s="2"/>
      <c r="U16" s="2"/>
      <c r="V16" s="2"/>
      <c r="W16" s="3"/>
      <c r="X16" s="18" t="s">
        <v>288</v>
      </c>
      <c r="Y16" s="2"/>
      <c r="Z16" s="2"/>
      <c r="AA16" s="2"/>
      <c r="AB16" s="2"/>
      <c r="AC16" s="2"/>
      <c r="AD16" s="3"/>
      <c r="AE16" s="19" t="s">
        <v>277</v>
      </c>
      <c r="AF16" s="3"/>
      <c r="AG16" s="21" t="s">
        <v>63</v>
      </c>
      <c r="AH16" s="2"/>
      <c r="AI16" s="3"/>
      <c r="AJ16" s="22"/>
      <c r="AK16" s="2"/>
      <c r="AL16" s="3"/>
      <c r="AM16" s="21" t="s">
        <v>270</v>
      </c>
      <c r="AN16" s="2"/>
      <c r="AO16" s="3"/>
      <c r="AP16" s="23">
        <v>46199</v>
      </c>
      <c r="AQ16" s="2"/>
      <c r="AR16" s="3"/>
      <c r="AS16" s="19"/>
      <c r="AT16" s="2"/>
      <c r="AU16" s="3"/>
      <c r="AV16" s="19" t="s">
        <v>63</v>
      </c>
      <c r="AW16" s="2"/>
      <c r="AX16" s="3"/>
      <c r="AY16" s="19"/>
      <c r="AZ16" s="2"/>
      <c r="BA16" s="3"/>
      <c r="BB16" s="19" t="s">
        <v>271</v>
      </c>
      <c r="BC16" s="2"/>
      <c r="BD16" s="3"/>
      <c r="BE16" s="20">
        <v>46244</v>
      </c>
      <c r="BF16" s="2"/>
      <c r="BG16" s="3"/>
      <c r="BH16" s="19"/>
      <c r="BI16" s="2"/>
      <c r="BJ16" s="3"/>
      <c r="BK16" s="18"/>
      <c r="BL16" s="2"/>
      <c r="BM16" s="2"/>
      <c r="BN16" s="2"/>
      <c r="BO16" s="2"/>
      <c r="BP16" s="2"/>
      <c r="BQ16" s="3"/>
    </row>
    <row r="17" ht="409.5" customHeight="1" spans="1:69">
      <c r="A17" s="17">
        <v>5</v>
      </c>
      <c r="B17" s="18" t="s">
        <v>289</v>
      </c>
      <c r="C17" s="2"/>
      <c r="D17" s="3"/>
      <c r="E17" s="18" t="s">
        <v>290</v>
      </c>
      <c r="F17" s="2"/>
      <c r="G17" s="2"/>
      <c r="H17" s="2"/>
      <c r="I17" s="3"/>
      <c r="J17" s="18" t="s">
        <v>291</v>
      </c>
      <c r="K17" s="2"/>
      <c r="L17" s="2"/>
      <c r="M17" s="2"/>
      <c r="N17" s="2"/>
      <c r="O17" s="2"/>
      <c r="P17" s="3"/>
      <c r="Q17" s="18" t="s">
        <v>292</v>
      </c>
      <c r="R17" s="2"/>
      <c r="S17" s="2"/>
      <c r="T17" s="2"/>
      <c r="U17" s="2"/>
      <c r="V17" s="2"/>
      <c r="W17" s="3"/>
      <c r="X17" s="18" t="s">
        <v>293</v>
      </c>
      <c r="Y17" s="2"/>
      <c r="Z17" s="2"/>
      <c r="AA17" s="2"/>
      <c r="AB17" s="2"/>
      <c r="AC17" s="2"/>
      <c r="AD17" s="3"/>
      <c r="AE17" s="19" t="s">
        <v>277</v>
      </c>
      <c r="AF17" s="3"/>
      <c r="AG17" s="21" t="s">
        <v>63</v>
      </c>
      <c r="AH17" s="2"/>
      <c r="AI17" s="3"/>
      <c r="AJ17" s="22"/>
      <c r="AK17" s="2"/>
      <c r="AL17" s="3"/>
      <c r="AM17" s="21" t="s">
        <v>270</v>
      </c>
      <c r="AN17" s="2"/>
      <c r="AO17" s="3"/>
      <c r="AP17" s="23">
        <v>46199</v>
      </c>
      <c r="AQ17" s="2"/>
      <c r="AR17" s="3"/>
      <c r="AS17" s="19"/>
      <c r="AT17" s="2"/>
      <c r="AU17" s="3"/>
      <c r="AV17" s="19" t="s">
        <v>63</v>
      </c>
      <c r="AW17" s="2"/>
      <c r="AX17" s="3"/>
      <c r="AY17" s="19"/>
      <c r="AZ17" s="2"/>
      <c r="BA17" s="3"/>
      <c r="BB17" s="19" t="s">
        <v>271</v>
      </c>
      <c r="BC17" s="2"/>
      <c r="BD17" s="3"/>
      <c r="BE17" s="20">
        <v>46244</v>
      </c>
      <c r="BF17" s="2"/>
      <c r="BG17" s="3"/>
      <c r="BH17" s="19"/>
      <c r="BI17" s="2"/>
      <c r="BJ17" s="3"/>
      <c r="BK17" s="18"/>
      <c r="BL17" s="2"/>
      <c r="BM17" s="2"/>
      <c r="BN17" s="2"/>
      <c r="BO17" s="2"/>
      <c r="BP17" s="2"/>
      <c r="BQ17" s="3"/>
    </row>
    <row r="18" ht="409.5" customHeight="1" spans="1:69">
      <c r="A18" s="17">
        <v>6</v>
      </c>
      <c r="B18" s="18" t="s">
        <v>294</v>
      </c>
      <c r="C18" s="2"/>
      <c r="D18" s="3"/>
      <c r="E18" s="18" t="s">
        <v>295</v>
      </c>
      <c r="F18" s="2"/>
      <c r="G18" s="2"/>
      <c r="H18" s="2"/>
      <c r="I18" s="3"/>
      <c r="J18" s="18" t="s">
        <v>296</v>
      </c>
      <c r="K18" s="2"/>
      <c r="L18" s="2"/>
      <c r="M18" s="2"/>
      <c r="N18" s="2"/>
      <c r="O18" s="2"/>
      <c r="P18" s="3"/>
      <c r="Q18" s="18" t="s">
        <v>292</v>
      </c>
      <c r="R18" s="2"/>
      <c r="S18" s="2"/>
      <c r="T18" s="2"/>
      <c r="U18" s="2"/>
      <c r="V18" s="2"/>
      <c r="W18" s="3"/>
      <c r="X18" s="18" t="s">
        <v>297</v>
      </c>
      <c r="Y18" s="2"/>
      <c r="Z18" s="2"/>
      <c r="AA18" s="2"/>
      <c r="AB18" s="2"/>
      <c r="AC18" s="2"/>
      <c r="AD18" s="3"/>
      <c r="AE18" s="19" t="s">
        <v>277</v>
      </c>
      <c r="AF18" s="3"/>
      <c r="AG18" s="21" t="s">
        <v>63</v>
      </c>
      <c r="AH18" s="2"/>
      <c r="AI18" s="3"/>
      <c r="AJ18" s="22"/>
      <c r="AK18" s="2"/>
      <c r="AL18" s="3"/>
      <c r="AM18" s="21" t="s">
        <v>270</v>
      </c>
      <c r="AN18" s="2"/>
      <c r="AO18" s="3"/>
      <c r="AP18" s="23">
        <v>46199</v>
      </c>
      <c r="AQ18" s="2"/>
      <c r="AR18" s="3"/>
      <c r="AS18" s="19"/>
      <c r="AT18" s="2"/>
      <c r="AU18" s="3"/>
      <c r="AV18" s="19" t="s">
        <v>63</v>
      </c>
      <c r="AW18" s="2"/>
      <c r="AX18" s="3"/>
      <c r="AY18" s="19"/>
      <c r="AZ18" s="2"/>
      <c r="BA18" s="3"/>
      <c r="BB18" s="19" t="s">
        <v>271</v>
      </c>
      <c r="BC18" s="2"/>
      <c r="BD18" s="3"/>
      <c r="BE18" s="20">
        <v>46244</v>
      </c>
      <c r="BF18" s="2"/>
      <c r="BG18" s="3"/>
      <c r="BH18" s="19"/>
      <c r="BI18" s="2"/>
      <c r="BJ18" s="3"/>
      <c r="BK18" s="18" t="s">
        <v>298</v>
      </c>
      <c r="BL18" s="2"/>
      <c r="BM18" s="2"/>
      <c r="BN18" s="2"/>
      <c r="BO18" s="2"/>
      <c r="BP18" s="2"/>
      <c r="BQ18" s="3"/>
    </row>
    <row r="19" ht="22.5" customHeight="1" spans="1:69">
      <c r="A19" s="16" t="s">
        <v>299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3"/>
    </row>
    <row r="20" ht="288" customHeight="1" spans="1:69">
      <c r="A20" s="17">
        <v>7</v>
      </c>
      <c r="B20" s="18" t="s">
        <v>300</v>
      </c>
      <c r="C20" s="2"/>
      <c r="D20" s="3"/>
      <c r="E20" s="18" t="s">
        <v>301</v>
      </c>
      <c r="F20" s="2"/>
      <c r="G20" s="2"/>
      <c r="H20" s="2"/>
      <c r="I20" s="3"/>
      <c r="J20" s="18" t="s">
        <v>302</v>
      </c>
      <c r="K20" s="2"/>
      <c r="L20" s="2"/>
      <c r="M20" s="2"/>
      <c r="N20" s="2"/>
      <c r="O20" s="2"/>
      <c r="P20" s="3"/>
      <c r="Q20" s="18" t="s">
        <v>303</v>
      </c>
      <c r="R20" s="2"/>
      <c r="S20" s="2"/>
      <c r="T20" s="2"/>
      <c r="U20" s="2"/>
      <c r="V20" s="2"/>
      <c r="W20" s="3"/>
      <c r="X20" s="18" t="s">
        <v>304</v>
      </c>
      <c r="Y20" s="2"/>
      <c r="Z20" s="2"/>
      <c r="AA20" s="2"/>
      <c r="AB20" s="2"/>
      <c r="AC20" s="2"/>
      <c r="AD20" s="3"/>
      <c r="AE20" s="19" t="s">
        <v>277</v>
      </c>
      <c r="AF20" s="3"/>
      <c r="AG20" s="21" t="s">
        <v>63</v>
      </c>
      <c r="AH20" s="2"/>
      <c r="AI20" s="3"/>
      <c r="AJ20" s="22"/>
      <c r="AK20" s="2"/>
      <c r="AL20" s="3"/>
      <c r="AM20" s="21" t="s">
        <v>270</v>
      </c>
      <c r="AN20" s="2"/>
      <c r="AO20" s="3"/>
      <c r="AP20" s="23">
        <v>46199</v>
      </c>
      <c r="AQ20" s="2"/>
      <c r="AR20" s="3"/>
      <c r="AS20" s="19"/>
      <c r="AT20" s="2"/>
      <c r="AU20" s="3"/>
      <c r="AV20" s="19" t="s">
        <v>63</v>
      </c>
      <c r="AW20" s="2"/>
      <c r="AX20" s="3"/>
      <c r="AY20" s="19"/>
      <c r="AZ20" s="2"/>
      <c r="BA20" s="3"/>
      <c r="BB20" s="19" t="s">
        <v>271</v>
      </c>
      <c r="BC20" s="2"/>
      <c r="BD20" s="3"/>
      <c r="BE20" s="20">
        <v>46244</v>
      </c>
      <c r="BF20" s="2"/>
      <c r="BG20" s="3"/>
      <c r="BH20" s="19"/>
      <c r="BI20" s="2"/>
      <c r="BJ20" s="3"/>
      <c r="BK20" s="18"/>
      <c r="BL20" s="2"/>
      <c r="BM20" s="2"/>
      <c r="BN20" s="2"/>
      <c r="BO20" s="2"/>
      <c r="BP20" s="2"/>
      <c r="BQ20" s="3"/>
    </row>
    <row r="21" ht="351.75" customHeight="1" spans="1:69">
      <c r="A21" s="17">
        <v>8</v>
      </c>
      <c r="B21" s="18" t="s">
        <v>305</v>
      </c>
      <c r="C21" s="2"/>
      <c r="D21" s="3"/>
      <c r="E21" s="18" t="s">
        <v>306</v>
      </c>
      <c r="F21" s="2"/>
      <c r="G21" s="2"/>
      <c r="H21" s="2"/>
      <c r="I21" s="3"/>
      <c r="J21" s="18" t="s">
        <v>307</v>
      </c>
      <c r="K21" s="2"/>
      <c r="L21" s="2"/>
      <c r="M21" s="2"/>
      <c r="N21" s="2"/>
      <c r="O21" s="2"/>
      <c r="P21" s="3"/>
      <c r="Q21" s="18" t="s">
        <v>308</v>
      </c>
      <c r="R21" s="2"/>
      <c r="S21" s="2"/>
      <c r="T21" s="2"/>
      <c r="U21" s="2"/>
      <c r="V21" s="2"/>
      <c r="W21" s="3"/>
      <c r="X21" s="18" t="s">
        <v>309</v>
      </c>
      <c r="Y21" s="2"/>
      <c r="Z21" s="2"/>
      <c r="AA21" s="2"/>
      <c r="AB21" s="2"/>
      <c r="AC21" s="2"/>
      <c r="AD21" s="3"/>
      <c r="AE21" s="19" t="s">
        <v>277</v>
      </c>
      <c r="AF21" s="3"/>
      <c r="AG21" s="21" t="s">
        <v>63</v>
      </c>
      <c r="AH21" s="2"/>
      <c r="AI21" s="3"/>
      <c r="AJ21" s="22"/>
      <c r="AK21" s="2"/>
      <c r="AL21" s="3"/>
      <c r="AM21" s="21" t="s">
        <v>270</v>
      </c>
      <c r="AN21" s="2"/>
      <c r="AO21" s="3"/>
      <c r="AP21" s="23">
        <v>46199</v>
      </c>
      <c r="AQ21" s="2"/>
      <c r="AR21" s="3"/>
      <c r="AS21" s="19"/>
      <c r="AT21" s="2"/>
      <c r="AU21" s="3"/>
      <c r="AV21" s="19" t="s">
        <v>63</v>
      </c>
      <c r="AW21" s="2"/>
      <c r="AX21" s="3"/>
      <c r="AY21" s="19"/>
      <c r="AZ21" s="2"/>
      <c r="BA21" s="3"/>
      <c r="BB21" s="19" t="s">
        <v>271</v>
      </c>
      <c r="BC21" s="2"/>
      <c r="BD21" s="3"/>
      <c r="BE21" s="20">
        <v>46244</v>
      </c>
      <c r="BF21" s="2"/>
      <c r="BG21" s="3"/>
      <c r="BH21" s="19"/>
      <c r="BI21" s="2"/>
      <c r="BJ21" s="3"/>
      <c r="BK21" s="18"/>
      <c r="BL21" s="2"/>
      <c r="BM21" s="2"/>
      <c r="BN21" s="2"/>
      <c r="BO21" s="2"/>
      <c r="BP21" s="2"/>
      <c r="BQ21" s="3"/>
    </row>
    <row r="22" ht="409.5" customHeight="1" spans="1:69">
      <c r="A22" s="17">
        <v>9</v>
      </c>
      <c r="B22" s="18" t="s">
        <v>310</v>
      </c>
      <c r="C22" s="2"/>
      <c r="D22" s="3"/>
      <c r="E22" s="18" t="s">
        <v>311</v>
      </c>
      <c r="F22" s="2"/>
      <c r="G22" s="2"/>
      <c r="H22" s="2"/>
      <c r="I22" s="3"/>
      <c r="J22" s="18" t="s">
        <v>312</v>
      </c>
      <c r="K22" s="2"/>
      <c r="L22" s="2"/>
      <c r="M22" s="2"/>
      <c r="N22" s="2"/>
      <c r="O22" s="2"/>
      <c r="P22" s="3"/>
      <c r="Q22" s="18" t="s">
        <v>313</v>
      </c>
      <c r="R22" s="2"/>
      <c r="S22" s="2"/>
      <c r="T22" s="2"/>
      <c r="U22" s="2"/>
      <c r="V22" s="2"/>
      <c r="W22" s="3"/>
      <c r="X22" s="18" t="s">
        <v>314</v>
      </c>
      <c r="Y22" s="2"/>
      <c r="Z22" s="2"/>
      <c r="AA22" s="2"/>
      <c r="AB22" s="2"/>
      <c r="AC22" s="2"/>
      <c r="AD22" s="3"/>
      <c r="AE22" s="19" t="s">
        <v>277</v>
      </c>
      <c r="AF22" s="3"/>
      <c r="AG22" s="21" t="s">
        <v>63</v>
      </c>
      <c r="AH22" s="2"/>
      <c r="AI22" s="3"/>
      <c r="AJ22" s="22"/>
      <c r="AK22" s="2"/>
      <c r="AL22" s="3"/>
      <c r="AM22" s="21" t="s">
        <v>270</v>
      </c>
      <c r="AN22" s="2"/>
      <c r="AO22" s="3"/>
      <c r="AP22" s="23">
        <v>46199</v>
      </c>
      <c r="AQ22" s="2"/>
      <c r="AR22" s="3"/>
      <c r="AS22" s="19"/>
      <c r="AT22" s="2"/>
      <c r="AU22" s="3"/>
      <c r="AV22" s="19" t="s">
        <v>63</v>
      </c>
      <c r="AW22" s="2"/>
      <c r="AX22" s="3"/>
      <c r="AY22" s="19"/>
      <c r="AZ22" s="2"/>
      <c r="BA22" s="3"/>
      <c r="BB22" s="19" t="s">
        <v>271</v>
      </c>
      <c r="BC22" s="2"/>
      <c r="BD22" s="3"/>
      <c r="BE22" s="20">
        <v>46244</v>
      </c>
      <c r="BF22" s="2"/>
      <c r="BG22" s="3"/>
      <c r="BH22" s="19"/>
      <c r="BI22" s="2"/>
      <c r="BJ22" s="3"/>
      <c r="BK22" s="18"/>
      <c r="BL22" s="2"/>
      <c r="BM22" s="2"/>
      <c r="BN22" s="2"/>
      <c r="BO22" s="2"/>
      <c r="BP22" s="2"/>
      <c r="BQ22" s="3"/>
    </row>
    <row r="23" ht="303.75" customHeight="1" spans="1:69">
      <c r="A23" s="17">
        <v>10</v>
      </c>
      <c r="B23" s="18" t="s">
        <v>315</v>
      </c>
      <c r="C23" s="2"/>
      <c r="D23" s="3"/>
      <c r="E23" s="18" t="s">
        <v>316</v>
      </c>
      <c r="F23" s="2"/>
      <c r="G23" s="2"/>
      <c r="H23" s="2"/>
      <c r="I23" s="3"/>
      <c r="J23" s="18" t="s">
        <v>317</v>
      </c>
      <c r="K23" s="2"/>
      <c r="L23" s="2"/>
      <c r="M23" s="2"/>
      <c r="N23" s="2"/>
      <c r="O23" s="2"/>
      <c r="P23" s="3"/>
      <c r="Q23" s="18" t="s">
        <v>318</v>
      </c>
      <c r="R23" s="2"/>
      <c r="S23" s="2"/>
      <c r="T23" s="2"/>
      <c r="U23" s="2"/>
      <c r="V23" s="2"/>
      <c r="W23" s="3"/>
      <c r="X23" s="18" t="s">
        <v>319</v>
      </c>
      <c r="Y23" s="2"/>
      <c r="Z23" s="2"/>
      <c r="AA23" s="2"/>
      <c r="AB23" s="2"/>
      <c r="AC23" s="2"/>
      <c r="AD23" s="3"/>
      <c r="AE23" s="19" t="s">
        <v>277</v>
      </c>
      <c r="AF23" s="3"/>
      <c r="AG23" s="21" t="s">
        <v>63</v>
      </c>
      <c r="AH23" s="2"/>
      <c r="AI23" s="3"/>
      <c r="AJ23" s="22"/>
      <c r="AK23" s="2"/>
      <c r="AL23" s="3"/>
      <c r="AM23" s="21" t="s">
        <v>270</v>
      </c>
      <c r="AN23" s="2"/>
      <c r="AO23" s="3"/>
      <c r="AP23" s="23">
        <v>46199</v>
      </c>
      <c r="AQ23" s="2"/>
      <c r="AR23" s="3"/>
      <c r="AS23" s="19"/>
      <c r="AT23" s="2"/>
      <c r="AU23" s="3"/>
      <c r="AV23" s="19" t="s">
        <v>63</v>
      </c>
      <c r="AW23" s="2"/>
      <c r="AX23" s="3"/>
      <c r="AY23" s="19"/>
      <c r="AZ23" s="2"/>
      <c r="BA23" s="3"/>
      <c r="BB23" s="19" t="s">
        <v>271</v>
      </c>
      <c r="BC23" s="2"/>
      <c r="BD23" s="3"/>
      <c r="BE23" s="20">
        <v>46244</v>
      </c>
      <c r="BF23" s="2"/>
      <c r="BG23" s="3"/>
      <c r="BH23" s="19"/>
      <c r="BI23" s="2"/>
      <c r="BJ23" s="3"/>
      <c r="BK23" s="18"/>
      <c r="BL23" s="2"/>
      <c r="BM23" s="2"/>
      <c r="BN23" s="2"/>
      <c r="BO23" s="2"/>
      <c r="BP23" s="2"/>
      <c r="BQ23" s="3"/>
    </row>
    <row r="24" ht="303.75" customHeight="1" spans="1:69">
      <c r="A24" s="17">
        <v>11</v>
      </c>
      <c r="B24" s="18" t="s">
        <v>320</v>
      </c>
      <c r="C24" s="2"/>
      <c r="D24" s="3"/>
      <c r="E24" s="18" t="s">
        <v>321</v>
      </c>
      <c r="F24" s="2"/>
      <c r="G24" s="2"/>
      <c r="H24" s="2"/>
      <c r="I24" s="3"/>
      <c r="J24" s="18" t="s">
        <v>322</v>
      </c>
      <c r="K24" s="2"/>
      <c r="L24" s="2"/>
      <c r="M24" s="2"/>
      <c r="N24" s="2"/>
      <c r="O24" s="2"/>
      <c r="P24" s="3"/>
      <c r="Q24" s="18" t="s">
        <v>323</v>
      </c>
      <c r="R24" s="2"/>
      <c r="S24" s="2"/>
      <c r="T24" s="2"/>
      <c r="U24" s="2"/>
      <c r="V24" s="2"/>
      <c r="W24" s="3"/>
      <c r="X24" s="18" t="s">
        <v>324</v>
      </c>
      <c r="Y24" s="2"/>
      <c r="Z24" s="2"/>
      <c r="AA24" s="2"/>
      <c r="AB24" s="2"/>
      <c r="AC24" s="2"/>
      <c r="AD24" s="3"/>
      <c r="AE24" s="19" t="s">
        <v>277</v>
      </c>
      <c r="AF24" s="3"/>
      <c r="AG24" s="21" t="s">
        <v>63</v>
      </c>
      <c r="AH24" s="2"/>
      <c r="AI24" s="3"/>
      <c r="AJ24" s="22"/>
      <c r="AK24" s="2"/>
      <c r="AL24" s="3"/>
      <c r="AM24" s="21" t="s">
        <v>270</v>
      </c>
      <c r="AN24" s="2"/>
      <c r="AO24" s="3"/>
      <c r="AP24" s="23">
        <v>46199</v>
      </c>
      <c r="AQ24" s="2"/>
      <c r="AR24" s="3"/>
      <c r="AS24" s="19"/>
      <c r="AT24" s="2"/>
      <c r="AU24" s="3"/>
      <c r="AV24" s="19" t="s">
        <v>63</v>
      </c>
      <c r="AW24" s="2"/>
      <c r="AX24" s="3"/>
      <c r="AY24" s="19"/>
      <c r="AZ24" s="2"/>
      <c r="BA24" s="3"/>
      <c r="BB24" s="19" t="s">
        <v>271</v>
      </c>
      <c r="BC24" s="2"/>
      <c r="BD24" s="3"/>
      <c r="BE24" s="20">
        <v>46244</v>
      </c>
      <c r="BF24" s="2"/>
      <c r="BG24" s="3"/>
      <c r="BH24" s="19"/>
      <c r="BI24" s="2"/>
      <c r="BJ24" s="3"/>
      <c r="BK24" s="18"/>
      <c r="BL24" s="2"/>
      <c r="BM24" s="2"/>
      <c r="BN24" s="2"/>
      <c r="BO24" s="2"/>
      <c r="BP24" s="2"/>
      <c r="BQ24" s="3"/>
    </row>
    <row r="25" ht="384" customHeight="1" spans="1:69">
      <c r="A25" s="17">
        <v>12</v>
      </c>
      <c r="B25" s="18" t="s">
        <v>325</v>
      </c>
      <c r="C25" s="2"/>
      <c r="D25" s="3"/>
      <c r="E25" s="18" t="s">
        <v>326</v>
      </c>
      <c r="F25" s="2"/>
      <c r="G25" s="2"/>
      <c r="H25" s="2"/>
      <c r="I25" s="3"/>
      <c r="J25" s="18" t="s">
        <v>327</v>
      </c>
      <c r="K25" s="2"/>
      <c r="L25" s="2"/>
      <c r="M25" s="2"/>
      <c r="N25" s="2"/>
      <c r="O25" s="2"/>
      <c r="P25" s="3"/>
      <c r="Q25" s="18" t="s">
        <v>328</v>
      </c>
      <c r="R25" s="2"/>
      <c r="S25" s="2"/>
      <c r="T25" s="2"/>
      <c r="U25" s="2"/>
      <c r="V25" s="2"/>
      <c r="W25" s="3"/>
      <c r="X25" s="18" t="s">
        <v>329</v>
      </c>
      <c r="Y25" s="2"/>
      <c r="Z25" s="2"/>
      <c r="AA25" s="2"/>
      <c r="AB25" s="2"/>
      <c r="AC25" s="2"/>
      <c r="AD25" s="3"/>
      <c r="AE25" s="19" t="s">
        <v>277</v>
      </c>
      <c r="AF25" s="3"/>
      <c r="AG25" s="21" t="s">
        <v>63</v>
      </c>
      <c r="AH25" s="2"/>
      <c r="AI25" s="3"/>
      <c r="AJ25" s="22"/>
      <c r="AK25" s="2"/>
      <c r="AL25" s="3"/>
      <c r="AM25" s="21" t="s">
        <v>270</v>
      </c>
      <c r="AN25" s="2"/>
      <c r="AO25" s="3"/>
      <c r="AP25" s="23">
        <v>46199</v>
      </c>
      <c r="AQ25" s="2"/>
      <c r="AR25" s="3"/>
      <c r="AS25" s="19"/>
      <c r="AT25" s="2"/>
      <c r="AU25" s="3"/>
      <c r="AV25" s="19" t="s">
        <v>63</v>
      </c>
      <c r="AW25" s="2"/>
      <c r="AX25" s="3"/>
      <c r="AY25" s="19"/>
      <c r="AZ25" s="2"/>
      <c r="BA25" s="3"/>
      <c r="BB25" s="19" t="s">
        <v>271</v>
      </c>
      <c r="BC25" s="2"/>
      <c r="BD25" s="3"/>
      <c r="BE25" s="20">
        <v>46244</v>
      </c>
      <c r="BF25" s="2"/>
      <c r="BG25" s="3"/>
      <c r="BH25" s="19"/>
      <c r="BI25" s="2"/>
      <c r="BJ25" s="3"/>
      <c r="BK25" s="18"/>
      <c r="BL25" s="2"/>
      <c r="BM25" s="2"/>
      <c r="BN25" s="2"/>
      <c r="BO25" s="2"/>
      <c r="BP25" s="2"/>
      <c r="BQ25" s="3"/>
    </row>
    <row r="26" ht="319.5" customHeight="1" spans="1:69">
      <c r="A26" s="17">
        <v>13</v>
      </c>
      <c r="B26" s="18" t="s">
        <v>330</v>
      </c>
      <c r="C26" s="2"/>
      <c r="D26" s="3"/>
      <c r="E26" s="18" t="s">
        <v>331</v>
      </c>
      <c r="F26" s="2"/>
      <c r="G26" s="2"/>
      <c r="H26" s="2"/>
      <c r="I26" s="3"/>
      <c r="J26" s="18" t="s">
        <v>332</v>
      </c>
      <c r="K26" s="2"/>
      <c r="L26" s="2"/>
      <c r="M26" s="2"/>
      <c r="N26" s="2"/>
      <c r="O26" s="2"/>
      <c r="P26" s="3"/>
      <c r="Q26" s="18" t="s">
        <v>333</v>
      </c>
      <c r="R26" s="2"/>
      <c r="S26" s="2"/>
      <c r="T26" s="2"/>
      <c r="U26" s="2"/>
      <c r="V26" s="2"/>
      <c r="W26" s="3"/>
      <c r="X26" s="18" t="s">
        <v>334</v>
      </c>
      <c r="Y26" s="2"/>
      <c r="Z26" s="2"/>
      <c r="AA26" s="2"/>
      <c r="AB26" s="2"/>
      <c r="AC26" s="2"/>
      <c r="AD26" s="3"/>
      <c r="AE26" s="19" t="s">
        <v>277</v>
      </c>
      <c r="AF26" s="3"/>
      <c r="AG26" s="21" t="s">
        <v>63</v>
      </c>
      <c r="AH26" s="2"/>
      <c r="AI26" s="3"/>
      <c r="AJ26" s="22"/>
      <c r="AK26" s="2"/>
      <c r="AL26" s="3"/>
      <c r="AM26" s="21" t="s">
        <v>270</v>
      </c>
      <c r="AN26" s="2"/>
      <c r="AO26" s="3"/>
      <c r="AP26" s="23">
        <v>46199</v>
      </c>
      <c r="AQ26" s="2"/>
      <c r="AR26" s="3"/>
      <c r="AS26" s="19"/>
      <c r="AT26" s="2"/>
      <c r="AU26" s="3"/>
      <c r="AV26" s="19" t="s">
        <v>63</v>
      </c>
      <c r="AW26" s="2"/>
      <c r="AX26" s="3"/>
      <c r="AY26" s="19"/>
      <c r="AZ26" s="2"/>
      <c r="BA26" s="3"/>
      <c r="BB26" s="19" t="s">
        <v>271</v>
      </c>
      <c r="BC26" s="2"/>
      <c r="BD26" s="3"/>
      <c r="BE26" s="20">
        <v>46244</v>
      </c>
      <c r="BF26" s="2"/>
      <c r="BG26" s="3"/>
      <c r="BH26" s="19"/>
      <c r="BI26" s="2"/>
      <c r="BJ26" s="3"/>
      <c r="BK26" s="18"/>
      <c r="BL26" s="2"/>
      <c r="BM26" s="2"/>
      <c r="BN26" s="2"/>
      <c r="BO26" s="2"/>
      <c r="BP26" s="2"/>
      <c r="BQ26" s="3"/>
    </row>
    <row r="27" ht="288" customHeight="1" spans="1:69">
      <c r="A27" s="17">
        <v>14</v>
      </c>
      <c r="B27" s="18" t="s">
        <v>335</v>
      </c>
      <c r="C27" s="2"/>
      <c r="D27" s="3"/>
      <c r="E27" s="18" t="s">
        <v>336</v>
      </c>
      <c r="F27" s="2"/>
      <c r="G27" s="2"/>
      <c r="H27" s="2"/>
      <c r="I27" s="3"/>
      <c r="J27" s="18" t="s">
        <v>337</v>
      </c>
      <c r="K27" s="2"/>
      <c r="L27" s="2"/>
      <c r="M27" s="2"/>
      <c r="N27" s="2"/>
      <c r="O27" s="2"/>
      <c r="P27" s="3"/>
      <c r="Q27" s="18" t="s">
        <v>338</v>
      </c>
      <c r="R27" s="2"/>
      <c r="S27" s="2"/>
      <c r="T27" s="2"/>
      <c r="U27" s="2"/>
      <c r="V27" s="2"/>
      <c r="W27" s="3"/>
      <c r="X27" s="18" t="s">
        <v>339</v>
      </c>
      <c r="Y27" s="2"/>
      <c r="Z27" s="2"/>
      <c r="AA27" s="2"/>
      <c r="AB27" s="2"/>
      <c r="AC27" s="2"/>
      <c r="AD27" s="3"/>
      <c r="AE27" s="19" t="s">
        <v>277</v>
      </c>
      <c r="AF27" s="3"/>
      <c r="AG27" s="21" t="s">
        <v>63</v>
      </c>
      <c r="AH27" s="2"/>
      <c r="AI27" s="3"/>
      <c r="AJ27" s="22"/>
      <c r="AK27" s="2"/>
      <c r="AL27" s="3"/>
      <c r="AM27" s="21" t="s">
        <v>270</v>
      </c>
      <c r="AN27" s="2"/>
      <c r="AO27" s="3"/>
      <c r="AP27" s="23">
        <v>46199</v>
      </c>
      <c r="AQ27" s="2"/>
      <c r="AR27" s="3"/>
      <c r="AS27" s="19"/>
      <c r="AT27" s="2"/>
      <c r="AU27" s="3"/>
      <c r="AV27" s="19" t="s">
        <v>63</v>
      </c>
      <c r="AW27" s="2"/>
      <c r="AX27" s="3"/>
      <c r="AY27" s="19"/>
      <c r="AZ27" s="2"/>
      <c r="BA27" s="3"/>
      <c r="BB27" s="19" t="s">
        <v>271</v>
      </c>
      <c r="BC27" s="2"/>
      <c r="BD27" s="3"/>
      <c r="BE27" s="20">
        <v>46244</v>
      </c>
      <c r="BF27" s="2"/>
      <c r="BG27" s="3"/>
      <c r="BH27" s="19"/>
      <c r="BI27" s="2"/>
      <c r="BJ27" s="3"/>
      <c r="BK27" s="18" t="s">
        <v>298</v>
      </c>
      <c r="BL27" s="2"/>
      <c r="BM27" s="2"/>
      <c r="BN27" s="2"/>
      <c r="BO27" s="2"/>
      <c r="BP27" s="2"/>
      <c r="BQ27" s="3"/>
    </row>
    <row r="28" ht="22.5" customHeight="1" spans="1:69">
      <c r="A28" s="16" t="s">
        <v>340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3"/>
    </row>
    <row r="29" ht="409.5" customHeight="1" spans="1:69">
      <c r="A29" s="17">
        <v>15</v>
      </c>
      <c r="B29" s="18" t="s">
        <v>341</v>
      </c>
      <c r="C29" s="2"/>
      <c r="D29" s="3"/>
      <c r="E29" s="18" t="s">
        <v>342</v>
      </c>
      <c r="F29" s="2"/>
      <c r="G29" s="2"/>
      <c r="H29" s="2"/>
      <c r="I29" s="3"/>
      <c r="J29" s="18" t="s">
        <v>343</v>
      </c>
      <c r="K29" s="2"/>
      <c r="L29" s="2"/>
      <c r="M29" s="2"/>
      <c r="N29" s="2"/>
      <c r="O29" s="2"/>
      <c r="P29" s="3"/>
      <c r="Q29" s="18" t="s">
        <v>344</v>
      </c>
      <c r="R29" s="2"/>
      <c r="S29" s="2"/>
      <c r="T29" s="2"/>
      <c r="U29" s="2"/>
      <c r="V29" s="2"/>
      <c r="W29" s="3"/>
      <c r="X29" s="18" t="s">
        <v>345</v>
      </c>
      <c r="Y29" s="2"/>
      <c r="Z29" s="2"/>
      <c r="AA29" s="2"/>
      <c r="AB29" s="2"/>
      <c r="AC29" s="2"/>
      <c r="AD29" s="3"/>
      <c r="AE29" s="19" t="s">
        <v>277</v>
      </c>
      <c r="AF29" s="3"/>
      <c r="AG29" s="21" t="s">
        <v>63</v>
      </c>
      <c r="AH29" s="2"/>
      <c r="AI29" s="3"/>
      <c r="AJ29" s="22"/>
      <c r="AK29" s="2"/>
      <c r="AL29" s="3"/>
      <c r="AM29" s="21" t="s">
        <v>270</v>
      </c>
      <c r="AN29" s="2"/>
      <c r="AO29" s="3"/>
      <c r="AP29" s="23">
        <v>46199</v>
      </c>
      <c r="AQ29" s="2"/>
      <c r="AR29" s="3"/>
      <c r="AS29" s="19"/>
      <c r="AT29" s="2"/>
      <c r="AU29" s="3"/>
      <c r="AV29" s="19" t="s">
        <v>63</v>
      </c>
      <c r="AW29" s="2"/>
      <c r="AX29" s="3"/>
      <c r="AY29" s="19"/>
      <c r="AZ29" s="2"/>
      <c r="BA29" s="3"/>
      <c r="BB29" s="19" t="s">
        <v>271</v>
      </c>
      <c r="BC29" s="2"/>
      <c r="BD29" s="3"/>
      <c r="BE29" s="20">
        <v>46244</v>
      </c>
      <c r="BF29" s="2"/>
      <c r="BG29" s="3"/>
      <c r="BH29" s="19"/>
      <c r="BI29" s="2"/>
      <c r="BJ29" s="3"/>
      <c r="BK29" s="18"/>
      <c r="BL29" s="2"/>
      <c r="BM29" s="2"/>
      <c r="BN29" s="2"/>
      <c r="BO29" s="2"/>
      <c r="BP29" s="2"/>
      <c r="BQ29" s="3"/>
    </row>
    <row r="30" ht="303.75" customHeight="1" spans="1:69">
      <c r="A30" s="24">
        <v>16</v>
      </c>
      <c r="B30" s="25" t="s">
        <v>346</v>
      </c>
      <c r="C30" s="2"/>
      <c r="D30" s="3"/>
      <c r="E30" s="25" t="s">
        <v>347</v>
      </c>
      <c r="F30" s="2"/>
      <c r="G30" s="2"/>
      <c r="H30" s="2"/>
      <c r="I30" s="3"/>
      <c r="J30" s="25" t="s">
        <v>348</v>
      </c>
      <c r="K30" s="2"/>
      <c r="L30" s="2"/>
      <c r="M30" s="2"/>
      <c r="N30" s="2"/>
      <c r="O30" s="2"/>
      <c r="P30" s="3"/>
      <c r="Q30" s="25" t="s">
        <v>349</v>
      </c>
      <c r="R30" s="2"/>
      <c r="S30" s="2"/>
      <c r="T30" s="2"/>
      <c r="U30" s="2"/>
      <c r="V30" s="2"/>
      <c r="W30" s="3"/>
      <c r="X30" s="25" t="s">
        <v>350</v>
      </c>
      <c r="Y30" s="2"/>
      <c r="Z30" s="2"/>
      <c r="AA30" s="2"/>
      <c r="AB30" s="2"/>
      <c r="AC30" s="2"/>
      <c r="AD30" s="3"/>
      <c r="AE30" s="26" t="s">
        <v>277</v>
      </c>
      <c r="AF30" s="3"/>
      <c r="AG30" s="26" t="s">
        <v>66</v>
      </c>
      <c r="AH30" s="2"/>
      <c r="AI30" s="3"/>
      <c r="AJ30" s="19"/>
      <c r="AK30" s="2"/>
      <c r="AL30" s="3"/>
      <c r="AM30" s="21" t="s">
        <v>270</v>
      </c>
      <c r="AN30" s="2"/>
      <c r="AO30" s="3"/>
      <c r="AP30" s="23">
        <v>46199</v>
      </c>
      <c r="AQ30" s="2"/>
      <c r="AR30" s="3"/>
      <c r="AS30" s="19"/>
      <c r="AT30" s="2"/>
      <c r="AU30" s="3"/>
      <c r="AV30" s="26" t="s">
        <v>66</v>
      </c>
      <c r="AW30" s="2"/>
      <c r="AX30" s="3"/>
      <c r="AY30" s="19"/>
      <c r="AZ30" s="2"/>
      <c r="BA30" s="3"/>
      <c r="BB30" s="19" t="s">
        <v>271</v>
      </c>
      <c r="BC30" s="2"/>
      <c r="BD30" s="3"/>
      <c r="BE30" s="20">
        <v>46244</v>
      </c>
      <c r="BF30" s="2"/>
      <c r="BG30" s="3"/>
      <c r="BH30" s="19"/>
      <c r="BI30" s="2"/>
      <c r="BJ30" s="3"/>
      <c r="BK30" s="18" t="s">
        <v>351</v>
      </c>
      <c r="BL30" s="2"/>
      <c r="BM30" s="2"/>
      <c r="BN30" s="2"/>
      <c r="BO30" s="2"/>
      <c r="BP30" s="2"/>
      <c r="BQ30" s="3"/>
    </row>
    <row r="31" ht="384" customHeight="1" spans="1:69">
      <c r="A31" s="17">
        <v>17</v>
      </c>
      <c r="B31" s="18" t="s">
        <v>352</v>
      </c>
      <c r="C31" s="2"/>
      <c r="D31" s="3"/>
      <c r="E31" s="18" t="s">
        <v>353</v>
      </c>
      <c r="F31" s="2"/>
      <c r="G31" s="2"/>
      <c r="H31" s="2"/>
      <c r="I31" s="3"/>
      <c r="J31" s="18" t="s">
        <v>354</v>
      </c>
      <c r="K31" s="2"/>
      <c r="L31" s="2"/>
      <c r="M31" s="2"/>
      <c r="N31" s="2"/>
      <c r="O31" s="2"/>
      <c r="P31" s="3"/>
      <c r="Q31" s="18" t="s">
        <v>355</v>
      </c>
      <c r="R31" s="2"/>
      <c r="S31" s="2"/>
      <c r="T31" s="2"/>
      <c r="U31" s="2"/>
      <c r="V31" s="2"/>
      <c r="W31" s="3"/>
      <c r="X31" s="18" t="s">
        <v>356</v>
      </c>
      <c r="Y31" s="2"/>
      <c r="Z31" s="2"/>
      <c r="AA31" s="2"/>
      <c r="AB31" s="2"/>
      <c r="AC31" s="2"/>
      <c r="AD31" s="3"/>
      <c r="AE31" s="19" t="s">
        <v>277</v>
      </c>
      <c r="AF31" s="3"/>
      <c r="AG31" s="21" t="s">
        <v>63</v>
      </c>
      <c r="AH31" s="2"/>
      <c r="AI31" s="3"/>
      <c r="AJ31" s="22"/>
      <c r="AK31" s="2"/>
      <c r="AL31" s="3"/>
      <c r="AM31" s="21" t="s">
        <v>270</v>
      </c>
      <c r="AN31" s="2"/>
      <c r="AO31" s="3"/>
      <c r="AP31" s="23">
        <v>46199</v>
      </c>
      <c r="AQ31" s="2"/>
      <c r="AR31" s="3"/>
      <c r="AS31" s="19"/>
      <c r="AT31" s="2"/>
      <c r="AU31" s="3"/>
      <c r="AV31" s="19" t="s">
        <v>63</v>
      </c>
      <c r="AW31" s="2"/>
      <c r="AX31" s="3"/>
      <c r="AY31" s="19"/>
      <c r="AZ31" s="2"/>
      <c r="BA31" s="3"/>
      <c r="BB31" s="19" t="s">
        <v>271</v>
      </c>
      <c r="BC31" s="2"/>
      <c r="BD31" s="3"/>
      <c r="BE31" s="20">
        <v>46244</v>
      </c>
      <c r="BF31" s="2"/>
      <c r="BG31" s="3"/>
      <c r="BH31" s="19"/>
      <c r="BI31" s="2"/>
      <c r="BJ31" s="3"/>
      <c r="BK31" s="18"/>
      <c r="BL31" s="2"/>
      <c r="BM31" s="2"/>
      <c r="BN31" s="2"/>
      <c r="BO31" s="2"/>
      <c r="BP31" s="2"/>
      <c r="BQ31" s="3"/>
    </row>
    <row r="32" ht="367.5" customHeight="1" spans="1:69">
      <c r="A32" s="17">
        <v>18</v>
      </c>
      <c r="B32" s="18" t="s">
        <v>357</v>
      </c>
      <c r="C32" s="2"/>
      <c r="D32" s="3"/>
      <c r="E32" s="18" t="s">
        <v>358</v>
      </c>
      <c r="F32" s="2"/>
      <c r="G32" s="2"/>
      <c r="H32" s="2"/>
      <c r="I32" s="3"/>
      <c r="J32" s="18" t="s">
        <v>359</v>
      </c>
      <c r="K32" s="2"/>
      <c r="L32" s="2"/>
      <c r="M32" s="2"/>
      <c r="N32" s="2"/>
      <c r="O32" s="2"/>
      <c r="P32" s="3"/>
      <c r="Q32" s="18" t="s">
        <v>360</v>
      </c>
      <c r="R32" s="2"/>
      <c r="S32" s="2"/>
      <c r="T32" s="2"/>
      <c r="U32" s="2"/>
      <c r="V32" s="2"/>
      <c r="W32" s="3"/>
      <c r="X32" s="18" t="s">
        <v>361</v>
      </c>
      <c r="Y32" s="2"/>
      <c r="Z32" s="2"/>
      <c r="AA32" s="2"/>
      <c r="AB32" s="2"/>
      <c r="AC32" s="2"/>
      <c r="AD32" s="3"/>
      <c r="AE32" s="19" t="s">
        <v>277</v>
      </c>
      <c r="AF32" s="3"/>
      <c r="AG32" s="19" t="s">
        <v>65</v>
      </c>
      <c r="AH32" s="2"/>
      <c r="AI32" s="3"/>
      <c r="AJ32" s="19"/>
      <c r="AK32" s="2"/>
      <c r="AL32" s="3"/>
      <c r="AM32" s="21" t="s">
        <v>270</v>
      </c>
      <c r="AN32" s="2"/>
      <c r="AO32" s="3"/>
      <c r="AP32" s="23">
        <v>46199</v>
      </c>
      <c r="AQ32" s="2"/>
      <c r="AR32" s="3"/>
      <c r="AS32" s="19"/>
      <c r="AT32" s="2"/>
      <c r="AU32" s="3"/>
      <c r="AV32" s="19" t="s">
        <v>63</v>
      </c>
      <c r="AW32" s="2"/>
      <c r="AX32" s="3"/>
      <c r="AY32" s="19"/>
      <c r="AZ32" s="2"/>
      <c r="BA32" s="3"/>
      <c r="BB32" s="19" t="s">
        <v>271</v>
      </c>
      <c r="BC32" s="2"/>
      <c r="BD32" s="3"/>
      <c r="BE32" s="20">
        <v>46244</v>
      </c>
      <c r="BF32" s="2"/>
      <c r="BG32" s="3"/>
      <c r="BH32" s="19"/>
      <c r="BI32" s="2"/>
      <c r="BJ32" s="3"/>
      <c r="BK32" s="18" t="s">
        <v>362</v>
      </c>
      <c r="BL32" s="2"/>
      <c r="BM32" s="2"/>
      <c r="BN32" s="2"/>
      <c r="BO32" s="2"/>
      <c r="BP32" s="2"/>
      <c r="BQ32" s="3"/>
    </row>
    <row r="33" ht="409.5" customHeight="1" spans="1:69">
      <c r="A33" s="17">
        <v>19</v>
      </c>
      <c r="B33" s="18" t="s">
        <v>363</v>
      </c>
      <c r="C33" s="2"/>
      <c r="D33" s="3"/>
      <c r="E33" s="18" t="s">
        <v>364</v>
      </c>
      <c r="F33" s="2"/>
      <c r="G33" s="2"/>
      <c r="H33" s="2"/>
      <c r="I33" s="3"/>
      <c r="J33" s="18" t="s">
        <v>365</v>
      </c>
      <c r="K33" s="2"/>
      <c r="L33" s="2"/>
      <c r="M33" s="2"/>
      <c r="N33" s="2"/>
      <c r="O33" s="2"/>
      <c r="P33" s="3"/>
      <c r="Q33" s="18" t="s">
        <v>366</v>
      </c>
      <c r="R33" s="2"/>
      <c r="S33" s="2"/>
      <c r="T33" s="2"/>
      <c r="U33" s="2"/>
      <c r="V33" s="2"/>
      <c r="W33" s="3"/>
      <c r="X33" s="18" t="s">
        <v>367</v>
      </c>
      <c r="Y33" s="2"/>
      <c r="Z33" s="2"/>
      <c r="AA33" s="2"/>
      <c r="AB33" s="2"/>
      <c r="AC33" s="2"/>
      <c r="AD33" s="3"/>
      <c r="AE33" s="19" t="s">
        <v>277</v>
      </c>
      <c r="AF33" s="3"/>
      <c r="AG33" s="19" t="s">
        <v>65</v>
      </c>
      <c r="AH33" s="2"/>
      <c r="AI33" s="3"/>
      <c r="AJ33" s="19"/>
      <c r="AK33" s="2"/>
      <c r="AL33" s="3"/>
      <c r="AM33" s="21" t="s">
        <v>270</v>
      </c>
      <c r="AN33" s="2"/>
      <c r="AO33" s="3"/>
      <c r="AP33" s="23">
        <v>46199</v>
      </c>
      <c r="AQ33" s="2"/>
      <c r="AR33" s="3"/>
      <c r="AS33" s="19"/>
      <c r="AT33" s="2"/>
      <c r="AU33" s="3"/>
      <c r="AV33" s="19" t="s">
        <v>63</v>
      </c>
      <c r="AW33" s="2"/>
      <c r="AX33" s="3"/>
      <c r="AY33" s="19"/>
      <c r="AZ33" s="2"/>
      <c r="BA33" s="3"/>
      <c r="BB33" s="19" t="s">
        <v>271</v>
      </c>
      <c r="BC33" s="2"/>
      <c r="BD33" s="3"/>
      <c r="BE33" s="20">
        <v>46244</v>
      </c>
      <c r="BF33" s="2"/>
      <c r="BG33" s="3"/>
      <c r="BH33" s="19"/>
      <c r="BI33" s="2"/>
      <c r="BJ33" s="3"/>
      <c r="BK33" s="18" t="s">
        <v>362</v>
      </c>
      <c r="BL33" s="2"/>
      <c r="BM33" s="2"/>
      <c r="BN33" s="2"/>
      <c r="BO33" s="2"/>
      <c r="BP33" s="2"/>
      <c r="BQ33" s="3"/>
    </row>
    <row r="34" ht="384" customHeight="1" spans="1:69">
      <c r="A34" s="17">
        <v>20</v>
      </c>
      <c r="B34" s="18" t="s">
        <v>368</v>
      </c>
      <c r="C34" s="2"/>
      <c r="D34" s="3"/>
      <c r="E34" s="18" t="s">
        <v>369</v>
      </c>
      <c r="F34" s="2"/>
      <c r="G34" s="2"/>
      <c r="H34" s="2"/>
      <c r="I34" s="3"/>
      <c r="J34" s="18" t="s">
        <v>370</v>
      </c>
      <c r="K34" s="2"/>
      <c r="L34" s="2"/>
      <c r="M34" s="2"/>
      <c r="N34" s="2"/>
      <c r="O34" s="2"/>
      <c r="P34" s="3"/>
      <c r="Q34" s="18" t="s">
        <v>371</v>
      </c>
      <c r="R34" s="2"/>
      <c r="S34" s="2"/>
      <c r="T34" s="2"/>
      <c r="U34" s="2"/>
      <c r="V34" s="2"/>
      <c r="W34" s="3"/>
      <c r="X34" s="18" t="s">
        <v>372</v>
      </c>
      <c r="Y34" s="2"/>
      <c r="Z34" s="2"/>
      <c r="AA34" s="2"/>
      <c r="AB34" s="2"/>
      <c r="AC34" s="2"/>
      <c r="AD34" s="3"/>
      <c r="AE34" s="19" t="s">
        <v>277</v>
      </c>
      <c r="AF34" s="3"/>
      <c r="AG34" s="21" t="s">
        <v>63</v>
      </c>
      <c r="AH34" s="2"/>
      <c r="AI34" s="3"/>
      <c r="AJ34" s="22"/>
      <c r="AK34" s="2"/>
      <c r="AL34" s="3"/>
      <c r="AM34" s="21" t="s">
        <v>270</v>
      </c>
      <c r="AN34" s="2"/>
      <c r="AO34" s="3"/>
      <c r="AP34" s="23">
        <v>46199</v>
      </c>
      <c r="AQ34" s="2"/>
      <c r="AR34" s="3"/>
      <c r="AS34" s="19"/>
      <c r="AT34" s="2"/>
      <c r="AU34" s="3"/>
      <c r="AV34" s="19" t="s">
        <v>63</v>
      </c>
      <c r="AW34" s="2"/>
      <c r="AX34" s="3"/>
      <c r="AY34" s="19"/>
      <c r="AZ34" s="2"/>
      <c r="BA34" s="3"/>
      <c r="BB34" s="19" t="s">
        <v>271</v>
      </c>
      <c r="BC34" s="2"/>
      <c r="BD34" s="3"/>
      <c r="BE34" s="20">
        <v>46244</v>
      </c>
      <c r="BF34" s="2"/>
      <c r="BG34" s="3"/>
      <c r="BH34" s="19"/>
      <c r="BI34" s="2"/>
      <c r="BJ34" s="3"/>
      <c r="BK34" s="18"/>
      <c r="BL34" s="2"/>
      <c r="BM34" s="2"/>
      <c r="BN34" s="2"/>
      <c r="BO34" s="2"/>
      <c r="BP34" s="2"/>
      <c r="BQ34" s="3"/>
    </row>
    <row r="35" ht="271.5" customHeight="1" spans="1:69">
      <c r="A35" s="17">
        <v>21</v>
      </c>
      <c r="B35" s="18" t="s">
        <v>373</v>
      </c>
      <c r="C35" s="2"/>
      <c r="D35" s="3"/>
      <c r="E35" s="18" t="s">
        <v>374</v>
      </c>
      <c r="F35" s="2"/>
      <c r="G35" s="2"/>
      <c r="H35" s="2"/>
      <c r="I35" s="3"/>
      <c r="J35" s="18" t="s">
        <v>307</v>
      </c>
      <c r="K35" s="2"/>
      <c r="L35" s="2"/>
      <c r="M35" s="2"/>
      <c r="N35" s="2"/>
      <c r="O35" s="2"/>
      <c r="P35" s="3"/>
      <c r="Q35" s="18" t="s">
        <v>375</v>
      </c>
      <c r="R35" s="2"/>
      <c r="S35" s="2"/>
      <c r="T35" s="2"/>
      <c r="U35" s="2"/>
      <c r="V35" s="2"/>
      <c r="W35" s="3"/>
      <c r="X35" s="18" t="s">
        <v>376</v>
      </c>
      <c r="Y35" s="2"/>
      <c r="Z35" s="2"/>
      <c r="AA35" s="2"/>
      <c r="AB35" s="2"/>
      <c r="AC35" s="2"/>
      <c r="AD35" s="3"/>
      <c r="AE35" s="19" t="s">
        <v>277</v>
      </c>
      <c r="AF35" s="3"/>
      <c r="AG35" s="21" t="s">
        <v>63</v>
      </c>
      <c r="AH35" s="2"/>
      <c r="AI35" s="3"/>
      <c r="AJ35" s="22"/>
      <c r="AK35" s="2"/>
      <c r="AL35" s="3"/>
      <c r="AM35" s="21" t="s">
        <v>270</v>
      </c>
      <c r="AN35" s="2"/>
      <c r="AO35" s="3"/>
      <c r="AP35" s="23">
        <v>46199</v>
      </c>
      <c r="AQ35" s="2"/>
      <c r="AR35" s="3"/>
      <c r="AS35" s="19"/>
      <c r="AT35" s="2"/>
      <c r="AU35" s="3"/>
      <c r="AV35" s="19" t="s">
        <v>63</v>
      </c>
      <c r="AW35" s="2"/>
      <c r="AX35" s="3"/>
      <c r="AY35" s="19"/>
      <c r="AZ35" s="2"/>
      <c r="BA35" s="3"/>
      <c r="BB35" s="19" t="s">
        <v>271</v>
      </c>
      <c r="BC35" s="2"/>
      <c r="BD35" s="3"/>
      <c r="BE35" s="20">
        <v>46244</v>
      </c>
      <c r="BF35" s="2"/>
      <c r="BG35" s="3"/>
      <c r="BH35" s="19"/>
      <c r="BI35" s="2"/>
      <c r="BJ35" s="3"/>
      <c r="BK35" s="18" t="s">
        <v>298</v>
      </c>
      <c r="BL35" s="2"/>
      <c r="BM35" s="2"/>
      <c r="BN35" s="2"/>
      <c r="BO35" s="2"/>
      <c r="BP35" s="2"/>
      <c r="BQ35" s="3"/>
    </row>
    <row r="36" ht="22.5" customHeight="1" spans="1:69">
      <c r="A36" s="16" t="s">
        <v>377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3"/>
    </row>
    <row r="37" ht="288" customHeight="1" spans="1:69">
      <c r="A37" s="17">
        <v>22</v>
      </c>
      <c r="B37" s="18" t="s">
        <v>378</v>
      </c>
      <c r="C37" s="2"/>
      <c r="D37" s="3"/>
      <c r="E37" s="18" t="s">
        <v>379</v>
      </c>
      <c r="F37" s="2"/>
      <c r="G37" s="2"/>
      <c r="H37" s="2"/>
      <c r="I37" s="3"/>
      <c r="J37" s="18" t="s">
        <v>380</v>
      </c>
      <c r="K37" s="2"/>
      <c r="L37" s="2"/>
      <c r="M37" s="2"/>
      <c r="N37" s="2"/>
      <c r="O37" s="2"/>
      <c r="P37" s="3"/>
      <c r="Q37" s="18" t="s">
        <v>381</v>
      </c>
      <c r="R37" s="2"/>
      <c r="S37" s="2"/>
      <c r="T37" s="2"/>
      <c r="U37" s="2"/>
      <c r="V37" s="2"/>
      <c r="W37" s="3"/>
      <c r="X37" s="18" t="s">
        <v>382</v>
      </c>
      <c r="Y37" s="2"/>
      <c r="Z37" s="2"/>
      <c r="AA37" s="2"/>
      <c r="AB37" s="2"/>
      <c r="AC37" s="2"/>
      <c r="AD37" s="3"/>
      <c r="AE37" s="19" t="s">
        <v>213</v>
      </c>
      <c r="AF37" s="3"/>
      <c r="AG37" s="21" t="s">
        <v>63</v>
      </c>
      <c r="AH37" s="2"/>
      <c r="AI37" s="3"/>
      <c r="AJ37" s="22"/>
      <c r="AK37" s="2"/>
      <c r="AL37" s="3"/>
      <c r="AM37" s="21" t="s">
        <v>270</v>
      </c>
      <c r="AN37" s="2"/>
      <c r="AO37" s="3"/>
      <c r="AP37" s="23">
        <v>46199</v>
      </c>
      <c r="AQ37" s="2"/>
      <c r="AR37" s="3"/>
      <c r="AS37" s="19"/>
      <c r="AT37" s="2"/>
      <c r="AU37" s="3"/>
      <c r="AV37" s="19" t="s">
        <v>63</v>
      </c>
      <c r="AW37" s="2"/>
      <c r="AX37" s="3"/>
      <c r="AY37" s="19"/>
      <c r="AZ37" s="2"/>
      <c r="BA37" s="3"/>
      <c r="BB37" s="19" t="s">
        <v>271</v>
      </c>
      <c r="BC37" s="2"/>
      <c r="BD37" s="3"/>
      <c r="BE37" s="20">
        <v>46244</v>
      </c>
      <c r="BF37" s="2"/>
      <c r="BG37" s="3"/>
      <c r="BH37" s="19"/>
      <c r="BI37" s="2"/>
      <c r="BJ37" s="3"/>
      <c r="BK37" s="18"/>
      <c r="BL37" s="2"/>
      <c r="BM37" s="2"/>
      <c r="BN37" s="2"/>
      <c r="BO37" s="2"/>
      <c r="BP37" s="2"/>
      <c r="BQ37" s="3"/>
    </row>
    <row r="38" ht="255.75" customHeight="1" spans="1:69">
      <c r="A38" s="17">
        <v>23</v>
      </c>
      <c r="B38" s="18" t="s">
        <v>383</v>
      </c>
      <c r="C38" s="2"/>
      <c r="D38" s="3"/>
      <c r="E38" s="18" t="s">
        <v>384</v>
      </c>
      <c r="F38" s="2"/>
      <c r="G38" s="2"/>
      <c r="H38" s="2"/>
      <c r="I38" s="3"/>
      <c r="J38" s="18" t="s">
        <v>385</v>
      </c>
      <c r="K38" s="2"/>
      <c r="L38" s="2"/>
      <c r="M38" s="2"/>
      <c r="N38" s="2"/>
      <c r="O38" s="2"/>
      <c r="P38" s="3"/>
      <c r="Q38" s="18" t="s">
        <v>386</v>
      </c>
      <c r="R38" s="2"/>
      <c r="S38" s="2"/>
      <c r="T38" s="2"/>
      <c r="U38" s="2"/>
      <c r="V38" s="2"/>
      <c r="W38" s="3"/>
      <c r="X38" s="18" t="s">
        <v>387</v>
      </c>
      <c r="Y38" s="2"/>
      <c r="Z38" s="2"/>
      <c r="AA38" s="2"/>
      <c r="AB38" s="2"/>
      <c r="AC38" s="2"/>
      <c r="AD38" s="3"/>
      <c r="AE38" s="19" t="s">
        <v>213</v>
      </c>
      <c r="AF38" s="3"/>
      <c r="AG38" s="21" t="s">
        <v>63</v>
      </c>
      <c r="AH38" s="2"/>
      <c r="AI38" s="3"/>
      <c r="AJ38" s="22"/>
      <c r="AK38" s="2"/>
      <c r="AL38" s="3"/>
      <c r="AM38" s="21" t="s">
        <v>270</v>
      </c>
      <c r="AN38" s="2"/>
      <c r="AO38" s="3"/>
      <c r="AP38" s="23">
        <v>46199</v>
      </c>
      <c r="AQ38" s="2"/>
      <c r="AR38" s="3"/>
      <c r="AS38" s="19"/>
      <c r="AT38" s="2"/>
      <c r="AU38" s="3"/>
      <c r="AV38" s="19" t="s">
        <v>63</v>
      </c>
      <c r="AW38" s="2"/>
      <c r="AX38" s="3"/>
      <c r="AY38" s="19"/>
      <c r="AZ38" s="2"/>
      <c r="BA38" s="3"/>
      <c r="BB38" s="19" t="s">
        <v>271</v>
      </c>
      <c r="BC38" s="2"/>
      <c r="BD38" s="3"/>
      <c r="BE38" s="20">
        <v>46244</v>
      </c>
      <c r="BF38" s="2"/>
      <c r="BG38" s="3"/>
      <c r="BH38" s="19"/>
      <c r="BI38" s="2"/>
      <c r="BJ38" s="3"/>
      <c r="BK38" s="18"/>
      <c r="BL38" s="2"/>
      <c r="BM38" s="2"/>
      <c r="BN38" s="2"/>
      <c r="BO38" s="2"/>
      <c r="BP38" s="2"/>
      <c r="BQ38" s="3"/>
    </row>
    <row r="39" ht="384" customHeight="1" spans="1:69">
      <c r="A39" s="17">
        <v>24</v>
      </c>
      <c r="B39" s="18" t="s">
        <v>388</v>
      </c>
      <c r="C39" s="2"/>
      <c r="D39" s="3"/>
      <c r="E39" s="18" t="s">
        <v>389</v>
      </c>
      <c r="F39" s="2"/>
      <c r="G39" s="2"/>
      <c r="H39" s="2"/>
      <c r="I39" s="3"/>
      <c r="J39" s="18" t="s">
        <v>390</v>
      </c>
      <c r="K39" s="2"/>
      <c r="L39" s="2"/>
      <c r="M39" s="2"/>
      <c r="N39" s="2"/>
      <c r="O39" s="2"/>
      <c r="P39" s="3"/>
      <c r="Q39" s="18" t="s">
        <v>391</v>
      </c>
      <c r="R39" s="2"/>
      <c r="S39" s="2"/>
      <c r="T39" s="2"/>
      <c r="U39" s="2"/>
      <c r="V39" s="2"/>
      <c r="W39" s="3"/>
      <c r="X39" s="18" t="s">
        <v>392</v>
      </c>
      <c r="Y39" s="2"/>
      <c r="Z39" s="2"/>
      <c r="AA39" s="2"/>
      <c r="AB39" s="2"/>
      <c r="AC39" s="2"/>
      <c r="AD39" s="3"/>
      <c r="AE39" s="19" t="s">
        <v>213</v>
      </c>
      <c r="AF39" s="3"/>
      <c r="AG39" s="21" t="s">
        <v>63</v>
      </c>
      <c r="AH39" s="2"/>
      <c r="AI39" s="3"/>
      <c r="AJ39" s="22"/>
      <c r="AK39" s="2"/>
      <c r="AL39" s="3"/>
      <c r="AM39" s="21" t="s">
        <v>270</v>
      </c>
      <c r="AN39" s="2"/>
      <c r="AO39" s="3"/>
      <c r="AP39" s="23">
        <v>46199</v>
      </c>
      <c r="AQ39" s="2"/>
      <c r="AR39" s="3"/>
      <c r="AS39" s="19"/>
      <c r="AT39" s="2"/>
      <c r="AU39" s="3"/>
      <c r="AV39" s="19" t="s">
        <v>63</v>
      </c>
      <c r="AW39" s="2"/>
      <c r="AX39" s="3"/>
      <c r="AY39" s="19"/>
      <c r="AZ39" s="2"/>
      <c r="BA39" s="3"/>
      <c r="BB39" s="19" t="s">
        <v>271</v>
      </c>
      <c r="BC39" s="2"/>
      <c r="BD39" s="3"/>
      <c r="BE39" s="20">
        <v>46244</v>
      </c>
      <c r="BF39" s="2"/>
      <c r="BG39" s="3"/>
      <c r="BH39" s="19"/>
      <c r="BI39" s="2"/>
      <c r="BJ39" s="3"/>
      <c r="BK39" s="18"/>
      <c r="BL39" s="2"/>
      <c r="BM39" s="2"/>
      <c r="BN39" s="2"/>
      <c r="BO39" s="2"/>
      <c r="BP39" s="2"/>
      <c r="BQ39" s="3"/>
    </row>
    <row r="40" ht="240" customHeight="1" spans="1:69">
      <c r="A40" s="17">
        <v>25</v>
      </c>
      <c r="B40" s="18" t="s">
        <v>393</v>
      </c>
      <c r="C40" s="2"/>
      <c r="D40" s="3"/>
      <c r="E40" s="18" t="s">
        <v>394</v>
      </c>
      <c r="F40" s="2"/>
      <c r="G40" s="2"/>
      <c r="H40" s="2"/>
      <c r="I40" s="3"/>
      <c r="J40" s="18" t="s">
        <v>395</v>
      </c>
      <c r="K40" s="2"/>
      <c r="L40" s="2"/>
      <c r="M40" s="2"/>
      <c r="N40" s="2"/>
      <c r="O40" s="2"/>
      <c r="P40" s="3"/>
      <c r="Q40" s="18" t="s">
        <v>396</v>
      </c>
      <c r="R40" s="2"/>
      <c r="S40" s="2"/>
      <c r="T40" s="2"/>
      <c r="U40" s="2"/>
      <c r="V40" s="2"/>
      <c r="W40" s="3"/>
      <c r="X40" s="18" t="s">
        <v>397</v>
      </c>
      <c r="Y40" s="2"/>
      <c r="Z40" s="2"/>
      <c r="AA40" s="2"/>
      <c r="AB40" s="2"/>
      <c r="AC40" s="2"/>
      <c r="AD40" s="3"/>
      <c r="AE40" s="19" t="s">
        <v>213</v>
      </c>
      <c r="AF40" s="3"/>
      <c r="AG40" s="21" t="s">
        <v>63</v>
      </c>
      <c r="AH40" s="2"/>
      <c r="AI40" s="3"/>
      <c r="AJ40" s="22"/>
      <c r="AK40" s="2"/>
      <c r="AL40" s="3"/>
      <c r="AM40" s="21" t="s">
        <v>270</v>
      </c>
      <c r="AN40" s="2"/>
      <c r="AO40" s="3"/>
      <c r="AP40" s="23">
        <v>46199</v>
      </c>
      <c r="AQ40" s="2"/>
      <c r="AR40" s="3"/>
      <c r="AS40" s="19"/>
      <c r="AT40" s="2"/>
      <c r="AU40" s="3"/>
      <c r="AV40" s="19" t="s">
        <v>63</v>
      </c>
      <c r="AW40" s="2"/>
      <c r="AX40" s="3"/>
      <c r="AY40" s="19"/>
      <c r="AZ40" s="2"/>
      <c r="BA40" s="3"/>
      <c r="BB40" s="19" t="s">
        <v>271</v>
      </c>
      <c r="BC40" s="2"/>
      <c r="BD40" s="3"/>
      <c r="BE40" s="20">
        <v>46244</v>
      </c>
      <c r="BF40" s="2"/>
      <c r="BG40" s="3"/>
      <c r="BH40" s="19"/>
      <c r="BI40" s="2"/>
      <c r="BJ40" s="3"/>
      <c r="BK40" s="18"/>
      <c r="BL40" s="2"/>
      <c r="BM40" s="2"/>
      <c r="BN40" s="2"/>
      <c r="BO40" s="2"/>
      <c r="BP40" s="2"/>
      <c r="BQ40" s="3"/>
    </row>
    <row r="41" ht="384" customHeight="1" spans="1:69">
      <c r="A41" s="17">
        <v>26</v>
      </c>
      <c r="B41" s="18" t="s">
        <v>398</v>
      </c>
      <c r="C41" s="2"/>
      <c r="D41" s="3"/>
      <c r="E41" s="18" t="s">
        <v>399</v>
      </c>
      <c r="F41" s="2"/>
      <c r="G41" s="2"/>
      <c r="H41" s="2"/>
      <c r="I41" s="3"/>
      <c r="J41" s="18" t="s">
        <v>400</v>
      </c>
      <c r="K41" s="2"/>
      <c r="L41" s="2"/>
      <c r="M41" s="2"/>
      <c r="N41" s="2"/>
      <c r="O41" s="2"/>
      <c r="P41" s="3"/>
      <c r="Q41" s="18" t="s">
        <v>401</v>
      </c>
      <c r="R41" s="2"/>
      <c r="S41" s="2"/>
      <c r="T41" s="2"/>
      <c r="U41" s="2"/>
      <c r="V41" s="2"/>
      <c r="W41" s="3"/>
      <c r="X41" s="18" t="s">
        <v>402</v>
      </c>
      <c r="Y41" s="2"/>
      <c r="Z41" s="2"/>
      <c r="AA41" s="2"/>
      <c r="AB41" s="2"/>
      <c r="AC41" s="2"/>
      <c r="AD41" s="3"/>
      <c r="AE41" s="19" t="s">
        <v>213</v>
      </c>
      <c r="AF41" s="3"/>
      <c r="AG41" s="21" t="s">
        <v>63</v>
      </c>
      <c r="AH41" s="2"/>
      <c r="AI41" s="3"/>
      <c r="AJ41" s="22"/>
      <c r="AK41" s="2"/>
      <c r="AL41" s="3"/>
      <c r="AM41" s="21" t="s">
        <v>270</v>
      </c>
      <c r="AN41" s="2"/>
      <c r="AO41" s="3"/>
      <c r="AP41" s="23">
        <v>46199</v>
      </c>
      <c r="AQ41" s="2"/>
      <c r="AR41" s="3"/>
      <c r="AS41" s="19"/>
      <c r="AT41" s="2"/>
      <c r="AU41" s="3"/>
      <c r="AV41" s="19" t="s">
        <v>63</v>
      </c>
      <c r="AW41" s="2"/>
      <c r="AX41" s="3"/>
      <c r="AY41" s="19"/>
      <c r="AZ41" s="2"/>
      <c r="BA41" s="3"/>
      <c r="BB41" s="19" t="s">
        <v>271</v>
      </c>
      <c r="BC41" s="2"/>
      <c r="BD41" s="3"/>
      <c r="BE41" s="20">
        <v>46244</v>
      </c>
      <c r="BF41" s="2"/>
      <c r="BG41" s="3"/>
      <c r="BH41" s="19"/>
      <c r="BI41" s="2"/>
      <c r="BJ41" s="3"/>
      <c r="BK41" s="18"/>
      <c r="BL41" s="2"/>
      <c r="BM41" s="2"/>
      <c r="BN41" s="2"/>
      <c r="BO41" s="2"/>
      <c r="BP41" s="2"/>
      <c r="BQ41" s="3"/>
    </row>
    <row r="42" ht="367.5" customHeight="1" spans="1:69">
      <c r="A42" s="17">
        <v>27</v>
      </c>
      <c r="B42" s="18" t="s">
        <v>403</v>
      </c>
      <c r="C42" s="2"/>
      <c r="D42" s="3"/>
      <c r="E42" s="18" t="s">
        <v>404</v>
      </c>
      <c r="F42" s="2"/>
      <c r="G42" s="2"/>
      <c r="H42" s="2"/>
      <c r="I42" s="3"/>
      <c r="J42" s="18" t="s">
        <v>405</v>
      </c>
      <c r="K42" s="2"/>
      <c r="L42" s="2"/>
      <c r="M42" s="2"/>
      <c r="N42" s="2"/>
      <c r="O42" s="2"/>
      <c r="P42" s="3"/>
      <c r="Q42" s="18" t="s">
        <v>406</v>
      </c>
      <c r="R42" s="2"/>
      <c r="S42" s="2"/>
      <c r="T42" s="2"/>
      <c r="U42" s="2"/>
      <c r="V42" s="2"/>
      <c r="W42" s="3"/>
      <c r="X42" s="18" t="s">
        <v>407</v>
      </c>
      <c r="Y42" s="2"/>
      <c r="Z42" s="2"/>
      <c r="AA42" s="2"/>
      <c r="AB42" s="2"/>
      <c r="AC42" s="2"/>
      <c r="AD42" s="3"/>
      <c r="AE42" s="19" t="s">
        <v>213</v>
      </c>
      <c r="AF42" s="3"/>
      <c r="AG42" s="21" t="s">
        <v>65</v>
      </c>
      <c r="AH42" s="2"/>
      <c r="AI42" s="3"/>
      <c r="AJ42" s="22"/>
      <c r="AK42" s="2"/>
      <c r="AL42" s="3"/>
      <c r="AM42" s="21"/>
      <c r="AN42" s="2"/>
      <c r="AO42" s="3"/>
      <c r="AP42" s="23"/>
      <c r="AQ42" s="2"/>
      <c r="AR42" s="3"/>
      <c r="AS42" s="19"/>
      <c r="AT42" s="2"/>
      <c r="AU42" s="3"/>
      <c r="AV42" s="19" t="s">
        <v>63</v>
      </c>
      <c r="AW42" s="2"/>
      <c r="AX42" s="3"/>
      <c r="AY42" s="19"/>
      <c r="AZ42" s="2"/>
      <c r="BA42" s="3"/>
      <c r="BB42" s="19" t="s">
        <v>271</v>
      </c>
      <c r="BC42" s="2"/>
      <c r="BD42" s="3"/>
      <c r="BE42" s="20">
        <v>46244</v>
      </c>
      <c r="BF42" s="2"/>
      <c r="BG42" s="3"/>
      <c r="BH42" s="19"/>
      <c r="BI42" s="2"/>
      <c r="BJ42" s="3"/>
      <c r="BK42" s="18"/>
      <c r="BL42" s="2"/>
      <c r="BM42" s="2"/>
      <c r="BN42" s="2"/>
      <c r="BO42" s="2"/>
      <c r="BP42" s="2"/>
      <c r="BQ42" s="3"/>
    </row>
    <row r="43" ht="288" customHeight="1" spans="1:69">
      <c r="A43" s="17">
        <v>28</v>
      </c>
      <c r="B43" s="18" t="s">
        <v>408</v>
      </c>
      <c r="C43" s="2"/>
      <c r="D43" s="3"/>
      <c r="E43" s="18" t="s">
        <v>409</v>
      </c>
      <c r="F43" s="2"/>
      <c r="G43" s="2"/>
      <c r="H43" s="2"/>
      <c r="I43" s="3"/>
      <c r="J43" s="18" t="s">
        <v>410</v>
      </c>
      <c r="K43" s="2"/>
      <c r="L43" s="2"/>
      <c r="M43" s="2"/>
      <c r="N43" s="2"/>
      <c r="O43" s="2"/>
      <c r="P43" s="3"/>
      <c r="Q43" s="18" t="s">
        <v>411</v>
      </c>
      <c r="R43" s="2"/>
      <c r="S43" s="2"/>
      <c r="T43" s="2"/>
      <c r="U43" s="2"/>
      <c r="V43" s="2"/>
      <c r="W43" s="3"/>
      <c r="X43" s="18" t="s">
        <v>412</v>
      </c>
      <c r="Y43" s="2"/>
      <c r="Z43" s="2"/>
      <c r="AA43" s="2"/>
      <c r="AB43" s="2"/>
      <c r="AC43" s="2"/>
      <c r="AD43" s="3"/>
      <c r="AE43" s="19" t="s">
        <v>213</v>
      </c>
      <c r="AF43" s="3"/>
      <c r="AG43" s="21" t="s">
        <v>63</v>
      </c>
      <c r="AH43" s="2"/>
      <c r="AI43" s="3"/>
      <c r="AJ43" s="22"/>
      <c r="AK43" s="2"/>
      <c r="AL43" s="3"/>
      <c r="AM43" s="21" t="s">
        <v>270</v>
      </c>
      <c r="AN43" s="2"/>
      <c r="AO43" s="3"/>
      <c r="AP43" s="23">
        <v>46199</v>
      </c>
      <c r="AQ43" s="2"/>
      <c r="AR43" s="3"/>
      <c r="AS43" s="19"/>
      <c r="AT43" s="2"/>
      <c r="AU43" s="3"/>
      <c r="AV43" s="19" t="s">
        <v>63</v>
      </c>
      <c r="AW43" s="2"/>
      <c r="AX43" s="3"/>
      <c r="AY43" s="19"/>
      <c r="AZ43" s="2"/>
      <c r="BA43" s="3"/>
      <c r="BB43" s="19" t="s">
        <v>271</v>
      </c>
      <c r="BC43" s="2"/>
      <c r="BD43" s="3"/>
      <c r="BE43" s="20">
        <v>46244</v>
      </c>
      <c r="BF43" s="2"/>
      <c r="BG43" s="3"/>
      <c r="BH43" s="19"/>
      <c r="BI43" s="2"/>
      <c r="BJ43" s="3"/>
      <c r="BK43" s="18"/>
      <c r="BL43" s="2"/>
      <c r="BM43" s="2"/>
      <c r="BN43" s="2"/>
      <c r="BO43" s="2"/>
      <c r="BP43" s="2"/>
      <c r="BQ43" s="3"/>
    </row>
    <row r="44" ht="319.5" customHeight="1" spans="1:69">
      <c r="A44" s="17">
        <v>29</v>
      </c>
      <c r="B44" s="18" t="s">
        <v>413</v>
      </c>
      <c r="C44" s="2"/>
      <c r="D44" s="3"/>
      <c r="E44" s="18" t="s">
        <v>414</v>
      </c>
      <c r="F44" s="2"/>
      <c r="G44" s="2"/>
      <c r="H44" s="2"/>
      <c r="I44" s="3"/>
      <c r="J44" s="18" t="s">
        <v>395</v>
      </c>
      <c r="K44" s="2"/>
      <c r="L44" s="2"/>
      <c r="M44" s="2"/>
      <c r="N44" s="2"/>
      <c r="O44" s="2"/>
      <c r="P44" s="3"/>
      <c r="Q44" s="18" t="s">
        <v>415</v>
      </c>
      <c r="R44" s="2"/>
      <c r="S44" s="2"/>
      <c r="T44" s="2"/>
      <c r="U44" s="2"/>
      <c r="V44" s="2"/>
      <c r="W44" s="3"/>
      <c r="X44" s="18" t="s">
        <v>416</v>
      </c>
      <c r="Y44" s="2"/>
      <c r="Z44" s="2"/>
      <c r="AA44" s="2"/>
      <c r="AB44" s="2"/>
      <c r="AC44" s="2"/>
      <c r="AD44" s="3"/>
      <c r="AE44" s="19" t="s">
        <v>213</v>
      </c>
      <c r="AF44" s="3"/>
      <c r="AG44" s="21" t="s">
        <v>63</v>
      </c>
      <c r="AH44" s="2"/>
      <c r="AI44" s="3"/>
      <c r="AJ44" s="22"/>
      <c r="AK44" s="2"/>
      <c r="AL44" s="3"/>
      <c r="AM44" s="21" t="s">
        <v>270</v>
      </c>
      <c r="AN44" s="2"/>
      <c r="AO44" s="3"/>
      <c r="AP44" s="23">
        <v>46199</v>
      </c>
      <c r="AQ44" s="2"/>
      <c r="AR44" s="3"/>
      <c r="AS44" s="19"/>
      <c r="AT44" s="2"/>
      <c r="AU44" s="3"/>
      <c r="AV44" s="19" t="s">
        <v>63</v>
      </c>
      <c r="AW44" s="2"/>
      <c r="AX44" s="3"/>
      <c r="AY44" s="19"/>
      <c r="AZ44" s="2"/>
      <c r="BA44" s="3"/>
      <c r="BB44" s="19" t="s">
        <v>271</v>
      </c>
      <c r="BC44" s="2"/>
      <c r="BD44" s="3"/>
      <c r="BE44" s="20">
        <v>46244</v>
      </c>
      <c r="BF44" s="2"/>
      <c r="BG44" s="3"/>
      <c r="BH44" s="19"/>
      <c r="BI44" s="2"/>
      <c r="BJ44" s="3"/>
      <c r="BK44" s="18" t="s">
        <v>417</v>
      </c>
      <c r="BL44" s="2"/>
      <c r="BM44" s="2"/>
      <c r="BN44" s="2"/>
      <c r="BO44" s="2"/>
      <c r="BP44" s="2"/>
      <c r="BQ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3">
    <mergeCell ref="A1:E1"/>
    <mergeCell ref="F1:Q1"/>
    <mergeCell ref="R1:V1"/>
    <mergeCell ref="W1:AH1"/>
    <mergeCell ref="A2:E2"/>
    <mergeCell ref="F2:Q2"/>
    <mergeCell ref="R2:V2"/>
    <mergeCell ref="W2:AH2"/>
    <mergeCell ref="A3:E3"/>
    <mergeCell ref="F3:Q3"/>
    <mergeCell ref="R3:V3"/>
    <mergeCell ref="W3:AH3"/>
    <mergeCell ref="A4:E4"/>
    <mergeCell ref="F4:AH4"/>
    <mergeCell ref="A5:S5"/>
    <mergeCell ref="T5:AH5"/>
    <mergeCell ref="A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8:G8"/>
    <mergeCell ref="H8:J8"/>
    <mergeCell ref="K8:M8"/>
    <mergeCell ref="N8:P8"/>
    <mergeCell ref="Q8:S8"/>
    <mergeCell ref="T8:V8"/>
    <mergeCell ref="W8:Y8"/>
    <mergeCell ref="Z8:AB8"/>
    <mergeCell ref="AC8:AE8"/>
    <mergeCell ref="AF8:AH8"/>
    <mergeCell ref="AG10:AU10"/>
    <mergeCell ref="AV10:BJ10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A12:BQ12"/>
    <mergeCell ref="B13:D13"/>
    <mergeCell ref="E13:I13"/>
    <mergeCell ref="J13:P13"/>
    <mergeCell ref="Q13:W13"/>
    <mergeCell ref="X13:AD13"/>
    <mergeCell ref="AE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Q13"/>
    <mergeCell ref="B14:D14"/>
    <mergeCell ref="E14:I14"/>
    <mergeCell ref="J14:P14"/>
    <mergeCell ref="Q14:W14"/>
    <mergeCell ref="X14:AD14"/>
    <mergeCell ref="AE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BE14:BG14"/>
    <mergeCell ref="BH14:BJ14"/>
    <mergeCell ref="BK14:BQ14"/>
    <mergeCell ref="B15:D15"/>
    <mergeCell ref="E15:I15"/>
    <mergeCell ref="J15:P15"/>
    <mergeCell ref="Q15:W15"/>
    <mergeCell ref="X15:AD15"/>
    <mergeCell ref="AE15:AF15"/>
    <mergeCell ref="AG15:AI15"/>
    <mergeCell ref="AJ15:AL15"/>
    <mergeCell ref="AM15:AO15"/>
    <mergeCell ref="AP15:AR15"/>
    <mergeCell ref="AS15:AU15"/>
    <mergeCell ref="AV15:AX15"/>
    <mergeCell ref="AY15:BA15"/>
    <mergeCell ref="BB15:BD15"/>
    <mergeCell ref="BE15:BG15"/>
    <mergeCell ref="BH15:BJ15"/>
    <mergeCell ref="BK15:BQ15"/>
    <mergeCell ref="B16:D16"/>
    <mergeCell ref="E16:I16"/>
    <mergeCell ref="J16:P16"/>
    <mergeCell ref="Q16:W16"/>
    <mergeCell ref="X16:AD16"/>
    <mergeCell ref="AE16:AF16"/>
    <mergeCell ref="AG16:AI16"/>
    <mergeCell ref="AJ16:AL16"/>
    <mergeCell ref="AM16:AO16"/>
    <mergeCell ref="AP16:AR16"/>
    <mergeCell ref="AS16:AU16"/>
    <mergeCell ref="AV16:AX16"/>
    <mergeCell ref="AY16:BA16"/>
    <mergeCell ref="BB16:BD16"/>
    <mergeCell ref="BE16:BG16"/>
    <mergeCell ref="BH16:BJ16"/>
    <mergeCell ref="BK16:BQ16"/>
    <mergeCell ref="B17:D17"/>
    <mergeCell ref="E17:I17"/>
    <mergeCell ref="J17:P17"/>
    <mergeCell ref="Q17:W17"/>
    <mergeCell ref="X17:AD17"/>
    <mergeCell ref="AE17:AF17"/>
    <mergeCell ref="AG17:AI17"/>
    <mergeCell ref="AJ17:AL17"/>
    <mergeCell ref="AM17:AO17"/>
    <mergeCell ref="AP17:AR17"/>
    <mergeCell ref="AS17:AU17"/>
    <mergeCell ref="AV17:AX17"/>
    <mergeCell ref="AY17:BA17"/>
    <mergeCell ref="BB17:BD17"/>
    <mergeCell ref="BE17:BG17"/>
    <mergeCell ref="BH17:BJ17"/>
    <mergeCell ref="BK17:BQ17"/>
    <mergeCell ref="B18:D18"/>
    <mergeCell ref="E18:I18"/>
    <mergeCell ref="J18:P18"/>
    <mergeCell ref="Q18:W18"/>
    <mergeCell ref="X18:AD18"/>
    <mergeCell ref="AE18:AF18"/>
    <mergeCell ref="AG18:AI18"/>
    <mergeCell ref="AJ18:AL18"/>
    <mergeCell ref="AM18:AO18"/>
    <mergeCell ref="AP18:AR18"/>
    <mergeCell ref="AS18:AU18"/>
    <mergeCell ref="AV18:AX18"/>
    <mergeCell ref="AY18:BA18"/>
    <mergeCell ref="BB18:BD18"/>
    <mergeCell ref="BE18:BG18"/>
    <mergeCell ref="BH18:BJ18"/>
    <mergeCell ref="BK18:BQ18"/>
    <mergeCell ref="A19:BQ19"/>
    <mergeCell ref="B20:D20"/>
    <mergeCell ref="E20:I20"/>
    <mergeCell ref="J20:P20"/>
    <mergeCell ref="Q20:W20"/>
    <mergeCell ref="X20:AD20"/>
    <mergeCell ref="AE20:AF20"/>
    <mergeCell ref="AG20:AI20"/>
    <mergeCell ref="AJ20:AL20"/>
    <mergeCell ref="AM20:AO20"/>
    <mergeCell ref="AP20:AR20"/>
    <mergeCell ref="AS20:AU20"/>
    <mergeCell ref="AV20:AX20"/>
    <mergeCell ref="AY20:BA20"/>
    <mergeCell ref="BB20:BD20"/>
    <mergeCell ref="BE20:BG20"/>
    <mergeCell ref="BH20:BJ20"/>
    <mergeCell ref="BK20:BQ20"/>
    <mergeCell ref="B21:D21"/>
    <mergeCell ref="E21:I21"/>
    <mergeCell ref="J21:P21"/>
    <mergeCell ref="Q21:W21"/>
    <mergeCell ref="X21:AD21"/>
    <mergeCell ref="AE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E21:BG21"/>
    <mergeCell ref="BH21:BJ21"/>
    <mergeCell ref="BK21:BQ21"/>
    <mergeCell ref="B22:D22"/>
    <mergeCell ref="E22:I22"/>
    <mergeCell ref="J22:P22"/>
    <mergeCell ref="Q22:W22"/>
    <mergeCell ref="X22:AD22"/>
    <mergeCell ref="AE22:AF22"/>
    <mergeCell ref="AG22:AI22"/>
    <mergeCell ref="AJ22:AL22"/>
    <mergeCell ref="AM22:AO22"/>
    <mergeCell ref="AP22:AR22"/>
    <mergeCell ref="AS22:AU22"/>
    <mergeCell ref="AV22:AX22"/>
    <mergeCell ref="AY22:BA22"/>
    <mergeCell ref="BB22:BD22"/>
    <mergeCell ref="BE22:BG22"/>
    <mergeCell ref="BH22:BJ22"/>
    <mergeCell ref="BK22:BQ22"/>
    <mergeCell ref="B23:D23"/>
    <mergeCell ref="E23:I23"/>
    <mergeCell ref="J23:P23"/>
    <mergeCell ref="Q23:W23"/>
    <mergeCell ref="X23:AD23"/>
    <mergeCell ref="AE23:AF23"/>
    <mergeCell ref="AG23:AI23"/>
    <mergeCell ref="AJ23:AL23"/>
    <mergeCell ref="AM23:AO23"/>
    <mergeCell ref="AP23:AR23"/>
    <mergeCell ref="AS23:AU23"/>
    <mergeCell ref="AV23:AX23"/>
    <mergeCell ref="AY23:BA23"/>
    <mergeCell ref="BB23:BD23"/>
    <mergeCell ref="BE23:BG23"/>
    <mergeCell ref="BH23:BJ23"/>
    <mergeCell ref="BK23:BQ23"/>
    <mergeCell ref="B24:D24"/>
    <mergeCell ref="E24:I24"/>
    <mergeCell ref="J24:P24"/>
    <mergeCell ref="Q24:W24"/>
    <mergeCell ref="X24:AD24"/>
    <mergeCell ref="AE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E24:BG24"/>
    <mergeCell ref="BH24:BJ24"/>
    <mergeCell ref="BK24:BQ24"/>
    <mergeCell ref="B25:D25"/>
    <mergeCell ref="E25:I25"/>
    <mergeCell ref="J25:P25"/>
    <mergeCell ref="Q25:W25"/>
    <mergeCell ref="X25:AD25"/>
    <mergeCell ref="AE25:AF25"/>
    <mergeCell ref="AG25:AI25"/>
    <mergeCell ref="AJ25:AL25"/>
    <mergeCell ref="AM25:AO25"/>
    <mergeCell ref="AP25:AR25"/>
    <mergeCell ref="AS25:AU25"/>
    <mergeCell ref="AV25:AX25"/>
    <mergeCell ref="AY25:BA25"/>
    <mergeCell ref="BB25:BD25"/>
    <mergeCell ref="BE25:BG25"/>
    <mergeCell ref="BH25:BJ25"/>
    <mergeCell ref="BK25:BQ25"/>
    <mergeCell ref="B26:D26"/>
    <mergeCell ref="E26:I26"/>
    <mergeCell ref="J26:P26"/>
    <mergeCell ref="Q26:W26"/>
    <mergeCell ref="X26:AD26"/>
    <mergeCell ref="AE26:AF26"/>
    <mergeCell ref="AG26:AI26"/>
    <mergeCell ref="AJ26:AL26"/>
    <mergeCell ref="AM26:AO26"/>
    <mergeCell ref="AP26:AR26"/>
    <mergeCell ref="AS26:AU26"/>
    <mergeCell ref="AV26:AX26"/>
    <mergeCell ref="AY26:BA26"/>
    <mergeCell ref="BB26:BD26"/>
    <mergeCell ref="BE26:BG26"/>
    <mergeCell ref="BH26:BJ26"/>
    <mergeCell ref="BK26:BQ26"/>
    <mergeCell ref="B27:D27"/>
    <mergeCell ref="E27:I27"/>
    <mergeCell ref="J27:P27"/>
    <mergeCell ref="Q27:W27"/>
    <mergeCell ref="X27:AD27"/>
    <mergeCell ref="AE27:AF27"/>
    <mergeCell ref="AG27:AI27"/>
    <mergeCell ref="AJ27:AL27"/>
    <mergeCell ref="AM27:AO27"/>
    <mergeCell ref="AP27:AR27"/>
    <mergeCell ref="AS27:AU27"/>
    <mergeCell ref="AV27:AX27"/>
    <mergeCell ref="AY27:BA27"/>
    <mergeCell ref="BB27:BD27"/>
    <mergeCell ref="BE27:BG27"/>
    <mergeCell ref="BH27:BJ27"/>
    <mergeCell ref="BK27:BQ27"/>
    <mergeCell ref="A28:BQ28"/>
    <mergeCell ref="B29:D29"/>
    <mergeCell ref="E29:I29"/>
    <mergeCell ref="J29:P29"/>
    <mergeCell ref="Q29:W29"/>
    <mergeCell ref="X29:AD29"/>
    <mergeCell ref="AE29:AF29"/>
    <mergeCell ref="AG29:AI29"/>
    <mergeCell ref="AJ29:AL29"/>
    <mergeCell ref="AM29:AO29"/>
    <mergeCell ref="AP29:AR29"/>
    <mergeCell ref="AS29:AU29"/>
    <mergeCell ref="AV29:AX29"/>
    <mergeCell ref="AY29:BA29"/>
    <mergeCell ref="BB29:BD29"/>
    <mergeCell ref="BE29:BG29"/>
    <mergeCell ref="BH29:BJ29"/>
    <mergeCell ref="BK29:BQ29"/>
    <mergeCell ref="B30:D30"/>
    <mergeCell ref="E30:I30"/>
    <mergeCell ref="J30:P30"/>
    <mergeCell ref="Q30:W30"/>
    <mergeCell ref="X30:AD30"/>
    <mergeCell ref="AE30:AF30"/>
    <mergeCell ref="AG30:AI30"/>
    <mergeCell ref="AJ30:AL30"/>
    <mergeCell ref="AM30:AO30"/>
    <mergeCell ref="AP30:AR30"/>
    <mergeCell ref="AS30:AU30"/>
    <mergeCell ref="AV30:AX30"/>
    <mergeCell ref="AY30:BA30"/>
    <mergeCell ref="BB30:BD30"/>
    <mergeCell ref="BE30:BG30"/>
    <mergeCell ref="BH30:BJ30"/>
    <mergeCell ref="BK30:BQ30"/>
    <mergeCell ref="B31:D31"/>
    <mergeCell ref="E31:I31"/>
    <mergeCell ref="J31:P31"/>
    <mergeCell ref="Q31:W31"/>
    <mergeCell ref="X31:AD31"/>
    <mergeCell ref="AE31:AF31"/>
    <mergeCell ref="AG31:AI31"/>
    <mergeCell ref="AJ31:AL31"/>
    <mergeCell ref="AM31:AO31"/>
    <mergeCell ref="AP31:AR31"/>
    <mergeCell ref="AS31:AU31"/>
    <mergeCell ref="AV31:AX31"/>
    <mergeCell ref="AY31:BA31"/>
    <mergeCell ref="BB31:BD31"/>
    <mergeCell ref="BE31:BG31"/>
    <mergeCell ref="BH31:BJ31"/>
    <mergeCell ref="BK31:BQ31"/>
    <mergeCell ref="B32:D32"/>
    <mergeCell ref="E32:I32"/>
    <mergeCell ref="J32:P32"/>
    <mergeCell ref="Q32:W32"/>
    <mergeCell ref="X32:AD32"/>
    <mergeCell ref="AE32:AF32"/>
    <mergeCell ref="AG32:AI32"/>
    <mergeCell ref="AJ32:AL32"/>
    <mergeCell ref="AM32:AO32"/>
    <mergeCell ref="AP32:AR32"/>
    <mergeCell ref="AS32:AU32"/>
    <mergeCell ref="AV32:AX32"/>
    <mergeCell ref="AY32:BA32"/>
    <mergeCell ref="BB32:BD32"/>
    <mergeCell ref="BE32:BG32"/>
    <mergeCell ref="BH32:BJ32"/>
    <mergeCell ref="BK32:BQ32"/>
    <mergeCell ref="B33:D33"/>
    <mergeCell ref="E33:I33"/>
    <mergeCell ref="J33:P33"/>
    <mergeCell ref="Q33:W33"/>
    <mergeCell ref="X33:AD33"/>
    <mergeCell ref="AE33:AF33"/>
    <mergeCell ref="AG33:AI33"/>
    <mergeCell ref="AJ33:AL33"/>
    <mergeCell ref="AM33:AO33"/>
    <mergeCell ref="AP33:AR33"/>
    <mergeCell ref="AS33:AU33"/>
    <mergeCell ref="AV33:AX33"/>
    <mergeCell ref="AY33:BA33"/>
    <mergeCell ref="BB33:BD33"/>
    <mergeCell ref="BE33:BG33"/>
    <mergeCell ref="BH33:BJ33"/>
    <mergeCell ref="BK33:BQ33"/>
    <mergeCell ref="B34:D34"/>
    <mergeCell ref="E34:I34"/>
    <mergeCell ref="J34:P34"/>
    <mergeCell ref="Q34:W34"/>
    <mergeCell ref="X34:AD34"/>
    <mergeCell ref="AE34:AF34"/>
    <mergeCell ref="AG34:AI34"/>
    <mergeCell ref="AJ34:AL34"/>
    <mergeCell ref="AM34:AO34"/>
    <mergeCell ref="AP34:AR34"/>
    <mergeCell ref="AS34:AU34"/>
    <mergeCell ref="AV34:AX34"/>
    <mergeCell ref="AY34:BA34"/>
    <mergeCell ref="BB34:BD34"/>
    <mergeCell ref="BE34:BG34"/>
    <mergeCell ref="BH34:BJ34"/>
    <mergeCell ref="BK34:BQ34"/>
    <mergeCell ref="B35:D35"/>
    <mergeCell ref="E35:I35"/>
    <mergeCell ref="J35:P35"/>
    <mergeCell ref="Q35:W35"/>
    <mergeCell ref="X35:AD35"/>
    <mergeCell ref="AE35:AF35"/>
    <mergeCell ref="AG35:AI35"/>
    <mergeCell ref="AJ35:AL35"/>
    <mergeCell ref="AM35:AO35"/>
    <mergeCell ref="AP35:AR35"/>
    <mergeCell ref="AS35:AU35"/>
    <mergeCell ref="AV35:AX35"/>
    <mergeCell ref="AY35:BA35"/>
    <mergeCell ref="BB35:BD35"/>
    <mergeCell ref="BE35:BG35"/>
    <mergeCell ref="BH35:BJ35"/>
    <mergeCell ref="BK35:BQ35"/>
    <mergeCell ref="A36:BQ36"/>
    <mergeCell ref="B37:D37"/>
    <mergeCell ref="E37:I37"/>
    <mergeCell ref="J37:P37"/>
    <mergeCell ref="Q37:W37"/>
    <mergeCell ref="X37:AD37"/>
    <mergeCell ref="AE37:AF37"/>
    <mergeCell ref="AG37:AI37"/>
    <mergeCell ref="AJ37:AL37"/>
    <mergeCell ref="AM37:AO37"/>
    <mergeCell ref="AP37:AR37"/>
    <mergeCell ref="AS37:AU37"/>
    <mergeCell ref="AV37:AX37"/>
    <mergeCell ref="AY37:BA37"/>
    <mergeCell ref="BB37:BD37"/>
    <mergeCell ref="BE37:BG37"/>
    <mergeCell ref="BH37:BJ37"/>
    <mergeCell ref="BK37:BQ37"/>
    <mergeCell ref="B38:D38"/>
    <mergeCell ref="E38:I38"/>
    <mergeCell ref="J38:P38"/>
    <mergeCell ref="Q38:W38"/>
    <mergeCell ref="X38:AD38"/>
    <mergeCell ref="AE38:AF38"/>
    <mergeCell ref="AG38:AI38"/>
    <mergeCell ref="AJ38:AL38"/>
    <mergeCell ref="AM38:AO38"/>
    <mergeCell ref="AP38:AR38"/>
    <mergeCell ref="AS38:AU38"/>
    <mergeCell ref="AV38:AX38"/>
    <mergeCell ref="AY38:BA38"/>
    <mergeCell ref="BB38:BD38"/>
    <mergeCell ref="BE38:BG38"/>
    <mergeCell ref="BH38:BJ38"/>
    <mergeCell ref="BK38:BQ38"/>
    <mergeCell ref="B39:D39"/>
    <mergeCell ref="E39:I39"/>
    <mergeCell ref="J39:P39"/>
    <mergeCell ref="Q39:W39"/>
    <mergeCell ref="X39:AD39"/>
    <mergeCell ref="AE39:AF39"/>
    <mergeCell ref="AG39:AI39"/>
    <mergeCell ref="AJ39:AL39"/>
    <mergeCell ref="AM39:AO39"/>
    <mergeCell ref="AP39:AR39"/>
    <mergeCell ref="AS39:AU39"/>
    <mergeCell ref="AV39:AX39"/>
    <mergeCell ref="AY39:BA39"/>
    <mergeCell ref="BB39:BD39"/>
    <mergeCell ref="BE39:BG39"/>
    <mergeCell ref="BH39:BJ39"/>
    <mergeCell ref="BK39:BQ39"/>
    <mergeCell ref="B40:D40"/>
    <mergeCell ref="E40:I40"/>
    <mergeCell ref="J40:P40"/>
    <mergeCell ref="Q40:W40"/>
    <mergeCell ref="X40:AD40"/>
    <mergeCell ref="AE40:AF40"/>
    <mergeCell ref="AG40:AI40"/>
    <mergeCell ref="AJ40:AL40"/>
    <mergeCell ref="AM40:AO40"/>
    <mergeCell ref="AP40:AR40"/>
    <mergeCell ref="AS40:AU40"/>
    <mergeCell ref="AV40:AX40"/>
    <mergeCell ref="AY40:BA40"/>
    <mergeCell ref="BB40:BD40"/>
    <mergeCell ref="BE40:BG40"/>
    <mergeCell ref="BH40:BJ40"/>
    <mergeCell ref="BK40:BQ40"/>
    <mergeCell ref="B41:D41"/>
    <mergeCell ref="E41:I41"/>
    <mergeCell ref="J41:P41"/>
    <mergeCell ref="Q41:W41"/>
    <mergeCell ref="X41:AD41"/>
    <mergeCell ref="AE41:AF41"/>
    <mergeCell ref="AG41:AI41"/>
    <mergeCell ref="AJ41:AL41"/>
    <mergeCell ref="AM41:AO41"/>
    <mergeCell ref="AP41:AR41"/>
    <mergeCell ref="AS41:AU41"/>
    <mergeCell ref="AV41:AX41"/>
    <mergeCell ref="AY41:BA41"/>
    <mergeCell ref="BB41:BD41"/>
    <mergeCell ref="BE41:BG41"/>
    <mergeCell ref="BH41:BJ41"/>
    <mergeCell ref="BK41:BQ41"/>
    <mergeCell ref="B42:D42"/>
    <mergeCell ref="E42:I42"/>
    <mergeCell ref="J42:P42"/>
    <mergeCell ref="Q42:W42"/>
    <mergeCell ref="X42:AD42"/>
    <mergeCell ref="AE42:AF42"/>
    <mergeCell ref="AG42:AI42"/>
    <mergeCell ref="AJ42:AL42"/>
    <mergeCell ref="AM42:AO42"/>
    <mergeCell ref="AP42:AR42"/>
    <mergeCell ref="AS42:AU42"/>
    <mergeCell ref="AV42:AX42"/>
    <mergeCell ref="AY42:BA42"/>
    <mergeCell ref="BB42:BD42"/>
    <mergeCell ref="BE42:BG42"/>
    <mergeCell ref="BH42:BJ42"/>
    <mergeCell ref="BK42:BQ42"/>
    <mergeCell ref="B43:D43"/>
    <mergeCell ref="E43:I43"/>
    <mergeCell ref="J43:P43"/>
    <mergeCell ref="Q43:W43"/>
    <mergeCell ref="X43:AD43"/>
    <mergeCell ref="AE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Q43"/>
    <mergeCell ref="B44:D44"/>
    <mergeCell ref="E44:I44"/>
    <mergeCell ref="J44:P44"/>
    <mergeCell ref="Q44:W44"/>
    <mergeCell ref="X44:AD44"/>
    <mergeCell ref="AE44:AF44"/>
    <mergeCell ref="AG44:AI44"/>
    <mergeCell ref="AJ44:AL44"/>
    <mergeCell ref="AM44:AO44"/>
    <mergeCell ref="AP44:AR44"/>
    <mergeCell ref="AS44:AU44"/>
    <mergeCell ref="AV44:AX44"/>
    <mergeCell ref="AY44:BA44"/>
    <mergeCell ref="BB44:BD44"/>
    <mergeCell ref="BE44:BG44"/>
    <mergeCell ref="BH44:BJ44"/>
    <mergeCell ref="BK44:BQ44"/>
    <mergeCell ref="A10:A11"/>
    <mergeCell ref="BK10:BQ11"/>
    <mergeCell ref="B10:D11"/>
    <mergeCell ref="E10:I11"/>
    <mergeCell ref="J10:P11"/>
    <mergeCell ref="Q10:W11"/>
    <mergeCell ref="X10:AD11"/>
    <mergeCell ref="AE10:AF11"/>
  </mergeCells>
  <dataValidations count="3">
    <dataValidation type="list" allowBlank="1" sqref="F1">
      <formula1>"単体テスト,結合テスト,システムテスト"</formula1>
    </dataValidation>
    <dataValidation type="list" allowBlank="1" sqref="AE13:AE18 AE20:AE27 AE29:AE35 AE37:AE44">
      <formula1>"N,A,B"</formula1>
    </dataValidation>
    <dataValidation type="list" allowBlank="1" sqref="AG13:AG18 AG20:AG27 AG29:AG35 AG37:AG44 AV13:AV18 AV20:AV27 AV29:AV35 AV37:AV44">
      <formula1>"合格,不合格,未テスト,N/A"</formula1>
    </dataValidation>
  </dataValidation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表紙</vt:lpstr>
      <vt:lpstr>変更履歴</vt:lpstr>
      <vt:lpstr>概要</vt:lpstr>
      <vt:lpstr>テスト報告書</vt:lpstr>
      <vt:lpstr>テスト観点</vt:lpstr>
      <vt:lpstr>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2026-06-03T05:25:00Z</dcterms:created>
  <dcterms:modified xsi:type="dcterms:W3CDTF">2026-08-28T10:09:07Z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CA9D790F0AE346518BF9F8E2FA08CF6C_12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