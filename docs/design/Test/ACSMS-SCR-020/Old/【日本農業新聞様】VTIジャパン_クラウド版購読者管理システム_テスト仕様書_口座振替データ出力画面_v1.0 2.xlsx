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紙" sheetId="1" r:id="rId4"/>
    <sheet state="visible" name="変更履歴" sheetId="2" r:id="rId5"/>
    <sheet state="visible" name="概要" sheetId="3" r:id="rId6"/>
    <sheet state="visible" name="テスト報告書" sheetId="4" r:id="rId7"/>
    <sheet state="visible" name="テスト観点" sheetId="5" r:id="rId8"/>
    <sheet state="visible" name="機能" sheetId="6" r:id="rId9"/>
  </sheets>
  <definedNames/>
  <calcPr/>
  <extLst>
    <ext uri="GoogleSheetsCustomDataVersion2">
      <go:sheetsCustomData xmlns:go="http://customooxmlschemas.google.com/" r:id="rId10" roundtripDataChecksum="JJAlBh3QhP3T0mY+N8twHoboCLK1DSlVF6dWhK2TuuM="/>
    </ext>
  </extLst>
</workbook>
</file>

<file path=xl/sharedStrings.xml><?xml version="1.0" encoding="utf-8"?>
<sst xmlns="http://schemas.openxmlformats.org/spreadsheetml/2006/main" count="700" uniqueCount="472">
  <si>
    <t>クラウド版購読者管理システム</t>
  </si>
  <si>
    <t>口座振替データ出力画面</t>
  </si>
  <si>
    <t>版1.0</t>
  </si>
  <si>
    <t>フォーマットコード</t>
  </si>
  <si>
    <t>16-BM/PM/VTI</t>
  </si>
  <si>
    <t>フォーマットバージョン</t>
  </si>
  <si>
    <t>1.0</t>
  </si>
  <si>
    <t>発行日</t>
  </si>
  <si>
    <t>2026/06/17</t>
  </si>
  <si>
    <t>項番</t>
  </si>
  <si>
    <t>バージョン</t>
  </si>
  <si>
    <t>担当者</t>
  </si>
  <si>
    <t>変更内容</t>
  </si>
  <si>
    <t>確認者</t>
  </si>
  <si>
    <t>承認者</t>
  </si>
  <si>
    <t>Kieu Thi Diem</t>
  </si>
  <si>
    <t>Tạo bản đầu tiên</t>
  </si>
  <si>
    <t>Nguyen Huy Dat</t>
  </si>
  <si>
    <t>システム・アプリケーション名</t>
  </si>
  <si>
    <t>ドキュメント</t>
  </si>
  <si>
    <t>シート名</t>
  </si>
  <si>
    <t>作成日</t>
  </si>
  <si>
    <t>作成者</t>
  </si>
  <si>
    <t>更新日</t>
  </si>
  <si>
    <t>更新者</t>
  </si>
  <si>
    <t>テスト仕様書</t>
  </si>
  <si>
    <t>概要</t>
  </si>
  <si>
    <t>1.システム概要</t>
  </si>
  <si>
    <t>Hệ thống này là hệ thống quản lý độc giả dạng cloud dành cho JA, cung cấp các chức năng như quản lý thông tin người đăng ký, quản lý lịch sử đăng ký, quản lý dữ liệu chuyển khoản tự khoản (口座振替).</t>
  </si>
  <si>
    <t>Các chức năng chính bao gồm: đăng ký・cập nhật・tìm kiếm thông tin người đăng ký, quản lý lịch sử thay đổi nội dung đăng ký, tạo và quản lý dữ liệu chuyển khoản tự động, chức năng upload・download file, quản lý thông báo hệ thống.</t>
  </si>
  <si>
    <t>Ngoài ra, hệ thống còn hỗ trợ các chức năng bảo mật・kiểm toán như quản lý đăng nhập người dùng, ghi lịch sử đăng nhập, ghi log thao tác người dùng.</t>
  </si>
  <si>
    <t>2.資料目的</t>
  </si>
  <si>
    <t>Đây là tài liệu mô tả chi tiết bản tài liệu test được tạo mới trên hệ thống cho màn hình「口座振替データ出力画面（ACSMS-SCR-020）」.</t>
  </si>
  <si>
    <t>3.関連資料</t>
  </si>
  <si>
    <t>No</t>
  </si>
  <si>
    <t>資料コード</t>
  </si>
  <si>
    <t>資料名</t>
  </si>
  <si>
    <t>ACSMS-SCR-020</t>
  </si>
  <si>
    <t>口座振替データ出力画面 設計書</t>
  </si>
  <si>
    <t>口座振替データ出力画面 API設計書</t>
  </si>
  <si>
    <t>&lt;単体/結合/システム&gt; テスト報告書</t>
  </si>
  <si>
    <t>プロジェクト名</t>
  </si>
  <si>
    <t>プロジェクトマネージャ</t>
  </si>
  <si>
    <t>#</t>
  </si>
  <si>
    <t>機能名</t>
  </si>
  <si>
    <t>テストケース分類</t>
  </si>
  <si>
    <t>合計</t>
  </si>
  <si>
    <t>テスト結果</t>
  </si>
  <si>
    <t>正常</t>
  </si>
  <si>
    <t>異常</t>
  </si>
  <si>
    <t>境界</t>
  </si>
  <si>
    <t>合格</t>
  </si>
  <si>
    <t>不合格</t>
  </si>
  <si>
    <t>未テスト</t>
  </si>
  <si>
    <t>N/A</t>
  </si>
  <si>
    <t>進捗（%）</t>
  </si>
  <si>
    <t>テスト1回目</t>
  </si>
  <si>
    <t>機能</t>
  </si>
  <si>
    <t>テスト2回目</t>
  </si>
  <si>
    <t>テスト観点</t>
  </si>
  <si>
    <t>1. テスト観点一覧</t>
  </si>
  <si>
    <t>観点ID</t>
  </si>
  <si>
    <t>大分類</t>
  </si>
  <si>
    <t>観点名</t>
  </si>
  <si>
    <t>リスク</t>
  </si>
  <si>
    <t>対象画面範囲</t>
  </si>
  <si>
    <t>TC見積</t>
  </si>
  <si>
    <t>VP-A-01</t>
  </si>
  <si>
    <t>A. セキュリティ・権限</t>
  </si>
  <si>
    <t>ロール別権限制御（RBAC gate）</t>
  </si>
  <si>
    <t>高</t>
  </si>
  <si>
    <t>約25保護画面</t>
  </si>
  <si>
    <t>VP-A-02</t>
  </si>
  <si>
    <t>データ範囲（DataScope）</t>
  </si>
  <si>
    <t>約20一覧／詳細画面</t>
  </si>
  <si>
    <t>VP-A-03</t>
  </si>
  <si>
    <t>項目レベル制限（Field-level restriction）</t>
  </si>
  <si>
    <t>5マスタ</t>
  </si>
  <si>
    <t>VP-A-04</t>
  </si>
  <si>
    <t>URL直接アクセス攻撃</t>
  </si>
  <si>
    <t>VP-A-05</t>
  </si>
  <si>
    <t>セッション失効／401 ハンドリング</t>
  </si>
  <si>
    <t>全システム</t>
  </si>
  <si>
    <t>VP-A-06</t>
  </si>
  <si>
    <t>XSS／HTML 描画安全性</t>
  </si>
  <si>
    <t>約20フォーム</t>
  </si>
  <si>
    <t>VP-A-07</t>
  </si>
  <si>
    <t>CSRF／Cookie セキュリティフラグ</t>
  </si>
  <si>
    <t>VP-A-08</t>
  </si>
  <si>
    <t>レート制限・Throttling</t>
  </si>
  <si>
    <t>中</t>
  </si>
  <si>
    <t>全公開API＋認証エンドポイント</t>
  </si>
  <si>
    <t>VP-A-09</t>
  </si>
  <si>
    <t>アカウントロック・解除運用</t>
  </si>
  <si>
    <t>SCR-001／002＋管理機能</t>
  </si>
  <si>
    <t>VP-A-10</t>
  </si>
  <si>
    <t>SQL インジェクション</t>
  </si>
  <si>
    <t>約20フォーム＋検索</t>
  </si>
  <si>
    <t>VP-B-01</t>
  </si>
  <si>
    <t>B. データバリデーション</t>
  </si>
  <si>
    <t>必須項目チェック</t>
  </si>
  <si>
    <t>約25フォーム</t>
  </si>
  <si>
    <t>VP-B-02</t>
  </si>
  <si>
    <t>最小／最大長境界</t>
  </si>
  <si>
    <t>VP-B-03</t>
  </si>
  <si>
    <t>形式正規表現（郵便／電話／コード）</t>
  </si>
  <si>
    <t>VP-B-04</t>
  </si>
  <si>
    <t>半角／全角ハンドリング</t>
  </si>
  <si>
    <t>VP-B-05</t>
  </si>
  <si>
    <t>日付ロジック</t>
  </si>
  <si>
    <t>約10日付付きフォーム</t>
  </si>
  <si>
    <t>VP-B-06</t>
  </si>
  <si>
    <t>通貨／パーセント形式</t>
  </si>
  <si>
    <t>2-3フォーム（単価）</t>
  </si>
  <si>
    <t>VP-B-07</t>
  </si>
  <si>
    <t>マスタコード（m_code）参照</t>
  </si>
  <si>
    <t>約15ドロップダウン付きフォーム</t>
  </si>
  <si>
    <t>VP-B-08</t>
  </si>
  <si>
    <t>キー重複（duplicate code）</t>
  </si>
  <si>
    <t>約10マスタ</t>
  </si>
  <si>
    <t>VP-B-09</t>
  </si>
  <si>
    <t>IME・全角入力・貼付ハンドリング</t>
  </si>
  <si>
    <t>全テキスト入力フォーム＋検索画面</t>
  </si>
  <si>
    <t>VP-C-01</t>
  </si>
  <si>
    <t>C. 業務ロジック</t>
  </si>
  <si>
    <t>CRUD 正常系 + DB 永続化</t>
  </si>
  <si>
    <t>VP-C-02</t>
  </si>
  <si>
    <t>同時編集競合</t>
  </si>
  <si>
    <t>約8編集画面</t>
  </si>
  <si>
    <t>VP-C-03</t>
  </si>
  <si>
    <t>論理削除 + FK 関連</t>
  </si>
  <si>
    <t>約6関連付きマスタ</t>
  </si>
  <si>
    <t>VP-C-04</t>
  </si>
  <si>
    <t>税込／税抜計算</t>
  </si>
  <si>
    <t>単価マスタ</t>
  </si>
  <si>
    <t>VP-C-05</t>
  </si>
  <si>
    <t>購読者種別ルール（読み取り専用）</t>
  </si>
  <si>
    <t>購読者マスタ</t>
  </si>
  <si>
    <t>VP-C-06</t>
  </si>
  <si>
    <t>Excel取込 部分成功</t>
  </si>
  <si>
    <t>2取込画面</t>
  </si>
  <si>
    <t>VP-C-07</t>
  </si>
  <si>
    <t>販売店一括置換</t>
  </si>
  <si>
    <t>一括置換</t>
  </si>
  <si>
    <t>VP-C-08</t>
  </si>
  <si>
    <t>レポート集計の正確性</t>
  </si>
  <si>
    <t>3レポート</t>
  </si>
  <si>
    <t>VP-D-01</t>
  </si>
  <si>
    <t>D. 統合・システム</t>
  </si>
  <si>
    <t>ログイン + MFA フロー</t>
  </si>
  <si>
    <t>SCR-001／002</t>
  </si>
  <si>
    <t>VP-D-02</t>
  </si>
  <si>
    <t>セッションスライディング 24h</t>
  </si>
  <si>
    <t>VP-D-03</t>
  </si>
  <si>
    <t>パスワード再発行フロー</t>
  </si>
  <si>
    <t>SCR-007</t>
  </si>
  <si>
    <t>VP-D-04</t>
  </si>
  <si>
    <t>監査ログの完全性</t>
  </si>
  <si>
    <t>VP-D-05</t>
  </si>
  <si>
    <t>ファイルアップロード S3</t>
  </si>
  <si>
    <t>SCR-022</t>
  </si>
  <si>
    <t>VP-D-06</t>
  </si>
  <si>
    <t>メール通知</t>
  </si>
  <si>
    <t>SCR-001／007／お知らせ</t>
  </si>
  <si>
    <t>VP-D-07</t>
  </si>
  <si>
    <t>外部 CSV 形式準拠</t>
  </si>
  <si>
    <t>SCR-008／009</t>
  </si>
  <si>
    <t>VP-D-08</t>
  </si>
  <si>
    <t>ネットワーク／500／タイムアウト</t>
  </si>
  <si>
    <t>VP-D-09</t>
  </si>
  <si>
    <t>パスワード再発行 旧token無効化＋クールダウン</t>
  </si>
  <si>
    <t>VP-E-01</t>
  </si>
  <si>
    <t>E. 非機能・ユーザビリティ</t>
  </si>
  <si>
    <t>レイアウト／デザイントークン</t>
  </si>
  <si>
    <t>低</t>
  </si>
  <si>
    <t>全画面</t>
  </si>
  <si>
    <t>VP-E-02</t>
  </si>
  <si>
    <t>レスポンシブ（モバイル／タブレット）</t>
  </si>
  <si>
    <t>VP-E-03</t>
  </si>
  <si>
    <t>キーボード操作</t>
  </si>
  <si>
    <t>VP-E-04</t>
  </si>
  <si>
    <t>ブラウザ互換性</t>
  </si>
  <si>
    <t>VP-E-05</t>
  </si>
  <si>
    <t>マルチタブセッション同期</t>
  </si>
  <si>
    <t>VP-E-07</t>
  </si>
  <si>
    <t>未保存変更ガード・ブラウザ離脱</t>
  </si>
  <si>
    <t>全 CRUD 編集フォーム</t>
  </si>
  <si>
    <t>VP-F-01</t>
  </si>
  <si>
    <t>F. 性能</t>
  </si>
  <si>
    <t>性能ベンチマーク</t>
  </si>
  <si>
    <t>全画面パフォーマンス計測対象</t>
  </si>
  <si>
    <t>VP-F-02</t>
  </si>
  <si>
    <t>大量データ表示性能</t>
  </si>
  <si>
    <t>一覧／レポート画面</t>
  </si>
  <si>
    <t>2. 観点ID 命名規約・グループ凡例</t>
  </si>
  <si>
    <t>グループ</t>
  </si>
  <si>
    <t>接頭辞</t>
  </si>
  <si>
    <t>名称</t>
  </si>
  <si>
    <t>観点数</t>
  </si>
  <si>
    <t>リスク傾向</t>
  </si>
  <si>
    <t>代表的なテスト観点</t>
  </si>
  <si>
    <t>A</t>
  </si>
  <si>
    <t>VP-A-NN</t>
  </si>
  <si>
    <t>セキュリティ・権限</t>
  </si>
  <si>
    <t>RBAC、DataScope、項目レベル制限、URL直接攻撃、セッション失効、XSS、CSRF、レート制限、アカウントロック、SQL注入</t>
  </si>
  <si>
    <t>B</t>
  </si>
  <si>
    <t>VP-B-NN</t>
  </si>
  <si>
    <t>データバリデーション</t>
  </si>
  <si>
    <t>必須／長さ／形式／半角全角／日付／通貨／m_code／重複キー／IME・貼付ハンドリング</t>
  </si>
  <si>
    <t>C</t>
  </si>
  <si>
    <t>VP-C-NN</t>
  </si>
  <si>
    <t>業務ロジック</t>
  </si>
  <si>
    <t>CRUD 永続化、同時編集競合、論理削除＋FK、税計算、購読者ルール、Excel 取込、レポート集計</t>
  </si>
  <si>
    <t>D</t>
  </si>
  <si>
    <t>VP-D-NN</t>
  </si>
  <si>
    <t>統合・システム</t>
  </si>
  <si>
    <t>ログイン＋MFA、セッション管理、パスワード再発行、監査ログ、S3、メール、CSV 準拠、ネットワーク／500</t>
  </si>
  <si>
    <t>E</t>
  </si>
  <si>
    <t>VP-E-NN</t>
  </si>
  <si>
    <t>非機能・ユーザビリティ</t>
  </si>
  <si>
    <t>低〜中</t>
  </si>
  <si>
    <t>レイアウト、レスポンシブ、キーボード操作、ブラウザ互換、マルチタブ同期、未保存変更ガード</t>
  </si>
  <si>
    <t>F</t>
  </si>
  <si>
    <t>VP-F-NN</t>
  </si>
  <si>
    <t>性能</t>
  </si>
  <si>
    <t>性能ベンチマーク、大量データ表示性能</t>
  </si>
  <si>
    <t>命名規約：VP-{グループ記号}-{NN} 形式（NN はグループ内の2桁連番）。新規観点は同グループの末尾に追加する（例：VP-A-11）。グループ記号はリスク軸による分類で、JSTQB FL の品質特性区分に準拠する。</t>
  </si>
  <si>
    <t>テストレベル</t>
  </si>
  <si>
    <t>結合テスト</t>
  </si>
  <si>
    <t>機能／モジュール</t>
  </si>
  <si>
    <t>ACSMS-SCR-020_口座振替データ出力画面</t>
  </si>
  <si>
    <t>確認日</t>
  </si>
  <si>
    <t>テスト環境</t>
  </si>
  <si>
    <t>Windows 10/11, Chrome, Edge</t>
  </si>
  <si>
    <t>分類</t>
  </si>
  <si>
    <t>回目</t>
  </si>
  <si>
    <t>境界値</t>
  </si>
  <si>
    <t>1回目</t>
  </si>
  <si>
    <t>2回目</t>
  </si>
  <si>
    <t>要件ID</t>
  </si>
  <si>
    <t>説明</t>
  </si>
  <si>
    <t>前提条件</t>
  </si>
  <si>
    <t>ステップ／手順</t>
  </si>
  <si>
    <t>期待結果／アウトプット</t>
  </si>
  <si>
    <t>種類</t>
  </si>
  <si>
    <t>テスト1回目の結果</t>
  </si>
  <si>
    <t>テスト2回目の結果</t>
  </si>
  <si>
    <t>備考</t>
  </si>
  <si>
    <t>結果</t>
  </si>
  <si>
    <t>実績／
アウトプット</t>
  </si>
  <si>
    <t>確認日付
（MM/DD）</t>
  </si>
  <si>
    <t>バグID</t>
  </si>
  <si>
    <t>カテゴリ1: Kiểm soát quyền truy cập (Access Control)</t>
  </si>
  <si>
    <t>ACSMS-TC-020-001</t>
  </si>
  <si>
    <t>Cấm truy cập màn hình (NICHINO_ADMIN)</t>
  </si>
  <si>
    <t>・Đã đăng nhập bằng NICHINO_ADMIN (đã xác thực 2 lớp)
・Không có quyền「koza_furikae.export」</t>
  </si>
  <si>
    <r>
      <rPr>
        <rFont val="メイリオ"/>
        <b/>
        <color rgb="FF000000"/>
        <sz val="10.0"/>
      </rPr>
      <t xml:space="preserve">ステップ1：
</t>
    </r>
    <r>
      <rPr>
        <rFont val="メイリオ"/>
        <color rgb="FF000000"/>
        <sz val="10.0"/>
      </rPr>
      <t xml:space="preserve">Mở dashboard, xác nhận mục「口座振替データ出力」không hiển thị trên sidebar
</t>
    </r>
    <r>
      <rPr>
        <rFont val="メイリオ"/>
        <b/>
        <color rgb="FF000000"/>
        <sz val="10.0"/>
      </rPr>
      <t xml:space="preserve">ステップ2：
</t>
    </r>
    <r>
      <rPr>
        <rFont val="メイリオ"/>
        <color rgb="FF000000"/>
        <sz val="10.0"/>
      </rPr>
      <t xml:space="preserve">Nhập「/koza-furikae」vào thanh địa chỉ trình duyệt và truy cập trực tiếp
</t>
    </r>
    <r>
      <rPr>
        <rFont val="メイリオ"/>
        <b/>
        <color rgb="FF000000"/>
        <sz val="10.0"/>
      </rPr>
      <t xml:space="preserve">ステップ3：
</t>
    </r>
    <r>
      <rPr>
        <rFont val="メイリオ"/>
        <color rgb="FF000000"/>
        <sz val="10.0"/>
      </rPr>
      <t>Gửi POST「/api/v1/koza-furikae/export」với request body hợp lệ qua tab Network của DevTools</t>
    </r>
  </si>
  <si>
    <r>
      <rPr>
        <rFont val="メイリオ"/>
        <b/>
        <color rgb="FF000000"/>
        <sz val="10.0"/>
      </rPr>
      <t xml:space="preserve">ステップ1：
</t>
    </r>
    <r>
      <rPr>
        <rFont val="メイリオ"/>
        <color rgb="FF000000"/>
        <sz val="10.0"/>
      </rPr>
      <t xml:space="preserve">Mục「口座振替データ出力」không hiển thị trên sidebar
</t>
    </r>
    <r>
      <rPr>
        <rFont val="メイリオ"/>
        <b/>
        <color rgb="FF000000"/>
        <sz val="10.0"/>
      </rPr>
      <t xml:space="preserve">ステップ2：
</t>
    </r>
    <r>
      <rPr>
        <rFont val="メイリオ"/>
        <color rgb="FF000000"/>
        <sz val="10.0"/>
      </rPr>
      <t xml:space="preserve">Hiển thị toast「アクセス権がありません。」và chuyển sang「/dashboard」
</t>
    </r>
    <r>
      <rPr>
        <rFont val="メイリオ"/>
        <b/>
        <color rgb="FF000000"/>
        <sz val="10.0"/>
      </rPr>
      <t xml:space="preserve">ステップ3：
</t>
    </r>
    <r>
      <rPr>
        <rFont val="メイリオ"/>
        <color rgb="FF000000"/>
        <sz val="10.0"/>
      </rPr>
      <t xml:space="preserve">Trả về HTTP 403 (`error_code: FORBIDDEN`, message `この画面へのアクセス権限がありません。`)
</t>
    </r>
    <r>
      <rPr>
        <rFont val="メイリオ"/>
        <b/>
        <color rgb="FF000000"/>
        <sz val="10.0"/>
      </rPr>
      <t xml:space="preserve">補足：
</t>
    </r>
    <r>
      <rPr>
        <rFont val="メイリオ"/>
        <color rgb="FF000000"/>
        <sz val="10.0"/>
      </rPr>
      <t>・Truy cập được kiểm soát tại cả 3 lớp: menu FE, router guard FE, và API guard BE</t>
    </r>
  </si>
  <si>
    <t>ACSMS-TC-020-002</t>
  </si>
  <si>
    <t>Cấm truy cập màn hình (NICHINO_STAFF)</t>
  </si>
  <si>
    <t>・Đã đăng nhập bằng NICHINO_STAFF (đã xác thực 2 lớp)
・Không có quyền「koza_furikae.export」</t>
  </si>
  <si>
    <r>
      <rPr>
        <rFont val="メイリオ"/>
        <b/>
        <color rgb="FF000000"/>
        <sz val="10.0"/>
      </rPr>
      <t xml:space="preserve">ステップ1：
</t>
    </r>
    <r>
      <rPr>
        <rFont val="メイリオ"/>
        <color rgb="FF000000"/>
        <sz val="10.0"/>
      </rPr>
      <t xml:space="preserve">Mở dashboard, xác nhận mục「口座振替データ出力」không hiển thị trên sidebar
</t>
    </r>
    <r>
      <rPr>
        <rFont val="メイリオ"/>
        <b/>
        <color rgb="FF000000"/>
        <sz val="10.0"/>
      </rPr>
      <t xml:space="preserve">ステップ2：
</t>
    </r>
    <r>
      <rPr>
        <rFont val="メイリオ"/>
        <color rgb="FF000000"/>
        <sz val="10.0"/>
      </rPr>
      <t xml:space="preserve">Nhập「/koza-furikae」vào thanh địa chỉ trình duyệt và truy cập trực tiếp
</t>
    </r>
    <r>
      <rPr>
        <rFont val="メイリオ"/>
        <b/>
        <color rgb="FF000000"/>
        <sz val="10.0"/>
      </rPr>
      <t xml:space="preserve">ステップ3：
</t>
    </r>
    <r>
      <rPr>
        <rFont val="メイリオ"/>
        <color rgb="FF000000"/>
        <sz val="10.0"/>
      </rPr>
      <t>Gửi POST「/api/v1/koza-furikae/export」với request body hợp lệ qua tab Network của DevTools</t>
    </r>
  </si>
  <si>
    <r>
      <rPr>
        <rFont val="メイリオ"/>
        <b/>
        <color rgb="FF000000"/>
        <sz val="10.0"/>
      </rPr>
      <t xml:space="preserve">ステップ1：
</t>
    </r>
    <r>
      <rPr>
        <rFont val="メイリオ"/>
        <color rgb="FF000000"/>
        <sz val="10.0"/>
      </rPr>
      <t xml:space="preserve">Mục「口座振替データ出力」không hiển thị trên sidebar
</t>
    </r>
    <r>
      <rPr>
        <rFont val="メイリオ"/>
        <b/>
        <color rgb="FF000000"/>
        <sz val="10.0"/>
      </rPr>
      <t xml:space="preserve">ステップ2：
</t>
    </r>
    <r>
      <rPr>
        <rFont val="メイリオ"/>
        <color rgb="FF000000"/>
        <sz val="10.0"/>
      </rPr>
      <t xml:space="preserve">Hiển thị toast「アクセス権がありません。」và chuyển sang「/dashboard」
</t>
    </r>
    <r>
      <rPr>
        <rFont val="メイリオ"/>
        <b/>
        <color rgb="FF000000"/>
        <sz val="10.0"/>
      </rPr>
      <t xml:space="preserve">ステップ3：
</t>
    </r>
    <r>
      <rPr>
        <rFont val="メイリオ"/>
        <color rgb="FF000000"/>
        <sz val="10.0"/>
      </rPr>
      <t>Trả về HTTP 403 (`error_code: FORBIDDEN`, message `この画面へのアクセス権限がありません。`)</t>
    </r>
  </si>
  <si>
    <t>ACSMS-TC-020-003</t>
  </si>
  <si>
    <t>Cho phép truy cập màn hình (CHUOKAI)</t>
  </si>
  <si>
    <t>・Đã đăng nhập bằng CHUOKAI (đã xác thực 2 lớp)
・Có quyền「koza_furikae.export」</t>
  </si>
  <si>
    <r>
      <rPr>
        <rFont val="メイリオ"/>
        <b/>
        <color rgb="FF000000"/>
        <sz val="10.0"/>
      </rPr>
      <t xml:space="preserve">ステップ1：
</t>
    </r>
    <r>
      <rPr>
        <rFont val="メイリオ"/>
        <color rgb="FF000000"/>
        <sz val="10.0"/>
      </rPr>
      <t xml:space="preserve">Mở dashboard, xác nhận mục「口座振替データ出力」hiển thị trên sidebar
</t>
    </r>
    <r>
      <rPr>
        <rFont val="メイリオ"/>
        <b/>
        <color rgb="FF000000"/>
        <sz val="10.0"/>
      </rPr>
      <t xml:space="preserve">ステップ2：
</t>
    </r>
    <r>
      <rPr>
        <rFont val="メイリオ"/>
        <color rgb="FF000000"/>
        <sz val="10.0"/>
      </rPr>
      <t>Click vào mục「口座振替データ出力」</t>
    </r>
  </si>
  <si>
    <r>
      <rPr>
        <rFont val="メイリオ"/>
        <b/>
        <color rgb="FF000000"/>
        <sz val="10.0"/>
      </rPr>
      <t xml:space="preserve">ステップ1：
</t>
    </r>
    <r>
      <rPr>
        <rFont val="メイリオ"/>
        <color rgb="FF000000"/>
        <sz val="10.0"/>
      </rPr>
      <t xml:space="preserve">Mục「口座振替データ出力」được hiển thị trên sidebar
</t>
    </r>
    <r>
      <rPr>
        <rFont val="メイリオ"/>
        <b/>
        <color rgb="FF000000"/>
        <sz val="10.0"/>
      </rPr>
      <t xml:space="preserve">ステップ2：
</t>
    </r>
    <r>
      <rPr>
        <rFont val="メイリオ"/>
        <color rgb="FF000000"/>
        <sz val="10.0"/>
      </rPr>
      <t>Chuyển sang「/koza-furikae」và form thiết lập xuất dữ liệu được hiển thị</t>
    </r>
  </si>
  <si>
    <t>N</t>
  </si>
  <si>
    <t>ACSMS-TC-020-004</t>
  </si>
  <si>
    <t>Cho phép truy cập màn hình (JA_HONTEN)</t>
  </si>
  <si>
    <t>・Đã đăng nhập bằng JA_HONTEN (đã xác thực 2 lớp)
・Có quyền「koza_furikae.export」</t>
  </si>
  <si>
    <r>
      <rPr>
        <rFont val="メイリオ"/>
        <b/>
        <color rgb="FF000000"/>
        <sz val="10.0"/>
      </rPr>
      <t xml:space="preserve">ステップ1：
</t>
    </r>
    <r>
      <rPr>
        <rFont val="メイリオ"/>
        <color rgb="FF000000"/>
        <sz val="10.0"/>
      </rPr>
      <t xml:space="preserve">Mở dashboard, xác nhận mục「口座振替データ出力」hiển thị trên sidebar
</t>
    </r>
    <r>
      <rPr>
        <rFont val="メイリオ"/>
        <b/>
        <color rgb="FF000000"/>
        <sz val="10.0"/>
      </rPr>
      <t xml:space="preserve">ステップ2：
</t>
    </r>
    <r>
      <rPr>
        <rFont val="メイリオ"/>
        <color rgb="FF000000"/>
        <sz val="10.0"/>
      </rPr>
      <t>Click vào mục「口座振替データ出力」</t>
    </r>
  </si>
  <si>
    <r>
      <rPr>
        <rFont val="メイリオ"/>
        <b/>
        <color rgb="FF000000"/>
        <sz val="10.0"/>
      </rPr>
      <t xml:space="preserve">ステップ1：
</t>
    </r>
    <r>
      <rPr>
        <rFont val="メイリオ"/>
        <color rgb="FF000000"/>
        <sz val="10.0"/>
      </rPr>
      <t xml:space="preserve">Mục「口座振替データ出力」được hiển thị trên sidebar
</t>
    </r>
    <r>
      <rPr>
        <rFont val="メイリオ"/>
        <b/>
        <color rgb="FF000000"/>
        <sz val="10.0"/>
      </rPr>
      <t xml:space="preserve">ステップ2：
</t>
    </r>
    <r>
      <rPr>
        <rFont val="メイリオ"/>
        <color rgb="FF000000"/>
        <sz val="10.0"/>
      </rPr>
      <t>Chuyển sang「/koza-furikae」và form thiết lập xuất dữ liệu được hiển thị</t>
    </r>
  </si>
  <si>
    <t>ACSMS-TC-020-005</t>
  </si>
  <si>
    <t>Cho phép truy cập màn hình (JA_KANRI_SHITEN)</t>
  </si>
  <si>
    <t>・Đã đăng nhập bằng JA_KANRI_SHITEN (đã xác thực 2 lớp)
・Có quyền「koza_furikae.export」</t>
  </si>
  <si>
    <r>
      <rPr>
        <rFont val="メイリオ"/>
        <b/>
        <color rgb="FF000000"/>
        <sz val="10.0"/>
      </rPr>
      <t xml:space="preserve">ステップ1：
</t>
    </r>
    <r>
      <rPr>
        <rFont val="メイリオ"/>
        <color rgb="FF000000"/>
        <sz val="10.0"/>
      </rPr>
      <t xml:space="preserve">Mở dashboard, xác nhận mục「口座振替データ出力」hiển thị trên sidebar
</t>
    </r>
    <r>
      <rPr>
        <rFont val="メイリオ"/>
        <b/>
        <color rgb="FF000000"/>
        <sz val="10.0"/>
      </rPr>
      <t xml:space="preserve">ステップ2：
</t>
    </r>
    <r>
      <rPr>
        <rFont val="メイリオ"/>
        <color rgb="FF000000"/>
        <sz val="10.0"/>
      </rPr>
      <t>Click vào mục「口座振替データ出力」</t>
    </r>
  </si>
  <si>
    <r>
      <rPr>
        <rFont val="メイリオ"/>
        <b/>
        <color rgb="FF000000"/>
        <sz val="10.0"/>
      </rPr>
      <t xml:space="preserve">ステップ1：
</t>
    </r>
    <r>
      <rPr>
        <rFont val="メイリオ"/>
        <color rgb="FF000000"/>
        <sz val="10.0"/>
      </rPr>
      <t xml:space="preserve">Mục「口座振替データ出力」được hiển thị trên sidebar
</t>
    </r>
    <r>
      <rPr>
        <rFont val="メイリオ"/>
        <b/>
        <color rgb="FF000000"/>
        <sz val="10.0"/>
      </rPr>
      <t xml:space="preserve">ステップ2：
</t>
    </r>
    <r>
      <rPr>
        <rFont val="メイリオ"/>
        <color rgb="FF000000"/>
        <sz val="10.0"/>
      </rPr>
      <t xml:space="preserve">Chuyển sang「/koza-furikae」và form thiết lập xuất dữ liệu được hiển thị
</t>
    </r>
    <r>
      <rPr>
        <rFont val="メイリオ"/>
        <b/>
        <color rgb="FF000000"/>
        <sz val="10.0"/>
      </rPr>
      <t xml:space="preserve">補足：
</t>
    </r>
    <r>
      <rPr>
        <rFont val="メイリオ"/>
        <color rgb="FF000000"/>
        <sz val="10.0"/>
      </rPr>
      <t>・Đối tượng xuất chỉ giới hạn ở những người đăng ký thuộc chi nhánh quản lý của chính mình (DataScope `kanri_shiten_id = user.kanri_shiten_id`)</t>
    </r>
  </si>
  <si>
    <t>ACSMS-TC-020-006</t>
  </si>
  <si>
    <t>Chỉ định chi nhánh tài khoản của JA khác (CHUOKAI)</t>
  </si>
  <si>
    <t>・Đã đăng nhập bằng CHUOKAI (ja_id=1)
・Tồn tại ID chi nhánh tài khoản (ví dụ: 99) thuộc JA khác (ja_id=2)</t>
  </si>
  <si>
    <r>
      <rPr>
        <rFont val="メイリオ"/>
        <b/>
        <color rgb="FF000000"/>
        <sz val="10.0"/>
      </rPr>
      <t xml:space="preserve">ステップ1：
</t>
    </r>
    <r>
      <rPr>
        <rFont val="メイリオ"/>
        <color rgb="FF000000"/>
        <sz val="10.0"/>
      </rPr>
      <t xml:space="preserve">Nhập các mục bắt buộc trên màn hình xuất dữ liệu chuyển khoản tự khoản
</t>
    </r>
    <r>
      <rPr>
        <rFont val="メイリオ"/>
        <b/>
        <color rgb="FF000000"/>
        <sz val="10.0"/>
      </rPr>
      <t xml:space="preserve">ステップ2：
</t>
    </r>
    <r>
      <rPr>
        <rFont val="メイリオ"/>
        <color rgb="FF000000"/>
        <sz val="10.0"/>
      </rPr>
      <t>Gửi POST「/api/v1/koza-furikae/export」với request body chứa `koza_shiten_ids: [99]` thuộc JA khác qua tab Network của DevTools</t>
    </r>
  </si>
  <si>
    <r>
      <rPr>
        <rFont val="メイリオ"/>
        <b/>
        <color rgb="FF000000"/>
        <sz val="10.0"/>
      </rPr>
      <t xml:space="preserve">ステップ1：
</t>
    </r>
    <r>
      <rPr>
        <rFont val="メイリオ"/>
        <color rgb="FF000000"/>
        <sz val="10.0"/>
      </rPr>
      <t xml:space="preserve">Có thể nhập các mục bắt buộc
</t>
    </r>
    <r>
      <rPr>
        <rFont val="メイリオ"/>
        <b/>
        <color rgb="FF000000"/>
        <sz val="10.0"/>
      </rPr>
      <t xml:space="preserve">ステップ2：
</t>
    </r>
    <r>
      <rPr>
        <rFont val="メイリオ"/>
        <color rgb="FF000000"/>
        <sz val="10.0"/>
      </rPr>
      <t xml:space="preserve">Trả về HTTP 403 (`error_code: DATA_SCOPE_VIOLATION`, message `このデータへのアクセス権限がありません。`)
</t>
    </r>
    <r>
      <rPr>
        <rFont val="メイリオ"/>
        <b/>
        <color rgb="FF000000"/>
        <sz val="10.0"/>
      </rPr>
      <t xml:space="preserve">補足：
</t>
    </r>
    <r>
      <rPr>
        <rFont val="メイリオ"/>
        <color rgb="FF000000"/>
        <sz val="10.0"/>
      </rPr>
      <t>・Không tạo ra dữ liệu xuất chứa record của JA khác</t>
    </r>
  </si>
  <si>
    <t>ACSMS-TC-020-007</t>
  </si>
  <si>
    <t>Chỉ định ngoài chi nhánh quản lý của mình (JA_KANRI_SHITEN)</t>
  </si>
  <si>
    <t>・Đã đăng nhập bằng JA_KANRI_SHITEN (kanri_shiten_id=10)
・Tồn tại ID chi nhánh quản lý khác (ví dụ: 20) thuộc JA của mình</t>
  </si>
  <si>
    <r>
      <rPr>
        <rFont val="メイリオ"/>
        <b/>
        <color rgb="FF000000"/>
        <sz val="10.0"/>
      </rPr>
      <t xml:space="preserve">ステップ1：
</t>
    </r>
    <r>
      <rPr>
        <rFont val="メイリオ"/>
        <color rgb="FF000000"/>
        <sz val="10.0"/>
      </rPr>
      <t xml:space="preserve">Nhập các mục bắt buộc trên màn hình xuất dữ liệu chuyển khoản tự khoản
</t>
    </r>
    <r>
      <rPr>
        <rFont val="メイリオ"/>
        <b/>
        <color rgb="FF000000"/>
        <sz val="10.0"/>
      </rPr>
      <t xml:space="preserve">ステップ2：
</t>
    </r>
    <r>
      <rPr>
        <rFont val="メイリオ"/>
        <color rgb="FF000000"/>
        <sz val="10.0"/>
      </rPr>
      <t>Gửi POST「/api/v1/koza-furikae/export」với request body chứa `kanri_shiten_ids: [20]` ngoài chi nhánh quản lý của mình qua tab Network của DevTools</t>
    </r>
  </si>
  <si>
    <r>
      <rPr>
        <rFont val="メイリオ"/>
        <b/>
        <color rgb="FF000000"/>
        <sz val="10.0"/>
      </rPr>
      <t xml:space="preserve">ステップ1：
</t>
    </r>
    <r>
      <rPr>
        <rFont val="メイリオ"/>
        <color rgb="FF000000"/>
        <sz val="10.0"/>
      </rPr>
      <t xml:space="preserve">Có thể nhập các mục bắt buộc
</t>
    </r>
    <r>
      <rPr>
        <rFont val="メイリオ"/>
        <b/>
        <color rgb="FF000000"/>
        <sz val="10.0"/>
      </rPr>
      <t xml:space="preserve">ステップ2：
</t>
    </r>
    <r>
      <rPr>
        <rFont val="メイリオ"/>
        <color rgb="FF000000"/>
        <sz val="10.0"/>
      </rPr>
      <t>Trả về HTTP 403 (`error_code: DATA_SCOPE_VIOLATION`, message `このデータへのアクセス権限がありません。`)</t>
    </r>
  </si>
  <si>
    <t>ACSMS-TC-020-008</t>
  </si>
  <si>
    <t>Truy cập trực tiếp URL (role không có quyền)</t>
  </si>
  <si>
    <t>・Đã đăng nhập bằng NICHINO_ADMIN (không có quyền「koza_furikae.export」)</t>
  </si>
  <si>
    <r>
      <rPr>
        <rFont val="メイリオ"/>
        <b/>
        <strike/>
        <color rgb="FF000000"/>
        <sz val="10.0"/>
      </rPr>
      <t xml:space="preserve">ステップ1：
</t>
    </r>
    <r>
      <rPr>
        <rFont val="メイリオ"/>
        <strike/>
        <color rgb="FF000000"/>
        <sz val="10.0"/>
      </rPr>
      <t xml:space="preserve">Nhập trực tiếp「/koza-furikae」vào thanh địa chỉ và truy cập
</t>
    </r>
    <r>
      <rPr>
        <rFont val="メイリオ"/>
        <b/>
        <strike/>
        <color rgb="FF000000"/>
        <sz val="10.0"/>
      </rPr>
      <t xml:space="preserve">ステップ2：
</t>
    </r>
    <r>
      <rPr>
        <rFont val="メイリオ"/>
        <strike/>
        <color rgb="FF000000"/>
        <sz val="10.0"/>
      </rPr>
      <t>Tải lại bằng phím F5 của trình duyệt</t>
    </r>
  </si>
  <si>
    <r>
      <rPr>
        <rFont val="メイリオ"/>
        <b/>
        <strike/>
        <color rgb="FF000000"/>
        <sz val="10.0"/>
      </rPr>
      <t xml:space="preserve">ステップ1：
</t>
    </r>
    <r>
      <rPr>
        <rFont val="メイリオ"/>
        <strike/>
        <color rgb="FF000000"/>
        <sz val="10.0"/>
      </rPr>
      <t xml:space="preserve">Hiển thị toast「アクセス権がありません。」và chuyển sang「/dashboard」
</t>
    </r>
    <r>
      <rPr>
        <rFont val="メイリオ"/>
        <b/>
        <strike/>
        <color rgb="FF000000"/>
        <sz val="10.0"/>
      </rPr>
      <t xml:space="preserve">ステップ2：
</t>
    </r>
    <r>
      <rPr>
        <rFont val="メイリオ"/>
        <strike/>
        <color rgb="FF000000"/>
        <sz val="10.0"/>
      </rPr>
      <t>Sau khi tải lại màn hình vẫn không hiển thị và chuyển sang「/dashboard」</t>
    </r>
  </si>
  <si>
    <t>Case này trùng với step 2 của case số 1 rồi nên k cần case này nữa.</t>
  </si>
  <si>
    <t>カテゴリ2: Hiển thị màn hình (Layout / Rendering)</t>
  </si>
  <si>
    <t>ACSMS-TC-020-009</t>
  </si>
  <si>
    <t>Hiển thị tiêu đề màn hình・breadcrumb</t>
  </si>
  <si>
    <t>・Đã đăng nhập bằng CHUOKAI</t>
  </si>
  <si>
    <r>
      <rPr>
        <rFont val="メイリオ"/>
        <b/>
        <color rgb="FF000000"/>
        <sz val="10.0"/>
      </rPr>
      <t xml:space="preserve">ステップ1：
</t>
    </r>
    <r>
      <rPr>
        <rFont val="メイリオ"/>
        <color rgb="FF000000"/>
        <sz val="10.0"/>
      </rPr>
      <t xml:space="preserve">Mở「/koza-furikae」
</t>
    </r>
    <r>
      <rPr>
        <rFont val="メイリオ"/>
        <b/>
        <color rgb="FF000000"/>
        <sz val="10.0"/>
      </rPr>
      <t xml:space="preserve">ステップ2：
</t>
    </r>
    <r>
      <rPr>
        <rFont val="メイリオ"/>
        <color rgb="FF000000"/>
        <sz val="10.0"/>
      </rPr>
      <t>Xác nhận tiêu đề và breadcrumb ở phần trên màn hình</t>
    </r>
  </si>
  <si>
    <r>
      <rPr>
        <rFont val="メイリオ"/>
        <b/>
        <color rgb="FF000000"/>
        <sz val="10.0"/>
      </rPr>
      <t xml:space="preserve">ステップ1：
</t>
    </r>
    <r>
      <rPr>
        <rFont val="メイリオ"/>
        <color rgb="FF000000"/>
        <sz val="10.0"/>
      </rPr>
      <t xml:space="preserve">Màn hình được hiển thị
</t>
    </r>
    <r>
      <rPr>
        <rFont val="メイリオ"/>
        <b/>
        <color rgb="FF000000"/>
        <sz val="10.0"/>
      </rPr>
      <t xml:space="preserve">ステップ2：
</t>
    </r>
    <r>
      <rPr>
        <rFont val="メイリオ"/>
        <color rgb="FF000000"/>
        <sz val="10.0"/>
      </rPr>
      <t>Tiêu đề màn hình「口座振替データ出力」được hiển thị, và breadcrumb hiển thị「ホーム &gt; 口座振替データ出力」</t>
    </r>
  </si>
  <si>
    <t>ACSMS-TC-020-010</t>
  </si>
  <si>
    <t>Giá trị mặc định khi hiển thị ban đầu</t>
  </si>
  <si>
    <t>・Đã đăng nhập bằng CHUOKAI
・JA của mình chưa đăng ký record chi nhánh tài chính (kinyu_shiten_flg=true)</t>
  </si>
  <si>
    <r>
      <rPr>
        <rFont val="メイリオ"/>
        <b/>
        <color rgb="FF000000"/>
        <sz val="10.0"/>
      </rPr>
      <t xml:space="preserve">ステップ1：
</t>
    </r>
    <r>
      <rPr>
        <rFont val="メイリオ"/>
        <color rgb="FF000000"/>
        <sz val="10.0"/>
      </rPr>
      <t xml:space="preserve">Mở「/koza-furikae」
</t>
    </r>
    <r>
      <rPr>
        <rFont val="メイリオ"/>
        <b/>
        <color rgb="FF000000"/>
        <sz val="10.0"/>
      </rPr>
      <t xml:space="preserve">ステップ2：
</t>
    </r>
    <r>
      <rPr>
        <rFont val="メイリオ"/>
        <color rgb="FF000000"/>
        <sz val="10.0"/>
      </rPr>
      <t>Xác nhận giá trị ban đầu của từng mục nhập</t>
    </r>
  </si>
  <si>
    <r>
      <rPr>
        <rFont val="メイリオ"/>
        <b/>
        <color rgb="FF000000"/>
        <sz val="10.0"/>
      </rPr>
      <t xml:space="preserve">ステップ1：
</t>
    </r>
    <r>
      <rPr>
        <rFont val="メイリオ"/>
        <color rgb="FF000000"/>
        <sz val="10.0"/>
      </rPr>
      <t xml:space="preserve">Màn hình được hiển thị (`GET /api/v1/koza-furikae/initial` trả về HTTP 200)
</t>
    </r>
    <r>
      <rPr>
        <rFont val="メイリオ"/>
        <b/>
        <color rgb="FF000000"/>
        <sz val="10.0"/>
      </rPr>
      <t xml:space="preserve">ステップ2：
</t>
    </r>
    <r>
      <rPr>
        <rFont val="メイリオ"/>
        <color rgb="FF000000"/>
        <sz val="10.0"/>
      </rPr>
      <t xml:space="preserve">・Loại tiền gửi được thiết lập ban đầu là「普通貯金」(giá trị `1`)
</t>
    </r>
    <r>
      <rPr>
        <rFont val="メイリオ"/>
        <color rgb="FF000000"/>
        <sz val="10.0"/>
      </rPr>
      <t>・Các mục khác như ngày tháng・ngày trừ tiền・số tài khoản v.v. được hiển thị trống</t>
    </r>
  </si>
  <si>
    <t>ACSMS-TC-020-011</t>
  </si>
  <si>
    <t>Hiển thị ban đầu thông tin JASTEM khi truy cập lần 2</t>
  </si>
  <si>
    <t>・Đã đăng nhập bằng CHUOKAI
・Đã từng thực hiện xuất dữ liệu chuyển khoản tự khoản, thông tin JASTEM đã được lưu trong m_ja・m_shiten</t>
  </si>
  <si>
    <r>
      <rPr>
        <rFont val="メイリオ"/>
        <b/>
        <color rgb="FF000000"/>
        <sz val="10.0"/>
      </rPr>
      <t xml:space="preserve">ステップ1：
</t>
    </r>
    <r>
      <rPr>
        <rFont val="メイリオ"/>
        <color rgb="FF000000"/>
        <sz val="10.0"/>
      </rPr>
      <t xml:space="preserve">Mở「/koza-furikae」
</t>
    </r>
    <r>
      <rPr>
        <rFont val="メイリオ"/>
        <b/>
        <color rgb="FF000000"/>
        <sz val="10.0"/>
      </rPr>
      <t xml:space="preserve">ステップ2：
</t>
    </r>
    <r>
      <rPr>
        <rFont val="メイリオ"/>
        <color rgb="FF000000"/>
        <sz val="10.0"/>
      </rPr>
      <t>Xác nhận giá trị ban đầu của mã người ủy thác・tên người ủy thác・số JA・tên JA・mã cửa hàng xử lý gửi dữ liệu・tên cửa hàng・số tài khoản</t>
    </r>
  </si>
  <si>
    <r>
      <rPr>
        <rFont val="メイリオ"/>
        <b/>
        <color rgb="FF000000"/>
        <sz val="10.0"/>
      </rPr>
      <t xml:space="preserve">ステップ1：
</t>
    </r>
    <r>
      <rPr>
        <rFont val="メイリオ"/>
        <color rgb="FF000000"/>
        <sz val="10.0"/>
      </rPr>
      <t xml:space="preserve">Màn hình được hiển thị (`GET /api/v1/koza-furikae/initial` trả về HTTP 200)
</t>
    </r>
    <r>
      <rPr>
        <rFont val="メイリオ"/>
        <b/>
        <color rgb="FF000000"/>
        <sz val="10.0"/>
      </rPr>
      <t xml:space="preserve">ステップ2：
</t>
    </r>
    <r>
      <rPr>
        <rFont val="メイリオ"/>
        <color rgb="FF000000"/>
        <sz val="10.0"/>
      </rPr>
      <t xml:space="preserve">・Mã người ủy thác・tên người ủy thác・số JA・tên JA được hiển thị ban đầu bằng giá trị đã lưu của m_ja
</t>
    </r>
    <r>
      <rPr>
        <rFont val="メイリオ"/>
        <color rgb="FF000000"/>
        <sz val="10.0"/>
      </rPr>
      <t xml:space="preserve">・Mã cửa hàng xử lý gửi dữ liệu・tên cửa hàng・loại tiền gửi・số tài khoản được hiển thị ban đầu bằng giá trị đã lưu của m_shiten được dùng cuối cùng
</t>
    </r>
    <r>
      <rPr>
        <rFont val="メイリオ"/>
        <color rgb="FF000000"/>
        <sz val="10.0"/>
      </rPr>
      <t>・Từng mục có thể chỉnh sửa</t>
    </r>
  </si>
  <si>
    <t>ACSMS-TC-020-012</t>
  </si>
  <si>
    <t>Hiển thị pulldown chi nhánh quản lý・chi nhánh・chi nhánh tài khoản</t>
  </si>
  <si>
    <t>・Đã đăng nhập bằng CHUOKAI
・JA của mình đã đăng ký record chi nhánh quản lý・chi nhánh・chi nhánh tài chính</t>
  </si>
  <si>
    <r>
      <rPr>
        <rFont val="メイリオ"/>
        <b/>
        <color rgb="FF000000"/>
        <sz val="10.0"/>
      </rPr>
      <t xml:space="preserve">ステップ1：
</t>
    </r>
    <r>
      <rPr>
        <rFont val="メイリオ"/>
        <color rgb="FF000000"/>
        <sz val="10.0"/>
      </rPr>
      <t xml:space="preserve">Mở「/koza-furikae」
</t>
    </r>
    <r>
      <rPr>
        <rFont val="メイリオ"/>
        <b/>
        <color rgb="FF000000"/>
        <sz val="10.0"/>
      </rPr>
      <t xml:space="preserve">ステップ2：
</t>
    </r>
    <r>
      <rPr>
        <rFont val="メイリオ"/>
        <color rgb="FF000000"/>
        <sz val="10.0"/>
      </rPr>
      <t>Mở từng pulldown chi nhánh quản lý・chi nhánh・chi nhánh tài khoản</t>
    </r>
  </si>
  <si>
    <r>
      <rPr>
        <rFont val="メイリオ"/>
        <b/>
        <color rgb="FF000000"/>
        <sz val="10.0"/>
      </rPr>
      <t xml:space="preserve">ステップ1：
</t>
    </r>
    <r>
      <rPr>
        <rFont val="メイリオ"/>
        <color rgb="FF000000"/>
        <sz val="10.0"/>
      </rPr>
      <t xml:space="preserve">Màn hình được hiển thị
</t>
    </r>
    <r>
      <rPr>
        <rFont val="メイリオ"/>
        <b/>
        <color rgb="FF000000"/>
        <sz val="10.0"/>
      </rPr>
      <t xml:space="preserve">ステップ2：
</t>
    </r>
    <r>
      <rPr>
        <rFont val="メイリオ"/>
        <color rgb="FF000000"/>
        <sz val="10.0"/>
      </rPr>
      <t xml:space="preserve">・Pulldown chi nhánh quản lý hiển thị danh sách chi nhánh quản lý thuộc JA của mình
</t>
    </r>
    <r>
      <rPr>
        <rFont val="メイリオ"/>
        <color rgb="FF000000"/>
        <sz val="10.0"/>
      </rPr>
      <t xml:space="preserve">・Pulldown chi nhánh hiển thị danh sách chi nhánh thuộc JA của mình
</t>
    </r>
    <r>
      <rPr>
        <rFont val="メイリオ"/>
        <color rgb="FF000000"/>
        <sz val="10.0"/>
      </rPr>
      <t xml:space="preserve">・Pulldown chi nhánh tài khoản chỉ hiển thị chi nhánh tài chính (kinyu_shiten_flg=true) (`GET /api/v1/shiten/koza-dropdown` trả về HTTP 200)
</t>
    </r>
    <r>
      <rPr>
        <rFont val="メイリオ"/>
        <color rgb="FF000000"/>
        <sz val="10.0"/>
      </rPr>
      <t>・Từng pulldown có thể chọn nhiều</t>
    </r>
  </si>
  <si>
    <t>ACSMS-TC-020-013</t>
  </si>
  <si>
    <t>Hiển thị button bắt đầu tạo</t>
  </si>
  <si>
    <r>
      <rPr>
        <rFont val="メイリオ"/>
        <b/>
        <color rgb="FF000000"/>
        <sz val="10.0"/>
      </rPr>
      <t xml:space="preserve">ステップ1：
</t>
    </r>
    <r>
      <rPr>
        <rFont val="メイリオ"/>
        <color rgb="FF000000"/>
        <sz val="10.0"/>
      </rPr>
      <t xml:space="preserve">Mở「/koza-furikae」
</t>
    </r>
    <r>
      <rPr>
        <rFont val="メイリオ"/>
        <b/>
        <color rgb="FF000000"/>
        <sz val="10.0"/>
      </rPr>
      <t xml:space="preserve">ステップ2：
</t>
    </r>
    <r>
      <rPr>
        <rFont val="メイリオ"/>
        <color rgb="FF000000"/>
        <sz val="10.0"/>
      </rPr>
      <t>Xác nhận trạng thái hiển thị・active của button「作成開始」</t>
    </r>
  </si>
  <si>
    <r>
      <rPr>
        <rFont val="メイリオ"/>
        <b/>
        <color rgb="FF000000"/>
        <sz val="10.0"/>
      </rPr>
      <t xml:space="preserve">ステップ1：
</t>
    </r>
    <r>
      <rPr>
        <rFont val="メイリオ"/>
        <color rgb="FF000000"/>
        <sz val="10.0"/>
      </rPr>
      <t xml:space="preserve">Màn hình được hiển thị
</t>
    </r>
    <r>
      <rPr>
        <rFont val="メイリオ"/>
        <b/>
        <color rgb="FF000000"/>
        <sz val="10.0"/>
      </rPr>
      <t xml:space="preserve">ステップ2：
</t>
    </r>
    <r>
      <rPr>
        <rFont val="メイリオ"/>
        <color rgb="FF000000"/>
        <sz val="10.0"/>
      </rPr>
      <t>Button「作成開始」hiển thị ở trạng thái active</t>
    </r>
  </si>
  <si>
    <t>ACSMS-TC-020-014</t>
  </si>
  <si>
    <t>Thao tác bàn phím</t>
  </si>
  <si>
    <r>
      <rPr>
        <rFont val="メイリオ"/>
        <b/>
        <color rgb="FF000000"/>
        <sz val="10.0"/>
      </rPr>
      <t xml:space="preserve">ステップ1：
</t>
    </r>
    <r>
      <rPr>
        <rFont val="メイリオ"/>
        <color rgb="FF000000"/>
        <sz val="10.0"/>
      </rPr>
      <t xml:space="preserve">Mở「/koza-furikae」
</t>
    </r>
    <r>
      <rPr>
        <rFont val="メイリオ"/>
        <b/>
        <color rgb="FF000000"/>
        <sz val="10.0"/>
      </rPr>
      <t xml:space="preserve">ステップ2：
</t>
    </r>
    <r>
      <rPr>
        <rFont val="メイリオ"/>
        <color rgb="FF000000"/>
        <sz val="10.0"/>
      </rPr>
      <t>Dùng phím Tab di chuyển lần lượt qua từng mục nhập, xác nhận cuối cùng đến được button「作成開始」</t>
    </r>
  </si>
  <si>
    <r>
      <rPr>
        <rFont val="メイリオ"/>
        <b/>
        <color rgb="FF000000"/>
        <sz val="10.0"/>
      </rPr>
      <t xml:space="preserve">ステップ1：
</t>
    </r>
    <r>
      <rPr>
        <rFont val="メイリオ"/>
        <color rgb="FF000000"/>
        <sz val="10.0"/>
      </rPr>
      <t xml:space="preserve">Màn hình được hiển thị
</t>
    </r>
    <r>
      <rPr>
        <rFont val="メイリオ"/>
        <b/>
        <color rgb="FF000000"/>
        <sz val="10.0"/>
      </rPr>
      <t xml:space="preserve">ステップ2：
</t>
    </r>
    <r>
      <rPr>
        <rFont val="メイリオ"/>
        <color rgb="FF000000"/>
        <sz val="10.0"/>
      </rPr>
      <t xml:space="preserve">・Có thể di chuyển bằng phím Tab theo thứ tự ngày tháng → chi nhánh quản lý → chi nhánh → chi nhánh tài khoản → ngày trừ tiền → mã người ủy thác → … → số tài khoản → bắt đầu tạo
</t>
    </r>
    <r>
      <rPr>
        <rFont val="メイリオ"/>
        <color rgb="FF000000"/>
        <sz val="10.0"/>
      </rPr>
      <t>・Không vỡ layout</t>
    </r>
  </si>
  <si>
    <t>(なし)
---</t>
  </si>
  <si>
    <t>カテゴリ3: Kiểm tra đầu vào (Input Validation)</t>
  </si>
  <si>
    <t>ACSMS-TC-020-015</t>
  </si>
  <si>
    <t>Kiểm tra bắt buộc ngày tháng</t>
  </si>
  <si>
    <r>
      <rPr>
        <rFont val="メイリオ"/>
        <b/>
        <color rgb="FF000000"/>
        <sz val="10.0"/>
      </rPr>
      <t xml:space="preserve">ステップ1：
</t>
    </r>
    <r>
      <rPr>
        <rFont val="メイリオ"/>
        <color rgb="FF000000"/>
        <sz val="10.0"/>
      </rPr>
      <t xml:space="preserve">Để trống ngày tháng (chưa chọn), nhập các mục bắt buộc khác
</t>
    </r>
    <r>
      <rPr>
        <rFont val="メイリオ"/>
        <b/>
        <color rgb="FF000000"/>
        <sz val="10.0"/>
      </rPr>
      <t xml:space="preserve">ステップ2：
</t>
    </r>
    <r>
      <rPr>
        <rFont val="メイリオ"/>
        <color rgb="FF000000"/>
        <sz val="10.0"/>
      </rPr>
      <t>Click button「作成開始」</t>
    </r>
  </si>
  <si>
    <r>
      <rPr>
        <rFont val="メイリオ"/>
        <b/>
        <color rgb="FF000000"/>
        <sz val="10.0"/>
      </rPr>
      <t xml:space="preserve">ステップ1：
</t>
    </r>
    <r>
      <rPr>
        <rFont val="メイリオ"/>
        <color rgb="FF000000"/>
        <sz val="10.0"/>
      </rPr>
      <t xml:space="preserve">Ngày tháng ở trạng thái chưa chọn
</t>
    </r>
    <r>
      <rPr>
        <rFont val="メイリオ"/>
        <b/>
        <color rgb="FF000000"/>
        <sz val="10.0"/>
      </rPr>
      <t xml:space="preserve">ステップ2：
</t>
    </r>
    <r>
      <rPr>
        <rFont val="メイリオ"/>
        <color rgb="FF000000"/>
        <sz val="10.0"/>
      </rPr>
      <t>Hiển thị message「必須項目です。」phía dưới mục ngày tháng (ACSMS-MSG-020-004), và `POST /api/v1/koza-furikae/export` không được gửi</t>
    </r>
  </si>
  <si>
    <t>ACSMS-TC-020-016</t>
  </si>
  <si>
    <t>Kiểm tra bắt buộc ngày trừ tiền</t>
  </si>
  <si>
    <r>
      <rPr>
        <rFont val="メイリオ"/>
        <b/>
        <color rgb="FF000000"/>
        <sz val="10.0"/>
      </rPr>
      <t xml:space="preserve">ステップ1：
</t>
    </r>
    <r>
      <rPr>
        <rFont val="メイリオ"/>
        <color rgb="FF000000"/>
        <sz val="10.0"/>
      </rPr>
      <t xml:space="preserve">Để trống ngày trừ tiền (chưa chọn), nhập các mục bắt buộc khác
</t>
    </r>
    <r>
      <rPr>
        <rFont val="メイリオ"/>
        <b/>
        <color rgb="FF000000"/>
        <sz val="10.0"/>
      </rPr>
      <t xml:space="preserve">ステップ2：
</t>
    </r>
    <r>
      <rPr>
        <rFont val="メイリオ"/>
        <color rgb="FF000000"/>
        <sz val="10.0"/>
      </rPr>
      <t>Click button「作成開始」</t>
    </r>
  </si>
  <si>
    <r>
      <rPr>
        <rFont val="メイリオ"/>
        <b/>
        <color rgb="FF000000"/>
        <sz val="10.0"/>
      </rPr>
      <t xml:space="preserve">ステップ1：
</t>
    </r>
    <r>
      <rPr>
        <rFont val="メイリオ"/>
        <color rgb="FF000000"/>
        <sz val="10.0"/>
      </rPr>
      <t xml:space="preserve">Ngày trừ tiền ở trạng thái chưa chọn
</t>
    </r>
    <r>
      <rPr>
        <rFont val="メイリオ"/>
        <b/>
        <color rgb="FF000000"/>
        <sz val="10.0"/>
      </rPr>
      <t xml:space="preserve">ステップ2：
</t>
    </r>
    <r>
      <rPr>
        <rFont val="メイリオ"/>
        <color rgb="FF000000"/>
        <sz val="10.0"/>
      </rPr>
      <t>Hiển thị message「必須項目です。」phía dưới mục ngày trừ tiền (ACSMS-MSG-020-004), và `POST /api/v1/koza-furikae/export` không được gửi</t>
    </r>
  </si>
  <si>
    <t>ACSMS-TC-020-017</t>
  </si>
  <si>
    <t>Kiểm tra bắt buộc mã người ủy thác</t>
  </si>
  <si>
    <r>
      <rPr>
        <rFont val="メイリオ"/>
        <b/>
        <color rgb="FF000000"/>
        <sz val="10.0"/>
      </rPr>
      <t xml:space="preserve">ステップ1：
</t>
    </r>
    <r>
      <rPr>
        <rFont val="メイリオ"/>
        <color rgb="FF000000"/>
        <sz val="10.0"/>
      </rPr>
      <t xml:space="preserve">Để trống mã người ủy thác, nhập các mục bắt buộc khác
</t>
    </r>
    <r>
      <rPr>
        <rFont val="メイリオ"/>
        <b/>
        <color rgb="FF000000"/>
        <sz val="10.0"/>
      </rPr>
      <t xml:space="preserve">ステップ2：
</t>
    </r>
    <r>
      <rPr>
        <rFont val="メイリオ"/>
        <color rgb="FF000000"/>
        <sz val="10.0"/>
      </rPr>
      <t>Click button「作成開始」</t>
    </r>
  </si>
  <si>
    <r>
      <rPr>
        <rFont val="メイリオ"/>
        <b/>
        <color rgb="FF000000"/>
        <sz val="10.0"/>
      </rPr>
      <t xml:space="preserve">ステップ1：
</t>
    </r>
    <r>
      <rPr>
        <rFont val="メイリオ"/>
        <color rgb="FF000000"/>
        <sz val="10.0"/>
      </rPr>
      <t xml:space="preserve">Mã người ủy thác để trống
</t>
    </r>
    <r>
      <rPr>
        <rFont val="メイリオ"/>
        <b/>
        <color rgb="FF000000"/>
        <sz val="10.0"/>
      </rPr>
      <t xml:space="preserve">ステップ2：
</t>
    </r>
    <r>
      <rPr>
        <rFont val="メイリオ"/>
        <color rgb="FF000000"/>
        <sz val="10.0"/>
      </rPr>
      <t>Hiển thị message「必須項目です。」phía dưới mục mã người ủy thác (ACSMS-MSG-020-004)</t>
    </r>
  </si>
  <si>
    <t>ACSMS-TC-020-018</t>
  </si>
  <si>
    <t>Kiểm tra định dạng・số ký tự mã người ủy thác</t>
  </si>
  <si>
    <r>
      <rPr>
        <rFont val="メイリオ"/>
        <b/>
        <color rgb="FF000000"/>
        <sz val="10.0"/>
      </rPr>
      <t xml:space="preserve">ステップ1：
</t>
    </r>
    <r>
      <rPr>
        <rFont val="メイリオ"/>
        <color rgb="FF000000"/>
        <sz val="10.0"/>
      </rPr>
      <t xml:space="preserve">Nhập 11 ký tự chữ-số half-width vào mã người ủy thác (vượt quá tối đa 10 ký tự)
</t>
    </r>
    <r>
      <rPr>
        <rFont val="メイリオ"/>
        <b/>
        <color rgb="FF000000"/>
        <sz val="10.0"/>
      </rPr>
      <t xml:space="preserve">ステップ2：
</t>
    </r>
    <r>
      <rPr>
        <rFont val="メイリオ"/>
        <color rgb="FF000000"/>
        <sz val="10.0"/>
      </rPr>
      <t xml:space="preserve">Nhập ký tự full-width「アイウ」vào mã người ủy thác và click「作成開始」
</t>
    </r>
    <r>
      <rPr>
        <rFont val="メイリオ"/>
        <b/>
        <color rgb="FF000000"/>
        <sz val="10.0"/>
      </rPr>
      <t xml:space="preserve">ステップ3：
</t>
    </r>
    <r>
      <rPr>
        <rFont val="メイリオ"/>
        <color rgb="FF000000"/>
        <sz val="10.0"/>
      </rPr>
      <t>Nhập 10 ký tự chữ-số half-width (số ký tự tối đa) vào mã người ủy thác, nhập các mục bắt buộc khác và click「作成開始」</t>
    </r>
  </si>
  <si>
    <r>
      <rPr>
        <rFont val="メイリオ"/>
        <b/>
        <color rgb="FF000000"/>
        <sz val="10.0"/>
      </rPr>
      <t xml:space="preserve">ステップ1：
</t>
    </r>
    <r>
      <rPr>
        <rFont val="メイリオ"/>
        <color rgb="FF000000"/>
        <sz val="10.0"/>
      </rPr>
      <t xml:space="preserve">Ký tự thứ 11 bị chặn nhập (tối đa 10 ký tự)
</t>
    </r>
    <r>
      <rPr>
        <rFont val="メイリオ"/>
        <b/>
        <color rgb="FF000000"/>
        <sz val="10.0"/>
      </rPr>
      <t xml:space="preserve">ステップ2：
</t>
    </r>
    <r>
      <rPr>
        <rFont val="メイリオ"/>
        <color rgb="FF000000"/>
        <sz val="10.0"/>
      </rPr>
      <t xml:space="preserve">Chỉ cho nhập chữ-số half-width (ký tự full-width không được tiếp nhận)
</t>
    </r>
    <r>
      <rPr>
        <rFont val="メイリオ"/>
        <b/>
        <color rgb="FF000000"/>
        <sz val="10.0"/>
      </rPr>
      <t xml:space="preserve">ステップ3：
</t>
    </r>
    <r>
      <rPr>
        <rFont val="メイリオ"/>
        <color rgb="FF000000"/>
        <sz val="10.0"/>
      </rPr>
      <t>10 ký tự được tiếp nhận bình thường, và `POST /api/v1/koza-furikae/export` được gửi</t>
    </r>
  </si>
  <si>
    <t>ACSMS-TC-020-019</t>
  </si>
  <si>
    <t>Kiểm tra bắt buộc・số ký tự tên người ủy thác</t>
  </si>
  <si>
    <r>
      <rPr>
        <rFont val="メイリオ"/>
        <b/>
        <color rgb="FF000000"/>
        <sz val="10.0"/>
      </rPr>
      <t xml:space="preserve">ステップ1：
</t>
    </r>
    <r>
      <rPr>
        <rFont val="メイリオ"/>
        <color rgb="FF000000"/>
        <sz val="10.0"/>
      </rPr>
      <t xml:space="preserve">Để trống tên người ủy thác và click「作成開始」
</t>
    </r>
    <r>
      <rPr>
        <rFont val="メイリオ"/>
        <b/>
        <color rgb="FF000000"/>
        <sz val="10.0"/>
      </rPr>
      <t xml:space="preserve">ステップ2：
</t>
    </r>
    <r>
      <rPr>
        <rFont val="メイリオ"/>
        <color rgb="FF000000"/>
        <sz val="10.0"/>
      </rPr>
      <t xml:space="preserve">Nhập 41 ký tự vào tên người ủy thác (vượt quá tối đa 40 ký tự)
</t>
    </r>
    <r>
      <rPr>
        <rFont val="メイリオ"/>
        <b/>
        <color rgb="FF000000"/>
        <sz val="10.0"/>
      </rPr>
      <t xml:space="preserve">ステップ3：
</t>
    </r>
    <r>
      <rPr>
        <rFont val="メイリオ"/>
        <color rgb="FF000000"/>
        <sz val="10.0"/>
      </rPr>
      <t>Nhập 40 ký tự (số ký tự tối đa) vào tên người ủy thác</t>
    </r>
  </si>
  <si>
    <r>
      <rPr>
        <rFont val="メイリオ"/>
        <b/>
        <color rgb="FF000000"/>
        <sz val="10.0"/>
      </rPr>
      <t xml:space="preserve">ステップ1：
</t>
    </r>
    <r>
      <rPr>
        <rFont val="メイリオ"/>
        <color rgb="FF000000"/>
        <sz val="10.0"/>
      </rPr>
      <t xml:space="preserve">Hiển thị message「必須項目です。」phía dưới mục tên người ủy thác (ACSMS-MSG-020-004)
</t>
    </r>
    <r>
      <rPr>
        <rFont val="メイリオ"/>
        <b/>
        <color rgb="FF000000"/>
        <sz val="10.0"/>
      </rPr>
      <t xml:space="preserve">ステップ2：
</t>
    </r>
    <r>
      <rPr>
        <rFont val="メイリオ"/>
        <color rgb="FF000000"/>
        <sz val="10.0"/>
      </rPr>
      <t xml:space="preserve">Ký tự thứ 41 bị chặn nhập (tối đa 40 ký tự)
</t>
    </r>
    <r>
      <rPr>
        <rFont val="メイリオ"/>
        <b/>
        <color rgb="FF000000"/>
        <sz val="10.0"/>
      </rPr>
      <t xml:space="preserve">ステップ3：
</t>
    </r>
    <r>
      <rPr>
        <rFont val="メイリオ"/>
        <color rgb="FF000000"/>
        <sz val="10.0"/>
      </rPr>
      <t>40 ký tự được tiếp nhận bình thường</t>
    </r>
  </si>
  <si>
    <t>ACSMS-TC-020-020</t>
  </si>
  <si>
    <t>Kiểm tra bắt buộc・định dạng số JA</t>
  </si>
  <si>
    <r>
      <rPr>
        <rFont val="メイリオ"/>
        <b/>
        <color rgb="FF000000"/>
        <sz val="10.0"/>
      </rPr>
      <t xml:space="preserve">ステップ1：
</t>
    </r>
    <r>
      <rPr>
        <rFont val="メイリオ"/>
        <color rgb="FF000000"/>
        <sz val="10.0"/>
      </rPr>
      <t xml:space="preserve">Để trống số JA và click「作成開始」
</t>
    </r>
    <r>
      <rPr>
        <rFont val="メイリオ"/>
        <b/>
        <color rgb="FF000000"/>
        <sz val="10.0"/>
      </rPr>
      <t xml:space="preserve">ステップ2：
</t>
    </r>
    <r>
      <rPr>
        <rFont val="メイリオ"/>
        <color rgb="FF000000"/>
        <sz val="10.0"/>
      </rPr>
      <t xml:space="preserve">Nhập 5 ký tự vào số JA (vượt quá tối đa 4 ký tự)
</t>
    </r>
    <r>
      <rPr>
        <rFont val="メイリオ"/>
        <b/>
        <color rgb="FF000000"/>
        <sz val="10.0"/>
      </rPr>
      <t xml:space="preserve">ステップ3：
</t>
    </r>
    <r>
      <rPr>
        <rFont val="メイリオ"/>
        <color rgb="FF000000"/>
        <sz val="10.0"/>
      </rPr>
      <t xml:space="preserve">Nhập số full-width「１２３４」vào số JA và click「作成開始」
</t>
    </r>
    <r>
      <rPr>
        <rFont val="メイリオ"/>
        <b/>
        <color rgb="FF000000"/>
        <sz val="10.0"/>
      </rPr>
      <t xml:space="preserve">ステップ4：
</t>
    </r>
    <r>
      <rPr>
        <rFont val="メイリオ"/>
        <color rgb="FF000000"/>
        <sz val="10.0"/>
      </rPr>
      <t>Nhập 4 ký tự số half-width (số ký tự tối đa) vào số JA</t>
    </r>
  </si>
  <si>
    <r>
      <rPr>
        <rFont val="メイリオ"/>
        <b/>
        <color rgb="FF000000"/>
        <sz val="10.0"/>
      </rPr>
      <t xml:space="preserve">ステップ1：
</t>
    </r>
    <r>
      <rPr>
        <rFont val="メイリオ"/>
        <color rgb="FF000000"/>
        <sz val="10.0"/>
      </rPr>
      <t xml:space="preserve">Hiển thị message「必須項目です。」phía dưới mục số JA (ACSMS-MSG-020-004)
</t>
    </r>
    <r>
      <rPr>
        <rFont val="メイリオ"/>
        <b/>
        <color rgb="FF000000"/>
        <sz val="10.0"/>
      </rPr>
      <t xml:space="preserve">ステップ2：
</t>
    </r>
    <r>
      <rPr>
        <rFont val="メイリオ"/>
        <color rgb="FF000000"/>
        <sz val="10.0"/>
      </rPr>
      <t xml:space="preserve">Ký tự thứ 5 bị chặn nhập (tối đa 4 ký tự)
</t>
    </r>
    <r>
      <rPr>
        <rFont val="メイリオ"/>
        <b/>
        <color rgb="FF000000"/>
        <sz val="10.0"/>
      </rPr>
      <t xml:space="preserve">ステップ3：
</t>
    </r>
    <r>
      <rPr>
        <rFont val="メイリオ"/>
        <color rgb="FF000000"/>
        <sz val="10.0"/>
      </rPr>
      <t xml:space="preserve">Chỉ cho nhập số half-width
</t>
    </r>
    <r>
      <rPr>
        <rFont val="メイリオ"/>
        <b/>
        <color rgb="FF000000"/>
        <sz val="10.0"/>
      </rPr>
      <t xml:space="preserve">ステップ4：
</t>
    </r>
    <r>
      <rPr>
        <rFont val="メイリオ"/>
        <color rgb="FF000000"/>
        <sz val="10.0"/>
      </rPr>
      <t>4 ký tự số half-width được tiếp nhận bình thường</t>
    </r>
  </si>
  <si>
    <t>ACSMS-TC-020-021</t>
  </si>
  <si>
    <t>Kiểm tra bắt buộc・số ký tự tên JA</t>
  </si>
  <si>
    <r>
      <rPr>
        <rFont val="メイリオ"/>
        <b/>
        <color rgb="FF000000"/>
        <sz val="10.0"/>
      </rPr>
      <t xml:space="preserve">ステップ1：
</t>
    </r>
    <r>
      <rPr>
        <rFont val="メイリオ"/>
        <color rgb="FF000000"/>
        <sz val="10.0"/>
      </rPr>
      <t xml:space="preserve">Để trống tên JA và click「作成開始」
</t>
    </r>
    <r>
      <rPr>
        <rFont val="メイリオ"/>
        <b/>
        <color rgb="FF000000"/>
        <sz val="10.0"/>
      </rPr>
      <t xml:space="preserve">ステップ2：
</t>
    </r>
    <r>
      <rPr>
        <rFont val="メイリオ"/>
        <color rgb="FF000000"/>
        <sz val="10.0"/>
      </rPr>
      <t xml:space="preserve">Nhập 16 ký tự vào tên JA (vượt quá tối đa 15 ký tự)
</t>
    </r>
    <r>
      <rPr>
        <rFont val="メイリオ"/>
        <b/>
        <color rgb="FF000000"/>
        <sz val="10.0"/>
      </rPr>
      <t xml:space="preserve">ステップ3：
</t>
    </r>
    <r>
      <rPr>
        <rFont val="メイリオ"/>
        <color rgb="FF000000"/>
        <sz val="10.0"/>
      </rPr>
      <t>Nhập 15 ký tự (số ký tự tối đa) vào tên JA</t>
    </r>
  </si>
  <si>
    <r>
      <rPr>
        <rFont val="メイリオ"/>
        <b/>
        <color rgb="FF000000"/>
        <sz val="10.0"/>
      </rPr>
      <t xml:space="preserve">ステップ1：
</t>
    </r>
    <r>
      <rPr>
        <rFont val="メイリオ"/>
        <color rgb="FF000000"/>
        <sz val="10.0"/>
      </rPr>
      <t xml:space="preserve">Hiển thị message「必須項目です。」phía dưới mục tên JA (ACSMS-MSG-020-004)
</t>
    </r>
    <r>
      <rPr>
        <rFont val="メイリオ"/>
        <b/>
        <color rgb="FF000000"/>
        <sz val="10.0"/>
      </rPr>
      <t xml:space="preserve">ステップ2：
</t>
    </r>
    <r>
      <rPr>
        <rFont val="メイリオ"/>
        <color rgb="FF000000"/>
        <sz val="10.0"/>
      </rPr>
      <t xml:space="preserve">Ký tự thứ 16 bị chặn nhập (tối đa 15 ký tự)
</t>
    </r>
    <r>
      <rPr>
        <rFont val="メイリオ"/>
        <b/>
        <color rgb="FF000000"/>
        <sz val="10.0"/>
      </rPr>
      <t xml:space="preserve">ステップ3：
</t>
    </r>
    <r>
      <rPr>
        <rFont val="メイリオ"/>
        <color rgb="FF000000"/>
        <sz val="10.0"/>
      </rPr>
      <t>15 ký tự được tiếp nhận bình thường</t>
    </r>
  </si>
  <si>
    <t>ACSMS-TC-020-022</t>
  </si>
  <si>
    <t>Kiểm tra bắt buộc・định dạng mã cửa hàng xử lý gửi dữ liệu</t>
  </si>
  <si>
    <r>
      <rPr>
        <rFont val="メイリオ"/>
        <b/>
        <color rgb="FF000000"/>
        <sz val="10.0"/>
      </rPr>
      <t xml:space="preserve">ステップ1：
</t>
    </r>
    <r>
      <rPr>
        <rFont val="メイリオ"/>
        <color rgb="FF000000"/>
        <sz val="10.0"/>
      </rPr>
      <t xml:space="preserve">Để trống mã cửa hàng xử lý gửi dữ liệu và click「作成開始」
</t>
    </r>
    <r>
      <rPr>
        <rFont val="メイリオ"/>
        <b/>
        <color rgb="FF000000"/>
        <sz val="10.0"/>
      </rPr>
      <t xml:space="preserve">ステップ2：
</t>
    </r>
    <r>
      <rPr>
        <rFont val="メイリオ"/>
        <color rgb="FF000000"/>
        <sz val="10.0"/>
      </rPr>
      <t xml:space="preserve">Nhập 4 ký tự vào mã cửa hàng xử lý gửi dữ liệu (vượt quá tối đa 3 ký tự)
</t>
    </r>
    <r>
      <rPr>
        <rFont val="メイリオ"/>
        <b/>
        <color rgb="FF000000"/>
        <sz val="10.0"/>
      </rPr>
      <t xml:space="preserve">ステップ3：
</t>
    </r>
    <r>
      <rPr>
        <rFont val="メイリオ"/>
        <color rgb="FF000000"/>
        <sz val="10.0"/>
      </rPr>
      <t>Nhập 3 ký tự số half-width (số ký tự tối đa) vào mã cửa hàng xử lý gửi dữ liệu</t>
    </r>
  </si>
  <si>
    <r>
      <rPr>
        <rFont val="メイリオ"/>
        <b/>
        <color rgb="FF000000"/>
        <sz val="10.0"/>
      </rPr>
      <t xml:space="preserve">ステップ1：
</t>
    </r>
    <r>
      <rPr>
        <rFont val="メイリオ"/>
        <color rgb="FF000000"/>
        <sz val="10.0"/>
      </rPr>
      <t xml:space="preserve">Hiển thị message「必須項目です。」phía dưới mục mã cửa hàng xử lý gửi dữ liệu (ACSMS-MSG-020-004)
</t>
    </r>
    <r>
      <rPr>
        <rFont val="メイリオ"/>
        <b/>
        <color rgb="FF000000"/>
        <sz val="10.0"/>
      </rPr>
      <t xml:space="preserve">ステップ2：
</t>
    </r>
    <r>
      <rPr>
        <rFont val="メイリオ"/>
        <color rgb="FF000000"/>
        <sz val="10.0"/>
      </rPr>
      <t xml:space="preserve">Ký tự thứ 4 bị chặn nhập (tối đa 3 ký tự)
</t>
    </r>
    <r>
      <rPr>
        <rFont val="メイリオ"/>
        <b/>
        <color rgb="FF000000"/>
        <sz val="10.0"/>
      </rPr>
      <t xml:space="preserve">ステップ3：
</t>
    </r>
    <r>
      <rPr>
        <rFont val="メイリオ"/>
        <color rgb="FF000000"/>
        <sz val="10.0"/>
      </rPr>
      <t>3 ký tự số half-width được tiếp nhận bình thường</t>
    </r>
  </si>
  <si>
    <t>ACSMS-TC-020-023</t>
  </si>
  <si>
    <t>Kiểm tra bắt buộc・số ký tự tên cửa hàng</t>
  </si>
  <si>
    <r>
      <rPr>
        <rFont val="メイリオ"/>
        <b/>
        <color rgb="FF000000"/>
        <sz val="10.0"/>
      </rPr>
      <t xml:space="preserve">ステップ1：
</t>
    </r>
    <r>
      <rPr>
        <rFont val="メイリオ"/>
        <color rgb="FF000000"/>
        <sz val="10.0"/>
      </rPr>
      <t xml:space="preserve">Để trống tên cửa hàng và click「作成開始」
</t>
    </r>
    <r>
      <rPr>
        <rFont val="メイリオ"/>
        <b/>
        <color rgb="FF000000"/>
        <sz val="10.0"/>
      </rPr>
      <t xml:space="preserve">ステップ2：
</t>
    </r>
    <r>
      <rPr>
        <rFont val="メイリオ"/>
        <color rgb="FF000000"/>
        <sz val="10.0"/>
      </rPr>
      <t xml:space="preserve">Nhập 16 ký tự vào tên cửa hàng (vượt quá tối đa 15 ký tự)
</t>
    </r>
    <r>
      <rPr>
        <rFont val="メイリオ"/>
        <b/>
        <color rgb="FF000000"/>
        <sz val="10.0"/>
      </rPr>
      <t xml:space="preserve">ステップ3：
</t>
    </r>
    <r>
      <rPr>
        <rFont val="メイリオ"/>
        <color rgb="FF000000"/>
        <sz val="10.0"/>
      </rPr>
      <t>Nhập 15 ký tự (số ký tự tối đa) vào tên cửa hàng</t>
    </r>
  </si>
  <si>
    <r>
      <rPr>
        <rFont val="メイリオ"/>
        <b/>
        <color rgb="FF000000"/>
        <sz val="10.0"/>
      </rPr>
      <t xml:space="preserve">ステップ1：
</t>
    </r>
    <r>
      <rPr>
        <rFont val="メイリオ"/>
        <color rgb="FF000000"/>
        <sz val="10.0"/>
      </rPr>
      <t xml:space="preserve">Hiển thị message「必須項目です。」phía dưới mục tên cửa hàng (ACSMS-MSG-020-004)
</t>
    </r>
    <r>
      <rPr>
        <rFont val="メイリオ"/>
        <b/>
        <color rgb="FF000000"/>
        <sz val="10.0"/>
      </rPr>
      <t xml:space="preserve">ステップ2：
</t>
    </r>
    <r>
      <rPr>
        <rFont val="メイリオ"/>
        <color rgb="FF000000"/>
        <sz val="10.0"/>
      </rPr>
      <t xml:space="preserve">Ký tự thứ 16 bị chặn nhập (tối đa 15 ký tự)
</t>
    </r>
    <r>
      <rPr>
        <rFont val="メイリオ"/>
        <b/>
        <color rgb="FF000000"/>
        <sz val="10.0"/>
      </rPr>
      <t xml:space="preserve">ステップ3：
</t>
    </r>
    <r>
      <rPr>
        <rFont val="メイリオ"/>
        <color rgb="FF000000"/>
        <sz val="10.0"/>
      </rPr>
      <t>15 ký tự được tiếp nhận bình thường</t>
    </r>
  </si>
  <si>
    <t>ACSMS-TC-020-024</t>
  </si>
  <si>
    <t>Kiểm tra bắt buộc・giá trị loại tiền gửi</t>
  </si>
  <si>
    <r>
      <rPr>
        <rFont val="メイリオ"/>
        <b/>
        <color rgb="FF000000"/>
        <sz val="10.0"/>
      </rPr>
      <t xml:space="preserve">ステップ1：
</t>
    </r>
    <r>
      <rPr>
        <rFont val="メイリオ"/>
        <color rgb="FF000000"/>
        <sz val="10.0"/>
      </rPr>
      <t xml:space="preserve">Xác nhận các lựa chọn của pulldown loại tiền gửi
</t>
    </r>
    <r>
      <rPr>
        <rFont val="メイリオ"/>
        <b/>
        <color rgb="FF000000"/>
        <sz val="10.0"/>
      </rPr>
      <t xml:space="preserve">ステップ2：
</t>
    </r>
    <r>
      <rPr>
        <rFont val="メイリオ"/>
        <color rgb="FF000000"/>
        <sz val="10.0"/>
      </rPr>
      <t>Lần lượt chọn「普通貯金」「当座貯金」「その他」ở loại tiền gửi</t>
    </r>
  </si>
  <si>
    <r>
      <rPr>
        <rFont val="メイリオ"/>
        <b/>
        <color rgb="FF000000"/>
        <sz val="10.0"/>
      </rPr>
      <t xml:space="preserve">ステップ1：
</t>
    </r>
    <r>
      <rPr>
        <rFont val="メイリオ"/>
        <color rgb="FF000000"/>
        <sz val="10.0"/>
      </rPr>
      <t xml:space="preserve">Loại tiền gửi hiển thị「普通貯金」(giá trị `1`)「当座貯金」(giá trị `2`)「その他」(giá trị `9`)
</t>
    </r>
    <r>
      <rPr>
        <rFont val="メイリオ"/>
        <b/>
        <color rgb="FF000000"/>
        <sz val="10.0"/>
      </rPr>
      <t xml:space="preserve">ステップ2：
</t>
    </r>
    <r>
      <rPr>
        <rFont val="メイリオ"/>
        <color rgb="FF000000"/>
        <sz val="10.0"/>
      </rPr>
      <t>Giá trị đã chọn được giữ lại</t>
    </r>
  </si>
  <si>
    <t>ACSMS-TC-020-025</t>
  </si>
  <si>
    <t>Kiểm tra bắt buộc・định dạng số tài khoản</t>
  </si>
  <si>
    <r>
      <rPr>
        <rFont val="メイリオ"/>
        <b/>
        <color rgb="FF000000"/>
        <sz val="10.0"/>
      </rPr>
      <t xml:space="preserve">ステップ1：
</t>
    </r>
    <r>
      <rPr>
        <rFont val="メイリオ"/>
        <color rgb="FF000000"/>
        <sz val="10.0"/>
      </rPr>
      <t xml:space="preserve">Để trống số tài khoản và click「作成開始」
</t>
    </r>
    <r>
      <rPr>
        <rFont val="メイリオ"/>
        <b/>
        <color rgb="FF000000"/>
        <sz val="10.0"/>
      </rPr>
      <t xml:space="preserve">ステップ2：
</t>
    </r>
    <r>
      <rPr>
        <rFont val="メイリオ"/>
        <color rgb="FF000000"/>
        <sz val="10.0"/>
      </rPr>
      <t xml:space="preserve">Nhập 8 ký tự vào số tài khoản (vượt quá tối đa 7 ký tự)
</t>
    </r>
    <r>
      <rPr>
        <rFont val="メイリオ"/>
        <b/>
        <color rgb="FF000000"/>
        <sz val="10.0"/>
      </rPr>
      <t xml:space="preserve">ステップ3：
</t>
    </r>
    <r>
      <rPr>
        <rFont val="メイリオ"/>
        <color rgb="FF000000"/>
        <sz val="10.0"/>
      </rPr>
      <t>Nhập 7 ký tự số half-width (số ký tự tối đa) vào số tài khoản</t>
    </r>
  </si>
  <si>
    <r>
      <rPr>
        <rFont val="メイリオ"/>
        <b/>
        <color rgb="FF000000"/>
        <sz val="10.0"/>
      </rPr>
      <t xml:space="preserve">ステップ1：
</t>
    </r>
    <r>
      <rPr>
        <rFont val="メイリオ"/>
        <color rgb="FF000000"/>
        <sz val="10.0"/>
      </rPr>
      <t xml:space="preserve">Hiển thị message「必須項目です。」phía dưới mục số tài khoản (ACSMS-MSG-020-004)
</t>
    </r>
    <r>
      <rPr>
        <rFont val="メイリオ"/>
        <b/>
        <color rgb="FF000000"/>
        <sz val="10.0"/>
      </rPr>
      <t xml:space="preserve">ステップ2：
</t>
    </r>
    <r>
      <rPr>
        <rFont val="メイリオ"/>
        <color rgb="FF000000"/>
        <sz val="10.0"/>
      </rPr>
      <t xml:space="preserve">Ký tự thứ 8 bị chặn nhập (tối đa 7 ký tự)
</t>
    </r>
    <r>
      <rPr>
        <rFont val="メイリオ"/>
        <b/>
        <color rgb="FF000000"/>
        <sz val="10.0"/>
      </rPr>
      <t xml:space="preserve">ステップ3：
</t>
    </r>
    <r>
      <rPr>
        <rFont val="メイリオ"/>
        <color rgb="FF000000"/>
        <sz val="10.0"/>
      </rPr>
      <t>7 ký tự số half-width được tiếp nhận bình thường</t>
    </r>
  </si>
  <si>
    <t>ACSMS-TC-020-026</t>
  </si>
  <si>
    <t>Xử lý half-width・full-width (mục số)</t>
  </si>
  <si>
    <r>
      <rPr>
        <rFont val="メイリオ"/>
        <b/>
        <color rgb="FF000000"/>
        <sz val="10.0"/>
      </rPr>
      <t xml:space="preserve">ステップ1：
</t>
    </r>
    <r>
      <rPr>
        <rFont val="メイリオ"/>
        <color rgb="FF000000"/>
        <sz val="10.0"/>
      </rPr>
      <t xml:space="preserve">Nhập số full-width vào số JA・mã cửa hàng xử lý gửi dữ liệu・số tài khoản
</t>
    </r>
    <r>
      <rPr>
        <rFont val="メイリオ"/>
        <b/>
        <color rgb="FF000000"/>
        <sz val="10.0"/>
      </rPr>
      <t xml:space="preserve">ステップ2：
</t>
    </r>
    <r>
      <rPr>
        <rFont val="メイリオ"/>
        <color rgb="FF000000"/>
        <sz val="10.0"/>
      </rPr>
      <t>Gửi trực tiếp request body chứa số full-width qua tab Network của DevTools</t>
    </r>
  </si>
  <si>
    <r>
      <rPr>
        <rFont val="メイリオ"/>
        <b/>
        <color rgb="FF000000"/>
        <sz val="10.0"/>
      </rPr>
      <t xml:space="preserve">ステップ1：
</t>
    </r>
    <r>
      <rPr>
        <rFont val="メイリオ"/>
        <color rgb="FF000000"/>
        <sz val="10.0"/>
      </rPr>
      <t xml:space="preserve">Mục số chỉ cho nhập số half-width
</t>
    </r>
    <r>
      <rPr>
        <rFont val="メイリオ"/>
        <b/>
        <color rgb="FF000000"/>
        <sz val="10.0"/>
      </rPr>
      <t xml:space="preserve">ステップ2：
</t>
    </r>
    <r>
      <rPr>
        <rFont val="メイリオ"/>
        <color rgb="FF000000"/>
        <sz val="10.0"/>
      </rPr>
      <t>Trả về HTTP 400 (`error_code: VALIDATION_ERROR`, message `入力値が不正です。詳細はerrorsフィールドを確認してください。`)</t>
    </r>
  </si>
  <si>
    <t>ACSMS-TC-020-027</t>
  </si>
  <si>
    <t>Gửi tích hợp khi nhiều mục bắt buộc chưa nhập</t>
  </si>
  <si>
    <r>
      <rPr>
        <rFont val="メイリオ"/>
        <b/>
        <color rgb="FF000000"/>
        <sz val="10.0"/>
      </rPr>
      <t xml:space="preserve">ステップ1：
</t>
    </r>
    <r>
      <rPr>
        <rFont val="メイリオ"/>
        <color rgb="FF000000"/>
        <sz val="10.0"/>
      </rPr>
      <t>Gửi POST「/api/v1/koza-furikae/export」với request body để trống target_month・hikiotoshi_date・jastem_itakusha_code qua tab Network của DevTools</t>
    </r>
  </si>
  <si>
    <r>
      <rPr>
        <rFont val="メイリオ"/>
        <b/>
        <color rgb="FF000000"/>
        <sz val="10.0"/>
      </rPr>
      <t xml:space="preserve">ステップ1：
</t>
    </r>
    <r>
      <rPr>
        <rFont val="メイリオ"/>
        <color rgb="FF000000"/>
        <sz val="10.0"/>
      </rPr>
      <t>Trả về HTTP 400 (`error_code: VALIDATION_ERROR`, message `入力値が不正です。詳細はerrorsフィールドを確認してください。`), và mảng `errors` chứa `{ field, message: '必須項目です。' }` của từng mục</t>
    </r>
  </si>
  <si>
    <t>カテゴリ4: Logic nghiệp vụ (Business Logic)</t>
  </si>
  <si>
    <t>ACSMS-TC-020-028</t>
  </si>
  <si>
    <t>Xuất dữ liệu chuyển khoản tự khoản trường hợp bình thường</t>
  </si>
  <si>
    <t>・Đã đăng nhập bằng CHUOKAI
・Tồn tại người đăng ký trừ tiền qua tài khoản (shiharai_hoho=1) thuộc đối tượng tổng hợp trong tháng đối tượng</t>
  </si>
  <si>
    <r>
      <rPr>
        <rFont val="メイリオ"/>
        <b/>
        <color rgb="FF000000"/>
        <sz val="10.0"/>
      </rPr>
      <t xml:space="preserve">ステップ1：
</t>
    </r>
    <r>
      <rPr>
        <rFont val="メイリオ"/>
        <color rgb="FF000000"/>
        <sz val="10.0"/>
      </rPr>
      <t xml:space="preserve">Nhập ngày tháng・ngày trừ tiền・mã người ủy thác・tên người ủy thác・số JA・tên JA・mã cửa hàng xử lý gửi dữ liệu・tên cửa hàng・loại tiền gửi・số tài khoản
</t>
    </r>
    <r>
      <rPr>
        <rFont val="メイリオ"/>
        <b/>
        <color rgb="FF000000"/>
        <sz val="10.0"/>
      </rPr>
      <t xml:space="preserve">ステップ2：
</t>
    </r>
    <r>
      <rPr>
        <rFont val="メイリオ"/>
        <color rgb="FF000000"/>
        <sz val="10.0"/>
      </rPr>
      <t>Click button「作成開始」</t>
    </r>
  </si>
  <si>
    <r>
      <rPr>
        <rFont val="メイリオ"/>
        <b/>
        <color rgb="FF000000"/>
        <sz val="10.0"/>
      </rPr>
      <t xml:space="preserve">ステップ1：
</t>
    </r>
    <r>
      <rPr>
        <rFont val="メイリオ"/>
        <color rgb="FF000000"/>
        <sz val="10.0"/>
      </rPr>
      <t xml:space="preserve">Có thể nhập tất cả mục bắt buộc
</t>
    </r>
    <r>
      <rPr>
        <rFont val="メイリオ"/>
        <b/>
        <color rgb="FF000000"/>
        <sz val="10.0"/>
      </rPr>
      <t xml:space="preserve">ステップ2：
</t>
    </r>
    <r>
      <rPr>
        <rFont val="メイリオ"/>
        <color rgb="FF000000"/>
        <sz val="10.0"/>
      </rPr>
      <t xml:space="preserve">・Trả về HTTP 200
</t>
    </r>
    <r>
      <rPr>
        <rFont val="メイリオ"/>
        <color rgb="FF000000"/>
        <sz val="10.0"/>
      </rPr>
      <t xml:space="preserve">・File CSV được download (`Content-Type: text/csv; charset=Shift_JIS`, tên file `koza_furikae_YYYYMMDD_HHmmss.csv`)
</t>
    </r>
    <r>
      <rPr>
        <rFont val="メイリオ"/>
        <color rgb="FF000000"/>
        <sz val="10.0"/>
      </rPr>
      <t>・Hiển thị toast「口座振替データの作成が完了しました。」(ACSMS-MSG-020-001)</t>
    </r>
  </si>
  <si>
    <t>ACSMS-TC-020-029</t>
  </si>
  <si>
    <t>Đăng ký snapshot t_koza_furikae</t>
  </si>
  <si>
    <t>・Đã đăng nhập bằng CHUOKAI
・Tồn tại 2 người đăng ký thuộc đối tượng tổng hợp trong tháng đối tượng</t>
  </si>
  <si>
    <r>
      <rPr>
        <rFont val="メイリオ"/>
        <b/>
        <color rgb="FF000000"/>
        <sz val="10.0"/>
      </rPr>
      <t xml:space="preserve">ステップ1：
</t>
    </r>
    <r>
      <rPr>
        <rFont val="メイリオ"/>
        <color rgb="FF000000"/>
        <sz val="10.0"/>
      </rPr>
      <t xml:space="preserve">Thực hiện「作成開始」với điều kiện bình thường
</t>
    </r>
    <r>
      <rPr>
        <rFont val="メイリオ"/>
        <b/>
        <color rgb="FF000000"/>
        <sz val="10.0"/>
      </rPr>
      <t xml:space="preserve">ステップ2：
</t>
    </r>
    <r>
      <rPr>
        <rFont val="メイリオ"/>
        <color rgb="FF000000"/>
        <sz val="10.0"/>
      </rPr>
      <t xml:space="preserve">Thực hiện query sau trên DB và xác nhận nội dung đăng ký
</t>
    </r>
    <r>
      <rPr>
        <rFont val="メイリオ"/>
        <color rgb="FF000000"/>
        <sz val="10.0"/>
      </rPr>
      <t xml:space="preserve">```sql
</t>
    </r>
    <r>
      <rPr>
        <rFont val="メイリオ"/>
        <color rgb="FF000000"/>
        <sz val="10.0"/>
      </rPr>
      <t xml:space="preserve">SELECT dokusya_id, target_month, furikae_date, furikae_kingaku
</t>
    </r>
    <r>
      <rPr>
        <rFont val="メイリオ"/>
        <color rgb="FF000000"/>
        <sz val="10.0"/>
      </rPr>
      <t xml:space="preserve">FROM t_koza_furikae
</t>
    </r>
    <r>
      <rPr>
        <rFont val="メイリオ"/>
        <color rgb="FF000000"/>
        <sz val="10.0"/>
      </rPr>
      <t xml:space="preserve">WHERE ja_id = 1 AND target_month = '2026-05-01'
</t>
    </r>
    <r>
      <rPr>
        <rFont val="メイリオ"/>
        <color rgb="FF000000"/>
        <sz val="10.0"/>
      </rPr>
      <t xml:space="preserve">ORDER BY dokusya_id;
</t>
    </r>
    <r>
      <rPr>
        <rFont val="メイリオ"/>
        <color rgb="FF000000"/>
        <sz val="10.0"/>
      </rPr>
      <t>```</t>
    </r>
  </si>
  <si>
    <r>
      <rPr>
        <rFont val="メイリオ"/>
        <b/>
        <color rgb="FF000000"/>
        <sz val="10.0"/>
      </rPr>
      <t xml:space="preserve">ステップ1：
</t>
    </r>
    <r>
      <rPr>
        <rFont val="メイリオ"/>
        <color rgb="FF000000"/>
        <sz val="10.0"/>
      </rPr>
      <t xml:space="preserve">CSV được download
</t>
    </r>
    <r>
      <rPr>
        <rFont val="メイリオ"/>
        <b/>
        <color rgb="FF000000"/>
        <sz val="10.0"/>
      </rPr>
      <t xml:space="preserve">ステップ2：
</t>
    </r>
    <r>
      <rPr>
        <rFont val="メイリオ"/>
        <color rgb="FF000000"/>
        <sz val="10.0"/>
      </rPr>
      <t xml:space="preserve">・t_koza_furikae được đăng ký 2 bản theo người đăng ký đối tượng × tháng đối tượng
</t>
    </r>
    <r>
      <rPr>
        <rFont val="メイリオ"/>
        <color rgb="FF000000"/>
        <sz val="10.0"/>
      </rPr>
      <t>・furikae_date lưu ngày trừ tiền, furikae_kingaku lưu số tiền đã bao gồm thuế của đơn giá</t>
    </r>
  </si>
  <si>
    <t>ACSMS-TC-020-030</t>
  </si>
  <si>
    <t>Cập nhật thông tin người ủy thác JASTEM của m_ja</t>
  </si>
  <si>
    <r>
      <rPr>
        <rFont val="メイリオ"/>
        <b/>
        <color rgb="FF000000"/>
        <sz val="10.0"/>
      </rPr>
      <t xml:space="preserve">ステップ1：
</t>
    </r>
    <r>
      <rPr>
        <rFont val="メイリオ"/>
        <color rgb="FF000000"/>
        <sz val="10.0"/>
      </rPr>
      <t xml:space="preserve">Nhập giá trị mới vào mã người ủy thác・tên người ủy thác・số JA・tên JA và thực hiện「作成開始」
</t>
    </r>
    <r>
      <rPr>
        <rFont val="メイリオ"/>
        <b/>
        <color rgb="FF000000"/>
        <sz val="10.0"/>
      </rPr>
      <t xml:space="preserve">ステップ2：
</t>
    </r>
    <r>
      <rPr>
        <rFont val="メイリオ"/>
        <color rgb="FF000000"/>
        <sz val="10.0"/>
      </rPr>
      <t xml:space="preserve">Thực hiện query sau trên DB và xác nhận nội dung cập nhật
</t>
    </r>
    <r>
      <rPr>
        <rFont val="メイリオ"/>
        <color rgb="FF000000"/>
        <sz val="10.0"/>
      </rPr>
      <t xml:space="preserve">```sql
</t>
    </r>
    <r>
      <rPr>
        <rFont val="メイリオ"/>
        <color rgb="FF000000"/>
        <sz val="10.0"/>
      </rPr>
      <t xml:space="preserve">SELECT jastem_itakusha_code, jastem_itakusha_name, jastem_ja_code, jastem_ja_name
</t>
    </r>
    <r>
      <rPr>
        <rFont val="メイリオ"/>
        <color rgb="FF000000"/>
        <sz val="10.0"/>
      </rPr>
      <t xml:space="preserve">FROM m_ja
</t>
    </r>
    <r>
      <rPr>
        <rFont val="メイリオ"/>
        <color rgb="FF000000"/>
        <sz val="10.0"/>
      </rPr>
      <t xml:space="preserve">WHERE ja_id = 1;
</t>
    </r>
    <r>
      <rPr>
        <rFont val="メイリオ"/>
        <color rgb="FF000000"/>
        <sz val="10.0"/>
      </rPr>
      <t>```</t>
    </r>
  </si>
  <si>
    <r>
      <rPr>
        <rFont val="メイリオ"/>
        <b/>
        <color rgb="FF000000"/>
        <sz val="10.0"/>
      </rPr>
      <t xml:space="preserve">ステップ1：
</t>
    </r>
    <r>
      <rPr>
        <rFont val="メイリオ"/>
        <color rgb="FF000000"/>
        <sz val="10.0"/>
      </rPr>
      <t xml:space="preserve">CSV được download
</t>
    </r>
    <r>
      <rPr>
        <rFont val="メイリオ"/>
        <b/>
        <color rgb="FF000000"/>
        <sz val="10.0"/>
      </rPr>
      <t xml:space="preserve">ステップ2：
</t>
    </r>
    <r>
      <rPr>
        <rFont val="メイリオ"/>
        <color rgb="FF000000"/>
        <sz val="10.0"/>
      </rPr>
      <t>jastem_itakusha_code / jastem_itakusha_name / jastem_ja_code / jastem_ja_name của m_ja được cập nhật bằng giá trị nhập</t>
    </r>
  </si>
  <si>
    <t>ACSMS-TC-020-031</t>
  </si>
  <si>
    <t>Cập nhật thông tin chi nhánh tài chính JASTEM của m_shiten</t>
  </si>
  <si>
    <t>・Đã đăng nhập bằng CHUOKAI
・Đã chọn 1 chi nhánh tài khoản</t>
  </si>
  <si>
    <r>
      <rPr>
        <rFont val="メイリオ"/>
        <b/>
        <color rgb="FF000000"/>
        <sz val="10.0"/>
      </rPr>
      <t xml:space="preserve">ステップ1：
</t>
    </r>
    <r>
      <rPr>
        <rFont val="メイリオ"/>
        <color rgb="FF000000"/>
        <sz val="10.0"/>
      </rPr>
      <t xml:space="preserve">Nhập giá trị mới vào mã cửa hàng xử lý gửi dữ liệu・tên cửa hàng・loại tiền gửi・số tài khoản và thực hiện「作成開始」
</t>
    </r>
    <r>
      <rPr>
        <rFont val="メイリオ"/>
        <b/>
        <color rgb="FF000000"/>
        <sz val="10.0"/>
      </rPr>
      <t xml:space="preserve">ステップ2：
</t>
    </r>
    <r>
      <rPr>
        <rFont val="メイリオ"/>
        <color rgb="FF000000"/>
        <sz val="10.0"/>
      </rPr>
      <t xml:space="preserve">Thực hiện query sau trên DB và xác nhận nội dung cập nhật
</t>
    </r>
    <r>
      <rPr>
        <rFont val="メイリオ"/>
        <color rgb="FF000000"/>
        <sz val="10.0"/>
      </rPr>
      <t xml:space="preserve">```sql
</t>
    </r>
    <r>
      <rPr>
        <rFont val="メイリオ"/>
        <color rgb="FF000000"/>
        <sz val="10.0"/>
      </rPr>
      <t xml:space="preserve">SELECT jastem_toriatsukai_tenpo_code, jastem_tenpo_name,
</t>
    </r>
    <r>
      <rPr>
        <rFont val="メイリオ"/>
        <color rgb="FF000000"/>
        <sz val="10.0"/>
      </rPr>
      <t xml:space="preserve">jastem_tyokin_shubetsu, jastem_koza_no
</t>
    </r>
    <r>
      <rPr>
        <rFont val="メイリオ"/>
        <color rgb="FF000000"/>
        <sz val="10.0"/>
      </rPr>
      <t xml:space="preserve">FROM m_shiten
</t>
    </r>
    <r>
      <rPr>
        <rFont val="メイリオ"/>
        <color rgb="FF000000"/>
        <sz val="10.0"/>
      </rPr>
      <t xml:space="preserve">WHERE ja_id = 1 AND kinyu_shiten_flg = TRUE;
</t>
    </r>
    <r>
      <rPr>
        <rFont val="メイリオ"/>
        <color rgb="FF000000"/>
        <sz val="10.0"/>
      </rPr>
      <t>```</t>
    </r>
  </si>
  <si>
    <r>
      <rPr>
        <rFont val="メイリオ"/>
        <b/>
        <color rgb="FF000000"/>
        <sz val="10.0"/>
      </rPr>
      <t xml:space="preserve">ステップ1：
</t>
    </r>
    <r>
      <rPr>
        <rFont val="メイリオ"/>
        <color rgb="FF000000"/>
        <sz val="10.0"/>
      </rPr>
      <t xml:space="preserve">CSV được download
</t>
    </r>
    <r>
      <rPr>
        <rFont val="メイリオ"/>
        <b/>
        <color rgb="FF000000"/>
        <sz val="10.0"/>
      </rPr>
      <t xml:space="preserve">ステップ2：
</t>
    </r>
    <r>
      <rPr>
        <rFont val="メイリオ"/>
        <color rgb="FF000000"/>
        <sz val="10.0"/>
      </rPr>
      <t>jastem_toriatsukai_tenpo_code / jastem_tenpo_name / jastem_tyokin_shubetsu / jastem_koza_no của record m_shiten chi nhánh tài khoản đã chọn được cập nhật bằng giá trị nhập</t>
    </r>
  </si>
  <si>
    <t>ACSMS-TC-020-032</t>
  </si>
  <si>
    <t>Đăng ký t_file_download</t>
  </si>
  <si>
    <r>
      <rPr>
        <rFont val="メイリオ"/>
        <b/>
        <strike/>
        <color rgb="FF000000"/>
        <sz val="10.0"/>
      </rPr>
      <t xml:space="preserve">ステップ1：
</t>
    </r>
    <r>
      <rPr>
        <rFont val="メイリオ"/>
        <strike/>
        <color rgb="FF000000"/>
        <sz val="10.0"/>
      </rPr>
      <t xml:space="preserve">Thực hiện「作成開始」với điều kiện bình thường
</t>
    </r>
    <r>
      <rPr>
        <rFont val="メイリオ"/>
        <b/>
        <strike/>
        <color rgb="FF000000"/>
        <sz val="10.0"/>
      </rPr>
      <t xml:space="preserve">ステップ2：
</t>
    </r>
    <r>
      <rPr>
        <rFont val="メイリオ"/>
        <strike/>
        <color rgb="FF000000"/>
        <sz val="10.0"/>
      </rPr>
      <t xml:space="preserve">Thực hiện query sau trên DB và xác nhận lịch sử download
</t>
    </r>
    <r>
      <rPr>
        <rFont val="メイリオ"/>
        <strike/>
        <color rgb="FF000000"/>
        <sz val="10.0"/>
      </rPr>
      <t xml:space="preserve">```sql
</t>
    </r>
    <r>
      <rPr>
        <rFont val="メイリオ"/>
        <strike/>
        <color rgb="FF000000"/>
        <sz val="10.0"/>
      </rPr>
      <t xml:space="preserve">SELECT download_type, file_name, record_count, target_month
</t>
    </r>
    <r>
      <rPr>
        <rFont val="メイリオ"/>
        <strike/>
        <color rgb="FF000000"/>
        <sz val="10.0"/>
      </rPr>
      <t xml:space="preserve">FROM t_file_download
</t>
    </r>
    <r>
      <rPr>
        <rFont val="メイリオ"/>
        <strike/>
        <color rgb="FF000000"/>
        <sz val="10.0"/>
      </rPr>
      <t xml:space="preserve">WHERE ja_id = 1
</t>
    </r>
    <r>
      <rPr>
        <rFont val="メイリオ"/>
        <strike/>
        <color rgb="FF000000"/>
        <sz val="10.0"/>
      </rPr>
      <t xml:space="preserve">ORDER BY download_datetime DESC
</t>
    </r>
    <r>
      <rPr>
        <rFont val="メイリオ"/>
        <strike/>
        <color rgb="FF000000"/>
        <sz val="10.0"/>
      </rPr>
      <t xml:space="preserve">LIMIT 1;
</t>
    </r>
    <r>
      <rPr>
        <rFont val="メイリオ"/>
        <strike/>
        <color rgb="FF000000"/>
        <sz val="10.0"/>
      </rPr>
      <t>```</t>
    </r>
  </si>
  <si>
    <r>
      <rPr>
        <rFont val="メイリオ"/>
        <b/>
        <strike/>
        <color rgb="FF000000"/>
        <sz val="10.0"/>
      </rPr>
      <t xml:space="preserve">ステップ1：
</t>
    </r>
    <r>
      <rPr>
        <rFont val="メイリオ"/>
        <strike/>
        <color rgb="FF000000"/>
        <sz val="10.0"/>
      </rPr>
      <t xml:space="preserve">CSV được download
</t>
    </r>
    <r>
      <rPr>
        <rFont val="メイリオ"/>
        <b/>
        <strike/>
        <color rgb="FF000000"/>
        <sz val="10.0"/>
      </rPr>
      <t xml:space="preserve">ステップ2：
</t>
    </r>
    <r>
      <rPr>
        <rFont val="メイリオ"/>
        <strike/>
        <color rgb="FF000000"/>
        <sz val="10.0"/>
      </rPr>
      <t>t_file_download được đăng ký 1 bản (file_name lưu tên file CSV, record_count lưu số lượng output, target_month lưu tháng đối tượng)</t>
    </r>
  </si>
  <si>
    <t>Case này không có vì nó không đăng ký vào t_file_download</t>
  </si>
  <si>
    <t>ACSMS-TC-020-033</t>
  </si>
  <si>
    <t>Ghi log thao tác (t_log)</t>
  </si>
  <si>
    <r>
      <rPr>
        <rFont val="メイリオ"/>
        <b/>
        <strike/>
        <color rgb="FF000000"/>
        <sz val="10.0"/>
      </rPr>
      <t xml:space="preserve">ステップ1：
</t>
    </r>
    <r>
      <rPr>
        <rFont val="メイリオ"/>
        <strike/>
        <color rgb="FF000000"/>
        <sz val="10.0"/>
      </rPr>
      <t xml:space="preserve">Thực hiện「作成開始」với điều kiện bình thường
</t>
    </r>
    <r>
      <rPr>
        <rFont val="メイリオ"/>
        <b/>
        <strike/>
        <color rgb="FF000000"/>
        <sz val="10.0"/>
      </rPr>
      <t xml:space="preserve">ステップ2：
</t>
    </r>
    <r>
      <rPr>
        <rFont val="メイリオ"/>
        <strike/>
        <color rgb="FF000000"/>
        <sz val="10.0"/>
      </rPr>
      <t xml:space="preserve">Thực hiện query sau trên DB và xác nhận log thao tác
</t>
    </r>
    <r>
      <rPr>
        <rFont val="メイリオ"/>
        <strike/>
        <color rgb="FF000000"/>
        <sz val="10.0"/>
      </rPr>
      <t xml:space="preserve">```sql
</t>
    </r>
    <r>
      <rPr>
        <rFont val="メイリオ"/>
        <strike/>
        <color rgb="FF000000"/>
        <sz val="10.0"/>
      </rPr>
      <t xml:space="preserve">SELECT log_type, operation, result_status, target_table, after_value
</t>
    </r>
    <r>
      <rPr>
        <rFont val="メイリオ"/>
        <strike/>
        <color rgb="FF000000"/>
        <sz val="10.0"/>
      </rPr>
      <t xml:space="preserve">FROM t_log
</t>
    </r>
    <r>
      <rPr>
        <rFont val="メイリオ"/>
        <strike/>
        <color rgb="FF000000"/>
        <sz val="10.0"/>
      </rPr>
      <t xml:space="preserve">WHERE ja_id = 1 AND gamen_name = '口座振替データ出力画面 (ACSMS-SCR-020)'
</t>
    </r>
    <r>
      <rPr>
        <rFont val="メイリオ"/>
        <strike/>
        <color rgb="FF000000"/>
        <sz val="10.0"/>
      </rPr>
      <t xml:space="preserve">ORDER BY log_datetime DESC
</t>
    </r>
    <r>
      <rPr>
        <rFont val="メイリオ"/>
        <strike/>
        <color rgb="FF000000"/>
        <sz val="10.0"/>
      </rPr>
      <t xml:space="preserve">LIMIT 1;
</t>
    </r>
    <r>
      <rPr>
        <rFont val="メイリオ"/>
        <strike/>
        <color rgb="FF000000"/>
        <sz val="10.0"/>
      </rPr>
      <t>```</t>
    </r>
  </si>
  <si>
    <r>
      <rPr>
        <rFont val="メイリオ"/>
        <b/>
        <strike/>
        <color rgb="FF000000"/>
        <sz val="10.0"/>
      </rPr>
      <t xml:space="preserve">ステップ1：
</t>
    </r>
    <r>
      <rPr>
        <rFont val="メイリオ"/>
        <strike/>
        <color rgb="FF000000"/>
        <sz val="10.0"/>
      </rPr>
      <t xml:space="preserve">CSV được download
</t>
    </r>
    <r>
      <rPr>
        <rFont val="メイリオ"/>
        <b/>
        <strike/>
        <color rgb="FF000000"/>
        <sz val="10.0"/>
      </rPr>
      <t xml:space="preserve">ステップ2：
</t>
    </r>
    <r>
      <rPr>
        <rFont val="メイリオ"/>
        <strike/>
        <color rgb="FF000000"/>
        <sz val="10.0"/>
      </rPr>
      <t xml:space="preserve">・Audit log được ghi 1 bản vào t_log (log_type=1, operation=`CREATE`, result_status=1, target_table=`t_file_download`)
</t>
    </r>
    <r>
      <rPr>
        <rFont val="メイリオ"/>
        <strike/>
        <color rgb="FF000000"/>
        <sz val="10.0"/>
      </rPr>
      <t xml:space="preserve">・after_value lưu điều kiện export và số lượng dưới dạng JSON
</t>
    </r>
    <r>
      <rPr>
        <rFont val="メイリオ"/>
        <strike/>
        <color rgb="FF000000"/>
        <sz val="10.0"/>
      </rPr>
      <t>・Số tài khoản JASTEM được mask</t>
    </r>
  </si>
  <si>
    <t>ACSMS-TC-020-034</t>
  </si>
  <si>
    <t>Lọc dữ liệu output theo điều kiện lọc</t>
  </si>
  <si>
    <t>・Đã đăng nhập bằng CHUOKAI
・Tồn tại người đăng ký thuộc nhiều chi nhánh quản lý・chi nhánh</t>
  </si>
  <si>
    <r>
      <rPr>
        <rFont val="メイリオ"/>
        <b/>
        <color rgb="FF000000"/>
        <sz val="10.0"/>
      </rPr>
      <t xml:space="preserve">ステップ1：
</t>
    </r>
    <r>
      <rPr>
        <rFont val="メイリオ"/>
        <color rgb="FF000000"/>
        <sz val="10.0"/>
      </rPr>
      <t xml:space="preserve">Chọn giá trị cụ thể ở pulldown chi nhánh quản lý・chi nhánh・chi nhánh tài khoản
</t>
    </r>
    <r>
      <rPr>
        <rFont val="メイリオ"/>
        <b/>
        <color rgb="FF000000"/>
        <sz val="10.0"/>
      </rPr>
      <t xml:space="preserve">ステップ2：
</t>
    </r>
    <r>
      <rPr>
        <rFont val="メイリオ"/>
        <color rgb="FF000000"/>
        <sz val="10.0"/>
      </rPr>
      <t>Thực hiện「作成開始」và xác nhận số lượng minh chi tiết của CSV đã download</t>
    </r>
  </si>
  <si>
    <r>
      <rPr>
        <rFont val="メイリオ"/>
        <b/>
        <color rgb="FF000000"/>
        <sz val="10.0"/>
      </rPr>
      <t xml:space="preserve">ステップ1：
</t>
    </r>
    <r>
      <rPr>
        <rFont val="メイリオ"/>
        <color rgb="FF000000"/>
        <sz val="10.0"/>
      </rPr>
      <t xml:space="preserve">Điều kiện lọc đã chọn được giữ lại
</t>
    </r>
    <r>
      <rPr>
        <rFont val="メイリオ"/>
        <b/>
        <color rgb="FF000000"/>
        <sz val="10.0"/>
      </rPr>
      <t xml:space="preserve">ステップ2：
</t>
    </r>
    <r>
      <rPr>
        <rFont val="メイリオ"/>
        <color rgb="FF000000"/>
        <sz val="10.0"/>
      </rPr>
      <t>Chỉ những người đăng ký khớp với chi nhánh quản lý・chi nhánh・chi nhánh tài khoản đã chọn được xuất ra CSV</t>
    </r>
  </si>
  <si>
    <t>ACSMS-TC-020-035</t>
  </si>
  <si>
    <t>Không có dữ liệu đối tượng</t>
  </si>
  <si>
    <t>・Đã đăng nhập bằng CHUOKAI
・Không tồn tại người đăng ký thuộc đối tượng tổng hợp với tháng đối tượng・điều kiện lọc đã chỉ định</t>
  </si>
  <si>
    <r>
      <rPr>
        <rFont val="メイリオ"/>
        <b/>
        <color rgb="FF000000"/>
        <sz val="10.0"/>
      </rPr>
      <t xml:space="preserve">ステップ1：
</t>
    </r>
    <r>
      <rPr>
        <rFont val="メイリオ"/>
        <color rgb="FF000000"/>
        <sz val="10.0"/>
      </rPr>
      <t>Nhập tháng・điều kiện không tồn tại đối tượng tổng hợp và thực hiện「作成開始」</t>
    </r>
  </si>
  <si>
    <r>
      <rPr>
        <rFont val="メイリオ"/>
        <b/>
        <color rgb="FF000000"/>
        <sz val="10.0"/>
      </rPr>
      <t xml:space="preserve">ステップ1：
</t>
    </r>
    <r>
      <rPr>
        <rFont val="メイリオ"/>
        <color rgb="FF000000"/>
        <sz val="10.0"/>
      </rPr>
      <t xml:space="preserve">・Trả về HTTP 404 (`error_code: NO_TARGET_DATA`, message `対象データがありません。`)
</t>
    </r>
    <r>
      <rPr>
        <rFont val="メイリオ"/>
        <color rgb="FF000000"/>
        <sz val="10.0"/>
      </rPr>
      <t xml:space="preserve">・Hiển thị toast「対象データがありません。」(ACSMS-MSG-020-002)
</t>
    </r>
    <r>
      <rPr>
        <rFont val="メイリオ"/>
        <color rgb="FF000000"/>
        <sz val="10.0"/>
      </rPr>
      <t>・File CSV không được download</t>
    </r>
  </si>
  <si>
    <t>ACSMS-TC-020-036</t>
  </si>
  <si>
    <t>Cấu trúc CSV định dạng Zengin (全銀)</t>
  </si>
  <si>
    <t>・Đã đăng nhập bằng CHUOKAI
・Tồn tại người đăng ký thuộc đối tượng tổng hợp trong tháng đối tượng</t>
  </si>
  <si>
    <r>
      <rPr>
        <rFont val="メイリオ"/>
        <b/>
        <color rgb="FF000000"/>
        <sz val="10.0"/>
      </rPr>
      <t xml:space="preserve">ステップ1：
</t>
    </r>
    <r>
      <rPr>
        <rFont val="メイリオ"/>
        <color rgb="FF000000"/>
        <sz val="10.0"/>
      </rPr>
      <t xml:space="preserve">Thực hiện「作成開始」với điều kiện bình thường và download CSV
</t>
    </r>
    <r>
      <rPr>
        <rFont val="メイリオ"/>
        <b/>
        <color rgb="FF000000"/>
        <sz val="10.0"/>
      </rPr>
      <t xml:space="preserve">ステップ2：
</t>
    </r>
    <r>
      <rPr>
        <rFont val="メイリオ"/>
        <color rgb="FF000000"/>
        <sz val="10.0"/>
      </rPr>
      <t>Xác nhận mã ký tự và cấu trúc record của CSV đã download</t>
    </r>
  </si>
  <si>
    <r>
      <rPr>
        <rFont val="メイリオ"/>
        <b/>
        <color rgb="FF000000"/>
        <sz val="10.0"/>
      </rPr>
      <t xml:space="preserve">ステップ1：
</t>
    </r>
    <r>
      <rPr>
        <rFont val="メイリオ"/>
        <color rgb="FF000000"/>
        <sz val="10.0"/>
      </rPr>
      <t xml:space="preserve">CSV được download
</t>
    </r>
    <r>
      <rPr>
        <rFont val="メイリオ"/>
        <b/>
        <color rgb="FF000000"/>
        <sz val="10.0"/>
      </rPr>
      <t xml:space="preserve">ステップ2：
</t>
    </r>
    <r>
      <rPr>
        <rFont val="メイリオ"/>
        <color rgb="FF000000"/>
        <sz val="10.0"/>
      </rPr>
      <t xml:space="preserve">・Mã ký tự là Shift_JIS
</t>
    </r>
    <r>
      <rPr>
        <rFont val="メイリオ"/>
        <color rgb="FF000000"/>
        <sz val="10.0"/>
      </rPr>
      <t xml:space="preserve">・Cấu trúc theo thứ tự header record (1=ヘッダ), data record (2=データ), trailer record (8=トレーラ), end record (9=エンド)
</t>
    </r>
    <r>
      <rPr>
        <rFont val="メイリオ"/>
        <color rgb="FF000000"/>
        <sz val="10.0"/>
      </rPr>
      <t>・Data record được xuất 1 record cho mỗi người đăng ký</t>
    </r>
  </si>
  <si>
    <t>ACSMS-TC-020-037</t>
  </si>
  <si>
    <t>Độ chính xác tổng hợp của trailer record</t>
  </si>
  <si>
    <t>・Đã đăng nhập bằng CHUOKAI
・Tồn tại nhiều người đăng ký thuộc đối tượng tổng hợp trong tháng đối tượng</t>
  </si>
  <si>
    <r>
      <rPr>
        <rFont val="メイリオ"/>
        <b/>
        <color rgb="FF000000"/>
        <sz val="10.0"/>
      </rPr>
      <t xml:space="preserve">ステップ1：
</t>
    </r>
    <r>
      <rPr>
        <rFont val="メイリオ"/>
        <color rgb="FF000000"/>
        <sz val="10.0"/>
      </rPr>
      <t xml:space="preserve">Thực hiện「作成開始」với điều kiện bình thường và download CSV
</t>
    </r>
    <r>
      <rPr>
        <rFont val="メイリオ"/>
        <b/>
        <color rgb="FF000000"/>
        <sz val="10.0"/>
      </rPr>
      <t xml:space="preserve">ステップ2：
</t>
    </r>
    <r>
      <rPr>
        <rFont val="メイリオ"/>
        <color rgb="FF000000"/>
        <sz val="10.0"/>
      </rPr>
      <t>Đối chiếu số lượng・tổng số tiền của trailer record (8=トレーラ) với minh chi tiết của data record</t>
    </r>
  </si>
  <si>
    <r>
      <rPr>
        <rFont val="メイリオ"/>
        <b/>
        <color rgb="FF000000"/>
        <sz val="10.0"/>
      </rPr>
      <t xml:space="preserve">ステップ1：
</t>
    </r>
    <r>
      <rPr>
        <rFont val="メイリオ"/>
        <color rgb="FF000000"/>
        <sz val="10.0"/>
      </rPr>
      <t xml:space="preserve">CSV được download
</t>
    </r>
    <r>
      <rPr>
        <rFont val="メイリオ"/>
        <b/>
        <color rgb="FF000000"/>
        <sz val="10.0"/>
      </rPr>
      <t xml:space="preserve">ステップ2：
</t>
    </r>
    <r>
      <rPr>
        <rFont val="メイリオ"/>
        <color rgb="FF000000"/>
        <sz val="10.0"/>
      </rPr>
      <t xml:space="preserve">・Số lượng của trailer record khớp với số lượng data record
</t>
    </r>
    <r>
      <rPr>
        <rFont val="メイリオ"/>
        <color rgb="FF000000"/>
        <sz val="10.0"/>
      </rPr>
      <t>・Tổng số tiền của trailer record khớp với tổng số tiền trừ của từng data record</t>
    </r>
  </si>
  <si>
    <t>ACSMS-TC-020-038</t>
  </si>
  <si>
    <t>Transaction rollback</t>
  </si>
  <si>
    <t>・Đã đăng nhập bằng CHUOKAI
・Đã chuẩn bị sẵn để phát sinh lỗi DB khi đăng ký t_koza_furikae</t>
  </si>
  <si>
    <r>
      <rPr>
        <rFont val="メイリオ"/>
        <b/>
        <color rgb="FF000000"/>
        <sz val="10.0"/>
      </rPr>
      <t xml:space="preserve">ステップ1：
</t>
    </r>
    <r>
      <rPr>
        <rFont val="メイリオ"/>
        <color rgb="FF000000"/>
        <sz val="10.0"/>
      </rPr>
      <t xml:space="preserve">Thực hiện「作成開始」với điều kiện bình thường (inject lỗi giữa chừng khi cập nhật DB)
</t>
    </r>
    <r>
      <rPr>
        <rFont val="メイリオ"/>
        <b/>
        <color rgb="FF000000"/>
        <sz val="10.0"/>
      </rPr>
      <t xml:space="preserve">ステップ2：
</t>
    </r>
    <r>
      <rPr>
        <rFont val="メイリオ"/>
        <color rgb="FF000000"/>
        <sz val="10.0"/>
      </rPr>
      <t>Xác nhận trạng thái của m_ja・m_shiten・t_koza_furikae・t_file_download trên DB</t>
    </r>
  </si>
  <si>
    <r>
      <rPr>
        <rFont val="メイリオ"/>
        <b/>
        <color rgb="FF000000"/>
        <sz val="10.0"/>
      </rPr>
      <t xml:space="preserve">ステップ1：
</t>
    </r>
    <r>
      <rPr>
        <rFont val="メイリオ"/>
        <color rgb="FF000000"/>
        <sz val="10.0"/>
      </rPr>
      <t xml:space="preserve">Trả về HTTP 500 (`error_code: INTERNAL_SERVER_ERROR`, message `システムエラーが発生しました。しばらくしてから再度お試しください。`)
</t>
    </r>
    <r>
      <rPr>
        <rFont val="メイリオ"/>
        <b/>
        <color rgb="FF000000"/>
        <sz val="10.0"/>
      </rPr>
      <t xml:space="preserve">ステップ2：
</t>
    </r>
    <r>
      <rPr>
        <rFont val="メイリオ"/>
        <color rgb="FF000000"/>
        <sz val="10.0"/>
      </rPr>
      <t xml:space="preserve">・m_ja・m_shiten・t_koza_furikae・t_file_download đều không được cập nhật・đăng ký (Được rollback)
</t>
    </r>
    <r>
      <rPr>
        <rFont val="メイリオ"/>
        <color rgb="FF000000"/>
        <sz val="10.0"/>
      </rPr>
      <t>・Error log được ghi 1 bản vào t_log (log_type=3, result_status=2)</t>
    </r>
  </si>
  <si>
    <t>ACSMS-TC-020-039</t>
  </si>
  <si>
    <t>Xuất lại cùng tháng (cập nhật đăng ký trùng lặp)</t>
  </si>
  <si>
    <t>・Đã đăng nhập bằng CHUOKAI
・Đã có snapshot được đăng ký trong t_koza_furikae với cùng tháng đối tượng</t>
  </si>
  <si>
    <r>
      <rPr>
        <rFont val="メイリオ"/>
        <b/>
        <color rgb="FF000000"/>
        <sz val="10.0"/>
      </rPr>
      <t xml:space="preserve">ステップ1：
</t>
    </r>
    <r>
      <rPr>
        <rFont val="メイリオ"/>
        <color rgb="FF000000"/>
        <sz val="10.0"/>
      </rPr>
      <t xml:space="preserve">Thực hiện lại「作成開始」với cùng tháng đối tượng
</t>
    </r>
    <r>
      <rPr>
        <rFont val="メイリオ"/>
        <b/>
        <color rgb="FF000000"/>
        <sz val="10.0"/>
      </rPr>
      <t xml:space="preserve">ステップ2：
</t>
    </r>
    <r>
      <rPr>
        <rFont val="メイリオ"/>
        <color rgb="FF000000"/>
        <sz val="10.0"/>
      </rPr>
      <t>Xác nhận số lượng record của người đăng ký tương ứng × tháng đối tượng trong t_koza_furikae trên DB</t>
    </r>
  </si>
  <si>
    <r>
      <rPr>
        <rFont val="メイリオ"/>
        <b/>
        <color rgb="FF000000"/>
        <sz val="10.0"/>
      </rPr>
      <t xml:space="preserve">ステップ1：
</t>
    </r>
    <r>
      <rPr>
        <rFont val="メイリオ"/>
        <color rgb="FF000000"/>
        <sz val="10.0"/>
      </rPr>
      <t xml:space="preserve">CSV được download
</t>
    </r>
    <r>
      <rPr>
        <rFont val="メイリオ"/>
        <b/>
        <color rgb="FF000000"/>
        <sz val="10.0"/>
      </rPr>
      <t xml:space="preserve">ステップ2：
</t>
    </r>
    <r>
      <rPr>
        <rFont val="メイリオ"/>
        <color rgb="FF000000"/>
        <sz val="10.0"/>
      </rPr>
      <t xml:space="preserve">・Record của người đăng ký × tháng đối tượng không bị đăng ký trùng lặp, được giữ ở 1 bản (được cập nhật)
</t>
    </r>
    <r>
      <rPr>
        <rFont val="メイリオ"/>
        <color rgb="FF000000"/>
        <sz val="10.0"/>
      </rPr>
      <t>・furikae_kingaku v.v. được cập nhật bằng giá trị tổng hợp mới nhất</t>
    </r>
  </si>
  <si>
    <t>カテゴリ5: Xử lý lỗi chung (Common Error Handling)</t>
  </si>
  <si>
    <t>ACSMS-TC-020-040</t>
  </si>
  <si>
    <t>Tham số request không hợp lệ (BAD_REQUEST)</t>
  </si>
  <si>
    <r>
      <rPr>
        <rFont val="メイリオ"/>
        <b/>
        <color rgb="FF000000"/>
        <sz val="10.0"/>
      </rPr>
      <t xml:space="preserve">ステップ1：
</t>
    </r>
    <r>
      <rPr>
        <rFont val="メイリオ"/>
        <color rgb="FF000000"/>
        <sz val="10.0"/>
      </rPr>
      <t>Gửi GET「/api/v1/shiten/koza-dropdown?kanri_shiten_ids=abc」(chuỗi trong mảng số) qua tab Network của DevTools</t>
    </r>
  </si>
  <si>
    <r>
      <rPr>
        <rFont val="メイリオ"/>
        <b/>
        <color rgb="FF000000"/>
        <sz val="10.0"/>
      </rPr>
      <t xml:space="preserve">ステップ1：
</t>
    </r>
    <r>
      <rPr>
        <rFont val="メイリオ"/>
        <color rgb="FF000000"/>
        <sz val="10.0"/>
      </rPr>
      <t>Trả về HTTP 400 (`error_code: BAD_REQUEST`, message `リクエストパラメータが不正です。`)</t>
    </r>
  </si>
  <si>
    <t>ACSMS-TC-020-041</t>
  </si>
  <si>
    <t>Hết phiên (UNAUTHORIZED)</t>
  </si>
  <si>
    <t>・Đã đăng nhập bằng CHUOKAI
・Đã chuẩn bị sẵn để vô hiệu hóa session bằng công cụ quản trị</t>
  </si>
  <si>
    <r>
      <rPr>
        <rFont val="メイリオ"/>
        <b/>
        <color rgb="FF000000"/>
        <sz val="10.0"/>
      </rPr>
      <t xml:space="preserve">ステップ1：
</t>
    </r>
    <r>
      <rPr>
        <rFont val="メイリオ"/>
        <color rgb="FF000000"/>
        <sz val="10.0"/>
      </rPr>
      <t xml:space="preserve">Vô hiệu hóa session khi đang mở màn hình xuất dữ liệu chuyển khoản tự khoản
</t>
    </r>
    <r>
      <rPr>
        <rFont val="メイリオ"/>
        <b/>
        <color rgb="FF000000"/>
        <sz val="10.0"/>
      </rPr>
      <t xml:space="preserve">ステップ2：
</t>
    </r>
    <r>
      <rPr>
        <rFont val="メイリオ"/>
        <color rgb="FF000000"/>
        <sz val="10.0"/>
      </rPr>
      <t>Click button「作成開始」</t>
    </r>
  </si>
  <si>
    <r>
      <rPr>
        <rFont val="メイリオ"/>
        <b/>
        <color rgb="FF000000"/>
        <sz val="10.0"/>
      </rPr>
      <t xml:space="preserve">ステップ1：
</t>
    </r>
    <r>
      <rPr>
        <rFont val="メイリオ"/>
        <color rgb="FF000000"/>
        <sz val="10.0"/>
      </rPr>
      <t xml:space="preserve">Màn hình ở trạng thái được hiển thị
</t>
    </r>
    <r>
      <rPr>
        <rFont val="メイリオ"/>
        <b/>
        <color rgb="FF000000"/>
        <sz val="10.0"/>
      </rPr>
      <t xml:space="preserve">ステップ2：
</t>
    </r>
    <r>
      <rPr>
        <rFont val="メイリオ"/>
        <color rgb="FF000000"/>
        <sz val="10.0"/>
      </rPr>
      <t xml:space="preserve">・Trả về HTTP 401 (`error_code: UNAUTHORIZED`, message `セッションが切れました。再度ログインしてください。`)
</t>
    </r>
    <r>
      <rPr>
        <rFont val="メイリオ"/>
        <color rgb="FF000000"/>
        <sz val="10.0"/>
      </rPr>
      <t>・Chuyển sang「/login」(query được gắn thêm `redirect`)</t>
    </r>
  </si>
  <si>
    <t>ACSMS-TC-020-042</t>
  </si>
  <si>
    <t>Hình dạng response lỗi validation (VALIDATION_ERROR)</t>
  </si>
  <si>
    <r>
      <rPr>
        <rFont val="メイリオ"/>
        <b/>
        <color rgb="FF000000"/>
        <sz val="10.0"/>
      </rPr>
      <t xml:space="preserve">ステップ1：
</t>
    </r>
    <r>
      <rPr>
        <rFont val="メイリオ"/>
        <color rgb="FF000000"/>
        <sz val="10.0"/>
      </rPr>
      <t>Gửi POST「/api/v1/koza-furikae/export」với request body thiếu các mục bắt buộc qua tab Network của DevTools</t>
    </r>
  </si>
  <si>
    <r>
      <rPr>
        <rFont val="メイリオ"/>
        <b/>
        <color rgb="FF000000"/>
        <sz val="10.0"/>
      </rPr>
      <t xml:space="preserve">ステップ1：
</t>
    </r>
    <r>
      <rPr>
        <rFont val="メイリオ"/>
        <color rgb="FF000000"/>
        <sz val="10.0"/>
      </rPr>
      <t xml:space="preserve">・Trả về HTTP 400 (`error_code: VALIDATION_ERROR`, message `入力値が不正です。詳細はerrorsフィールドを確認してください。`)
</t>
    </r>
    <r>
      <rPr>
        <rFont val="メイリオ"/>
        <color rgb="FF000000"/>
        <sz val="10.0"/>
      </rPr>
      <t>・Response chứa mảng `errors`, mỗi phần tử có hình dạng `{ field, message }`</t>
    </r>
  </si>
  <si>
    <t>ACSMS-TC-020-043</t>
  </si>
  <si>
    <t>Vượt giới hạn rate (TOO_MANY_REQUESTS)</t>
  </si>
  <si>
    <r>
      <rPr>
        <rFont val="メイリオ"/>
        <b/>
        <color rgb="FF000000"/>
        <sz val="10.0"/>
      </rPr>
      <t xml:space="preserve">ステップ1：
</t>
    </r>
    <r>
      <rPr>
        <rFont val="メイリオ"/>
        <color rgb="FF000000"/>
        <sz val="10.0"/>
      </rPr>
      <t xml:space="preserve">Gửi liên tục request tương đương「作成開始」đến số lần giới hạn
</t>
    </r>
    <r>
      <rPr>
        <rFont val="メイリオ"/>
        <b/>
        <color rgb="FF000000"/>
        <sz val="10.0"/>
      </rPr>
      <t xml:space="preserve">ステップ2：
</t>
    </r>
    <r>
      <rPr>
        <rFont val="メイリオ"/>
        <color rgb="FF000000"/>
        <sz val="10.0"/>
      </rPr>
      <t>Gửi thêm request vượt quá giới hạn</t>
    </r>
  </si>
  <si>
    <r>
      <rPr>
        <rFont val="メイリオ"/>
        <b/>
        <color rgb="FF000000"/>
        <sz val="10.0"/>
      </rPr>
      <t xml:space="preserve">ステップ1：
</t>
    </r>
    <r>
      <rPr>
        <rFont val="メイリオ"/>
        <color rgb="FF000000"/>
        <sz val="10.0"/>
      </rPr>
      <t xml:space="preserve">Các request đến số lần giới hạn được xử lý bình thường
</t>
    </r>
    <r>
      <rPr>
        <rFont val="メイリオ"/>
        <b/>
        <color rgb="FF000000"/>
        <sz val="10.0"/>
      </rPr>
      <t xml:space="preserve">ステップ2：
</t>
    </r>
    <r>
      <rPr>
        <rFont val="メイリオ"/>
        <color rgb="FF000000"/>
        <sz val="10.0"/>
      </rPr>
      <t>Trả về HTTP 429 (`error_code: TOO_MANY_REQUESTS`, message `リクエスト回数が上限を超えました。しばらくしてから再度お試しください。`)</t>
    </r>
  </si>
  <si>
    <t>ACSMS-TC-020-044</t>
  </si>
  <si>
    <t>Lỗi hệ thống (INTERNAL_SERVER_ERROR)</t>
  </si>
  <si>
    <t>・Đã đăng nhập bằng CHUOKAI
・Đã chuẩn bị sẵn để phát sinh exception ở phía server</t>
  </si>
  <si>
    <r>
      <rPr>
        <rFont val="メイリオ"/>
        <b/>
        <color rgb="FF000000"/>
        <sz val="10.0"/>
      </rPr>
      <t xml:space="preserve">ステップ1：
</t>
    </r>
    <r>
      <rPr>
        <rFont val="メイリオ"/>
        <color rgb="FF000000"/>
        <sz val="10.0"/>
      </rPr>
      <t>Thực hiện「作成開始」ở trạng thái đã phát sinh lỗi kết nối DB v.v. ở phía server</t>
    </r>
  </si>
  <si>
    <r>
      <rPr>
        <rFont val="メイリオ"/>
        <b/>
        <color rgb="FF000000"/>
        <sz val="10.0"/>
      </rPr>
      <t xml:space="preserve">ステップ1：
</t>
    </r>
    <r>
      <rPr>
        <rFont val="メイリオ"/>
        <color rgb="FF000000"/>
        <sz val="10.0"/>
      </rPr>
      <t xml:space="preserve">・Trả về HTTP 500 (`error_code: INTERNAL_SERVER_ERROR`, message `システムエラーが発生しました。しばらくしてから再度お試しください。`)
</t>
    </r>
    <r>
      <rPr>
        <rFont val="メイリオ"/>
        <color rgb="FF000000"/>
        <sz val="10.0"/>
      </rPr>
      <t>・Hiển thị toast「システムエラーが発生しました。しばらくしてから再度お試しください。」(ACSMS-MSG-020-003)</t>
    </r>
  </si>
  <si>
    <t>ACSMS-TC-020-045</t>
  </si>
  <si>
    <t>Mất kết nối mạng</t>
  </si>
  <si>
    <r>
      <rPr>
        <rFont val="メイリオ"/>
        <b/>
        <color rgb="FF000000"/>
        <sz val="10.0"/>
      </rPr>
      <t xml:space="preserve">ステップ1：
</t>
    </r>
    <r>
      <rPr>
        <rFont val="メイリオ"/>
        <color rgb="FF000000"/>
        <sz val="10.0"/>
      </rPr>
      <t xml:space="preserve">Chọn「Offline」ở tab Network của DevTools và ngắt kết nối mạng
</t>
    </r>
    <r>
      <rPr>
        <rFont val="メイリオ"/>
        <b/>
        <color rgb="FF000000"/>
        <sz val="10.0"/>
      </rPr>
      <t xml:space="preserve">ステップ2：
</t>
    </r>
    <r>
      <rPr>
        <rFont val="メイリオ"/>
        <color rgb="FF000000"/>
        <sz val="10.0"/>
      </rPr>
      <t>Click button「作成開始」</t>
    </r>
  </si>
  <si>
    <r>
      <rPr>
        <rFont val="メイリオ"/>
        <b/>
        <color rgb="FF000000"/>
        <sz val="10.0"/>
      </rPr>
      <t xml:space="preserve">ステップ1：
</t>
    </r>
    <r>
      <rPr>
        <rFont val="メイリオ"/>
        <color rgb="FF000000"/>
        <sz val="10.0"/>
      </rPr>
      <t xml:space="preserve">Mạng bị ngắt kết nối
</t>
    </r>
    <r>
      <rPr>
        <rFont val="メイリオ"/>
        <b/>
        <color rgb="FF000000"/>
        <sz val="10.0"/>
      </rPr>
      <t xml:space="preserve">ステップ2：
</t>
    </r>
    <r>
      <rPr>
        <rFont val="メイリオ"/>
        <color rgb="FF000000"/>
        <sz val="10.0"/>
      </rPr>
      <t xml:space="preserve">・Toast lỗi mạng được hiển thị
</t>
    </r>
    <r>
      <rPr>
        <rFont val="メイリオ"/>
        <color rgb="FF000000"/>
        <sz val="10.0"/>
      </rPr>
      <t>・Không bị terminate bất thường</t>
    </r>
  </si>
  <si>
    <t>ACSMS-TC-020-046</t>
  </si>
  <si>
    <t>An toàn với đầu vào XSS</t>
  </si>
  <si>
    <r>
      <rPr>
        <rFont val="メイリオ"/>
        <b/>
        <color rgb="FF000000"/>
        <sz val="10.0"/>
      </rPr>
      <t xml:space="preserve">ステップ1：
</t>
    </r>
    <r>
      <rPr>
        <rFont val="メイリオ"/>
        <color rgb="FF000000"/>
        <sz val="10.0"/>
      </rPr>
      <t xml:space="preserve">Nhập script như `&lt;script&gt;alert(1)&lt;/script&gt;` vào tên người ủy thác・tên cửa hàng và thực hiện「作成開始」
</t>
    </r>
    <r>
      <rPr>
        <rFont val="メイリオ"/>
        <b/>
        <color rgb="FF000000"/>
        <sz val="10.0"/>
      </rPr>
      <t xml:space="preserve">ステップ2：
</t>
    </r>
    <r>
      <rPr>
        <rFont val="メイリオ"/>
        <color rgb="FF000000"/>
        <sz val="10.0"/>
      </rPr>
      <t>Mở lại màn hình và xác nhận mục tương ứng ở hiển thị ban đầu</t>
    </r>
  </si>
  <si>
    <r>
      <rPr>
        <rFont val="メイリオ"/>
        <b/>
        <color rgb="FF000000"/>
        <sz val="10.0"/>
      </rPr>
      <t xml:space="preserve">ステップ1：
</t>
    </r>
    <r>
      <rPr>
        <rFont val="メイリオ"/>
        <color rgb="FF000000"/>
        <sz val="10.0"/>
      </rPr>
      <t xml:space="preserve">Script được xử lý nguyên dạng như chuỗi và không được thực thi
</t>
    </r>
    <r>
      <rPr>
        <rFont val="メイリオ"/>
        <b/>
        <color rgb="FF000000"/>
        <sz val="10.0"/>
      </rPr>
      <t xml:space="preserve">ステップ2：
</t>
    </r>
    <r>
      <rPr>
        <rFont val="メイリオ"/>
        <color rgb="FF000000"/>
        <sz val="10.0"/>
      </rPr>
      <t>Sau khi lưu hiển thị lại script cũng không được thực thi và được hiển thị dưới dạng plain text</t>
    </r>
  </si>
  <si>
    <t>ACSMS-TC-020-047</t>
  </si>
  <si>
    <t>An toàn với đầu vào SQL Injection</t>
  </si>
  <si>
    <r>
      <rPr>
        <rFont val="メイリオ"/>
        <b/>
        <color rgb="FF000000"/>
        <sz val="10.0"/>
      </rPr>
      <t xml:space="preserve">ステップ1：
</t>
    </r>
    <r>
      <rPr>
        <rFont val="メイリオ"/>
        <color rgb="FF000000"/>
        <sz val="10.0"/>
      </rPr>
      <t xml:space="preserve">Nhập `'; DROP TABLE m_ja; --` v.v. vào mã người ủy thác・tên người ủy thác và thực hiện「作成開始」
</t>
    </r>
    <r>
      <rPr>
        <rFont val="メイリオ"/>
        <b/>
        <color rgb="FF000000"/>
        <sz val="10.0"/>
      </rPr>
      <t xml:space="preserve">ステップ2：
</t>
    </r>
    <r>
      <rPr>
        <rFont val="メイリオ"/>
        <color rgb="FF000000"/>
        <sz val="10.0"/>
      </rPr>
      <t>Xác nhận bảng m_ja tồn tại trên DB</t>
    </r>
  </si>
  <si>
    <r>
      <rPr>
        <rFont val="メイリオ"/>
        <b/>
        <color rgb="FF000000"/>
        <sz val="10.0"/>
      </rPr>
      <t xml:space="preserve">ステップ1：
</t>
    </r>
    <r>
      <rPr>
        <rFont val="メイリオ"/>
        <color rgb="FF000000"/>
        <sz val="10.0"/>
      </rPr>
      <t xml:space="preserve">Giá trị đầu vào được xử lý như literal qua parameterized query và không được thực thi như SQL (không trả về HTTP 500)
</t>
    </r>
    <r>
      <rPr>
        <rFont val="メイリオ"/>
        <b/>
        <color rgb="FF000000"/>
        <sz val="10.0"/>
      </rPr>
      <t xml:space="preserve">ステップ2：
</t>
    </r>
    <r>
      <rPr>
        <rFont val="メイリオ"/>
        <color rgb="FF000000"/>
        <sz val="10.0"/>
      </rPr>
      <t>Bảng m_ja không bị xóa và vẫn tồn tại</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</si>
</sst>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2">
    <font>
      <sz val="11.0"/>
      <color theme="1"/>
      <name val="Calibri"/>
      <scheme val="minor"/>
    </font>
    <font>
      <sz val="11.0"/>
      <color theme="1"/>
      <name val="Calibri"/>
    </font>
    <font>
      <sz val="26.0"/>
      <color rgb="FF1F3864"/>
      <name val="游ゴシック"/>
    </font>
    <font/>
    <font>
      <sz val="24.0"/>
      <color rgb="FF1F3864"/>
      <name val="游ゴシック"/>
    </font>
    <font>
      <sz val="15.0"/>
      <color theme="1"/>
      <name val="游ゴシック"/>
    </font>
    <font>
      <sz val="10.0"/>
      <color rgb="FF000000"/>
      <name val="游ゴシック"/>
    </font>
    <font>
      <b/>
      <sz val="11.0"/>
      <color rgb="FF000000"/>
      <name val="游ゴシック"/>
    </font>
    <font>
      <sz val="11.0"/>
      <color rgb="FF000000"/>
      <name val="游ゴシック"/>
    </font>
    <font>
      <b/>
      <sz val="14.0"/>
      <color rgb="FF000000"/>
      <name val="游ゴシック"/>
    </font>
    <font>
      <i/>
      <sz val="11.0"/>
      <color rgb="FF000000"/>
      <name val="游ゴシック"/>
    </font>
    <font>
      <strike/>
      <sz val="11.0"/>
      <color rgb="FF000000"/>
      <name val="游ゴシック"/>
    </font>
  </fonts>
  <fills count="10">
    <fill>
      <patternFill patternType="none"/>
    </fill>
    <fill>
      <patternFill patternType="lightGray"/>
    </fill>
    <fill>
      <patternFill patternType="solid">
        <fgColor rgb="FFD9E2F3"/>
        <bgColor rgb="FFD9E2F3"/>
      </patternFill>
    </fill>
    <fill>
      <patternFill patternType="solid">
        <fgColor rgb="FFB4C6E7"/>
        <bgColor rgb="FFB4C6E7"/>
      </patternFill>
    </fill>
    <fill>
      <patternFill patternType="solid">
        <fgColor rgb="FFFFFF99"/>
        <bgColor rgb="FFFFFF99"/>
      </patternFill>
    </fill>
    <fill>
      <patternFill patternType="solid">
        <fgColor rgb="FFBDD6EE"/>
        <bgColor rgb="FFBDD6EE"/>
      </patternFill>
    </fill>
    <fill>
      <patternFill patternType="solid">
        <fgColor rgb="FFDEEAF6"/>
        <bgColor rgb="FFDEEAF6"/>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s>
  <borders count="18">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top/>
      <bottom/>
    </border>
    <border>
      <top/>
      <bottom/>
    </border>
    <border>
      <right/>
      <top/>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1" fillId="0" fontId="1" numFmtId="0" xfId="0" applyBorder="1" applyFont="1"/>
    <xf borderId="2" fillId="0" fontId="1" numFmtId="0" xfId="0" applyBorder="1" applyFont="1"/>
    <xf borderId="3" fillId="0" fontId="1" numFmtId="0" xfId="0" applyBorder="1" applyFont="1"/>
    <xf borderId="4" fillId="0" fontId="1" numFmtId="0" xfId="0" applyBorder="1" applyFont="1"/>
    <xf borderId="5" fillId="0" fontId="1" numFmtId="0" xfId="0" applyBorder="1" applyFont="1"/>
    <xf borderId="4" fillId="0" fontId="2" numFmtId="0" xfId="0" applyAlignment="1" applyBorder="1" applyFont="1">
      <alignment horizontal="center" shrinkToFit="0" vertical="center" wrapText="1"/>
    </xf>
    <xf borderId="5" fillId="0" fontId="3" numFmtId="0" xfId="0" applyBorder="1" applyFont="1"/>
    <xf borderId="4" fillId="0" fontId="4" numFmtId="0" xfId="0" applyAlignment="1" applyBorder="1" applyFont="1">
      <alignment horizontal="center" shrinkToFit="0" vertical="center" wrapText="1"/>
    </xf>
    <xf borderId="4" fillId="0" fontId="5" numFmtId="0" xfId="0" applyAlignment="1" applyBorder="1" applyFont="1">
      <alignment horizontal="center" shrinkToFit="0" vertical="center" wrapText="1"/>
    </xf>
    <xf borderId="6" fillId="2" fontId="6" numFmtId="0" xfId="0" applyAlignment="1" applyBorder="1" applyFill="1" applyFont="1">
      <alignment horizontal="center" shrinkToFit="0" vertical="center" wrapText="1"/>
    </xf>
    <xf borderId="7" fillId="0" fontId="3" numFmtId="0" xfId="0" applyBorder="1" applyFont="1"/>
    <xf borderId="8" fillId="0" fontId="3" numFmtId="0" xfId="0" applyBorder="1" applyFont="1"/>
    <xf borderId="6" fillId="2" fontId="6" numFmtId="49" xfId="0" applyAlignment="1" applyBorder="1" applyFont="1" applyNumberFormat="1">
      <alignment horizontal="center" shrinkToFit="0" vertical="center" wrapText="1"/>
    </xf>
    <xf borderId="9" fillId="0" fontId="1" numFmtId="0" xfId="0" applyBorder="1" applyFont="1"/>
    <xf borderId="10" fillId="0" fontId="1" numFmtId="0" xfId="0" applyBorder="1" applyFont="1"/>
    <xf borderId="11" fillId="0" fontId="1" numFmtId="0" xfId="0" applyBorder="1" applyFont="1"/>
    <xf borderId="12" fillId="3" fontId="7" numFmtId="0" xfId="0" applyAlignment="1" applyBorder="1" applyFill="1" applyFont="1">
      <alignment horizontal="center" shrinkToFit="0" vertical="center" wrapText="1"/>
    </xf>
    <xf borderId="6" fillId="3" fontId="7" numFmtId="0" xfId="0" applyAlignment="1" applyBorder="1" applyFont="1">
      <alignment horizontal="center" shrinkToFit="0" vertical="center" wrapText="1"/>
    </xf>
    <xf borderId="12" fillId="0" fontId="8" numFmtId="0" xfId="0" applyAlignment="1" applyBorder="1" applyFont="1">
      <alignment horizontal="center" shrinkToFit="0" vertical="center" wrapText="1"/>
    </xf>
    <xf borderId="6" fillId="0" fontId="8" numFmtId="0" xfId="0" applyAlignment="1" applyBorder="1" applyFont="1">
      <alignment horizontal="center" shrinkToFit="0" vertical="center" wrapText="1"/>
    </xf>
    <xf borderId="6" fillId="0" fontId="8" numFmtId="0" xfId="0" applyAlignment="1" applyBorder="1" applyFont="1">
      <alignment horizontal="left" shrinkToFit="0" vertical="center" wrapText="1"/>
    </xf>
    <xf borderId="1" fillId="0" fontId="8" numFmtId="0" xfId="0" applyAlignment="1" applyBorder="1" applyFont="1">
      <alignment horizontal="center" shrinkToFit="0" vertical="center" wrapText="1"/>
    </xf>
    <xf borderId="2" fillId="0" fontId="3" numFmtId="0" xfId="0" applyBorder="1" applyFont="1"/>
    <xf borderId="3" fillId="0" fontId="3" numFmtId="0" xfId="0" applyBorder="1" applyFont="1"/>
    <xf borderId="1" fillId="0" fontId="8" numFmtId="49" xfId="0" applyAlignment="1" applyBorder="1" applyFont="1" applyNumberFormat="1">
      <alignment horizontal="center" shrinkToFit="0" vertical="center" wrapText="1"/>
    </xf>
    <xf borderId="9" fillId="0" fontId="3" numFmtId="0" xfId="0" applyBorder="1" applyFont="1"/>
    <xf borderId="10" fillId="0" fontId="3" numFmtId="0" xfId="0" applyBorder="1" applyFont="1"/>
    <xf borderId="11" fillId="0" fontId="3" numFmtId="0" xfId="0" applyBorder="1" applyFont="1"/>
    <xf borderId="0" fillId="0" fontId="7" numFmtId="0" xfId="0" applyAlignment="1" applyFont="1">
      <alignment horizontal="left" shrinkToFit="0" vertical="center" wrapText="1"/>
    </xf>
    <xf borderId="0" fillId="0" fontId="8" numFmtId="0" xfId="0" applyAlignment="1" applyFont="1">
      <alignment horizontal="left" shrinkToFit="0" vertical="center" wrapText="1"/>
    </xf>
    <xf borderId="13" fillId="4" fontId="7" numFmtId="0" xfId="0" applyAlignment="1" applyBorder="1" applyFill="1" applyFont="1">
      <alignment horizontal="left" shrinkToFit="0" vertical="center" wrapText="1"/>
    </xf>
    <xf borderId="14" fillId="0" fontId="3" numFmtId="0" xfId="0" applyBorder="1" applyFont="1"/>
    <xf borderId="15" fillId="0" fontId="3" numFmtId="0" xfId="0" applyBorder="1" applyFont="1"/>
    <xf borderId="6" fillId="3" fontId="9" numFmtId="0" xfId="0" applyAlignment="1" applyBorder="1" applyFont="1">
      <alignment horizontal="center" shrinkToFit="0" vertical="center" wrapText="1"/>
    </xf>
    <xf borderId="6" fillId="5" fontId="7" numFmtId="0" xfId="0" applyAlignment="1" applyBorder="1" applyFill="1" applyFont="1">
      <alignment horizontal="left" shrinkToFit="0" vertical="center" wrapText="1"/>
    </xf>
    <xf borderId="6" fillId="0" fontId="8" numFmtId="49" xfId="0" applyAlignment="1" applyBorder="1" applyFont="1" applyNumberFormat="1">
      <alignment horizontal="left" shrinkToFit="0" vertical="center" wrapText="1"/>
    </xf>
    <xf borderId="16" fillId="5" fontId="7" numFmtId="0" xfId="0" applyAlignment="1" applyBorder="1" applyFont="1">
      <alignment horizontal="center" shrinkToFit="0" vertical="center" wrapText="1"/>
    </xf>
    <xf borderId="1" fillId="5" fontId="7" numFmtId="0" xfId="0" applyAlignment="1" applyBorder="1" applyFont="1">
      <alignment horizontal="center" shrinkToFit="0" vertical="center" wrapText="1"/>
    </xf>
    <xf borderId="6" fillId="5" fontId="7" numFmtId="0" xfId="0" applyAlignment="1" applyBorder="1" applyFont="1">
      <alignment horizontal="center" shrinkToFit="0" vertical="center" wrapText="1"/>
    </xf>
    <xf borderId="17" fillId="0" fontId="3" numFmtId="0" xfId="0" applyBorder="1" applyFont="1"/>
    <xf borderId="12" fillId="6" fontId="7" numFmtId="0" xfId="0" applyAlignment="1" applyBorder="1" applyFill="1" applyFont="1">
      <alignment horizontal="left" shrinkToFit="0" vertical="center" wrapText="1"/>
    </xf>
    <xf borderId="6" fillId="0" fontId="8" numFmtId="164" xfId="0" applyAlignment="1" applyBorder="1" applyFont="1" applyNumberFormat="1">
      <alignment horizontal="center" shrinkToFit="0" vertical="center" wrapText="1"/>
    </xf>
    <xf borderId="6" fillId="0" fontId="7" numFmtId="0" xfId="0" applyAlignment="1" applyBorder="1" applyFont="1">
      <alignment horizontal="center" shrinkToFit="0" vertical="center" wrapText="1"/>
    </xf>
    <xf borderId="6" fillId="0" fontId="7" numFmtId="164" xfId="0" applyAlignment="1" applyBorder="1" applyFont="1" applyNumberFormat="1">
      <alignment horizontal="center" shrinkToFit="0" vertical="center" wrapText="1"/>
    </xf>
    <xf borderId="12" fillId="6" fontId="7" numFmtId="0" xfId="0" applyAlignment="1" applyBorder="1" applyFont="1">
      <alignment horizontal="center" shrinkToFit="0" vertical="center" wrapText="1"/>
    </xf>
    <xf borderId="6" fillId="6" fontId="7" numFmtId="0" xfId="0" applyAlignment="1" applyBorder="1" applyFont="1">
      <alignment horizontal="center" shrinkToFit="0" vertical="center" wrapText="1"/>
    </xf>
    <xf borderId="12" fillId="0" fontId="8" numFmtId="0" xfId="0" applyAlignment="1" applyBorder="1" applyFont="1">
      <alignment horizontal="center" shrinkToFit="0" vertical="top" wrapText="1"/>
    </xf>
    <xf borderId="6" fillId="0" fontId="8" numFmtId="0" xfId="0" applyAlignment="1" applyBorder="1" applyFont="1">
      <alignment horizontal="center" shrinkToFit="0" vertical="top" wrapText="1"/>
    </xf>
    <xf borderId="6" fillId="0" fontId="8" numFmtId="0" xfId="0" applyAlignment="1" applyBorder="1" applyFont="1">
      <alignment horizontal="left" shrinkToFit="0" vertical="top" wrapText="1"/>
    </xf>
    <xf borderId="6" fillId="7" fontId="7" numFmtId="0" xfId="0" applyAlignment="1" applyBorder="1" applyFill="1" applyFont="1">
      <alignment horizontal="center" shrinkToFit="0" vertical="top" wrapText="1"/>
    </xf>
    <xf borderId="6" fillId="8" fontId="7" numFmtId="0" xfId="0" applyAlignment="1" applyBorder="1" applyFill="1" applyFont="1">
      <alignment horizontal="center" shrinkToFit="0" vertical="top" wrapText="1"/>
    </xf>
    <xf borderId="6" fillId="9" fontId="7" numFmtId="0" xfId="0" applyAlignment="1" applyBorder="1" applyFill="1" applyFont="1">
      <alignment horizontal="center" shrinkToFit="0" vertical="top" wrapText="1"/>
    </xf>
    <xf borderId="6" fillId="5" fontId="7" numFmtId="0" xfId="0" applyAlignment="1" applyBorder="1" applyFont="1">
      <alignment horizontal="right" shrinkToFit="0" vertical="center" wrapText="1"/>
    </xf>
    <xf borderId="6" fillId="0" fontId="7" numFmtId="0" xfId="0" applyAlignment="1" applyBorder="1" applyFont="1">
      <alignment horizontal="center" shrinkToFit="0" vertical="top" wrapText="1"/>
    </xf>
    <xf borderId="6" fillId="0" fontId="10" numFmtId="0" xfId="0" applyAlignment="1" applyBorder="1" applyFont="1">
      <alignment horizontal="left" shrinkToFit="0" vertical="top" wrapText="1"/>
    </xf>
    <xf borderId="16" fillId="6" fontId="7" numFmtId="0" xfId="0" applyAlignment="1" applyBorder="1" applyFont="1">
      <alignment horizontal="center" shrinkToFit="0" vertical="center" wrapText="1"/>
    </xf>
    <xf borderId="1" fillId="6" fontId="7" numFmtId="0" xfId="0" applyAlignment="1" applyBorder="1" applyFont="1">
      <alignment horizontal="center" shrinkToFit="0" vertical="center" wrapText="1"/>
    </xf>
    <xf borderId="6" fillId="0" fontId="11" numFmtId="0" xfId="0" applyAlignment="1" applyBorder="1" applyFont="1">
      <alignment horizontal="left" shrinkToFit="0" vertical="top" wrapText="1"/>
    </xf>
    <xf borderId="6" fillId="0" fontId="11" numFmtId="0" xfId="0" applyAlignment="1" applyBorder="1" applyFont="1">
      <alignment horizontal="center" shrinkToFit="0" vertical="top" wrapText="1"/>
    </xf>
    <xf borderId="6" fillId="0" fontId="11" numFmtId="0" xfId="0" applyAlignment="1" applyBorder="1" applyFont="1">
      <alignment horizontal="center" readingOrder="0" shrinkToFit="0" vertical="top" wrapText="1"/>
    </xf>
    <xf borderId="6" fillId="0" fontId="8" numFmtId="0" xfId="0" applyAlignment="1" applyBorder="1" applyFont="1">
      <alignment horizontal="left" readingOrder="0" shrinkToFit="0" vertical="top" wrapText="1"/>
    </xf>
    <xf borderId="12" fillId="0" fontId="11" numFmtId="0" xfId="0" applyAlignment="1" applyBorder="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2</xdr:row>
      <xdr:rowOff>0</xdr:rowOff>
    </xdr:from>
    <xdr:ext cx="1333500" cy="514350"/>
    <xdr:pic>
      <xdr:nvPicPr>
        <xdr:cNvPr descr="Picture"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71"/>
    <col customWidth="1" min="2" max="37" width="3.29"/>
  </cols>
  <sheetData>
    <row r="1" ht="19.5" customHeight="1"/>
    <row r="2" ht="12.75" customHeight="1">
      <c r="B2" s="1"/>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3"/>
    </row>
    <row r="3" ht="12.75" customHeight="1">
      <c r="B3" s="4"/>
      <c r="AK3" s="5"/>
    </row>
    <row r="4" ht="12.75" customHeight="1">
      <c r="B4" s="4"/>
      <c r="AK4" s="5"/>
    </row>
    <row r="5" ht="12.75" customHeight="1">
      <c r="B5" s="4"/>
      <c r="AK5" s="5"/>
    </row>
    <row r="6" ht="12.75" customHeight="1">
      <c r="B6" s="4"/>
      <c r="AK6" s="5"/>
    </row>
    <row r="7" ht="12.75" customHeight="1">
      <c r="B7" s="4"/>
      <c r="AK7" s="5"/>
    </row>
    <row r="8" ht="12.75" customHeight="1">
      <c r="B8" s="4"/>
      <c r="AK8" s="5"/>
    </row>
    <row r="9" ht="12.75" customHeight="1">
      <c r="B9" s="4"/>
      <c r="AK9" s="5"/>
    </row>
    <row r="10" ht="29.25" customHeight="1">
      <c r="B10" s="6" t="s">
        <v>0</v>
      </c>
      <c r="AK10" s="7"/>
    </row>
    <row r="11" ht="12.75" customHeight="1">
      <c r="B11" s="4"/>
      <c r="AK11" s="5"/>
    </row>
    <row r="12" ht="39.0" customHeight="1">
      <c r="B12" s="8" t="s">
        <v>1</v>
      </c>
      <c r="AK12" s="7"/>
    </row>
    <row r="13" ht="12.75" customHeight="1">
      <c r="B13" s="4"/>
      <c r="AK13" s="5"/>
    </row>
    <row r="14" ht="12.75" customHeight="1">
      <c r="B14" s="4"/>
      <c r="AK14" s="5"/>
    </row>
    <row r="15" ht="12.75" customHeight="1">
      <c r="B15" s="9" t="s">
        <v>2</v>
      </c>
      <c r="AK15" s="7"/>
    </row>
    <row r="16" ht="12.75" customHeight="1">
      <c r="B16" s="4"/>
      <c r="AK16" s="5"/>
    </row>
    <row r="17" ht="12.75" customHeight="1">
      <c r="B17" s="4"/>
      <c r="AK17" s="5"/>
    </row>
    <row r="18" ht="12.75" customHeight="1">
      <c r="B18" s="4"/>
      <c r="N18" s="10" t="s">
        <v>3</v>
      </c>
      <c r="O18" s="11"/>
      <c r="P18" s="11"/>
      <c r="Q18" s="11"/>
      <c r="R18" s="12"/>
      <c r="S18" s="10" t="s">
        <v>4</v>
      </c>
      <c r="T18" s="11"/>
      <c r="U18" s="11"/>
      <c r="V18" s="11"/>
      <c r="W18" s="12"/>
      <c r="AK18" s="5"/>
    </row>
    <row r="19" ht="12.75" customHeight="1">
      <c r="B19" s="4"/>
      <c r="N19" s="10" t="s">
        <v>5</v>
      </c>
      <c r="O19" s="11"/>
      <c r="P19" s="11"/>
      <c r="Q19" s="11"/>
      <c r="R19" s="12"/>
      <c r="S19" s="10" t="s">
        <v>6</v>
      </c>
      <c r="T19" s="11"/>
      <c r="U19" s="11"/>
      <c r="V19" s="11"/>
      <c r="W19" s="12"/>
      <c r="AK19" s="5"/>
    </row>
    <row r="20" ht="12.75" customHeight="1">
      <c r="B20" s="4"/>
      <c r="N20" s="10" t="s">
        <v>7</v>
      </c>
      <c r="O20" s="11"/>
      <c r="P20" s="11"/>
      <c r="Q20" s="11"/>
      <c r="R20" s="12"/>
      <c r="S20" s="13" t="s">
        <v>8</v>
      </c>
      <c r="T20" s="11"/>
      <c r="U20" s="11"/>
      <c r="V20" s="11"/>
      <c r="W20" s="12"/>
      <c r="AK20" s="5"/>
    </row>
    <row r="21" ht="12.75" customHeight="1">
      <c r="B21" s="4"/>
      <c r="AK21" s="5"/>
    </row>
    <row r="22" ht="12.75" customHeight="1">
      <c r="B22" s="4"/>
      <c r="AK22" s="5"/>
    </row>
    <row r="23" ht="12.75" customHeight="1">
      <c r="B23" s="4"/>
      <c r="AK23" s="5"/>
    </row>
    <row r="24" ht="12.75" customHeight="1">
      <c r="B24" s="4"/>
      <c r="AK24" s="5"/>
    </row>
    <row r="25" ht="12.75" customHeight="1">
      <c r="B25" s="4"/>
      <c r="AK25" s="5"/>
    </row>
    <row r="26" ht="12.75" customHeight="1">
      <c r="B26" s="4"/>
      <c r="AK26" s="5"/>
    </row>
    <row r="27" ht="12.75" customHeight="1">
      <c r="B27" s="4"/>
      <c r="AK27" s="5"/>
    </row>
    <row r="28" ht="12.75" customHeight="1">
      <c r="B28" s="4"/>
      <c r="AK28" s="5"/>
    </row>
    <row r="29" ht="12.75" customHeight="1">
      <c r="B29" s="4"/>
      <c r="AK29" s="5"/>
    </row>
    <row r="30" ht="12.75" customHeight="1">
      <c r="B30" s="4"/>
      <c r="AK30" s="5"/>
    </row>
    <row r="31" ht="12.75" customHeight="1">
      <c r="B31" s="4"/>
      <c r="AK31" s="5"/>
    </row>
    <row r="32" ht="12.75" customHeight="1">
      <c r="B32" s="4"/>
      <c r="AK32" s="5"/>
    </row>
    <row r="33" ht="12.75" customHeight="1">
      <c r="B33" s="4"/>
      <c r="AK33" s="5"/>
    </row>
    <row r="34" ht="12.75" customHeight="1">
      <c r="B34" s="14"/>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6"/>
    </row>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N20:R20"/>
    <mergeCell ref="S20:W20"/>
    <mergeCell ref="B10:AK10"/>
    <mergeCell ref="B12:AK12"/>
    <mergeCell ref="B15:AK15"/>
    <mergeCell ref="N18:R18"/>
    <mergeCell ref="S18:W18"/>
    <mergeCell ref="N19:R19"/>
    <mergeCell ref="S19:W19"/>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0"/>
    <col customWidth="1" min="2" max="34" width="3.29"/>
  </cols>
  <sheetData>
    <row r="1" ht="22.5" customHeight="1">
      <c r="A1" s="17" t="s">
        <v>9</v>
      </c>
      <c r="B1" s="18" t="s">
        <v>7</v>
      </c>
      <c r="C1" s="11"/>
      <c r="D1" s="11"/>
      <c r="E1" s="12"/>
      <c r="F1" s="18" t="s">
        <v>10</v>
      </c>
      <c r="G1" s="11"/>
      <c r="H1" s="12"/>
      <c r="I1" s="18" t="s">
        <v>11</v>
      </c>
      <c r="J1" s="11"/>
      <c r="K1" s="11"/>
      <c r="L1" s="11"/>
      <c r="M1" s="11"/>
      <c r="N1" s="12"/>
      <c r="O1" s="18" t="s">
        <v>12</v>
      </c>
      <c r="P1" s="11"/>
      <c r="Q1" s="11"/>
      <c r="R1" s="11"/>
      <c r="S1" s="11"/>
      <c r="T1" s="11"/>
      <c r="U1" s="11"/>
      <c r="V1" s="12"/>
      <c r="W1" s="18" t="s">
        <v>13</v>
      </c>
      <c r="X1" s="11"/>
      <c r="Y1" s="11"/>
      <c r="Z1" s="11"/>
      <c r="AA1" s="11"/>
      <c r="AB1" s="12"/>
      <c r="AC1" s="18" t="s">
        <v>14</v>
      </c>
      <c r="AD1" s="11"/>
      <c r="AE1" s="11"/>
      <c r="AF1" s="11"/>
      <c r="AG1" s="11"/>
      <c r="AH1" s="12"/>
    </row>
    <row r="2" ht="22.5" customHeight="1">
      <c r="A2" s="19"/>
      <c r="B2" s="20" t="s">
        <v>8</v>
      </c>
      <c r="C2" s="11"/>
      <c r="D2" s="11"/>
      <c r="E2" s="12"/>
      <c r="F2" s="20" t="s">
        <v>6</v>
      </c>
      <c r="G2" s="11"/>
      <c r="H2" s="12"/>
      <c r="I2" s="20" t="s">
        <v>15</v>
      </c>
      <c r="J2" s="11"/>
      <c r="K2" s="11"/>
      <c r="L2" s="11"/>
      <c r="M2" s="11"/>
      <c r="N2" s="12"/>
      <c r="O2" s="21" t="s">
        <v>16</v>
      </c>
      <c r="P2" s="11"/>
      <c r="Q2" s="11"/>
      <c r="R2" s="11"/>
      <c r="S2" s="11"/>
      <c r="T2" s="11"/>
      <c r="U2" s="11"/>
      <c r="V2" s="12"/>
      <c r="W2" s="20" t="s">
        <v>17</v>
      </c>
      <c r="X2" s="11"/>
      <c r="Y2" s="11"/>
      <c r="Z2" s="11"/>
      <c r="AA2" s="11"/>
      <c r="AB2" s="12"/>
      <c r="AC2" s="20" t="s">
        <v>17</v>
      </c>
      <c r="AD2" s="11"/>
      <c r="AE2" s="11"/>
      <c r="AF2" s="11"/>
      <c r="AG2" s="11"/>
      <c r="AH2"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F2:H2"/>
    <mergeCell ref="I2:N2"/>
    <mergeCell ref="O2:V2"/>
    <mergeCell ref="W2:AB2"/>
    <mergeCell ref="B1:E1"/>
    <mergeCell ref="F1:H1"/>
    <mergeCell ref="I1:N1"/>
    <mergeCell ref="O1:V1"/>
    <mergeCell ref="W1:AB1"/>
    <mergeCell ref="AC1:AH1"/>
    <mergeCell ref="B2:E2"/>
    <mergeCell ref="AC2:AH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4.29"/>
  </cols>
  <sheetData>
    <row r="1" ht="19.5" customHeight="1">
      <c r="A1" s="18" t="s">
        <v>18</v>
      </c>
      <c r="B1" s="11"/>
      <c r="C1" s="11"/>
      <c r="D1" s="11"/>
      <c r="E1" s="11"/>
      <c r="F1" s="11"/>
      <c r="G1" s="11"/>
      <c r="H1" s="11"/>
      <c r="I1" s="12"/>
      <c r="J1" s="18" t="s">
        <v>19</v>
      </c>
      <c r="K1" s="11"/>
      <c r="L1" s="11"/>
      <c r="M1" s="11"/>
      <c r="N1" s="11"/>
      <c r="O1" s="11"/>
      <c r="P1" s="12"/>
      <c r="Q1" s="18" t="s">
        <v>20</v>
      </c>
      <c r="R1" s="11"/>
      <c r="S1" s="11"/>
      <c r="T1" s="11"/>
      <c r="U1" s="12"/>
      <c r="V1" s="18" t="s">
        <v>21</v>
      </c>
      <c r="W1" s="11"/>
      <c r="X1" s="11"/>
      <c r="Y1" s="12"/>
      <c r="Z1" s="18" t="s">
        <v>22</v>
      </c>
      <c r="AA1" s="11"/>
      <c r="AB1" s="11"/>
      <c r="AC1" s="12"/>
      <c r="AD1" s="18" t="s">
        <v>23</v>
      </c>
      <c r="AE1" s="11"/>
      <c r="AF1" s="11"/>
      <c r="AG1" s="12"/>
      <c r="AH1" s="18" t="s">
        <v>24</v>
      </c>
      <c r="AI1" s="11"/>
      <c r="AJ1" s="11"/>
      <c r="AK1" s="12"/>
    </row>
    <row r="2" ht="19.5" customHeight="1">
      <c r="A2" s="22" t="s">
        <v>0</v>
      </c>
      <c r="B2" s="23"/>
      <c r="C2" s="23"/>
      <c r="D2" s="23"/>
      <c r="E2" s="23"/>
      <c r="F2" s="23"/>
      <c r="G2" s="23"/>
      <c r="H2" s="23"/>
      <c r="I2" s="24"/>
      <c r="J2" s="22" t="s">
        <v>25</v>
      </c>
      <c r="K2" s="23"/>
      <c r="L2" s="23"/>
      <c r="M2" s="23"/>
      <c r="N2" s="23"/>
      <c r="O2" s="23"/>
      <c r="P2" s="24"/>
      <c r="Q2" s="22" t="s">
        <v>26</v>
      </c>
      <c r="R2" s="23"/>
      <c r="S2" s="23"/>
      <c r="T2" s="23"/>
      <c r="U2" s="24"/>
      <c r="V2" s="25" t="s">
        <v>8</v>
      </c>
      <c r="W2" s="23"/>
      <c r="X2" s="23"/>
      <c r="Y2" s="24"/>
      <c r="Z2" s="22" t="s">
        <v>15</v>
      </c>
      <c r="AA2" s="23"/>
      <c r="AB2" s="23"/>
      <c r="AC2" s="24"/>
      <c r="AD2" s="25" t="s">
        <v>8</v>
      </c>
      <c r="AE2" s="23"/>
      <c r="AF2" s="23"/>
      <c r="AG2" s="24"/>
      <c r="AH2" s="22" t="s">
        <v>15</v>
      </c>
      <c r="AI2" s="23"/>
      <c r="AJ2" s="23"/>
      <c r="AK2" s="24"/>
    </row>
    <row r="3" ht="19.5" customHeight="1">
      <c r="A3" s="26"/>
      <c r="B3" s="27"/>
      <c r="C3" s="27"/>
      <c r="D3" s="27"/>
      <c r="E3" s="27"/>
      <c r="F3" s="27"/>
      <c r="G3" s="27"/>
      <c r="H3" s="27"/>
      <c r="I3" s="28"/>
      <c r="J3" s="26"/>
      <c r="K3" s="27"/>
      <c r="L3" s="27"/>
      <c r="M3" s="27"/>
      <c r="N3" s="27"/>
      <c r="O3" s="27"/>
      <c r="P3" s="28"/>
      <c r="Q3" s="26"/>
      <c r="R3" s="27"/>
      <c r="S3" s="27"/>
      <c r="T3" s="27"/>
      <c r="U3" s="28"/>
      <c r="V3" s="26"/>
      <c r="W3" s="27"/>
      <c r="X3" s="27"/>
      <c r="Y3" s="28"/>
      <c r="Z3" s="26"/>
      <c r="AA3" s="27"/>
      <c r="AB3" s="27"/>
      <c r="AC3" s="28"/>
      <c r="AD3" s="26"/>
      <c r="AE3" s="27"/>
      <c r="AF3" s="27"/>
      <c r="AG3" s="28"/>
      <c r="AH3" s="26"/>
      <c r="AI3" s="27"/>
      <c r="AJ3" s="27"/>
      <c r="AK3" s="28"/>
    </row>
    <row r="4" ht="15.0" customHeight="1"/>
    <row r="5" ht="19.5" customHeight="1">
      <c r="B5" s="29" t="s">
        <v>27</v>
      </c>
    </row>
    <row r="6" ht="19.5" customHeight="1">
      <c r="C6" s="30" t="s">
        <v>28</v>
      </c>
    </row>
    <row r="7" ht="19.5" customHeight="1">
      <c r="C7" s="30" t="s">
        <v>29</v>
      </c>
    </row>
    <row r="8" ht="19.5" customHeight="1">
      <c r="C8" s="30" t="s">
        <v>30</v>
      </c>
    </row>
    <row r="9" ht="15.0" customHeight="1"/>
    <row r="10" ht="19.5" customHeight="1">
      <c r="B10" s="29" t="s">
        <v>31</v>
      </c>
    </row>
    <row r="11" ht="19.5" customHeight="1">
      <c r="C11" s="31" t="s">
        <v>32</v>
      </c>
      <c r="D11" s="32"/>
      <c r="E11" s="32"/>
      <c r="F11" s="32"/>
      <c r="G11" s="32"/>
      <c r="H11" s="32"/>
      <c r="I11" s="32"/>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3"/>
    </row>
    <row r="12" ht="15.0" customHeight="1"/>
    <row r="13" ht="19.5" customHeight="1">
      <c r="B13" s="29" t="s">
        <v>33</v>
      </c>
    </row>
    <row r="14" ht="15.0" customHeight="1"/>
    <row r="15" ht="22.5" customHeight="1">
      <c r="C15" s="17" t="s">
        <v>34</v>
      </c>
      <c r="D15" s="18" t="s">
        <v>35</v>
      </c>
      <c r="E15" s="11"/>
      <c r="F15" s="11"/>
      <c r="G15" s="11"/>
      <c r="H15" s="11"/>
      <c r="I15" s="11"/>
      <c r="J15" s="11"/>
      <c r="K15" s="11"/>
      <c r="L15" s="11"/>
      <c r="M15" s="11"/>
      <c r="N15" s="12"/>
      <c r="O15" s="18" t="s">
        <v>36</v>
      </c>
      <c r="P15" s="11"/>
      <c r="Q15" s="11"/>
      <c r="R15" s="11"/>
      <c r="S15" s="11"/>
      <c r="T15" s="11"/>
      <c r="U15" s="11"/>
      <c r="V15" s="11"/>
      <c r="W15" s="11"/>
      <c r="X15" s="11"/>
      <c r="Y15" s="11"/>
      <c r="Z15" s="11"/>
      <c r="AA15" s="11"/>
      <c r="AB15" s="11"/>
      <c r="AC15" s="11"/>
      <c r="AD15" s="11"/>
      <c r="AE15" s="11"/>
      <c r="AF15" s="11"/>
      <c r="AG15" s="12"/>
    </row>
    <row r="16" ht="22.5" customHeight="1">
      <c r="C16" s="19">
        <v>1.0</v>
      </c>
      <c r="D16" s="21" t="s">
        <v>37</v>
      </c>
      <c r="E16" s="11"/>
      <c r="F16" s="11"/>
      <c r="G16" s="11"/>
      <c r="H16" s="11"/>
      <c r="I16" s="11"/>
      <c r="J16" s="11"/>
      <c r="K16" s="11"/>
      <c r="L16" s="11"/>
      <c r="M16" s="11"/>
      <c r="N16" s="12"/>
      <c r="O16" s="21" t="s">
        <v>38</v>
      </c>
      <c r="P16" s="11"/>
      <c r="Q16" s="11"/>
      <c r="R16" s="11"/>
      <c r="S16" s="11"/>
      <c r="T16" s="11"/>
      <c r="U16" s="11"/>
      <c r="V16" s="11"/>
      <c r="W16" s="11"/>
      <c r="X16" s="11"/>
      <c r="Y16" s="11"/>
      <c r="Z16" s="11"/>
      <c r="AA16" s="11"/>
      <c r="AB16" s="11"/>
      <c r="AC16" s="11"/>
      <c r="AD16" s="11"/>
      <c r="AE16" s="11"/>
      <c r="AF16" s="11"/>
      <c r="AG16" s="12"/>
    </row>
    <row r="17" ht="22.5" customHeight="1">
      <c r="C17" s="19">
        <v>2.0</v>
      </c>
      <c r="D17" s="21" t="s">
        <v>37</v>
      </c>
      <c r="E17" s="11"/>
      <c r="F17" s="11"/>
      <c r="G17" s="11"/>
      <c r="H17" s="11"/>
      <c r="I17" s="11"/>
      <c r="J17" s="11"/>
      <c r="K17" s="11"/>
      <c r="L17" s="11"/>
      <c r="M17" s="11"/>
      <c r="N17" s="12"/>
      <c r="O17" s="21" t="s">
        <v>39</v>
      </c>
      <c r="P17" s="11"/>
      <c r="Q17" s="11"/>
      <c r="R17" s="11"/>
      <c r="S17" s="11"/>
      <c r="T17" s="11"/>
      <c r="U17" s="11"/>
      <c r="V17" s="11"/>
      <c r="W17" s="11"/>
      <c r="X17" s="11"/>
      <c r="Y17" s="11"/>
      <c r="Z17" s="11"/>
      <c r="AA17" s="11"/>
      <c r="AB17" s="11"/>
      <c r="AC17" s="11"/>
      <c r="AD17" s="11"/>
      <c r="AE17" s="11"/>
      <c r="AF17" s="11"/>
      <c r="AG17"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A1:I1"/>
    <mergeCell ref="J1:P1"/>
    <mergeCell ref="Q1:U1"/>
    <mergeCell ref="V1:Y1"/>
    <mergeCell ref="Z1:AC1"/>
    <mergeCell ref="AD1:AG1"/>
    <mergeCell ref="AH1:AK1"/>
    <mergeCell ref="A2:I3"/>
    <mergeCell ref="J2:P3"/>
    <mergeCell ref="Q2:U3"/>
    <mergeCell ref="V2:Y3"/>
    <mergeCell ref="Z2:AC3"/>
    <mergeCell ref="AD2:AG3"/>
    <mergeCell ref="AH2:AK3"/>
    <mergeCell ref="D15:N15"/>
    <mergeCell ref="O15:AG15"/>
    <mergeCell ref="D16:N16"/>
    <mergeCell ref="O16:AG16"/>
    <mergeCell ref="D17:N17"/>
    <mergeCell ref="O17:AG17"/>
    <mergeCell ref="B5:AK5"/>
    <mergeCell ref="C6:AK6"/>
    <mergeCell ref="C7:AK7"/>
    <mergeCell ref="C8:AK8"/>
    <mergeCell ref="B10:AK10"/>
    <mergeCell ref="C11:AK11"/>
    <mergeCell ref="B13:AK13"/>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3.0"/>
    <col customWidth="1" min="2" max="34" width="5.0"/>
  </cols>
  <sheetData>
    <row r="1" ht="28.5" customHeight="1">
      <c r="A1" s="34" t="s">
        <v>40</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2"/>
    </row>
    <row r="3" ht="22.5" customHeight="1">
      <c r="A3" s="35" t="s">
        <v>41</v>
      </c>
      <c r="B3" s="11"/>
      <c r="C3" s="11"/>
      <c r="D3" s="11"/>
      <c r="E3" s="11"/>
      <c r="F3" s="12"/>
      <c r="G3" s="21" t="s">
        <v>0</v>
      </c>
      <c r="H3" s="11"/>
      <c r="I3" s="11"/>
      <c r="J3" s="11"/>
      <c r="K3" s="11"/>
      <c r="L3" s="11"/>
      <c r="M3" s="11"/>
      <c r="N3" s="11"/>
      <c r="O3" s="12"/>
      <c r="P3" s="35" t="s">
        <v>42</v>
      </c>
      <c r="Q3" s="11"/>
      <c r="R3" s="11"/>
      <c r="S3" s="11"/>
      <c r="T3" s="11"/>
      <c r="U3" s="11"/>
      <c r="V3" s="11"/>
      <c r="W3" s="12"/>
      <c r="X3" s="21" t="s">
        <v>17</v>
      </c>
      <c r="Y3" s="11"/>
      <c r="Z3" s="11"/>
      <c r="AA3" s="11"/>
      <c r="AB3" s="11"/>
      <c r="AC3" s="11"/>
      <c r="AD3" s="11"/>
      <c r="AE3" s="11"/>
      <c r="AF3" s="11"/>
      <c r="AG3" s="11"/>
      <c r="AH3" s="12"/>
    </row>
    <row r="4" ht="22.5" customHeight="1">
      <c r="A4" s="35" t="s">
        <v>11</v>
      </c>
      <c r="B4" s="11"/>
      <c r="C4" s="11"/>
      <c r="D4" s="11"/>
      <c r="E4" s="11"/>
      <c r="F4" s="12"/>
      <c r="G4" s="21" t="s">
        <v>15</v>
      </c>
      <c r="H4" s="11"/>
      <c r="I4" s="11"/>
      <c r="J4" s="11"/>
      <c r="K4" s="11"/>
      <c r="L4" s="11"/>
      <c r="M4" s="11"/>
      <c r="N4" s="11"/>
      <c r="O4" s="12"/>
      <c r="P4" s="35" t="s">
        <v>21</v>
      </c>
      <c r="Q4" s="11"/>
      <c r="R4" s="11"/>
      <c r="S4" s="11"/>
      <c r="T4" s="11"/>
      <c r="U4" s="11"/>
      <c r="V4" s="11"/>
      <c r="W4" s="12"/>
      <c r="X4" s="36" t="s">
        <v>8</v>
      </c>
      <c r="Y4" s="11"/>
      <c r="Z4" s="11"/>
      <c r="AA4" s="11"/>
      <c r="AB4" s="11"/>
      <c r="AC4" s="11"/>
      <c r="AD4" s="11"/>
      <c r="AE4" s="11"/>
      <c r="AF4" s="11"/>
      <c r="AG4" s="11"/>
      <c r="AH4" s="12"/>
    </row>
    <row r="6" ht="22.5" customHeight="1">
      <c r="A6" s="37" t="s">
        <v>43</v>
      </c>
      <c r="B6" s="38" t="s">
        <v>44</v>
      </c>
      <c r="C6" s="23"/>
      <c r="D6" s="23"/>
      <c r="E6" s="23"/>
      <c r="F6" s="23"/>
      <c r="G6" s="24"/>
      <c r="H6" s="39" t="s">
        <v>45</v>
      </c>
      <c r="I6" s="11"/>
      <c r="J6" s="11"/>
      <c r="K6" s="11"/>
      <c r="L6" s="11"/>
      <c r="M6" s="11"/>
      <c r="N6" s="11"/>
      <c r="O6" s="11"/>
      <c r="P6" s="12"/>
      <c r="Q6" s="38" t="s">
        <v>46</v>
      </c>
      <c r="R6" s="23"/>
      <c r="S6" s="24"/>
      <c r="T6" s="39" t="s">
        <v>47</v>
      </c>
      <c r="U6" s="11"/>
      <c r="V6" s="11"/>
      <c r="W6" s="11"/>
      <c r="X6" s="11"/>
      <c r="Y6" s="11"/>
      <c r="Z6" s="11"/>
      <c r="AA6" s="11"/>
      <c r="AB6" s="11"/>
      <c r="AC6" s="11"/>
      <c r="AD6" s="11"/>
      <c r="AE6" s="11"/>
      <c r="AF6" s="11"/>
      <c r="AG6" s="11"/>
      <c r="AH6" s="12"/>
    </row>
    <row r="7" ht="22.5" customHeight="1">
      <c r="A7" s="40"/>
      <c r="B7" s="26"/>
      <c r="C7" s="27"/>
      <c r="D7" s="27"/>
      <c r="E7" s="27"/>
      <c r="F7" s="27"/>
      <c r="G7" s="28"/>
      <c r="H7" s="39" t="s">
        <v>48</v>
      </c>
      <c r="I7" s="11"/>
      <c r="J7" s="12"/>
      <c r="K7" s="39" t="s">
        <v>49</v>
      </c>
      <c r="L7" s="11"/>
      <c r="M7" s="12"/>
      <c r="N7" s="39" t="s">
        <v>50</v>
      </c>
      <c r="O7" s="11"/>
      <c r="P7" s="12"/>
      <c r="Q7" s="26"/>
      <c r="R7" s="27"/>
      <c r="S7" s="28"/>
      <c r="T7" s="39" t="s">
        <v>51</v>
      </c>
      <c r="U7" s="11"/>
      <c r="V7" s="12"/>
      <c r="W7" s="39" t="s">
        <v>52</v>
      </c>
      <c r="X7" s="11"/>
      <c r="Y7" s="12"/>
      <c r="Z7" s="39" t="s">
        <v>53</v>
      </c>
      <c r="AA7" s="11"/>
      <c r="AB7" s="12"/>
      <c r="AC7" s="39" t="s">
        <v>54</v>
      </c>
      <c r="AD7" s="11"/>
      <c r="AE7" s="12"/>
      <c r="AF7" s="39" t="s">
        <v>55</v>
      </c>
      <c r="AG7" s="11"/>
      <c r="AH7" s="12"/>
    </row>
    <row r="8" ht="22.5" customHeight="1">
      <c r="A8" s="41" t="s">
        <v>56</v>
      </c>
    </row>
    <row r="9" ht="22.5" customHeight="1">
      <c r="A9" s="19">
        <v>1.0</v>
      </c>
      <c r="B9" s="21" t="s">
        <v>57</v>
      </c>
      <c r="C9" s="11"/>
      <c r="D9" s="11"/>
      <c r="E9" s="11"/>
      <c r="F9" s="11"/>
      <c r="G9" s="12"/>
      <c r="H9" s="20">
        <f t="array" ref="H9">INDIRECT("'"&amp;$B9&amp;"'!H7",TRUE)</f>
        <v>20</v>
      </c>
      <c r="I9" s="11"/>
      <c r="J9" s="12"/>
      <c r="K9" s="20">
        <f t="array" ref="K9">INDIRECT("'"&amp;$B9&amp;"'!K7",TRUE)</f>
        <v>20</v>
      </c>
      <c r="L9" s="11"/>
      <c r="M9" s="12"/>
      <c r="N9" s="20">
        <f t="array" ref="N9">INDIRECT("'"&amp;$B9&amp;"'!N7",TRUE)</f>
        <v>7</v>
      </c>
      <c r="O9" s="11"/>
      <c r="P9" s="12"/>
      <c r="Q9" s="20">
        <f t="array" ref="Q9">INDIRECT("'"&amp;$B9&amp;"'!Q7",TRUE)</f>
        <v>47</v>
      </c>
      <c r="R9" s="11"/>
      <c r="S9" s="12"/>
      <c r="T9" s="20">
        <f t="array" ref="T9">INDIRECT("'"&amp;$B9&amp;"'!T7",TRUE)</f>
        <v>0</v>
      </c>
      <c r="U9" s="11"/>
      <c r="V9" s="12"/>
      <c r="W9" s="20">
        <f t="array" ref="W9">INDIRECT("'"&amp;$B9&amp;"'!W7",TRUE)</f>
        <v>0</v>
      </c>
      <c r="X9" s="11"/>
      <c r="Y9" s="12"/>
      <c r="Z9" s="20">
        <f t="array" ref="Z9">INDIRECT("'"&amp;$B9&amp;"'!Z7",TRUE)</f>
        <v>0</v>
      </c>
      <c r="AA9" s="11"/>
      <c r="AB9" s="12"/>
      <c r="AC9" s="20">
        <f t="array" ref="AC9">INDIRECT("'"&amp;$B9&amp;"'!AC7",TRUE)</f>
        <v>2</v>
      </c>
      <c r="AD9" s="11"/>
      <c r="AE9" s="12"/>
      <c r="AF9" s="42">
        <f>IFERROR((T9+W9+AC9)/Q9,0)</f>
        <v>0.04255319149</v>
      </c>
      <c r="AG9" s="11"/>
      <c r="AH9" s="12"/>
    </row>
    <row r="10" ht="22.5" customHeight="1">
      <c r="A10" s="19">
        <v>2.0</v>
      </c>
      <c r="B10" s="21"/>
      <c r="C10" s="11"/>
      <c r="D10" s="11"/>
      <c r="E10" s="11"/>
      <c r="F10" s="11"/>
      <c r="G10" s="12"/>
      <c r="H10" s="20"/>
      <c r="I10" s="11"/>
      <c r="J10" s="12"/>
      <c r="K10" s="20"/>
      <c r="L10" s="11"/>
      <c r="M10" s="12"/>
      <c r="N10" s="20"/>
      <c r="O10" s="11"/>
      <c r="P10" s="12"/>
      <c r="Q10" s="20"/>
      <c r="R10" s="11"/>
      <c r="S10" s="12"/>
      <c r="T10" s="20"/>
      <c r="U10" s="11"/>
      <c r="V10" s="12"/>
      <c r="W10" s="20"/>
      <c r="X10" s="11"/>
      <c r="Y10" s="12"/>
      <c r="Z10" s="20"/>
      <c r="AA10" s="11"/>
      <c r="AB10" s="12"/>
      <c r="AC10" s="20"/>
      <c r="AD10" s="11"/>
      <c r="AE10" s="12"/>
      <c r="AF10" s="42"/>
      <c r="AG10" s="11"/>
      <c r="AH10" s="12"/>
    </row>
    <row r="11" ht="22.5" customHeight="1">
      <c r="A11" s="19"/>
      <c r="B11" s="39" t="s">
        <v>46</v>
      </c>
      <c r="C11" s="11"/>
      <c r="D11" s="11"/>
      <c r="E11" s="11"/>
      <c r="F11" s="11"/>
      <c r="G11" s="12"/>
      <c r="H11" s="43">
        <f>SUM(H9:J10)</f>
        <v>20</v>
      </c>
      <c r="I11" s="11"/>
      <c r="J11" s="12"/>
      <c r="K11" s="43">
        <f>SUM(K9:M10)</f>
        <v>20</v>
      </c>
      <c r="L11" s="11"/>
      <c r="M11" s="12"/>
      <c r="N11" s="43">
        <f>SUM(N9:P10)</f>
        <v>7</v>
      </c>
      <c r="O11" s="11"/>
      <c r="P11" s="12"/>
      <c r="Q11" s="43">
        <f>SUM(Q9:S10)</f>
        <v>47</v>
      </c>
      <c r="R11" s="11"/>
      <c r="S11" s="12"/>
      <c r="T11" s="43">
        <f>SUM(T9:V10)</f>
        <v>0</v>
      </c>
      <c r="U11" s="11"/>
      <c r="V11" s="12"/>
      <c r="W11" s="43">
        <f>SUM(W9:Y10)</f>
        <v>0</v>
      </c>
      <c r="X11" s="11"/>
      <c r="Y11" s="12"/>
      <c r="Z11" s="43">
        <f>SUM(Z9:AB10)</f>
        <v>0</v>
      </c>
      <c r="AA11" s="11"/>
      <c r="AB11" s="12"/>
      <c r="AC11" s="43">
        <f>SUM(AC9:AE10)</f>
        <v>2</v>
      </c>
      <c r="AD11" s="11"/>
      <c r="AE11" s="12"/>
      <c r="AF11" s="44">
        <f>IFERROR((T11+W11+AC11)/Q11,0)</f>
        <v>0.04255319149</v>
      </c>
      <c r="AG11" s="11"/>
      <c r="AH11" s="12"/>
    </row>
    <row r="12" ht="22.5" customHeight="1">
      <c r="A12" s="41" t="s">
        <v>58</v>
      </c>
    </row>
    <row r="13" ht="22.5" customHeight="1">
      <c r="A13" s="19">
        <v>1.0</v>
      </c>
      <c r="B13" s="21" t="s">
        <v>57</v>
      </c>
      <c r="C13" s="11"/>
      <c r="D13" s="11"/>
      <c r="E13" s="11"/>
      <c r="F13" s="11"/>
      <c r="G13" s="12"/>
      <c r="H13" s="20">
        <f t="array" ref="H13">INDIRECT("'"&amp;$B13&amp;"'!H8",TRUE)</f>
        <v>20</v>
      </c>
      <c r="I13" s="11"/>
      <c r="J13" s="12"/>
      <c r="K13" s="20">
        <f t="array" ref="K13">INDIRECT("'"&amp;$B13&amp;"'!K8",TRUE)</f>
        <v>20</v>
      </c>
      <c r="L13" s="11"/>
      <c r="M13" s="12"/>
      <c r="N13" s="20">
        <f t="array" ref="N13">INDIRECT("'"&amp;$B13&amp;"'!N8",TRUE)</f>
        <v>7</v>
      </c>
      <c r="O13" s="11"/>
      <c r="P13" s="12"/>
      <c r="Q13" s="20">
        <f t="array" ref="Q13">INDIRECT("'"&amp;$B13&amp;"'!Q8",TRUE)</f>
        <v>47</v>
      </c>
      <c r="R13" s="11"/>
      <c r="S13" s="12"/>
      <c r="T13" s="20">
        <f t="array" ref="T13">INDIRECT("'"&amp;$B13&amp;"'!T8",TRUE)</f>
        <v>0</v>
      </c>
      <c r="U13" s="11"/>
      <c r="V13" s="12"/>
      <c r="W13" s="20">
        <f t="array" ref="W13">INDIRECT("'"&amp;$B13&amp;"'!W8",TRUE)</f>
        <v>0</v>
      </c>
      <c r="X13" s="11"/>
      <c r="Y13" s="12"/>
      <c r="Z13" s="20">
        <f t="array" ref="Z13">INDIRECT("'"&amp;$B13&amp;"'!Z8",TRUE)</f>
        <v>0</v>
      </c>
      <c r="AA13" s="11"/>
      <c r="AB13" s="12"/>
      <c r="AC13" s="20">
        <f t="array" ref="AC13">INDIRECT("'"&amp;$B13&amp;"'!AC8",TRUE)</f>
        <v>0</v>
      </c>
      <c r="AD13" s="11"/>
      <c r="AE13" s="12"/>
      <c r="AF13" s="42">
        <f>IFERROR((T13+W13+AC13)/Q13,0)</f>
        <v>0</v>
      </c>
      <c r="AG13" s="11"/>
      <c r="AH13" s="12"/>
    </row>
    <row r="14" ht="22.5" customHeight="1">
      <c r="A14" s="19">
        <v>2.0</v>
      </c>
      <c r="B14" s="21"/>
      <c r="C14" s="11"/>
      <c r="D14" s="11"/>
      <c r="E14" s="11"/>
      <c r="F14" s="11"/>
      <c r="G14" s="12"/>
      <c r="H14" s="20"/>
      <c r="I14" s="11"/>
      <c r="J14" s="12"/>
      <c r="K14" s="20"/>
      <c r="L14" s="11"/>
      <c r="M14" s="12"/>
      <c r="N14" s="20"/>
      <c r="O14" s="11"/>
      <c r="P14" s="12"/>
      <c r="Q14" s="20"/>
      <c r="R14" s="11"/>
      <c r="S14" s="12"/>
      <c r="T14" s="20"/>
      <c r="U14" s="11"/>
      <c r="V14" s="12"/>
      <c r="W14" s="20"/>
      <c r="X14" s="11"/>
      <c r="Y14" s="12"/>
      <c r="Z14" s="20"/>
      <c r="AA14" s="11"/>
      <c r="AB14" s="12"/>
      <c r="AC14" s="20"/>
      <c r="AD14" s="11"/>
      <c r="AE14" s="12"/>
      <c r="AF14" s="42"/>
      <c r="AG14" s="11"/>
      <c r="AH14" s="12"/>
    </row>
    <row r="15" ht="22.5" customHeight="1">
      <c r="A15" s="19"/>
      <c r="B15" s="39" t="s">
        <v>46</v>
      </c>
      <c r="C15" s="11"/>
      <c r="D15" s="11"/>
      <c r="E15" s="11"/>
      <c r="F15" s="11"/>
      <c r="G15" s="12"/>
      <c r="H15" s="43">
        <f>SUM(H13:J14)</f>
        <v>20</v>
      </c>
      <c r="I15" s="11"/>
      <c r="J15" s="12"/>
      <c r="K15" s="43">
        <f>SUM(K13:M14)</f>
        <v>20</v>
      </c>
      <c r="L15" s="11"/>
      <c r="M15" s="12"/>
      <c r="N15" s="43">
        <f>SUM(N13:P14)</f>
        <v>7</v>
      </c>
      <c r="O15" s="11"/>
      <c r="P15" s="12"/>
      <c r="Q15" s="43">
        <f>SUM(Q13:S14)</f>
        <v>47</v>
      </c>
      <c r="R15" s="11"/>
      <c r="S15" s="12"/>
      <c r="T15" s="43">
        <f>SUM(T13:V14)</f>
        <v>0</v>
      </c>
      <c r="U15" s="11"/>
      <c r="V15" s="12"/>
      <c r="W15" s="43">
        <f>SUM(W13:Y14)</f>
        <v>0</v>
      </c>
      <c r="X15" s="11"/>
      <c r="Y15" s="12"/>
      <c r="Z15" s="43">
        <f>SUM(Z13:AB14)</f>
        <v>0</v>
      </c>
      <c r="AA15" s="11"/>
      <c r="AB15" s="12"/>
      <c r="AC15" s="43">
        <f>SUM(AC13:AE14)</f>
        <v>0</v>
      </c>
      <c r="AD15" s="11"/>
      <c r="AE15" s="12"/>
      <c r="AF15" s="44">
        <f>IFERROR((T15+W15+AC15)/Q15,0)</f>
        <v>0</v>
      </c>
      <c r="AG15" s="11"/>
      <c r="AH15"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P4:W4"/>
    <mergeCell ref="X4:AH4"/>
    <mergeCell ref="A1:AH1"/>
    <mergeCell ref="A3:F3"/>
    <mergeCell ref="G3:O3"/>
    <mergeCell ref="P3:W3"/>
    <mergeCell ref="X3:AH3"/>
    <mergeCell ref="A4:F4"/>
    <mergeCell ref="G4:O4"/>
    <mergeCell ref="W7:Y7"/>
    <mergeCell ref="Z7:AB7"/>
    <mergeCell ref="AC7:AE7"/>
    <mergeCell ref="AF7:AH7"/>
    <mergeCell ref="A6:A7"/>
    <mergeCell ref="B6:G7"/>
    <mergeCell ref="H6:P6"/>
    <mergeCell ref="Q6:S7"/>
    <mergeCell ref="T6:AH6"/>
    <mergeCell ref="H7:J7"/>
    <mergeCell ref="K7:M7"/>
    <mergeCell ref="T9:V9"/>
    <mergeCell ref="W9:Y9"/>
    <mergeCell ref="Z9:AB9"/>
    <mergeCell ref="AC9:AE9"/>
    <mergeCell ref="AF9:AH9"/>
    <mergeCell ref="N7:P7"/>
    <mergeCell ref="T7:V7"/>
    <mergeCell ref="B9:G9"/>
    <mergeCell ref="H9:J9"/>
    <mergeCell ref="K9:M9"/>
    <mergeCell ref="N9:P9"/>
    <mergeCell ref="Q9:S9"/>
    <mergeCell ref="Z14:AB14"/>
    <mergeCell ref="AC14:AE14"/>
    <mergeCell ref="AF14:AH14"/>
    <mergeCell ref="B14:G14"/>
    <mergeCell ref="H14:J14"/>
    <mergeCell ref="K14:M14"/>
    <mergeCell ref="N14:P14"/>
    <mergeCell ref="Q14:S14"/>
    <mergeCell ref="T14:V14"/>
    <mergeCell ref="W14:Y14"/>
    <mergeCell ref="Z10:AB10"/>
    <mergeCell ref="AC10:AE10"/>
    <mergeCell ref="AF10:AH10"/>
    <mergeCell ref="B10:G10"/>
    <mergeCell ref="H10:J10"/>
    <mergeCell ref="K10:M10"/>
    <mergeCell ref="N10:P10"/>
    <mergeCell ref="Q10:S10"/>
    <mergeCell ref="T10:V10"/>
    <mergeCell ref="W10:Y10"/>
    <mergeCell ref="Z11:AB11"/>
    <mergeCell ref="AC11:AE11"/>
    <mergeCell ref="AF11:AH11"/>
    <mergeCell ref="B11:G11"/>
    <mergeCell ref="H11:J11"/>
    <mergeCell ref="K11:M11"/>
    <mergeCell ref="N11:P11"/>
    <mergeCell ref="Q11:S11"/>
    <mergeCell ref="T11:V11"/>
    <mergeCell ref="W11:Y11"/>
    <mergeCell ref="Z13:AB13"/>
    <mergeCell ref="AC13:AE13"/>
    <mergeCell ref="AF13:AH13"/>
    <mergeCell ref="B13:G13"/>
    <mergeCell ref="H13:J13"/>
    <mergeCell ref="K13:M13"/>
    <mergeCell ref="N13:P13"/>
    <mergeCell ref="Q13:S13"/>
    <mergeCell ref="T13:V13"/>
    <mergeCell ref="W13:Y13"/>
    <mergeCell ref="Z15:AB15"/>
    <mergeCell ref="AC15:AE15"/>
    <mergeCell ref="AF15:AH15"/>
    <mergeCell ref="B15:G15"/>
    <mergeCell ref="H15:J15"/>
    <mergeCell ref="K15:M15"/>
    <mergeCell ref="N15:P15"/>
    <mergeCell ref="Q15:S15"/>
    <mergeCell ref="T15:V15"/>
    <mergeCell ref="W15:Y15"/>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4.29"/>
  </cols>
  <sheetData>
    <row r="1" ht="19.5" customHeight="1">
      <c r="A1" s="18" t="s">
        <v>18</v>
      </c>
      <c r="B1" s="11"/>
      <c r="C1" s="11"/>
      <c r="D1" s="11"/>
      <c r="E1" s="11"/>
      <c r="F1" s="11"/>
      <c r="G1" s="11"/>
      <c r="H1" s="11"/>
      <c r="I1" s="12"/>
      <c r="J1" s="18" t="s">
        <v>19</v>
      </c>
      <c r="K1" s="11"/>
      <c r="L1" s="11"/>
      <c r="M1" s="11"/>
      <c r="N1" s="11"/>
      <c r="O1" s="11"/>
      <c r="P1" s="12"/>
      <c r="Q1" s="18" t="s">
        <v>20</v>
      </c>
      <c r="R1" s="11"/>
      <c r="S1" s="11"/>
      <c r="T1" s="11"/>
      <c r="U1" s="12"/>
      <c r="V1" s="18" t="s">
        <v>21</v>
      </c>
      <c r="W1" s="11"/>
      <c r="X1" s="11"/>
      <c r="Y1" s="12"/>
      <c r="Z1" s="18" t="s">
        <v>22</v>
      </c>
      <c r="AA1" s="11"/>
      <c r="AB1" s="11"/>
      <c r="AC1" s="12"/>
      <c r="AD1" s="18" t="s">
        <v>23</v>
      </c>
      <c r="AE1" s="11"/>
      <c r="AF1" s="11"/>
      <c r="AG1" s="12"/>
      <c r="AH1" s="18" t="s">
        <v>24</v>
      </c>
      <c r="AI1" s="11"/>
      <c r="AJ1" s="11"/>
      <c r="AK1" s="12"/>
    </row>
    <row r="2" ht="19.5" customHeight="1">
      <c r="A2" s="22" t="s">
        <v>0</v>
      </c>
      <c r="B2" s="23"/>
      <c r="C2" s="23"/>
      <c r="D2" s="23"/>
      <c r="E2" s="23"/>
      <c r="F2" s="23"/>
      <c r="G2" s="23"/>
      <c r="H2" s="23"/>
      <c r="I2" s="24"/>
      <c r="J2" s="22" t="s">
        <v>25</v>
      </c>
      <c r="K2" s="23"/>
      <c r="L2" s="23"/>
      <c r="M2" s="23"/>
      <c r="N2" s="23"/>
      <c r="O2" s="23"/>
      <c r="P2" s="24"/>
      <c r="Q2" s="22" t="s">
        <v>59</v>
      </c>
      <c r="R2" s="23"/>
      <c r="S2" s="23"/>
      <c r="T2" s="23"/>
      <c r="U2" s="24"/>
      <c r="V2" s="25" t="s">
        <v>8</v>
      </c>
      <c r="W2" s="23"/>
      <c r="X2" s="23"/>
      <c r="Y2" s="24"/>
      <c r="Z2" s="22" t="s">
        <v>15</v>
      </c>
      <c r="AA2" s="23"/>
      <c r="AB2" s="23"/>
      <c r="AC2" s="24"/>
      <c r="AD2" s="25" t="s">
        <v>8</v>
      </c>
      <c r="AE2" s="23"/>
      <c r="AF2" s="23"/>
      <c r="AG2" s="24"/>
      <c r="AH2" s="22" t="s">
        <v>15</v>
      </c>
      <c r="AI2" s="23"/>
      <c r="AJ2" s="23"/>
      <c r="AK2" s="24"/>
    </row>
    <row r="3" ht="19.5" customHeight="1">
      <c r="A3" s="26"/>
      <c r="B3" s="27"/>
      <c r="C3" s="27"/>
      <c r="D3" s="27"/>
      <c r="E3" s="27"/>
      <c r="F3" s="27"/>
      <c r="G3" s="27"/>
      <c r="H3" s="27"/>
      <c r="I3" s="28"/>
      <c r="J3" s="26"/>
      <c r="K3" s="27"/>
      <c r="L3" s="27"/>
      <c r="M3" s="27"/>
      <c r="N3" s="27"/>
      <c r="O3" s="27"/>
      <c r="P3" s="28"/>
      <c r="Q3" s="26"/>
      <c r="R3" s="27"/>
      <c r="S3" s="27"/>
      <c r="T3" s="27"/>
      <c r="U3" s="28"/>
      <c r="V3" s="26"/>
      <c r="W3" s="27"/>
      <c r="X3" s="27"/>
      <c r="Y3" s="28"/>
      <c r="Z3" s="26"/>
      <c r="AA3" s="27"/>
      <c r="AB3" s="27"/>
      <c r="AC3" s="28"/>
      <c r="AD3" s="26"/>
      <c r="AE3" s="27"/>
      <c r="AF3" s="27"/>
      <c r="AG3" s="28"/>
      <c r="AH3" s="26"/>
      <c r="AI3" s="27"/>
      <c r="AJ3" s="27"/>
      <c r="AK3" s="28"/>
    </row>
    <row r="5" ht="19.5" customHeight="1">
      <c r="B5" s="29" t="s">
        <v>60</v>
      </c>
    </row>
    <row r="7" ht="28.5" customHeight="1">
      <c r="B7" s="45" t="s">
        <v>43</v>
      </c>
      <c r="C7" s="46" t="s">
        <v>61</v>
      </c>
      <c r="D7" s="11"/>
      <c r="E7" s="12"/>
      <c r="F7" s="46" t="s">
        <v>62</v>
      </c>
      <c r="G7" s="11"/>
      <c r="H7" s="11"/>
      <c r="I7" s="11"/>
      <c r="J7" s="11"/>
      <c r="K7" s="11"/>
      <c r="L7" s="12"/>
      <c r="M7" s="46" t="s">
        <v>63</v>
      </c>
      <c r="N7" s="11"/>
      <c r="O7" s="11"/>
      <c r="P7" s="11"/>
      <c r="Q7" s="11"/>
      <c r="R7" s="11"/>
      <c r="S7" s="11"/>
      <c r="T7" s="12"/>
      <c r="U7" s="46" t="s">
        <v>64</v>
      </c>
      <c r="V7" s="12"/>
      <c r="W7" s="46" t="s">
        <v>65</v>
      </c>
      <c r="X7" s="11"/>
      <c r="Y7" s="11"/>
      <c r="Z7" s="11"/>
      <c r="AA7" s="11"/>
      <c r="AB7" s="11"/>
      <c r="AC7" s="12"/>
      <c r="AD7" s="46" t="s">
        <v>66</v>
      </c>
      <c r="AE7" s="11"/>
      <c r="AF7" s="12"/>
    </row>
    <row r="8" ht="30.0" customHeight="1">
      <c r="B8" s="47">
        <v>1.0</v>
      </c>
      <c r="C8" s="48" t="s">
        <v>67</v>
      </c>
      <c r="D8" s="11"/>
      <c r="E8" s="12"/>
      <c r="F8" s="49" t="s">
        <v>68</v>
      </c>
      <c r="G8" s="11"/>
      <c r="H8" s="11"/>
      <c r="I8" s="11"/>
      <c r="J8" s="11"/>
      <c r="K8" s="11"/>
      <c r="L8" s="12"/>
      <c r="M8" s="49" t="s">
        <v>69</v>
      </c>
      <c r="N8" s="11"/>
      <c r="O8" s="11"/>
      <c r="P8" s="11"/>
      <c r="Q8" s="11"/>
      <c r="R8" s="11"/>
      <c r="S8" s="11"/>
      <c r="T8" s="12"/>
      <c r="U8" s="50" t="s">
        <v>70</v>
      </c>
      <c r="V8" s="12"/>
      <c r="W8" s="49" t="s">
        <v>71</v>
      </c>
      <c r="X8" s="11"/>
      <c r="Y8" s="11"/>
      <c r="Z8" s="11"/>
      <c r="AA8" s="11"/>
      <c r="AB8" s="11"/>
      <c r="AC8" s="12"/>
      <c r="AD8" s="48">
        <v>265.0</v>
      </c>
      <c r="AE8" s="11"/>
      <c r="AF8" s="12"/>
    </row>
    <row r="9" ht="30.0" customHeight="1">
      <c r="B9" s="47">
        <v>2.0</v>
      </c>
      <c r="C9" s="48" t="s">
        <v>72</v>
      </c>
      <c r="D9" s="11"/>
      <c r="E9" s="12"/>
      <c r="F9" s="49" t="s">
        <v>68</v>
      </c>
      <c r="G9" s="11"/>
      <c r="H9" s="11"/>
      <c r="I9" s="11"/>
      <c r="J9" s="11"/>
      <c r="K9" s="11"/>
      <c r="L9" s="12"/>
      <c r="M9" s="49" t="s">
        <v>73</v>
      </c>
      <c r="N9" s="11"/>
      <c r="O9" s="11"/>
      <c r="P9" s="11"/>
      <c r="Q9" s="11"/>
      <c r="R9" s="11"/>
      <c r="S9" s="11"/>
      <c r="T9" s="12"/>
      <c r="U9" s="50" t="s">
        <v>70</v>
      </c>
      <c r="V9" s="12"/>
      <c r="W9" s="49" t="s">
        <v>74</v>
      </c>
      <c r="X9" s="11"/>
      <c r="Y9" s="11"/>
      <c r="Z9" s="11"/>
      <c r="AA9" s="11"/>
      <c r="AB9" s="11"/>
      <c r="AC9" s="12"/>
      <c r="AD9" s="48">
        <v>200.0</v>
      </c>
      <c r="AE9" s="11"/>
      <c r="AF9" s="12"/>
    </row>
    <row r="10" ht="36.0" customHeight="1">
      <c r="B10" s="47">
        <v>3.0</v>
      </c>
      <c r="C10" s="48" t="s">
        <v>75</v>
      </c>
      <c r="D10" s="11"/>
      <c r="E10" s="12"/>
      <c r="F10" s="49" t="s">
        <v>68</v>
      </c>
      <c r="G10" s="11"/>
      <c r="H10" s="11"/>
      <c r="I10" s="11"/>
      <c r="J10" s="11"/>
      <c r="K10" s="11"/>
      <c r="L10" s="12"/>
      <c r="M10" s="49" t="s">
        <v>76</v>
      </c>
      <c r="N10" s="11"/>
      <c r="O10" s="11"/>
      <c r="P10" s="11"/>
      <c r="Q10" s="11"/>
      <c r="R10" s="11"/>
      <c r="S10" s="11"/>
      <c r="T10" s="12"/>
      <c r="U10" s="50" t="s">
        <v>70</v>
      </c>
      <c r="V10" s="12"/>
      <c r="W10" s="49" t="s">
        <v>77</v>
      </c>
      <c r="X10" s="11"/>
      <c r="Y10" s="11"/>
      <c r="Z10" s="11"/>
      <c r="AA10" s="11"/>
      <c r="AB10" s="11"/>
      <c r="AC10" s="12"/>
      <c r="AD10" s="48">
        <v>50.0</v>
      </c>
      <c r="AE10" s="11"/>
      <c r="AF10" s="12"/>
    </row>
    <row r="11" ht="30.0" customHeight="1">
      <c r="B11" s="47">
        <v>4.0</v>
      </c>
      <c r="C11" s="48" t="s">
        <v>78</v>
      </c>
      <c r="D11" s="11"/>
      <c r="E11" s="12"/>
      <c r="F11" s="49" t="s">
        <v>68</v>
      </c>
      <c r="G11" s="11"/>
      <c r="H11" s="11"/>
      <c r="I11" s="11"/>
      <c r="J11" s="11"/>
      <c r="K11" s="11"/>
      <c r="L11" s="12"/>
      <c r="M11" s="49" t="s">
        <v>79</v>
      </c>
      <c r="N11" s="11"/>
      <c r="O11" s="11"/>
      <c r="P11" s="11"/>
      <c r="Q11" s="11"/>
      <c r="R11" s="11"/>
      <c r="S11" s="11"/>
      <c r="T11" s="12"/>
      <c r="U11" s="50" t="s">
        <v>70</v>
      </c>
      <c r="V11" s="12"/>
      <c r="W11" s="49" t="s">
        <v>71</v>
      </c>
      <c r="X11" s="11"/>
      <c r="Y11" s="11"/>
      <c r="Z11" s="11"/>
      <c r="AA11" s="11"/>
      <c r="AB11" s="11"/>
      <c r="AC11" s="12"/>
      <c r="AD11" s="48">
        <v>75.0</v>
      </c>
      <c r="AE11" s="11"/>
      <c r="AF11" s="12"/>
    </row>
    <row r="12" ht="30.0" customHeight="1">
      <c r="B12" s="47">
        <v>5.0</v>
      </c>
      <c r="C12" s="48" t="s">
        <v>80</v>
      </c>
      <c r="D12" s="11"/>
      <c r="E12" s="12"/>
      <c r="F12" s="49" t="s">
        <v>68</v>
      </c>
      <c r="G12" s="11"/>
      <c r="H12" s="11"/>
      <c r="I12" s="11"/>
      <c r="J12" s="11"/>
      <c r="K12" s="11"/>
      <c r="L12" s="12"/>
      <c r="M12" s="49" t="s">
        <v>81</v>
      </c>
      <c r="N12" s="11"/>
      <c r="O12" s="11"/>
      <c r="P12" s="11"/>
      <c r="Q12" s="11"/>
      <c r="R12" s="11"/>
      <c r="S12" s="11"/>
      <c r="T12" s="12"/>
      <c r="U12" s="50" t="s">
        <v>70</v>
      </c>
      <c r="V12" s="12"/>
      <c r="W12" s="49" t="s">
        <v>82</v>
      </c>
      <c r="X12" s="11"/>
      <c r="Y12" s="11"/>
      <c r="Z12" s="11"/>
      <c r="AA12" s="11"/>
      <c r="AB12" s="11"/>
      <c r="AC12" s="12"/>
      <c r="AD12" s="48">
        <v>30.0</v>
      </c>
      <c r="AE12" s="11"/>
      <c r="AF12" s="12"/>
    </row>
    <row r="13" ht="30.0" customHeight="1">
      <c r="B13" s="47">
        <v>6.0</v>
      </c>
      <c r="C13" s="48" t="s">
        <v>83</v>
      </c>
      <c r="D13" s="11"/>
      <c r="E13" s="12"/>
      <c r="F13" s="49" t="s">
        <v>68</v>
      </c>
      <c r="G13" s="11"/>
      <c r="H13" s="11"/>
      <c r="I13" s="11"/>
      <c r="J13" s="11"/>
      <c r="K13" s="11"/>
      <c r="L13" s="12"/>
      <c r="M13" s="49" t="s">
        <v>84</v>
      </c>
      <c r="N13" s="11"/>
      <c r="O13" s="11"/>
      <c r="P13" s="11"/>
      <c r="Q13" s="11"/>
      <c r="R13" s="11"/>
      <c r="S13" s="11"/>
      <c r="T13" s="12"/>
      <c r="U13" s="50" t="s">
        <v>70</v>
      </c>
      <c r="V13" s="12"/>
      <c r="W13" s="49" t="s">
        <v>85</v>
      </c>
      <c r="X13" s="11"/>
      <c r="Y13" s="11"/>
      <c r="Z13" s="11"/>
      <c r="AA13" s="11"/>
      <c r="AB13" s="11"/>
      <c r="AC13" s="12"/>
      <c r="AD13" s="48">
        <v>50.0</v>
      </c>
      <c r="AE13" s="11"/>
      <c r="AF13" s="12"/>
    </row>
    <row r="14" ht="30.0" customHeight="1">
      <c r="B14" s="47">
        <v>7.0</v>
      </c>
      <c r="C14" s="48" t="s">
        <v>86</v>
      </c>
      <c r="D14" s="11"/>
      <c r="E14" s="12"/>
      <c r="F14" s="49" t="s">
        <v>68</v>
      </c>
      <c r="G14" s="11"/>
      <c r="H14" s="11"/>
      <c r="I14" s="11"/>
      <c r="J14" s="11"/>
      <c r="K14" s="11"/>
      <c r="L14" s="12"/>
      <c r="M14" s="49" t="s">
        <v>87</v>
      </c>
      <c r="N14" s="11"/>
      <c r="O14" s="11"/>
      <c r="P14" s="11"/>
      <c r="Q14" s="11"/>
      <c r="R14" s="11"/>
      <c r="S14" s="11"/>
      <c r="T14" s="12"/>
      <c r="U14" s="50" t="s">
        <v>70</v>
      </c>
      <c r="V14" s="12"/>
      <c r="W14" s="49" t="s">
        <v>82</v>
      </c>
      <c r="X14" s="11"/>
      <c r="Y14" s="11"/>
      <c r="Z14" s="11"/>
      <c r="AA14" s="11"/>
      <c r="AB14" s="11"/>
      <c r="AC14" s="12"/>
      <c r="AD14" s="48">
        <v>10.0</v>
      </c>
      <c r="AE14" s="11"/>
      <c r="AF14" s="12"/>
    </row>
    <row r="15" ht="30.0" customHeight="1">
      <c r="B15" s="47">
        <v>8.0</v>
      </c>
      <c r="C15" s="48" t="s">
        <v>88</v>
      </c>
      <c r="D15" s="11"/>
      <c r="E15" s="12"/>
      <c r="F15" s="49" t="s">
        <v>68</v>
      </c>
      <c r="G15" s="11"/>
      <c r="H15" s="11"/>
      <c r="I15" s="11"/>
      <c r="J15" s="11"/>
      <c r="K15" s="11"/>
      <c r="L15" s="12"/>
      <c r="M15" s="49" t="s">
        <v>89</v>
      </c>
      <c r="N15" s="11"/>
      <c r="O15" s="11"/>
      <c r="P15" s="11"/>
      <c r="Q15" s="11"/>
      <c r="R15" s="11"/>
      <c r="S15" s="11"/>
      <c r="T15" s="12"/>
      <c r="U15" s="51" t="s">
        <v>90</v>
      </c>
      <c r="V15" s="12"/>
      <c r="W15" s="49" t="s">
        <v>91</v>
      </c>
      <c r="X15" s="11"/>
      <c r="Y15" s="11"/>
      <c r="Z15" s="11"/>
      <c r="AA15" s="11"/>
      <c r="AB15" s="11"/>
      <c r="AC15" s="12"/>
      <c r="AD15" s="48">
        <v>20.0</v>
      </c>
      <c r="AE15" s="11"/>
      <c r="AF15" s="12"/>
    </row>
    <row r="16" ht="30.0" customHeight="1">
      <c r="B16" s="47">
        <v>9.0</v>
      </c>
      <c r="C16" s="48" t="s">
        <v>92</v>
      </c>
      <c r="D16" s="11"/>
      <c r="E16" s="12"/>
      <c r="F16" s="49" t="s">
        <v>68</v>
      </c>
      <c r="G16" s="11"/>
      <c r="H16" s="11"/>
      <c r="I16" s="11"/>
      <c r="J16" s="11"/>
      <c r="K16" s="11"/>
      <c r="L16" s="12"/>
      <c r="M16" s="49" t="s">
        <v>93</v>
      </c>
      <c r="N16" s="11"/>
      <c r="O16" s="11"/>
      <c r="P16" s="11"/>
      <c r="Q16" s="11"/>
      <c r="R16" s="11"/>
      <c r="S16" s="11"/>
      <c r="T16" s="12"/>
      <c r="U16" s="50" t="s">
        <v>70</v>
      </c>
      <c r="V16" s="12"/>
      <c r="W16" s="49" t="s">
        <v>94</v>
      </c>
      <c r="X16" s="11"/>
      <c r="Y16" s="11"/>
      <c r="Z16" s="11"/>
      <c r="AA16" s="11"/>
      <c r="AB16" s="11"/>
      <c r="AC16" s="12"/>
      <c r="AD16" s="48">
        <v>8.0</v>
      </c>
      <c r="AE16" s="11"/>
      <c r="AF16" s="12"/>
    </row>
    <row r="17" ht="30.0" customHeight="1">
      <c r="B17" s="47">
        <v>10.0</v>
      </c>
      <c r="C17" s="48" t="s">
        <v>95</v>
      </c>
      <c r="D17" s="11"/>
      <c r="E17" s="12"/>
      <c r="F17" s="49" t="s">
        <v>68</v>
      </c>
      <c r="G17" s="11"/>
      <c r="H17" s="11"/>
      <c r="I17" s="11"/>
      <c r="J17" s="11"/>
      <c r="K17" s="11"/>
      <c r="L17" s="12"/>
      <c r="M17" s="49" t="s">
        <v>96</v>
      </c>
      <c r="N17" s="11"/>
      <c r="O17" s="11"/>
      <c r="P17" s="11"/>
      <c r="Q17" s="11"/>
      <c r="R17" s="11"/>
      <c r="S17" s="11"/>
      <c r="T17" s="12"/>
      <c r="U17" s="50" t="s">
        <v>70</v>
      </c>
      <c r="V17" s="12"/>
      <c r="W17" s="49" t="s">
        <v>97</v>
      </c>
      <c r="X17" s="11"/>
      <c r="Y17" s="11"/>
      <c r="Z17" s="11"/>
      <c r="AA17" s="11"/>
      <c r="AB17" s="11"/>
      <c r="AC17" s="12"/>
      <c r="AD17" s="48">
        <v>30.0</v>
      </c>
      <c r="AE17" s="11"/>
      <c r="AF17" s="12"/>
    </row>
    <row r="18" ht="30.0" customHeight="1">
      <c r="B18" s="47">
        <v>11.0</v>
      </c>
      <c r="C18" s="48" t="s">
        <v>98</v>
      </c>
      <c r="D18" s="11"/>
      <c r="E18" s="12"/>
      <c r="F18" s="49" t="s">
        <v>99</v>
      </c>
      <c r="G18" s="11"/>
      <c r="H18" s="11"/>
      <c r="I18" s="11"/>
      <c r="J18" s="11"/>
      <c r="K18" s="11"/>
      <c r="L18" s="12"/>
      <c r="M18" s="49" t="s">
        <v>100</v>
      </c>
      <c r="N18" s="11"/>
      <c r="O18" s="11"/>
      <c r="P18" s="11"/>
      <c r="Q18" s="11"/>
      <c r="R18" s="11"/>
      <c r="S18" s="11"/>
      <c r="T18" s="12"/>
      <c r="U18" s="51" t="s">
        <v>90</v>
      </c>
      <c r="V18" s="12"/>
      <c r="W18" s="49" t="s">
        <v>101</v>
      </c>
      <c r="X18" s="11"/>
      <c r="Y18" s="11"/>
      <c r="Z18" s="11"/>
      <c r="AA18" s="11"/>
      <c r="AB18" s="11"/>
      <c r="AC18" s="12"/>
      <c r="AD18" s="48">
        <v>100.0</v>
      </c>
      <c r="AE18" s="11"/>
      <c r="AF18" s="12"/>
    </row>
    <row r="19" ht="30.0" customHeight="1">
      <c r="B19" s="47">
        <v>12.0</v>
      </c>
      <c r="C19" s="48" t="s">
        <v>102</v>
      </c>
      <c r="D19" s="11"/>
      <c r="E19" s="12"/>
      <c r="F19" s="49" t="s">
        <v>99</v>
      </c>
      <c r="G19" s="11"/>
      <c r="H19" s="11"/>
      <c r="I19" s="11"/>
      <c r="J19" s="11"/>
      <c r="K19" s="11"/>
      <c r="L19" s="12"/>
      <c r="M19" s="49" t="s">
        <v>103</v>
      </c>
      <c r="N19" s="11"/>
      <c r="O19" s="11"/>
      <c r="P19" s="11"/>
      <c r="Q19" s="11"/>
      <c r="R19" s="11"/>
      <c r="S19" s="11"/>
      <c r="T19" s="12"/>
      <c r="U19" s="51" t="s">
        <v>90</v>
      </c>
      <c r="V19" s="12"/>
      <c r="W19" s="49" t="s">
        <v>101</v>
      </c>
      <c r="X19" s="11"/>
      <c r="Y19" s="11"/>
      <c r="Z19" s="11"/>
      <c r="AA19" s="11"/>
      <c r="AB19" s="11"/>
      <c r="AC19" s="12"/>
      <c r="AD19" s="48">
        <v>80.0</v>
      </c>
      <c r="AE19" s="11"/>
      <c r="AF19" s="12"/>
    </row>
    <row r="20" ht="30.0" customHeight="1">
      <c r="B20" s="47">
        <v>13.0</v>
      </c>
      <c r="C20" s="48" t="s">
        <v>104</v>
      </c>
      <c r="D20" s="11"/>
      <c r="E20" s="12"/>
      <c r="F20" s="49" t="s">
        <v>99</v>
      </c>
      <c r="G20" s="11"/>
      <c r="H20" s="11"/>
      <c r="I20" s="11"/>
      <c r="J20" s="11"/>
      <c r="K20" s="11"/>
      <c r="L20" s="12"/>
      <c r="M20" s="49" t="s">
        <v>105</v>
      </c>
      <c r="N20" s="11"/>
      <c r="O20" s="11"/>
      <c r="P20" s="11"/>
      <c r="Q20" s="11"/>
      <c r="R20" s="11"/>
      <c r="S20" s="11"/>
      <c r="T20" s="12"/>
      <c r="U20" s="51" t="s">
        <v>90</v>
      </c>
      <c r="V20" s="12"/>
      <c r="W20" s="49" t="s">
        <v>85</v>
      </c>
      <c r="X20" s="11"/>
      <c r="Y20" s="11"/>
      <c r="Z20" s="11"/>
      <c r="AA20" s="11"/>
      <c r="AB20" s="11"/>
      <c r="AC20" s="12"/>
      <c r="AD20" s="48">
        <v>60.0</v>
      </c>
      <c r="AE20" s="11"/>
      <c r="AF20" s="12"/>
    </row>
    <row r="21" ht="30.0" customHeight="1">
      <c r="B21" s="47">
        <v>14.0</v>
      </c>
      <c r="C21" s="48" t="s">
        <v>106</v>
      </c>
      <c r="D21" s="11"/>
      <c r="E21" s="12"/>
      <c r="F21" s="49" t="s">
        <v>99</v>
      </c>
      <c r="G21" s="11"/>
      <c r="H21" s="11"/>
      <c r="I21" s="11"/>
      <c r="J21" s="11"/>
      <c r="K21" s="11"/>
      <c r="L21" s="12"/>
      <c r="M21" s="49" t="s">
        <v>107</v>
      </c>
      <c r="N21" s="11"/>
      <c r="O21" s="11"/>
      <c r="P21" s="11"/>
      <c r="Q21" s="11"/>
      <c r="R21" s="11"/>
      <c r="S21" s="11"/>
      <c r="T21" s="12"/>
      <c r="U21" s="51" t="s">
        <v>90</v>
      </c>
      <c r="V21" s="12"/>
      <c r="W21" s="49" t="s">
        <v>101</v>
      </c>
      <c r="X21" s="11"/>
      <c r="Y21" s="11"/>
      <c r="Z21" s="11"/>
      <c r="AA21" s="11"/>
      <c r="AB21" s="11"/>
      <c r="AC21" s="12"/>
      <c r="AD21" s="48">
        <v>50.0</v>
      </c>
      <c r="AE21" s="11"/>
      <c r="AF21" s="12"/>
    </row>
    <row r="22" ht="30.0" customHeight="1">
      <c r="B22" s="47">
        <v>15.0</v>
      </c>
      <c r="C22" s="48" t="s">
        <v>108</v>
      </c>
      <c r="D22" s="11"/>
      <c r="E22" s="12"/>
      <c r="F22" s="49" t="s">
        <v>99</v>
      </c>
      <c r="G22" s="11"/>
      <c r="H22" s="11"/>
      <c r="I22" s="11"/>
      <c r="J22" s="11"/>
      <c r="K22" s="11"/>
      <c r="L22" s="12"/>
      <c r="M22" s="49" t="s">
        <v>109</v>
      </c>
      <c r="N22" s="11"/>
      <c r="O22" s="11"/>
      <c r="P22" s="11"/>
      <c r="Q22" s="11"/>
      <c r="R22" s="11"/>
      <c r="S22" s="11"/>
      <c r="T22" s="12"/>
      <c r="U22" s="51" t="s">
        <v>90</v>
      </c>
      <c r="V22" s="12"/>
      <c r="W22" s="49" t="s">
        <v>110</v>
      </c>
      <c r="X22" s="11"/>
      <c r="Y22" s="11"/>
      <c r="Z22" s="11"/>
      <c r="AA22" s="11"/>
      <c r="AB22" s="11"/>
      <c r="AC22" s="12"/>
      <c r="AD22" s="48">
        <v>30.0</v>
      </c>
      <c r="AE22" s="11"/>
      <c r="AF22" s="12"/>
    </row>
    <row r="23" ht="30.0" customHeight="1">
      <c r="B23" s="47">
        <v>16.0</v>
      </c>
      <c r="C23" s="48" t="s">
        <v>111</v>
      </c>
      <c r="D23" s="11"/>
      <c r="E23" s="12"/>
      <c r="F23" s="49" t="s">
        <v>99</v>
      </c>
      <c r="G23" s="11"/>
      <c r="H23" s="11"/>
      <c r="I23" s="11"/>
      <c r="J23" s="11"/>
      <c r="K23" s="11"/>
      <c r="L23" s="12"/>
      <c r="M23" s="49" t="s">
        <v>112</v>
      </c>
      <c r="N23" s="11"/>
      <c r="O23" s="11"/>
      <c r="P23" s="11"/>
      <c r="Q23" s="11"/>
      <c r="R23" s="11"/>
      <c r="S23" s="11"/>
      <c r="T23" s="12"/>
      <c r="U23" s="50" t="s">
        <v>70</v>
      </c>
      <c r="V23" s="12"/>
      <c r="W23" s="49" t="s">
        <v>113</v>
      </c>
      <c r="X23" s="11"/>
      <c r="Y23" s="11"/>
      <c r="Z23" s="11"/>
      <c r="AA23" s="11"/>
      <c r="AB23" s="11"/>
      <c r="AC23" s="12"/>
      <c r="AD23" s="48">
        <v>15.0</v>
      </c>
      <c r="AE23" s="11"/>
      <c r="AF23" s="12"/>
    </row>
    <row r="24" ht="36.0" customHeight="1">
      <c r="B24" s="47">
        <v>17.0</v>
      </c>
      <c r="C24" s="48" t="s">
        <v>114</v>
      </c>
      <c r="D24" s="11"/>
      <c r="E24" s="12"/>
      <c r="F24" s="49" t="s">
        <v>99</v>
      </c>
      <c r="G24" s="11"/>
      <c r="H24" s="11"/>
      <c r="I24" s="11"/>
      <c r="J24" s="11"/>
      <c r="K24" s="11"/>
      <c r="L24" s="12"/>
      <c r="M24" s="49" t="s">
        <v>115</v>
      </c>
      <c r="N24" s="11"/>
      <c r="O24" s="11"/>
      <c r="P24" s="11"/>
      <c r="Q24" s="11"/>
      <c r="R24" s="11"/>
      <c r="S24" s="11"/>
      <c r="T24" s="12"/>
      <c r="U24" s="51" t="s">
        <v>90</v>
      </c>
      <c r="V24" s="12"/>
      <c r="W24" s="49" t="s">
        <v>116</v>
      </c>
      <c r="X24" s="11"/>
      <c r="Y24" s="11"/>
      <c r="Z24" s="11"/>
      <c r="AA24" s="11"/>
      <c r="AB24" s="11"/>
      <c r="AC24" s="12"/>
      <c r="AD24" s="48">
        <v>45.0</v>
      </c>
      <c r="AE24" s="11"/>
      <c r="AF24" s="12"/>
    </row>
    <row r="25" ht="30.0" customHeight="1">
      <c r="B25" s="47">
        <v>18.0</v>
      </c>
      <c r="C25" s="48" t="s">
        <v>117</v>
      </c>
      <c r="D25" s="11"/>
      <c r="E25" s="12"/>
      <c r="F25" s="49" t="s">
        <v>99</v>
      </c>
      <c r="G25" s="11"/>
      <c r="H25" s="11"/>
      <c r="I25" s="11"/>
      <c r="J25" s="11"/>
      <c r="K25" s="11"/>
      <c r="L25" s="12"/>
      <c r="M25" s="49" t="s">
        <v>118</v>
      </c>
      <c r="N25" s="11"/>
      <c r="O25" s="11"/>
      <c r="P25" s="11"/>
      <c r="Q25" s="11"/>
      <c r="R25" s="11"/>
      <c r="S25" s="11"/>
      <c r="T25" s="12"/>
      <c r="U25" s="51" t="s">
        <v>90</v>
      </c>
      <c r="V25" s="12"/>
      <c r="W25" s="49" t="s">
        <v>119</v>
      </c>
      <c r="X25" s="11"/>
      <c r="Y25" s="11"/>
      <c r="Z25" s="11"/>
      <c r="AA25" s="11"/>
      <c r="AB25" s="11"/>
      <c r="AC25" s="12"/>
      <c r="AD25" s="48">
        <v>30.0</v>
      </c>
      <c r="AE25" s="11"/>
      <c r="AF25" s="12"/>
    </row>
    <row r="26" ht="36.0" customHeight="1">
      <c r="B26" s="47">
        <v>19.0</v>
      </c>
      <c r="C26" s="48" t="s">
        <v>120</v>
      </c>
      <c r="D26" s="11"/>
      <c r="E26" s="12"/>
      <c r="F26" s="49" t="s">
        <v>99</v>
      </c>
      <c r="G26" s="11"/>
      <c r="H26" s="11"/>
      <c r="I26" s="11"/>
      <c r="J26" s="11"/>
      <c r="K26" s="11"/>
      <c r="L26" s="12"/>
      <c r="M26" s="49" t="s">
        <v>121</v>
      </c>
      <c r="N26" s="11"/>
      <c r="O26" s="11"/>
      <c r="P26" s="11"/>
      <c r="Q26" s="11"/>
      <c r="R26" s="11"/>
      <c r="S26" s="11"/>
      <c r="T26" s="12"/>
      <c r="U26" s="51" t="s">
        <v>90</v>
      </c>
      <c r="V26" s="12"/>
      <c r="W26" s="49" t="s">
        <v>122</v>
      </c>
      <c r="X26" s="11"/>
      <c r="Y26" s="11"/>
      <c r="Z26" s="11"/>
      <c r="AA26" s="11"/>
      <c r="AB26" s="11"/>
      <c r="AC26" s="12"/>
      <c r="AD26" s="48">
        <v>25.0</v>
      </c>
      <c r="AE26" s="11"/>
      <c r="AF26" s="12"/>
    </row>
    <row r="27" ht="30.0" customHeight="1">
      <c r="B27" s="47">
        <v>20.0</v>
      </c>
      <c r="C27" s="48" t="s">
        <v>123</v>
      </c>
      <c r="D27" s="11"/>
      <c r="E27" s="12"/>
      <c r="F27" s="49" t="s">
        <v>124</v>
      </c>
      <c r="G27" s="11"/>
      <c r="H27" s="11"/>
      <c r="I27" s="11"/>
      <c r="J27" s="11"/>
      <c r="K27" s="11"/>
      <c r="L27" s="12"/>
      <c r="M27" s="49" t="s">
        <v>125</v>
      </c>
      <c r="N27" s="11"/>
      <c r="O27" s="11"/>
      <c r="P27" s="11"/>
      <c r="Q27" s="11"/>
      <c r="R27" s="11"/>
      <c r="S27" s="11"/>
      <c r="T27" s="12"/>
      <c r="U27" s="50" t="s">
        <v>70</v>
      </c>
      <c r="V27" s="12"/>
      <c r="W27" s="49" t="s">
        <v>119</v>
      </c>
      <c r="X27" s="11"/>
      <c r="Y27" s="11"/>
      <c r="Z27" s="11"/>
      <c r="AA27" s="11"/>
      <c r="AB27" s="11"/>
      <c r="AC27" s="12"/>
      <c r="AD27" s="48">
        <v>60.0</v>
      </c>
      <c r="AE27" s="11"/>
      <c r="AF27" s="12"/>
    </row>
    <row r="28" ht="30.0" customHeight="1">
      <c r="B28" s="47">
        <v>21.0</v>
      </c>
      <c r="C28" s="48" t="s">
        <v>126</v>
      </c>
      <c r="D28" s="11"/>
      <c r="E28" s="12"/>
      <c r="F28" s="49" t="s">
        <v>124</v>
      </c>
      <c r="G28" s="11"/>
      <c r="H28" s="11"/>
      <c r="I28" s="11"/>
      <c r="J28" s="11"/>
      <c r="K28" s="11"/>
      <c r="L28" s="12"/>
      <c r="M28" s="49" t="s">
        <v>127</v>
      </c>
      <c r="N28" s="11"/>
      <c r="O28" s="11"/>
      <c r="P28" s="11"/>
      <c r="Q28" s="11"/>
      <c r="R28" s="11"/>
      <c r="S28" s="11"/>
      <c r="T28" s="12"/>
      <c r="U28" s="51" t="s">
        <v>90</v>
      </c>
      <c r="V28" s="12"/>
      <c r="W28" s="49" t="s">
        <v>128</v>
      </c>
      <c r="X28" s="11"/>
      <c r="Y28" s="11"/>
      <c r="Z28" s="11"/>
      <c r="AA28" s="11"/>
      <c r="AB28" s="11"/>
      <c r="AC28" s="12"/>
      <c r="AD28" s="48">
        <v>16.0</v>
      </c>
      <c r="AE28" s="11"/>
      <c r="AF28" s="12"/>
    </row>
    <row r="29" ht="30.0" customHeight="1">
      <c r="B29" s="47">
        <v>22.0</v>
      </c>
      <c r="C29" s="48" t="s">
        <v>129</v>
      </c>
      <c r="D29" s="11"/>
      <c r="E29" s="12"/>
      <c r="F29" s="49" t="s">
        <v>124</v>
      </c>
      <c r="G29" s="11"/>
      <c r="H29" s="11"/>
      <c r="I29" s="11"/>
      <c r="J29" s="11"/>
      <c r="K29" s="11"/>
      <c r="L29" s="12"/>
      <c r="M29" s="49" t="s">
        <v>130</v>
      </c>
      <c r="N29" s="11"/>
      <c r="O29" s="11"/>
      <c r="P29" s="11"/>
      <c r="Q29" s="11"/>
      <c r="R29" s="11"/>
      <c r="S29" s="11"/>
      <c r="T29" s="12"/>
      <c r="U29" s="50" t="s">
        <v>70</v>
      </c>
      <c r="V29" s="12"/>
      <c r="W29" s="49" t="s">
        <v>131</v>
      </c>
      <c r="X29" s="11"/>
      <c r="Y29" s="11"/>
      <c r="Z29" s="11"/>
      <c r="AA29" s="11"/>
      <c r="AB29" s="11"/>
      <c r="AC29" s="12"/>
      <c r="AD29" s="48">
        <v>18.0</v>
      </c>
      <c r="AE29" s="11"/>
      <c r="AF29" s="12"/>
    </row>
    <row r="30" ht="30.0" customHeight="1">
      <c r="B30" s="47">
        <v>23.0</v>
      </c>
      <c r="C30" s="48" t="s">
        <v>132</v>
      </c>
      <c r="D30" s="11"/>
      <c r="E30" s="12"/>
      <c r="F30" s="49" t="s">
        <v>124</v>
      </c>
      <c r="G30" s="11"/>
      <c r="H30" s="11"/>
      <c r="I30" s="11"/>
      <c r="J30" s="11"/>
      <c r="K30" s="11"/>
      <c r="L30" s="12"/>
      <c r="M30" s="49" t="s">
        <v>133</v>
      </c>
      <c r="N30" s="11"/>
      <c r="O30" s="11"/>
      <c r="P30" s="11"/>
      <c r="Q30" s="11"/>
      <c r="R30" s="11"/>
      <c r="S30" s="11"/>
      <c r="T30" s="12"/>
      <c r="U30" s="51" t="s">
        <v>90</v>
      </c>
      <c r="V30" s="12"/>
      <c r="W30" s="49" t="s">
        <v>134</v>
      </c>
      <c r="X30" s="11"/>
      <c r="Y30" s="11"/>
      <c r="Z30" s="11"/>
      <c r="AA30" s="11"/>
      <c r="AB30" s="11"/>
      <c r="AC30" s="12"/>
      <c r="AD30" s="48">
        <v>8.0</v>
      </c>
      <c r="AE30" s="11"/>
      <c r="AF30" s="12"/>
    </row>
    <row r="31" ht="30.0" customHeight="1">
      <c r="B31" s="47">
        <v>24.0</v>
      </c>
      <c r="C31" s="48" t="s">
        <v>135</v>
      </c>
      <c r="D31" s="11"/>
      <c r="E31" s="12"/>
      <c r="F31" s="49" t="s">
        <v>124</v>
      </c>
      <c r="G31" s="11"/>
      <c r="H31" s="11"/>
      <c r="I31" s="11"/>
      <c r="J31" s="11"/>
      <c r="K31" s="11"/>
      <c r="L31" s="12"/>
      <c r="M31" s="49" t="s">
        <v>136</v>
      </c>
      <c r="N31" s="11"/>
      <c r="O31" s="11"/>
      <c r="P31" s="11"/>
      <c r="Q31" s="11"/>
      <c r="R31" s="11"/>
      <c r="S31" s="11"/>
      <c r="T31" s="12"/>
      <c r="U31" s="50" t="s">
        <v>70</v>
      </c>
      <c r="V31" s="12"/>
      <c r="W31" s="49" t="s">
        <v>137</v>
      </c>
      <c r="X31" s="11"/>
      <c r="Y31" s="11"/>
      <c r="Z31" s="11"/>
      <c r="AA31" s="11"/>
      <c r="AB31" s="11"/>
      <c r="AC31" s="12"/>
      <c r="AD31" s="48">
        <v>10.0</v>
      </c>
      <c r="AE31" s="11"/>
      <c r="AF31" s="12"/>
    </row>
    <row r="32" ht="30.0" customHeight="1">
      <c r="B32" s="47">
        <v>25.0</v>
      </c>
      <c r="C32" s="48" t="s">
        <v>138</v>
      </c>
      <c r="D32" s="11"/>
      <c r="E32" s="12"/>
      <c r="F32" s="49" t="s">
        <v>124</v>
      </c>
      <c r="G32" s="11"/>
      <c r="H32" s="11"/>
      <c r="I32" s="11"/>
      <c r="J32" s="11"/>
      <c r="K32" s="11"/>
      <c r="L32" s="12"/>
      <c r="M32" s="49" t="s">
        <v>139</v>
      </c>
      <c r="N32" s="11"/>
      <c r="O32" s="11"/>
      <c r="P32" s="11"/>
      <c r="Q32" s="11"/>
      <c r="R32" s="11"/>
      <c r="S32" s="11"/>
      <c r="T32" s="12"/>
      <c r="U32" s="51" t="s">
        <v>90</v>
      </c>
      <c r="V32" s="12"/>
      <c r="W32" s="49" t="s">
        <v>140</v>
      </c>
      <c r="X32" s="11"/>
      <c r="Y32" s="11"/>
      <c r="Z32" s="11"/>
      <c r="AA32" s="11"/>
      <c r="AB32" s="11"/>
      <c r="AC32" s="12"/>
      <c r="AD32" s="48">
        <v>30.0</v>
      </c>
      <c r="AE32" s="11"/>
      <c r="AF32" s="12"/>
    </row>
    <row r="33" ht="30.0" customHeight="1">
      <c r="B33" s="47">
        <v>26.0</v>
      </c>
      <c r="C33" s="48" t="s">
        <v>141</v>
      </c>
      <c r="D33" s="11"/>
      <c r="E33" s="12"/>
      <c r="F33" s="49" t="s">
        <v>124</v>
      </c>
      <c r="G33" s="11"/>
      <c r="H33" s="11"/>
      <c r="I33" s="11"/>
      <c r="J33" s="11"/>
      <c r="K33" s="11"/>
      <c r="L33" s="12"/>
      <c r="M33" s="49" t="s">
        <v>142</v>
      </c>
      <c r="N33" s="11"/>
      <c r="O33" s="11"/>
      <c r="P33" s="11"/>
      <c r="Q33" s="11"/>
      <c r="R33" s="11"/>
      <c r="S33" s="11"/>
      <c r="T33" s="12"/>
      <c r="U33" s="50" t="s">
        <v>70</v>
      </c>
      <c r="V33" s="12"/>
      <c r="W33" s="49" t="s">
        <v>143</v>
      </c>
      <c r="X33" s="11"/>
      <c r="Y33" s="11"/>
      <c r="Z33" s="11"/>
      <c r="AA33" s="11"/>
      <c r="AB33" s="11"/>
      <c r="AC33" s="12"/>
      <c r="AD33" s="48">
        <v>15.0</v>
      </c>
      <c r="AE33" s="11"/>
      <c r="AF33" s="12"/>
    </row>
    <row r="34" ht="30.0" customHeight="1">
      <c r="B34" s="47">
        <v>27.0</v>
      </c>
      <c r="C34" s="48" t="s">
        <v>144</v>
      </c>
      <c r="D34" s="11"/>
      <c r="E34" s="12"/>
      <c r="F34" s="49" t="s">
        <v>124</v>
      </c>
      <c r="G34" s="11"/>
      <c r="H34" s="11"/>
      <c r="I34" s="11"/>
      <c r="J34" s="11"/>
      <c r="K34" s="11"/>
      <c r="L34" s="12"/>
      <c r="M34" s="49" t="s">
        <v>145</v>
      </c>
      <c r="N34" s="11"/>
      <c r="O34" s="11"/>
      <c r="P34" s="11"/>
      <c r="Q34" s="11"/>
      <c r="R34" s="11"/>
      <c r="S34" s="11"/>
      <c r="T34" s="12"/>
      <c r="U34" s="50" t="s">
        <v>70</v>
      </c>
      <c r="V34" s="12"/>
      <c r="W34" s="49" t="s">
        <v>146</v>
      </c>
      <c r="X34" s="11"/>
      <c r="Y34" s="11"/>
      <c r="Z34" s="11"/>
      <c r="AA34" s="11"/>
      <c r="AB34" s="11"/>
      <c r="AC34" s="12"/>
      <c r="AD34" s="48">
        <v>18.0</v>
      </c>
      <c r="AE34" s="11"/>
      <c r="AF34" s="12"/>
    </row>
    <row r="35" ht="30.0" customHeight="1">
      <c r="B35" s="47">
        <v>28.0</v>
      </c>
      <c r="C35" s="48" t="s">
        <v>147</v>
      </c>
      <c r="D35" s="11"/>
      <c r="E35" s="12"/>
      <c r="F35" s="49" t="s">
        <v>148</v>
      </c>
      <c r="G35" s="11"/>
      <c r="H35" s="11"/>
      <c r="I35" s="11"/>
      <c r="J35" s="11"/>
      <c r="K35" s="11"/>
      <c r="L35" s="12"/>
      <c r="M35" s="49" t="s">
        <v>149</v>
      </c>
      <c r="N35" s="11"/>
      <c r="O35" s="11"/>
      <c r="P35" s="11"/>
      <c r="Q35" s="11"/>
      <c r="R35" s="11"/>
      <c r="S35" s="11"/>
      <c r="T35" s="12"/>
      <c r="U35" s="50" t="s">
        <v>70</v>
      </c>
      <c r="V35" s="12"/>
      <c r="W35" s="49" t="s">
        <v>150</v>
      </c>
      <c r="X35" s="11"/>
      <c r="Y35" s="11"/>
      <c r="Z35" s="11"/>
      <c r="AA35" s="11"/>
      <c r="AB35" s="11"/>
      <c r="AC35" s="12"/>
      <c r="AD35" s="48">
        <v>25.0</v>
      </c>
      <c r="AE35" s="11"/>
      <c r="AF35" s="12"/>
    </row>
    <row r="36" ht="30.0" customHeight="1">
      <c r="B36" s="47">
        <v>29.0</v>
      </c>
      <c r="C36" s="48" t="s">
        <v>151</v>
      </c>
      <c r="D36" s="11"/>
      <c r="E36" s="12"/>
      <c r="F36" s="49" t="s">
        <v>148</v>
      </c>
      <c r="G36" s="11"/>
      <c r="H36" s="11"/>
      <c r="I36" s="11"/>
      <c r="J36" s="11"/>
      <c r="K36" s="11"/>
      <c r="L36" s="12"/>
      <c r="M36" s="49" t="s">
        <v>152</v>
      </c>
      <c r="N36" s="11"/>
      <c r="O36" s="11"/>
      <c r="P36" s="11"/>
      <c r="Q36" s="11"/>
      <c r="R36" s="11"/>
      <c r="S36" s="11"/>
      <c r="T36" s="12"/>
      <c r="U36" s="50" t="s">
        <v>70</v>
      </c>
      <c r="V36" s="12"/>
      <c r="W36" s="49" t="s">
        <v>82</v>
      </c>
      <c r="X36" s="11"/>
      <c r="Y36" s="11"/>
      <c r="Z36" s="11"/>
      <c r="AA36" s="11"/>
      <c r="AB36" s="11"/>
      <c r="AC36" s="12"/>
      <c r="AD36" s="48">
        <v>8.0</v>
      </c>
      <c r="AE36" s="11"/>
      <c r="AF36" s="12"/>
    </row>
    <row r="37" ht="30.0" customHeight="1">
      <c r="B37" s="47">
        <v>30.0</v>
      </c>
      <c r="C37" s="48" t="s">
        <v>153</v>
      </c>
      <c r="D37" s="11"/>
      <c r="E37" s="12"/>
      <c r="F37" s="49" t="s">
        <v>148</v>
      </c>
      <c r="G37" s="11"/>
      <c r="H37" s="11"/>
      <c r="I37" s="11"/>
      <c r="J37" s="11"/>
      <c r="K37" s="11"/>
      <c r="L37" s="12"/>
      <c r="M37" s="49" t="s">
        <v>154</v>
      </c>
      <c r="N37" s="11"/>
      <c r="O37" s="11"/>
      <c r="P37" s="11"/>
      <c r="Q37" s="11"/>
      <c r="R37" s="11"/>
      <c r="S37" s="11"/>
      <c r="T37" s="12"/>
      <c r="U37" s="50" t="s">
        <v>70</v>
      </c>
      <c r="V37" s="12"/>
      <c r="W37" s="49" t="s">
        <v>155</v>
      </c>
      <c r="X37" s="11"/>
      <c r="Y37" s="11"/>
      <c r="Z37" s="11"/>
      <c r="AA37" s="11"/>
      <c r="AB37" s="11"/>
      <c r="AC37" s="12"/>
      <c r="AD37" s="48">
        <v>15.0</v>
      </c>
      <c r="AE37" s="11"/>
      <c r="AF37" s="12"/>
    </row>
    <row r="38" ht="30.0" customHeight="1">
      <c r="B38" s="47">
        <v>31.0</v>
      </c>
      <c r="C38" s="48" t="s">
        <v>156</v>
      </c>
      <c r="D38" s="11"/>
      <c r="E38" s="12"/>
      <c r="F38" s="49" t="s">
        <v>148</v>
      </c>
      <c r="G38" s="11"/>
      <c r="H38" s="11"/>
      <c r="I38" s="11"/>
      <c r="J38" s="11"/>
      <c r="K38" s="11"/>
      <c r="L38" s="12"/>
      <c r="M38" s="49" t="s">
        <v>157</v>
      </c>
      <c r="N38" s="11"/>
      <c r="O38" s="11"/>
      <c r="P38" s="11"/>
      <c r="Q38" s="11"/>
      <c r="R38" s="11"/>
      <c r="S38" s="11"/>
      <c r="T38" s="12"/>
      <c r="U38" s="50" t="s">
        <v>70</v>
      </c>
      <c r="V38" s="12"/>
      <c r="W38" s="49" t="s">
        <v>82</v>
      </c>
      <c r="X38" s="11"/>
      <c r="Y38" s="11"/>
      <c r="Z38" s="11"/>
      <c r="AA38" s="11"/>
      <c r="AB38" s="11"/>
      <c r="AC38" s="12"/>
      <c r="AD38" s="48">
        <v>40.0</v>
      </c>
      <c r="AE38" s="11"/>
      <c r="AF38" s="12"/>
    </row>
    <row r="39" ht="30.0" customHeight="1">
      <c r="B39" s="47">
        <v>32.0</v>
      </c>
      <c r="C39" s="48" t="s">
        <v>158</v>
      </c>
      <c r="D39" s="11"/>
      <c r="E39" s="12"/>
      <c r="F39" s="49" t="s">
        <v>148</v>
      </c>
      <c r="G39" s="11"/>
      <c r="H39" s="11"/>
      <c r="I39" s="11"/>
      <c r="J39" s="11"/>
      <c r="K39" s="11"/>
      <c r="L39" s="12"/>
      <c r="M39" s="49" t="s">
        <v>159</v>
      </c>
      <c r="N39" s="11"/>
      <c r="O39" s="11"/>
      <c r="P39" s="11"/>
      <c r="Q39" s="11"/>
      <c r="R39" s="11"/>
      <c r="S39" s="11"/>
      <c r="T39" s="12"/>
      <c r="U39" s="51" t="s">
        <v>90</v>
      </c>
      <c r="V39" s="12"/>
      <c r="W39" s="49" t="s">
        <v>160</v>
      </c>
      <c r="X39" s="11"/>
      <c r="Y39" s="11"/>
      <c r="Z39" s="11"/>
      <c r="AA39" s="11"/>
      <c r="AB39" s="11"/>
      <c r="AC39" s="12"/>
      <c r="AD39" s="48">
        <v>20.0</v>
      </c>
      <c r="AE39" s="11"/>
      <c r="AF39" s="12"/>
    </row>
    <row r="40" ht="30.0" customHeight="1">
      <c r="B40" s="47">
        <v>33.0</v>
      </c>
      <c r="C40" s="48" t="s">
        <v>161</v>
      </c>
      <c r="D40" s="11"/>
      <c r="E40" s="12"/>
      <c r="F40" s="49" t="s">
        <v>148</v>
      </c>
      <c r="G40" s="11"/>
      <c r="H40" s="11"/>
      <c r="I40" s="11"/>
      <c r="J40" s="11"/>
      <c r="K40" s="11"/>
      <c r="L40" s="12"/>
      <c r="M40" s="49" t="s">
        <v>162</v>
      </c>
      <c r="N40" s="11"/>
      <c r="O40" s="11"/>
      <c r="P40" s="11"/>
      <c r="Q40" s="11"/>
      <c r="R40" s="11"/>
      <c r="S40" s="11"/>
      <c r="T40" s="12"/>
      <c r="U40" s="51" t="s">
        <v>90</v>
      </c>
      <c r="V40" s="12"/>
      <c r="W40" s="49" t="s">
        <v>163</v>
      </c>
      <c r="X40" s="11"/>
      <c r="Y40" s="11"/>
      <c r="Z40" s="11"/>
      <c r="AA40" s="11"/>
      <c r="AB40" s="11"/>
      <c r="AC40" s="12"/>
      <c r="AD40" s="48">
        <v>12.0</v>
      </c>
      <c r="AE40" s="11"/>
      <c r="AF40" s="12"/>
    </row>
    <row r="41" ht="30.0" customHeight="1">
      <c r="B41" s="47">
        <v>34.0</v>
      </c>
      <c r="C41" s="48" t="s">
        <v>164</v>
      </c>
      <c r="D41" s="11"/>
      <c r="E41" s="12"/>
      <c r="F41" s="49" t="s">
        <v>148</v>
      </c>
      <c r="G41" s="11"/>
      <c r="H41" s="11"/>
      <c r="I41" s="11"/>
      <c r="J41" s="11"/>
      <c r="K41" s="11"/>
      <c r="L41" s="12"/>
      <c r="M41" s="49" t="s">
        <v>165</v>
      </c>
      <c r="N41" s="11"/>
      <c r="O41" s="11"/>
      <c r="P41" s="11"/>
      <c r="Q41" s="11"/>
      <c r="R41" s="11"/>
      <c r="S41" s="11"/>
      <c r="T41" s="12"/>
      <c r="U41" s="50" t="s">
        <v>70</v>
      </c>
      <c r="V41" s="12"/>
      <c r="W41" s="49" t="s">
        <v>166</v>
      </c>
      <c r="X41" s="11"/>
      <c r="Y41" s="11"/>
      <c r="Z41" s="11"/>
      <c r="AA41" s="11"/>
      <c r="AB41" s="11"/>
      <c r="AC41" s="12"/>
      <c r="AD41" s="48">
        <v>15.0</v>
      </c>
      <c r="AE41" s="11"/>
      <c r="AF41" s="12"/>
    </row>
    <row r="42" ht="30.0" customHeight="1">
      <c r="B42" s="47">
        <v>35.0</v>
      </c>
      <c r="C42" s="48" t="s">
        <v>167</v>
      </c>
      <c r="D42" s="11"/>
      <c r="E42" s="12"/>
      <c r="F42" s="49" t="s">
        <v>148</v>
      </c>
      <c r="G42" s="11"/>
      <c r="H42" s="11"/>
      <c r="I42" s="11"/>
      <c r="J42" s="11"/>
      <c r="K42" s="11"/>
      <c r="L42" s="12"/>
      <c r="M42" s="49" t="s">
        <v>168</v>
      </c>
      <c r="N42" s="11"/>
      <c r="O42" s="11"/>
      <c r="P42" s="11"/>
      <c r="Q42" s="11"/>
      <c r="R42" s="11"/>
      <c r="S42" s="11"/>
      <c r="T42" s="12"/>
      <c r="U42" s="51" t="s">
        <v>90</v>
      </c>
      <c r="V42" s="12"/>
      <c r="W42" s="49" t="s">
        <v>82</v>
      </c>
      <c r="X42" s="11"/>
      <c r="Y42" s="11"/>
      <c r="Z42" s="11"/>
      <c r="AA42" s="11"/>
      <c r="AB42" s="11"/>
      <c r="AC42" s="12"/>
      <c r="AD42" s="48">
        <v>30.0</v>
      </c>
      <c r="AE42" s="11"/>
      <c r="AF42" s="12"/>
    </row>
    <row r="43" ht="36.0" customHeight="1">
      <c r="B43" s="47">
        <v>36.0</v>
      </c>
      <c r="C43" s="48" t="s">
        <v>169</v>
      </c>
      <c r="D43" s="11"/>
      <c r="E43" s="12"/>
      <c r="F43" s="49" t="s">
        <v>148</v>
      </c>
      <c r="G43" s="11"/>
      <c r="H43" s="11"/>
      <c r="I43" s="11"/>
      <c r="J43" s="11"/>
      <c r="K43" s="11"/>
      <c r="L43" s="12"/>
      <c r="M43" s="49" t="s">
        <v>170</v>
      </c>
      <c r="N43" s="11"/>
      <c r="O43" s="11"/>
      <c r="P43" s="11"/>
      <c r="Q43" s="11"/>
      <c r="R43" s="11"/>
      <c r="S43" s="11"/>
      <c r="T43" s="12"/>
      <c r="U43" s="50" t="s">
        <v>70</v>
      </c>
      <c r="V43" s="12"/>
      <c r="W43" s="49" t="s">
        <v>155</v>
      </c>
      <c r="X43" s="11"/>
      <c r="Y43" s="11"/>
      <c r="Z43" s="11"/>
      <c r="AA43" s="11"/>
      <c r="AB43" s="11"/>
      <c r="AC43" s="12"/>
      <c r="AD43" s="48">
        <v>6.0</v>
      </c>
      <c r="AE43" s="11"/>
      <c r="AF43" s="12"/>
    </row>
    <row r="44" ht="30.0" customHeight="1">
      <c r="B44" s="47">
        <v>37.0</v>
      </c>
      <c r="C44" s="48" t="s">
        <v>171</v>
      </c>
      <c r="D44" s="11"/>
      <c r="E44" s="12"/>
      <c r="F44" s="49" t="s">
        <v>172</v>
      </c>
      <c r="G44" s="11"/>
      <c r="H44" s="11"/>
      <c r="I44" s="11"/>
      <c r="J44" s="11"/>
      <c r="K44" s="11"/>
      <c r="L44" s="12"/>
      <c r="M44" s="49" t="s">
        <v>173</v>
      </c>
      <c r="N44" s="11"/>
      <c r="O44" s="11"/>
      <c r="P44" s="11"/>
      <c r="Q44" s="11"/>
      <c r="R44" s="11"/>
      <c r="S44" s="11"/>
      <c r="T44" s="12"/>
      <c r="U44" s="52" t="s">
        <v>174</v>
      </c>
      <c r="V44" s="12"/>
      <c r="W44" s="49" t="s">
        <v>175</v>
      </c>
      <c r="X44" s="11"/>
      <c r="Y44" s="11"/>
      <c r="Z44" s="11"/>
      <c r="AA44" s="11"/>
      <c r="AB44" s="11"/>
      <c r="AC44" s="12"/>
      <c r="AD44" s="48">
        <v>60.0</v>
      </c>
      <c r="AE44" s="11"/>
      <c r="AF44" s="12"/>
    </row>
    <row r="45" ht="36.0" customHeight="1">
      <c r="B45" s="47">
        <v>38.0</v>
      </c>
      <c r="C45" s="48" t="s">
        <v>176</v>
      </c>
      <c r="D45" s="11"/>
      <c r="E45" s="12"/>
      <c r="F45" s="49" t="s">
        <v>172</v>
      </c>
      <c r="G45" s="11"/>
      <c r="H45" s="11"/>
      <c r="I45" s="11"/>
      <c r="J45" s="11"/>
      <c r="K45" s="11"/>
      <c r="L45" s="12"/>
      <c r="M45" s="49" t="s">
        <v>177</v>
      </c>
      <c r="N45" s="11"/>
      <c r="O45" s="11"/>
      <c r="P45" s="11"/>
      <c r="Q45" s="11"/>
      <c r="R45" s="11"/>
      <c r="S45" s="11"/>
      <c r="T45" s="12"/>
      <c r="U45" s="52" t="s">
        <v>174</v>
      </c>
      <c r="V45" s="12"/>
      <c r="W45" s="49" t="s">
        <v>175</v>
      </c>
      <c r="X45" s="11"/>
      <c r="Y45" s="11"/>
      <c r="Z45" s="11"/>
      <c r="AA45" s="11"/>
      <c r="AB45" s="11"/>
      <c r="AC45" s="12"/>
      <c r="AD45" s="48">
        <v>40.0</v>
      </c>
      <c r="AE45" s="11"/>
      <c r="AF45" s="12"/>
    </row>
    <row r="46" ht="30.0" customHeight="1">
      <c r="B46" s="47">
        <v>39.0</v>
      </c>
      <c r="C46" s="48" t="s">
        <v>178</v>
      </c>
      <c r="D46" s="11"/>
      <c r="E46" s="12"/>
      <c r="F46" s="49" t="s">
        <v>172</v>
      </c>
      <c r="G46" s="11"/>
      <c r="H46" s="11"/>
      <c r="I46" s="11"/>
      <c r="J46" s="11"/>
      <c r="K46" s="11"/>
      <c r="L46" s="12"/>
      <c r="M46" s="49" t="s">
        <v>179</v>
      </c>
      <c r="N46" s="11"/>
      <c r="O46" s="11"/>
      <c r="P46" s="11"/>
      <c r="Q46" s="11"/>
      <c r="R46" s="11"/>
      <c r="S46" s="11"/>
      <c r="T46" s="12"/>
      <c r="U46" s="52" t="s">
        <v>174</v>
      </c>
      <c r="V46" s="12"/>
      <c r="W46" s="49" t="s">
        <v>101</v>
      </c>
      <c r="X46" s="11"/>
      <c r="Y46" s="11"/>
      <c r="Z46" s="11"/>
      <c r="AA46" s="11"/>
      <c r="AB46" s="11"/>
      <c r="AC46" s="12"/>
      <c r="AD46" s="48">
        <v>25.0</v>
      </c>
      <c r="AE46" s="11"/>
      <c r="AF46" s="12"/>
    </row>
    <row r="47" ht="30.0" customHeight="1">
      <c r="B47" s="47">
        <v>40.0</v>
      </c>
      <c r="C47" s="48" t="s">
        <v>180</v>
      </c>
      <c r="D47" s="11"/>
      <c r="E47" s="12"/>
      <c r="F47" s="49" t="s">
        <v>172</v>
      </c>
      <c r="G47" s="11"/>
      <c r="H47" s="11"/>
      <c r="I47" s="11"/>
      <c r="J47" s="11"/>
      <c r="K47" s="11"/>
      <c r="L47" s="12"/>
      <c r="M47" s="49" t="s">
        <v>181</v>
      </c>
      <c r="N47" s="11"/>
      <c r="O47" s="11"/>
      <c r="P47" s="11"/>
      <c r="Q47" s="11"/>
      <c r="R47" s="11"/>
      <c r="S47" s="11"/>
      <c r="T47" s="12"/>
      <c r="U47" s="52" t="s">
        <v>174</v>
      </c>
      <c r="V47" s="12"/>
      <c r="W47" s="49" t="s">
        <v>82</v>
      </c>
      <c r="X47" s="11"/>
      <c r="Y47" s="11"/>
      <c r="Z47" s="11"/>
      <c r="AA47" s="11"/>
      <c r="AB47" s="11"/>
      <c r="AC47" s="12"/>
      <c r="AD47" s="48">
        <v>5.0</v>
      </c>
      <c r="AE47" s="11"/>
      <c r="AF47" s="12"/>
    </row>
    <row r="48" ht="30.0" customHeight="1">
      <c r="B48" s="47">
        <v>41.0</v>
      </c>
      <c r="C48" s="48" t="s">
        <v>182</v>
      </c>
      <c r="D48" s="11"/>
      <c r="E48" s="12"/>
      <c r="F48" s="49" t="s">
        <v>172</v>
      </c>
      <c r="G48" s="11"/>
      <c r="H48" s="11"/>
      <c r="I48" s="11"/>
      <c r="J48" s="11"/>
      <c r="K48" s="11"/>
      <c r="L48" s="12"/>
      <c r="M48" s="49" t="s">
        <v>183</v>
      </c>
      <c r="N48" s="11"/>
      <c r="O48" s="11"/>
      <c r="P48" s="11"/>
      <c r="Q48" s="11"/>
      <c r="R48" s="11"/>
      <c r="S48" s="11"/>
      <c r="T48" s="12"/>
      <c r="U48" s="50" t="s">
        <v>70</v>
      </c>
      <c r="V48" s="12"/>
      <c r="W48" s="49" t="s">
        <v>82</v>
      </c>
      <c r="X48" s="11"/>
      <c r="Y48" s="11"/>
      <c r="Z48" s="11"/>
      <c r="AA48" s="11"/>
      <c r="AB48" s="11"/>
      <c r="AC48" s="12"/>
      <c r="AD48" s="48">
        <v>5.0</v>
      </c>
      <c r="AE48" s="11"/>
      <c r="AF48" s="12"/>
    </row>
    <row r="49" ht="30.0" customHeight="1">
      <c r="B49" s="47">
        <v>42.0</v>
      </c>
      <c r="C49" s="48" t="s">
        <v>184</v>
      </c>
      <c r="D49" s="11"/>
      <c r="E49" s="12"/>
      <c r="F49" s="49" t="s">
        <v>172</v>
      </c>
      <c r="G49" s="11"/>
      <c r="H49" s="11"/>
      <c r="I49" s="11"/>
      <c r="J49" s="11"/>
      <c r="K49" s="11"/>
      <c r="L49" s="12"/>
      <c r="M49" s="49" t="s">
        <v>185</v>
      </c>
      <c r="N49" s="11"/>
      <c r="O49" s="11"/>
      <c r="P49" s="11"/>
      <c r="Q49" s="11"/>
      <c r="R49" s="11"/>
      <c r="S49" s="11"/>
      <c r="T49" s="12"/>
      <c r="U49" s="51" t="s">
        <v>90</v>
      </c>
      <c r="V49" s="12"/>
      <c r="W49" s="49" t="s">
        <v>186</v>
      </c>
      <c r="X49" s="11"/>
      <c r="Y49" s="11"/>
      <c r="Z49" s="11"/>
      <c r="AA49" s="11"/>
      <c r="AB49" s="11"/>
      <c r="AC49" s="12"/>
      <c r="AD49" s="48">
        <v>8.0</v>
      </c>
      <c r="AE49" s="11"/>
      <c r="AF49" s="12"/>
    </row>
    <row r="50" ht="30.0" customHeight="1">
      <c r="B50" s="47">
        <v>43.0</v>
      </c>
      <c r="C50" s="48" t="s">
        <v>187</v>
      </c>
      <c r="D50" s="11"/>
      <c r="E50" s="12"/>
      <c r="F50" s="49" t="s">
        <v>188</v>
      </c>
      <c r="G50" s="11"/>
      <c r="H50" s="11"/>
      <c r="I50" s="11"/>
      <c r="J50" s="11"/>
      <c r="K50" s="11"/>
      <c r="L50" s="12"/>
      <c r="M50" s="49" t="s">
        <v>189</v>
      </c>
      <c r="N50" s="11"/>
      <c r="O50" s="11"/>
      <c r="P50" s="11"/>
      <c r="Q50" s="11"/>
      <c r="R50" s="11"/>
      <c r="S50" s="11"/>
      <c r="T50" s="12"/>
      <c r="U50" s="51" t="s">
        <v>90</v>
      </c>
      <c r="V50" s="12"/>
      <c r="W50" s="49" t="s">
        <v>190</v>
      </c>
      <c r="X50" s="11"/>
      <c r="Y50" s="11"/>
      <c r="Z50" s="11"/>
      <c r="AA50" s="11"/>
      <c r="AB50" s="11"/>
      <c r="AC50" s="12"/>
      <c r="AD50" s="48">
        <v>12.0</v>
      </c>
      <c r="AE50" s="11"/>
      <c r="AF50" s="12"/>
    </row>
    <row r="51" ht="30.0" customHeight="1">
      <c r="B51" s="47">
        <v>44.0</v>
      </c>
      <c r="C51" s="48" t="s">
        <v>191</v>
      </c>
      <c r="D51" s="11"/>
      <c r="E51" s="12"/>
      <c r="F51" s="49" t="s">
        <v>188</v>
      </c>
      <c r="G51" s="11"/>
      <c r="H51" s="11"/>
      <c r="I51" s="11"/>
      <c r="J51" s="11"/>
      <c r="K51" s="11"/>
      <c r="L51" s="12"/>
      <c r="M51" s="49" t="s">
        <v>192</v>
      </c>
      <c r="N51" s="11"/>
      <c r="O51" s="11"/>
      <c r="P51" s="11"/>
      <c r="Q51" s="11"/>
      <c r="R51" s="11"/>
      <c r="S51" s="11"/>
      <c r="T51" s="12"/>
      <c r="U51" s="51" t="s">
        <v>90</v>
      </c>
      <c r="V51" s="12"/>
      <c r="W51" s="49" t="s">
        <v>193</v>
      </c>
      <c r="X51" s="11"/>
      <c r="Y51" s="11"/>
      <c r="Z51" s="11"/>
      <c r="AA51" s="11"/>
      <c r="AB51" s="11"/>
      <c r="AC51" s="12"/>
      <c r="AD51" s="48">
        <v>8.0</v>
      </c>
      <c r="AE51" s="11"/>
      <c r="AF51" s="12"/>
    </row>
    <row r="52" ht="22.5" customHeight="1">
      <c r="B52" s="53" t="s">
        <v>46</v>
      </c>
      <c r="C52" s="11"/>
      <c r="D52" s="11"/>
      <c r="E52" s="11"/>
      <c r="F52" s="11"/>
      <c r="G52" s="11"/>
      <c r="H52" s="11"/>
      <c r="I52" s="11"/>
      <c r="J52" s="11"/>
      <c r="K52" s="11"/>
      <c r="L52" s="11"/>
      <c r="M52" s="11"/>
      <c r="N52" s="11"/>
      <c r="O52" s="11"/>
      <c r="P52" s="11"/>
      <c r="Q52" s="11"/>
      <c r="R52" s="11"/>
      <c r="S52" s="11"/>
      <c r="T52" s="12"/>
      <c r="U52" s="39"/>
      <c r="V52" s="12"/>
      <c r="W52" s="39"/>
      <c r="X52" s="11"/>
      <c r="Y52" s="11"/>
      <c r="Z52" s="11"/>
      <c r="AA52" s="11"/>
      <c r="AB52" s="11"/>
      <c r="AC52" s="12"/>
      <c r="AD52" s="39">
        <f>SUM(AD8:AD51)</f>
        <v>1682</v>
      </c>
      <c r="AE52" s="11"/>
      <c r="AF52" s="12"/>
    </row>
    <row r="53" ht="15.75" customHeight="1"/>
    <row r="54" ht="19.5" customHeight="1">
      <c r="B54" s="29" t="s">
        <v>194</v>
      </c>
    </row>
    <row r="55" ht="15.75" customHeight="1"/>
    <row r="56" ht="28.5" customHeight="1">
      <c r="B56" s="46" t="s">
        <v>195</v>
      </c>
      <c r="C56" s="12"/>
      <c r="D56" s="46" t="s">
        <v>196</v>
      </c>
      <c r="E56" s="11"/>
      <c r="F56" s="12"/>
      <c r="G56" s="46" t="s">
        <v>197</v>
      </c>
      <c r="H56" s="11"/>
      <c r="I56" s="11"/>
      <c r="J56" s="11"/>
      <c r="K56" s="11"/>
      <c r="L56" s="12"/>
      <c r="M56" s="46" t="s">
        <v>198</v>
      </c>
      <c r="N56" s="12"/>
      <c r="O56" s="46" t="s">
        <v>199</v>
      </c>
      <c r="P56" s="11"/>
      <c r="Q56" s="12"/>
      <c r="R56" s="46" t="s">
        <v>200</v>
      </c>
      <c r="S56" s="11"/>
      <c r="T56" s="11"/>
      <c r="U56" s="11"/>
      <c r="V56" s="11"/>
      <c r="W56" s="11"/>
      <c r="X56" s="11"/>
      <c r="Y56" s="11"/>
      <c r="Z56" s="11"/>
      <c r="AA56" s="11"/>
      <c r="AB56" s="11"/>
      <c r="AC56" s="11"/>
      <c r="AD56" s="11"/>
      <c r="AE56" s="11"/>
      <c r="AF56" s="11"/>
      <c r="AG56" s="11"/>
      <c r="AH56" s="11"/>
      <c r="AI56" s="11"/>
      <c r="AJ56" s="11"/>
      <c r="AK56" s="12"/>
    </row>
    <row r="57" ht="36.0" customHeight="1">
      <c r="B57" s="54" t="s">
        <v>201</v>
      </c>
      <c r="C57" s="12"/>
      <c r="D57" s="48" t="s">
        <v>202</v>
      </c>
      <c r="E57" s="11"/>
      <c r="F57" s="12"/>
      <c r="G57" s="49" t="s">
        <v>203</v>
      </c>
      <c r="H57" s="11"/>
      <c r="I57" s="11"/>
      <c r="J57" s="11"/>
      <c r="K57" s="11"/>
      <c r="L57" s="12"/>
      <c r="M57" s="48">
        <v>10.0</v>
      </c>
      <c r="N57" s="12"/>
      <c r="O57" s="48" t="s">
        <v>70</v>
      </c>
      <c r="P57" s="11"/>
      <c r="Q57" s="12"/>
      <c r="R57" s="49" t="s">
        <v>204</v>
      </c>
      <c r="S57" s="11"/>
      <c r="T57" s="11"/>
      <c r="U57" s="11"/>
      <c r="V57" s="11"/>
      <c r="W57" s="11"/>
      <c r="X57" s="11"/>
      <c r="Y57" s="11"/>
      <c r="Z57" s="11"/>
      <c r="AA57" s="11"/>
      <c r="AB57" s="11"/>
      <c r="AC57" s="11"/>
      <c r="AD57" s="11"/>
      <c r="AE57" s="11"/>
      <c r="AF57" s="11"/>
      <c r="AG57" s="11"/>
      <c r="AH57" s="11"/>
      <c r="AI57" s="11"/>
      <c r="AJ57" s="11"/>
      <c r="AK57" s="12"/>
    </row>
    <row r="58" ht="30.0" customHeight="1">
      <c r="B58" s="54" t="s">
        <v>205</v>
      </c>
      <c r="C58" s="12"/>
      <c r="D58" s="48" t="s">
        <v>206</v>
      </c>
      <c r="E58" s="11"/>
      <c r="F58" s="12"/>
      <c r="G58" s="49" t="s">
        <v>207</v>
      </c>
      <c r="H58" s="11"/>
      <c r="I58" s="11"/>
      <c r="J58" s="11"/>
      <c r="K58" s="11"/>
      <c r="L58" s="12"/>
      <c r="M58" s="48">
        <v>9.0</v>
      </c>
      <c r="N58" s="12"/>
      <c r="O58" s="48" t="s">
        <v>90</v>
      </c>
      <c r="P58" s="11"/>
      <c r="Q58" s="12"/>
      <c r="R58" s="49" t="s">
        <v>208</v>
      </c>
      <c r="S58" s="11"/>
      <c r="T58" s="11"/>
      <c r="U58" s="11"/>
      <c r="V58" s="11"/>
      <c r="W58" s="11"/>
      <c r="X58" s="11"/>
      <c r="Y58" s="11"/>
      <c r="Z58" s="11"/>
      <c r="AA58" s="11"/>
      <c r="AB58" s="11"/>
      <c r="AC58" s="11"/>
      <c r="AD58" s="11"/>
      <c r="AE58" s="11"/>
      <c r="AF58" s="11"/>
      <c r="AG58" s="11"/>
      <c r="AH58" s="11"/>
      <c r="AI58" s="11"/>
      <c r="AJ58" s="11"/>
      <c r="AK58" s="12"/>
    </row>
    <row r="59" ht="36.0" customHeight="1">
      <c r="B59" s="54" t="s">
        <v>209</v>
      </c>
      <c r="C59" s="12"/>
      <c r="D59" s="48" t="s">
        <v>210</v>
      </c>
      <c r="E59" s="11"/>
      <c r="F59" s="12"/>
      <c r="G59" s="49" t="s">
        <v>211</v>
      </c>
      <c r="H59" s="11"/>
      <c r="I59" s="11"/>
      <c r="J59" s="11"/>
      <c r="K59" s="11"/>
      <c r="L59" s="12"/>
      <c r="M59" s="48">
        <v>8.0</v>
      </c>
      <c r="N59" s="12"/>
      <c r="O59" s="48" t="s">
        <v>70</v>
      </c>
      <c r="P59" s="11"/>
      <c r="Q59" s="12"/>
      <c r="R59" s="49" t="s">
        <v>212</v>
      </c>
      <c r="S59" s="11"/>
      <c r="T59" s="11"/>
      <c r="U59" s="11"/>
      <c r="V59" s="11"/>
      <c r="W59" s="11"/>
      <c r="X59" s="11"/>
      <c r="Y59" s="11"/>
      <c r="Z59" s="11"/>
      <c r="AA59" s="11"/>
      <c r="AB59" s="11"/>
      <c r="AC59" s="11"/>
      <c r="AD59" s="11"/>
      <c r="AE59" s="11"/>
      <c r="AF59" s="11"/>
      <c r="AG59" s="11"/>
      <c r="AH59" s="11"/>
      <c r="AI59" s="11"/>
      <c r="AJ59" s="11"/>
      <c r="AK59" s="12"/>
    </row>
    <row r="60" ht="36.0" customHeight="1">
      <c r="B60" s="54" t="s">
        <v>213</v>
      </c>
      <c r="C60" s="12"/>
      <c r="D60" s="48" t="s">
        <v>214</v>
      </c>
      <c r="E60" s="11"/>
      <c r="F60" s="12"/>
      <c r="G60" s="49" t="s">
        <v>215</v>
      </c>
      <c r="H60" s="11"/>
      <c r="I60" s="11"/>
      <c r="J60" s="11"/>
      <c r="K60" s="11"/>
      <c r="L60" s="12"/>
      <c r="M60" s="48">
        <v>9.0</v>
      </c>
      <c r="N60" s="12"/>
      <c r="O60" s="48" t="s">
        <v>70</v>
      </c>
      <c r="P60" s="11"/>
      <c r="Q60" s="12"/>
      <c r="R60" s="49" t="s">
        <v>216</v>
      </c>
      <c r="S60" s="11"/>
      <c r="T60" s="11"/>
      <c r="U60" s="11"/>
      <c r="V60" s="11"/>
      <c r="W60" s="11"/>
      <c r="X60" s="11"/>
      <c r="Y60" s="11"/>
      <c r="Z60" s="11"/>
      <c r="AA60" s="11"/>
      <c r="AB60" s="11"/>
      <c r="AC60" s="11"/>
      <c r="AD60" s="11"/>
      <c r="AE60" s="11"/>
      <c r="AF60" s="11"/>
      <c r="AG60" s="11"/>
      <c r="AH60" s="11"/>
      <c r="AI60" s="11"/>
      <c r="AJ60" s="11"/>
      <c r="AK60" s="12"/>
    </row>
    <row r="61" ht="36.0" customHeight="1">
      <c r="B61" s="54" t="s">
        <v>217</v>
      </c>
      <c r="C61" s="12"/>
      <c r="D61" s="48" t="s">
        <v>218</v>
      </c>
      <c r="E61" s="11"/>
      <c r="F61" s="12"/>
      <c r="G61" s="49" t="s">
        <v>219</v>
      </c>
      <c r="H61" s="11"/>
      <c r="I61" s="11"/>
      <c r="J61" s="11"/>
      <c r="K61" s="11"/>
      <c r="L61" s="12"/>
      <c r="M61" s="48">
        <v>6.0</v>
      </c>
      <c r="N61" s="12"/>
      <c r="O61" s="48" t="s">
        <v>220</v>
      </c>
      <c r="P61" s="11"/>
      <c r="Q61" s="12"/>
      <c r="R61" s="49" t="s">
        <v>221</v>
      </c>
      <c r="S61" s="11"/>
      <c r="T61" s="11"/>
      <c r="U61" s="11"/>
      <c r="V61" s="11"/>
      <c r="W61" s="11"/>
      <c r="X61" s="11"/>
      <c r="Y61" s="11"/>
      <c r="Z61" s="11"/>
      <c r="AA61" s="11"/>
      <c r="AB61" s="11"/>
      <c r="AC61" s="11"/>
      <c r="AD61" s="11"/>
      <c r="AE61" s="11"/>
      <c r="AF61" s="11"/>
      <c r="AG61" s="11"/>
      <c r="AH61" s="11"/>
      <c r="AI61" s="11"/>
      <c r="AJ61" s="11"/>
      <c r="AK61" s="12"/>
    </row>
    <row r="62" ht="30.0" customHeight="1">
      <c r="B62" s="54" t="s">
        <v>222</v>
      </c>
      <c r="C62" s="12"/>
      <c r="D62" s="48" t="s">
        <v>223</v>
      </c>
      <c r="E62" s="11"/>
      <c r="F62" s="12"/>
      <c r="G62" s="49" t="s">
        <v>224</v>
      </c>
      <c r="H62" s="11"/>
      <c r="I62" s="11"/>
      <c r="J62" s="11"/>
      <c r="K62" s="11"/>
      <c r="L62" s="12"/>
      <c r="M62" s="48">
        <v>2.0</v>
      </c>
      <c r="N62" s="12"/>
      <c r="O62" s="48" t="s">
        <v>90</v>
      </c>
      <c r="P62" s="11"/>
      <c r="Q62" s="12"/>
      <c r="R62" s="49" t="s">
        <v>225</v>
      </c>
      <c r="S62" s="11"/>
      <c r="T62" s="11"/>
      <c r="U62" s="11"/>
      <c r="V62" s="11"/>
      <c r="W62" s="11"/>
      <c r="X62" s="11"/>
      <c r="Y62" s="11"/>
      <c r="Z62" s="11"/>
      <c r="AA62" s="11"/>
      <c r="AB62" s="11"/>
      <c r="AC62" s="11"/>
      <c r="AD62" s="11"/>
      <c r="AE62" s="11"/>
      <c r="AF62" s="11"/>
      <c r="AG62" s="11"/>
      <c r="AH62" s="11"/>
      <c r="AI62" s="11"/>
      <c r="AJ62" s="11"/>
      <c r="AK62" s="12"/>
    </row>
    <row r="63" ht="15.75" customHeight="1"/>
    <row r="64" ht="30.0" customHeight="1">
      <c r="B64" s="55" t="s">
        <v>226</v>
      </c>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2"/>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3">
    <mergeCell ref="F11:L11"/>
    <mergeCell ref="M11:T11"/>
    <mergeCell ref="W11:AC11"/>
    <mergeCell ref="AD11:AF11"/>
    <mergeCell ref="C11:E11"/>
    <mergeCell ref="C12:E12"/>
    <mergeCell ref="F12:L12"/>
    <mergeCell ref="M12:T12"/>
    <mergeCell ref="U12:V12"/>
    <mergeCell ref="W12:AC12"/>
    <mergeCell ref="AD12:AF12"/>
    <mergeCell ref="A1:I1"/>
    <mergeCell ref="J1:P1"/>
    <mergeCell ref="Q1:U1"/>
    <mergeCell ref="V1:Y1"/>
    <mergeCell ref="Z1:AC1"/>
    <mergeCell ref="AD1:AG1"/>
    <mergeCell ref="AH1:AK1"/>
    <mergeCell ref="J2:P3"/>
    <mergeCell ref="Q2:U3"/>
    <mergeCell ref="V2:Y3"/>
    <mergeCell ref="Z2:AC3"/>
    <mergeCell ref="AD2:AG3"/>
    <mergeCell ref="AH2:AK3"/>
    <mergeCell ref="B5:AK5"/>
    <mergeCell ref="A2:I3"/>
    <mergeCell ref="C7:E7"/>
    <mergeCell ref="F7:L7"/>
    <mergeCell ref="M7:T7"/>
    <mergeCell ref="U7:V7"/>
    <mergeCell ref="W7:AC7"/>
    <mergeCell ref="AD7:AF7"/>
    <mergeCell ref="U9:V9"/>
    <mergeCell ref="W9:AC9"/>
    <mergeCell ref="W10:AC10"/>
    <mergeCell ref="AD10:AF10"/>
    <mergeCell ref="C8:E8"/>
    <mergeCell ref="F8:L8"/>
    <mergeCell ref="M8:T8"/>
    <mergeCell ref="U8:V8"/>
    <mergeCell ref="W8:AC8"/>
    <mergeCell ref="AD8:AF8"/>
    <mergeCell ref="C9:E9"/>
    <mergeCell ref="AD9:AF9"/>
    <mergeCell ref="F9:L9"/>
    <mergeCell ref="M9:T9"/>
    <mergeCell ref="C10:E10"/>
    <mergeCell ref="F10:L10"/>
    <mergeCell ref="M10:T10"/>
    <mergeCell ref="U10:V10"/>
    <mergeCell ref="U11:V11"/>
    <mergeCell ref="U14:V14"/>
    <mergeCell ref="W14:AC14"/>
    <mergeCell ref="F20:L20"/>
    <mergeCell ref="M20:T20"/>
    <mergeCell ref="W20:AC20"/>
    <mergeCell ref="AD20:AF20"/>
    <mergeCell ref="C20:E20"/>
    <mergeCell ref="C21:E21"/>
    <mergeCell ref="F21:L21"/>
    <mergeCell ref="M21:T21"/>
    <mergeCell ref="U21:V21"/>
    <mergeCell ref="W21:AC21"/>
    <mergeCell ref="AD21:AF21"/>
    <mergeCell ref="F23:L23"/>
    <mergeCell ref="M23:T23"/>
    <mergeCell ref="C22:E22"/>
    <mergeCell ref="F22:L22"/>
    <mergeCell ref="M22:T22"/>
    <mergeCell ref="U22:V22"/>
    <mergeCell ref="W22:AC22"/>
    <mergeCell ref="AD22:AF22"/>
    <mergeCell ref="C23:E23"/>
    <mergeCell ref="AD23:AF23"/>
    <mergeCell ref="U23:V23"/>
    <mergeCell ref="W23:AC23"/>
    <mergeCell ref="F24:L24"/>
    <mergeCell ref="M24:T24"/>
    <mergeCell ref="U24:V24"/>
    <mergeCell ref="W24:AC24"/>
    <mergeCell ref="AD24:AF24"/>
    <mergeCell ref="C24:E24"/>
    <mergeCell ref="C25:E25"/>
    <mergeCell ref="F25:L25"/>
    <mergeCell ref="M25:T25"/>
    <mergeCell ref="U25:V25"/>
    <mergeCell ref="W25:AC25"/>
    <mergeCell ref="AD25:AF25"/>
    <mergeCell ref="F27:L27"/>
    <mergeCell ref="M27:T27"/>
    <mergeCell ref="C26:E26"/>
    <mergeCell ref="F26:L26"/>
    <mergeCell ref="M26:T26"/>
    <mergeCell ref="U26:V26"/>
    <mergeCell ref="W26:AC26"/>
    <mergeCell ref="AD26:AF26"/>
    <mergeCell ref="C27:E27"/>
    <mergeCell ref="AD27:AF27"/>
    <mergeCell ref="F31:L31"/>
    <mergeCell ref="M31:T31"/>
    <mergeCell ref="C30:E30"/>
    <mergeCell ref="F30:L30"/>
    <mergeCell ref="M30:T30"/>
    <mergeCell ref="U30:V30"/>
    <mergeCell ref="W30:AC30"/>
    <mergeCell ref="AD30:AF30"/>
    <mergeCell ref="C31:E31"/>
    <mergeCell ref="U42:V42"/>
    <mergeCell ref="W42:AC42"/>
    <mergeCell ref="F43:L43"/>
    <mergeCell ref="M43:T43"/>
    <mergeCell ref="U43:V43"/>
    <mergeCell ref="W43:AC43"/>
    <mergeCell ref="AD43:AF43"/>
    <mergeCell ref="C43:E43"/>
    <mergeCell ref="C44:E44"/>
    <mergeCell ref="F44:L44"/>
    <mergeCell ref="M44:T44"/>
    <mergeCell ref="U44:V44"/>
    <mergeCell ref="W44:AC44"/>
    <mergeCell ref="AD44:AF44"/>
    <mergeCell ref="F46:L46"/>
    <mergeCell ref="M46:T46"/>
    <mergeCell ref="C45:E45"/>
    <mergeCell ref="F45:L45"/>
    <mergeCell ref="M45:T45"/>
    <mergeCell ref="U45:V45"/>
    <mergeCell ref="W45:AC45"/>
    <mergeCell ref="AD45:AF45"/>
    <mergeCell ref="C46:E46"/>
    <mergeCell ref="AD46:AF46"/>
    <mergeCell ref="U46:V46"/>
    <mergeCell ref="W46:AC46"/>
    <mergeCell ref="F47:L47"/>
    <mergeCell ref="M47:T47"/>
    <mergeCell ref="U47:V47"/>
    <mergeCell ref="W47:AC47"/>
    <mergeCell ref="AD47:AF47"/>
    <mergeCell ref="C47:E47"/>
    <mergeCell ref="C48:E48"/>
    <mergeCell ref="F48:L48"/>
    <mergeCell ref="M48:T48"/>
    <mergeCell ref="U48:V48"/>
    <mergeCell ref="W48:AC48"/>
    <mergeCell ref="AD48:AF48"/>
    <mergeCell ref="C13:E13"/>
    <mergeCell ref="F13:L13"/>
    <mergeCell ref="M13:T13"/>
    <mergeCell ref="U13:V13"/>
    <mergeCell ref="W13:AC13"/>
    <mergeCell ref="AD13:AF13"/>
    <mergeCell ref="C14:E14"/>
    <mergeCell ref="AD14:AF14"/>
    <mergeCell ref="F14:L14"/>
    <mergeCell ref="M14:T14"/>
    <mergeCell ref="F15:L15"/>
    <mergeCell ref="M15:T15"/>
    <mergeCell ref="U15:V15"/>
    <mergeCell ref="W15:AC15"/>
    <mergeCell ref="AD15:AF15"/>
    <mergeCell ref="C15:E15"/>
    <mergeCell ref="C16:E16"/>
    <mergeCell ref="F16:L16"/>
    <mergeCell ref="M16:T16"/>
    <mergeCell ref="U16:V16"/>
    <mergeCell ref="W16:AC16"/>
    <mergeCell ref="AD16:AF16"/>
    <mergeCell ref="U18:V18"/>
    <mergeCell ref="W18:AC18"/>
    <mergeCell ref="W19:AC19"/>
    <mergeCell ref="AD19:AF19"/>
    <mergeCell ref="C17:E17"/>
    <mergeCell ref="F17:L17"/>
    <mergeCell ref="M17:T17"/>
    <mergeCell ref="U17:V17"/>
    <mergeCell ref="W17:AC17"/>
    <mergeCell ref="AD17:AF17"/>
    <mergeCell ref="C18:E18"/>
    <mergeCell ref="AD18:AF18"/>
    <mergeCell ref="F18:L18"/>
    <mergeCell ref="M18:T18"/>
    <mergeCell ref="C19:E19"/>
    <mergeCell ref="F19:L19"/>
    <mergeCell ref="M19:T19"/>
    <mergeCell ref="U19:V19"/>
    <mergeCell ref="U20:V20"/>
    <mergeCell ref="U50:V50"/>
    <mergeCell ref="W50:AC50"/>
    <mergeCell ref="C51:E51"/>
    <mergeCell ref="F51:L51"/>
    <mergeCell ref="M51:T51"/>
    <mergeCell ref="U51:V51"/>
    <mergeCell ref="W51:AC51"/>
    <mergeCell ref="AD51:AF51"/>
    <mergeCell ref="D61:F61"/>
    <mergeCell ref="G61:L61"/>
    <mergeCell ref="B62:C62"/>
    <mergeCell ref="D62:F62"/>
    <mergeCell ref="G62:L62"/>
    <mergeCell ref="M62:N62"/>
    <mergeCell ref="M61:N61"/>
    <mergeCell ref="O61:Q61"/>
    <mergeCell ref="O62:Q62"/>
    <mergeCell ref="B59:C59"/>
    <mergeCell ref="B60:C60"/>
    <mergeCell ref="D60:F60"/>
    <mergeCell ref="G60:L60"/>
    <mergeCell ref="M60:N60"/>
    <mergeCell ref="O60:Q60"/>
    <mergeCell ref="B61:C61"/>
    <mergeCell ref="C49:E49"/>
    <mergeCell ref="F49:L49"/>
    <mergeCell ref="M49:T49"/>
    <mergeCell ref="U49:V49"/>
    <mergeCell ref="W49:AC49"/>
    <mergeCell ref="AD49:AF49"/>
    <mergeCell ref="C50:E50"/>
    <mergeCell ref="AD50:AF50"/>
    <mergeCell ref="F50:L50"/>
    <mergeCell ref="M50:T50"/>
    <mergeCell ref="B52:T52"/>
    <mergeCell ref="U52:V52"/>
    <mergeCell ref="W52:AC52"/>
    <mergeCell ref="AD52:AF52"/>
    <mergeCell ref="B54:AK54"/>
    <mergeCell ref="M57:N57"/>
    <mergeCell ref="O57:Q57"/>
    <mergeCell ref="O58:Q58"/>
    <mergeCell ref="R57:AK57"/>
    <mergeCell ref="R58:AK58"/>
    <mergeCell ref="B56:C56"/>
    <mergeCell ref="D56:F56"/>
    <mergeCell ref="G56:L56"/>
    <mergeCell ref="M56:N56"/>
    <mergeCell ref="O56:Q56"/>
    <mergeCell ref="R56:AK56"/>
    <mergeCell ref="B57:C57"/>
    <mergeCell ref="D59:F59"/>
    <mergeCell ref="G59:L59"/>
    <mergeCell ref="O59:Q59"/>
    <mergeCell ref="R59:AK59"/>
    <mergeCell ref="R60:AK60"/>
    <mergeCell ref="R61:AK61"/>
    <mergeCell ref="R62:AK62"/>
    <mergeCell ref="B64:AK64"/>
    <mergeCell ref="D57:F57"/>
    <mergeCell ref="G57:L57"/>
    <mergeCell ref="B58:C58"/>
    <mergeCell ref="D58:F58"/>
    <mergeCell ref="G58:L58"/>
    <mergeCell ref="M58:N58"/>
    <mergeCell ref="M59:N59"/>
    <mergeCell ref="U27:V27"/>
    <mergeCell ref="W27:AC27"/>
    <mergeCell ref="F28:L28"/>
    <mergeCell ref="M28:T28"/>
    <mergeCell ref="U28:V28"/>
    <mergeCell ref="W28:AC28"/>
    <mergeCell ref="AD28:AF28"/>
    <mergeCell ref="C28:E28"/>
    <mergeCell ref="C29:E29"/>
    <mergeCell ref="F29:L29"/>
    <mergeCell ref="M29:T29"/>
    <mergeCell ref="U29:V29"/>
    <mergeCell ref="W29:AC29"/>
    <mergeCell ref="AD29:AF29"/>
    <mergeCell ref="W32:AC32"/>
    <mergeCell ref="AD32:AF32"/>
    <mergeCell ref="U31:V31"/>
    <mergeCell ref="W31:AC31"/>
    <mergeCell ref="AD31:AF31"/>
    <mergeCell ref="C32:E32"/>
    <mergeCell ref="F32:L32"/>
    <mergeCell ref="M32:T32"/>
    <mergeCell ref="U32:V32"/>
    <mergeCell ref="F34:L34"/>
    <mergeCell ref="M34:T34"/>
    <mergeCell ref="C33:E33"/>
    <mergeCell ref="F33:L33"/>
    <mergeCell ref="M33:T33"/>
    <mergeCell ref="U33:V33"/>
    <mergeCell ref="W33:AC33"/>
    <mergeCell ref="AD33:AF33"/>
    <mergeCell ref="C34:E34"/>
    <mergeCell ref="AD34:AF34"/>
    <mergeCell ref="U34:V34"/>
    <mergeCell ref="W34:AC34"/>
    <mergeCell ref="F35:L35"/>
    <mergeCell ref="M35:T35"/>
    <mergeCell ref="U35:V35"/>
    <mergeCell ref="W35:AC35"/>
    <mergeCell ref="AD35:AF35"/>
    <mergeCell ref="C35:E35"/>
    <mergeCell ref="C36:E36"/>
    <mergeCell ref="F36:L36"/>
    <mergeCell ref="M36:T36"/>
    <mergeCell ref="U36:V36"/>
    <mergeCell ref="W36:AC36"/>
    <mergeCell ref="AD36:AF36"/>
    <mergeCell ref="F38:L38"/>
    <mergeCell ref="M38:T38"/>
    <mergeCell ref="C37:E37"/>
    <mergeCell ref="F37:L37"/>
    <mergeCell ref="M37:T37"/>
    <mergeCell ref="U37:V37"/>
    <mergeCell ref="W37:AC37"/>
    <mergeCell ref="AD37:AF37"/>
    <mergeCell ref="C38:E38"/>
    <mergeCell ref="AD38:AF38"/>
    <mergeCell ref="U38:V38"/>
    <mergeCell ref="W38:AC38"/>
    <mergeCell ref="F39:L39"/>
    <mergeCell ref="M39:T39"/>
    <mergeCell ref="U39:V39"/>
    <mergeCell ref="W39:AC39"/>
    <mergeCell ref="AD39:AF39"/>
    <mergeCell ref="C39:E39"/>
    <mergeCell ref="C40:E40"/>
    <mergeCell ref="F40:L40"/>
    <mergeCell ref="M40:T40"/>
    <mergeCell ref="U40:V40"/>
    <mergeCell ref="W40:AC40"/>
    <mergeCell ref="AD40:AF40"/>
    <mergeCell ref="F42:L42"/>
    <mergeCell ref="M42:T42"/>
    <mergeCell ref="C41:E41"/>
    <mergeCell ref="F41:L41"/>
    <mergeCell ref="M41:T41"/>
    <mergeCell ref="U41:V41"/>
    <mergeCell ref="W41:AC41"/>
    <mergeCell ref="AD41:AF41"/>
    <mergeCell ref="C42:E42"/>
    <mergeCell ref="AD42:AF42"/>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69" width="4.0"/>
  </cols>
  <sheetData>
    <row r="1" ht="22.5" customHeight="1">
      <c r="A1" s="46" t="s">
        <v>227</v>
      </c>
      <c r="B1" s="11"/>
      <c r="C1" s="11"/>
      <c r="D1" s="11"/>
      <c r="E1" s="12"/>
      <c r="F1" s="21" t="s">
        <v>228</v>
      </c>
      <c r="G1" s="11"/>
      <c r="H1" s="11"/>
      <c r="I1" s="11"/>
      <c r="J1" s="11"/>
      <c r="K1" s="11"/>
      <c r="L1" s="11"/>
      <c r="M1" s="11"/>
      <c r="N1" s="11"/>
      <c r="O1" s="11"/>
      <c r="P1" s="11"/>
      <c r="Q1" s="12"/>
      <c r="R1" s="46" t="s">
        <v>229</v>
      </c>
      <c r="S1" s="11"/>
      <c r="T1" s="11"/>
      <c r="U1" s="11"/>
      <c r="V1" s="12"/>
      <c r="W1" s="21" t="s">
        <v>230</v>
      </c>
      <c r="X1" s="11"/>
      <c r="Y1" s="11"/>
      <c r="Z1" s="11"/>
      <c r="AA1" s="11"/>
      <c r="AB1" s="11"/>
      <c r="AC1" s="11"/>
      <c r="AD1" s="11"/>
      <c r="AE1" s="11"/>
      <c r="AF1" s="11"/>
      <c r="AG1" s="11"/>
      <c r="AH1" s="12"/>
    </row>
    <row r="2" ht="22.5" customHeight="1">
      <c r="A2" s="46" t="s">
        <v>22</v>
      </c>
      <c r="B2" s="11"/>
      <c r="C2" s="11"/>
      <c r="D2" s="11"/>
      <c r="E2" s="12"/>
      <c r="F2" s="21" t="s">
        <v>15</v>
      </c>
      <c r="G2" s="11"/>
      <c r="H2" s="11"/>
      <c r="I2" s="11"/>
      <c r="J2" s="11"/>
      <c r="K2" s="11"/>
      <c r="L2" s="11"/>
      <c r="M2" s="11"/>
      <c r="N2" s="11"/>
      <c r="O2" s="11"/>
      <c r="P2" s="11"/>
      <c r="Q2" s="12"/>
      <c r="R2" s="46" t="s">
        <v>21</v>
      </c>
      <c r="S2" s="11"/>
      <c r="T2" s="11"/>
      <c r="U2" s="11"/>
      <c r="V2" s="12"/>
      <c r="W2" s="36" t="s">
        <v>8</v>
      </c>
      <c r="X2" s="11"/>
      <c r="Y2" s="11"/>
      <c r="Z2" s="11"/>
      <c r="AA2" s="11"/>
      <c r="AB2" s="11"/>
      <c r="AC2" s="11"/>
      <c r="AD2" s="11"/>
      <c r="AE2" s="11"/>
      <c r="AF2" s="11"/>
      <c r="AG2" s="11"/>
      <c r="AH2" s="12"/>
    </row>
    <row r="3" ht="22.5" customHeight="1">
      <c r="A3" s="46" t="s">
        <v>13</v>
      </c>
      <c r="B3" s="11"/>
      <c r="C3" s="11"/>
      <c r="D3" s="11"/>
      <c r="E3" s="12"/>
      <c r="F3" s="21" t="s">
        <v>17</v>
      </c>
      <c r="G3" s="11"/>
      <c r="H3" s="11"/>
      <c r="I3" s="11"/>
      <c r="J3" s="11"/>
      <c r="K3" s="11"/>
      <c r="L3" s="11"/>
      <c r="M3" s="11"/>
      <c r="N3" s="11"/>
      <c r="O3" s="11"/>
      <c r="P3" s="11"/>
      <c r="Q3" s="12"/>
      <c r="R3" s="46" t="s">
        <v>231</v>
      </c>
      <c r="S3" s="11"/>
      <c r="T3" s="11"/>
      <c r="U3" s="11"/>
      <c r="V3" s="12"/>
      <c r="W3" s="36"/>
      <c r="X3" s="11"/>
      <c r="Y3" s="11"/>
      <c r="Z3" s="11"/>
      <c r="AA3" s="11"/>
      <c r="AB3" s="11"/>
      <c r="AC3" s="11"/>
      <c r="AD3" s="11"/>
      <c r="AE3" s="11"/>
      <c r="AF3" s="11"/>
      <c r="AG3" s="11"/>
      <c r="AH3" s="12"/>
    </row>
    <row r="4" ht="22.5" customHeight="1">
      <c r="A4" s="46" t="s">
        <v>232</v>
      </c>
      <c r="B4" s="11"/>
      <c r="C4" s="11"/>
      <c r="D4" s="11"/>
      <c r="E4" s="12"/>
      <c r="F4" s="21" t="s">
        <v>233</v>
      </c>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2"/>
    </row>
    <row r="5" ht="22.5" customHeight="1">
      <c r="A5" s="46" t="s">
        <v>234</v>
      </c>
      <c r="B5" s="11"/>
      <c r="C5" s="11"/>
      <c r="D5" s="11"/>
      <c r="E5" s="11"/>
      <c r="F5" s="11"/>
      <c r="G5" s="11"/>
      <c r="H5" s="11"/>
      <c r="I5" s="11"/>
      <c r="J5" s="11"/>
      <c r="K5" s="11"/>
      <c r="L5" s="11"/>
      <c r="M5" s="11"/>
      <c r="N5" s="11"/>
      <c r="O5" s="11"/>
      <c r="P5" s="11"/>
      <c r="Q5" s="11"/>
      <c r="R5" s="11"/>
      <c r="S5" s="12"/>
      <c r="T5" s="46" t="s">
        <v>47</v>
      </c>
      <c r="U5" s="11"/>
      <c r="V5" s="11"/>
      <c r="W5" s="11"/>
      <c r="X5" s="11"/>
      <c r="Y5" s="11"/>
      <c r="Z5" s="11"/>
      <c r="AA5" s="11"/>
      <c r="AB5" s="11"/>
      <c r="AC5" s="11"/>
      <c r="AD5" s="11"/>
      <c r="AE5" s="11"/>
      <c r="AF5" s="11"/>
      <c r="AG5" s="11"/>
      <c r="AH5" s="12"/>
    </row>
    <row r="6" ht="22.5" customHeight="1">
      <c r="A6" s="46" t="s">
        <v>235</v>
      </c>
      <c r="B6" s="11"/>
      <c r="C6" s="11"/>
      <c r="D6" s="11"/>
      <c r="E6" s="11"/>
      <c r="F6" s="11"/>
      <c r="G6" s="12"/>
      <c r="H6" s="46" t="s">
        <v>48</v>
      </c>
      <c r="I6" s="11"/>
      <c r="J6" s="12"/>
      <c r="K6" s="46" t="s">
        <v>49</v>
      </c>
      <c r="L6" s="11"/>
      <c r="M6" s="12"/>
      <c r="N6" s="46" t="s">
        <v>236</v>
      </c>
      <c r="O6" s="11"/>
      <c r="P6" s="12"/>
      <c r="Q6" s="46" t="s">
        <v>46</v>
      </c>
      <c r="R6" s="11"/>
      <c r="S6" s="12"/>
      <c r="T6" s="46" t="s">
        <v>51</v>
      </c>
      <c r="U6" s="11"/>
      <c r="V6" s="12"/>
      <c r="W6" s="46" t="s">
        <v>52</v>
      </c>
      <c r="X6" s="11"/>
      <c r="Y6" s="12"/>
      <c r="Z6" s="46" t="s">
        <v>53</v>
      </c>
      <c r="AA6" s="11"/>
      <c r="AB6" s="12"/>
      <c r="AC6" s="46" t="s">
        <v>54</v>
      </c>
      <c r="AD6" s="11"/>
      <c r="AE6" s="12"/>
      <c r="AF6" s="46" t="s">
        <v>46</v>
      </c>
      <c r="AG6" s="11"/>
      <c r="AH6" s="12"/>
    </row>
    <row r="7" ht="22.5" customHeight="1">
      <c r="A7" s="46" t="s">
        <v>237</v>
      </c>
      <c r="B7" s="11"/>
      <c r="C7" s="11"/>
      <c r="D7" s="11"/>
      <c r="E7" s="11"/>
      <c r="F7" s="11"/>
      <c r="G7" s="12"/>
      <c r="H7" s="20">
        <f t="shared" ref="H7:H8" si="1">COUNTIF($AE$12:$AF$1049,"N")</f>
        <v>20</v>
      </c>
      <c r="I7" s="11"/>
      <c r="J7" s="12"/>
      <c r="K7" s="20">
        <f t="shared" ref="K7:K8" si="2">COUNTIF($AE$12:$AF$1049,"A")</f>
        <v>20</v>
      </c>
      <c r="L7" s="11"/>
      <c r="M7" s="12"/>
      <c r="N7" s="20">
        <f t="shared" ref="N7:N8" si="3">COUNTIF($AE$12:$AF$1049,"B")</f>
        <v>7</v>
      </c>
      <c r="O7" s="11"/>
      <c r="P7" s="12"/>
      <c r="Q7" s="43">
        <f t="shared" ref="Q7:Q8" si="4">SUM(H7:P7)</f>
        <v>47</v>
      </c>
      <c r="R7" s="11"/>
      <c r="S7" s="12"/>
      <c r="T7" s="20">
        <f>COUNTIF($AG$12:$AI$1049,T$6)</f>
        <v>0</v>
      </c>
      <c r="U7" s="11"/>
      <c r="V7" s="12"/>
      <c r="W7" s="20">
        <f>COUNTIF($AG$12:$AI$1049,W$6)</f>
        <v>0</v>
      </c>
      <c r="X7" s="11"/>
      <c r="Y7" s="12"/>
      <c r="Z7" s="20">
        <f>COUNTIF($AG$12:$AI$1049,Z$6)</f>
        <v>0</v>
      </c>
      <c r="AA7" s="11"/>
      <c r="AB7" s="12"/>
      <c r="AC7" s="20">
        <f>COUNTIF($AG$12:$AI$1049,AC$6)</f>
        <v>2</v>
      </c>
      <c r="AD7" s="11"/>
      <c r="AE7" s="12"/>
      <c r="AF7" s="43">
        <f t="shared" ref="AF7:AF8" si="5">SUM(T7:AE7)</f>
        <v>2</v>
      </c>
      <c r="AG7" s="11"/>
      <c r="AH7" s="12"/>
    </row>
    <row r="8" ht="22.5" customHeight="1">
      <c r="A8" s="46" t="s">
        <v>238</v>
      </c>
      <c r="B8" s="11"/>
      <c r="C8" s="11"/>
      <c r="D8" s="11"/>
      <c r="E8" s="11"/>
      <c r="F8" s="11"/>
      <c r="G8" s="12"/>
      <c r="H8" s="20">
        <f t="shared" si="1"/>
        <v>20</v>
      </c>
      <c r="I8" s="11"/>
      <c r="J8" s="12"/>
      <c r="K8" s="20">
        <f t="shared" si="2"/>
        <v>20</v>
      </c>
      <c r="L8" s="11"/>
      <c r="M8" s="12"/>
      <c r="N8" s="20">
        <f t="shared" si="3"/>
        <v>7</v>
      </c>
      <c r="O8" s="11"/>
      <c r="P8" s="12"/>
      <c r="Q8" s="43">
        <f t="shared" si="4"/>
        <v>47</v>
      </c>
      <c r="R8" s="11"/>
      <c r="S8" s="12"/>
      <c r="T8" s="20">
        <f>COUNTIF($AV$12:$AX$1049,T$6)</f>
        <v>0</v>
      </c>
      <c r="U8" s="11"/>
      <c r="V8" s="12"/>
      <c r="W8" s="20">
        <f>COUNTIF($AV$12:$AX$1049,W$6)</f>
        <v>0</v>
      </c>
      <c r="X8" s="11"/>
      <c r="Y8" s="12"/>
      <c r="Z8" s="20">
        <f>COUNTIF($AV$12:$AX$1049,Z$6)</f>
        <v>0</v>
      </c>
      <c r="AA8" s="11"/>
      <c r="AB8" s="12"/>
      <c r="AC8" s="20">
        <f>COUNTIF($AV$12:$AX$1049,AC$6)</f>
        <v>0</v>
      </c>
      <c r="AD8" s="11"/>
      <c r="AE8" s="12"/>
      <c r="AF8" s="43">
        <f t="shared" si="5"/>
        <v>0</v>
      </c>
      <c r="AG8" s="11"/>
      <c r="AH8" s="12"/>
    </row>
    <row r="9" ht="12.75" customHeight="1"/>
    <row r="10" ht="36.0" customHeight="1">
      <c r="A10" s="56" t="s">
        <v>43</v>
      </c>
      <c r="B10" s="57" t="s">
        <v>239</v>
      </c>
      <c r="C10" s="23"/>
      <c r="D10" s="24"/>
      <c r="E10" s="57" t="s">
        <v>240</v>
      </c>
      <c r="F10" s="23"/>
      <c r="G10" s="23"/>
      <c r="H10" s="23"/>
      <c r="I10" s="24"/>
      <c r="J10" s="57" t="s">
        <v>241</v>
      </c>
      <c r="K10" s="23"/>
      <c r="L10" s="23"/>
      <c r="M10" s="23"/>
      <c r="N10" s="23"/>
      <c r="O10" s="23"/>
      <c r="P10" s="24"/>
      <c r="Q10" s="57" t="s">
        <v>242</v>
      </c>
      <c r="R10" s="23"/>
      <c r="S10" s="23"/>
      <c r="T10" s="23"/>
      <c r="U10" s="23"/>
      <c r="V10" s="23"/>
      <c r="W10" s="24"/>
      <c r="X10" s="57" t="s">
        <v>243</v>
      </c>
      <c r="Y10" s="23"/>
      <c r="Z10" s="23"/>
      <c r="AA10" s="23"/>
      <c r="AB10" s="23"/>
      <c r="AC10" s="23"/>
      <c r="AD10" s="24"/>
      <c r="AE10" s="57" t="s">
        <v>244</v>
      </c>
      <c r="AF10" s="24"/>
      <c r="AG10" s="46" t="s">
        <v>245</v>
      </c>
      <c r="AH10" s="11"/>
      <c r="AI10" s="11"/>
      <c r="AJ10" s="11"/>
      <c r="AK10" s="11"/>
      <c r="AL10" s="11"/>
      <c r="AM10" s="11"/>
      <c r="AN10" s="11"/>
      <c r="AO10" s="11"/>
      <c r="AP10" s="11"/>
      <c r="AQ10" s="11"/>
      <c r="AR10" s="11"/>
      <c r="AS10" s="11"/>
      <c r="AT10" s="11"/>
      <c r="AU10" s="12"/>
      <c r="AV10" s="46" t="s">
        <v>246</v>
      </c>
      <c r="AW10" s="11"/>
      <c r="AX10" s="11"/>
      <c r="AY10" s="11"/>
      <c r="AZ10" s="11"/>
      <c r="BA10" s="11"/>
      <c r="BB10" s="11"/>
      <c r="BC10" s="11"/>
      <c r="BD10" s="11"/>
      <c r="BE10" s="11"/>
      <c r="BF10" s="11"/>
      <c r="BG10" s="11"/>
      <c r="BH10" s="11"/>
      <c r="BI10" s="11"/>
      <c r="BJ10" s="12"/>
      <c r="BK10" s="57" t="s">
        <v>247</v>
      </c>
      <c r="BL10" s="23"/>
      <c r="BM10" s="23"/>
      <c r="BN10" s="23"/>
      <c r="BO10" s="23"/>
      <c r="BP10" s="23"/>
      <c r="BQ10" s="24"/>
    </row>
    <row r="11" ht="36.0" customHeight="1">
      <c r="A11" s="40"/>
      <c r="B11" s="26"/>
      <c r="C11" s="27"/>
      <c r="D11" s="28"/>
      <c r="E11" s="26"/>
      <c r="F11" s="27"/>
      <c r="G11" s="27"/>
      <c r="H11" s="27"/>
      <c r="I11" s="28"/>
      <c r="J11" s="26"/>
      <c r="K11" s="27"/>
      <c r="L11" s="27"/>
      <c r="M11" s="27"/>
      <c r="N11" s="27"/>
      <c r="O11" s="27"/>
      <c r="P11" s="28"/>
      <c r="Q11" s="26"/>
      <c r="R11" s="27"/>
      <c r="S11" s="27"/>
      <c r="T11" s="27"/>
      <c r="U11" s="27"/>
      <c r="V11" s="27"/>
      <c r="W11" s="28"/>
      <c r="X11" s="26"/>
      <c r="Y11" s="27"/>
      <c r="Z11" s="27"/>
      <c r="AA11" s="27"/>
      <c r="AB11" s="27"/>
      <c r="AC11" s="27"/>
      <c r="AD11" s="28"/>
      <c r="AE11" s="26"/>
      <c r="AF11" s="28"/>
      <c r="AG11" s="46" t="s">
        <v>248</v>
      </c>
      <c r="AH11" s="11"/>
      <c r="AI11" s="12"/>
      <c r="AJ11" s="46" t="s">
        <v>249</v>
      </c>
      <c r="AK11" s="11"/>
      <c r="AL11" s="12"/>
      <c r="AM11" s="46" t="s">
        <v>11</v>
      </c>
      <c r="AN11" s="11"/>
      <c r="AO11" s="12"/>
      <c r="AP11" s="46" t="s">
        <v>250</v>
      </c>
      <c r="AQ11" s="11"/>
      <c r="AR11" s="12"/>
      <c r="AS11" s="46" t="s">
        <v>251</v>
      </c>
      <c r="AT11" s="11"/>
      <c r="AU11" s="12"/>
      <c r="AV11" s="46" t="s">
        <v>248</v>
      </c>
      <c r="AW11" s="11"/>
      <c r="AX11" s="12"/>
      <c r="AY11" s="46" t="s">
        <v>249</v>
      </c>
      <c r="AZ11" s="11"/>
      <c r="BA11" s="12"/>
      <c r="BB11" s="46" t="s">
        <v>11</v>
      </c>
      <c r="BC11" s="11"/>
      <c r="BD11" s="12"/>
      <c r="BE11" s="46" t="s">
        <v>250</v>
      </c>
      <c r="BF11" s="11"/>
      <c r="BG11" s="12"/>
      <c r="BH11" s="46" t="s">
        <v>251</v>
      </c>
      <c r="BI11" s="11"/>
      <c r="BJ11" s="12"/>
      <c r="BK11" s="26"/>
      <c r="BL11" s="27"/>
      <c r="BM11" s="27"/>
      <c r="BN11" s="27"/>
      <c r="BO11" s="27"/>
      <c r="BP11" s="27"/>
      <c r="BQ11" s="28"/>
    </row>
    <row r="12" ht="22.5" customHeight="1">
      <c r="A12" s="35" t="s">
        <v>252</v>
      </c>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2"/>
    </row>
    <row r="13" ht="303.75" customHeight="1">
      <c r="A13" s="47">
        <v>1.0</v>
      </c>
      <c r="B13" s="49" t="s">
        <v>253</v>
      </c>
      <c r="C13" s="11"/>
      <c r="D13" s="12"/>
      <c r="E13" s="49" t="s">
        <v>254</v>
      </c>
      <c r="F13" s="11"/>
      <c r="G13" s="11"/>
      <c r="H13" s="11"/>
      <c r="I13" s="12"/>
      <c r="J13" s="49" t="s">
        <v>255</v>
      </c>
      <c r="K13" s="11"/>
      <c r="L13" s="11"/>
      <c r="M13" s="11"/>
      <c r="N13" s="11"/>
      <c r="O13" s="11"/>
      <c r="P13" s="12"/>
      <c r="Q13" s="49" t="s">
        <v>256</v>
      </c>
      <c r="R13" s="11"/>
      <c r="S13" s="11"/>
      <c r="T13" s="11"/>
      <c r="U13" s="11"/>
      <c r="V13" s="11"/>
      <c r="W13" s="12"/>
      <c r="X13" s="49" t="s">
        <v>257</v>
      </c>
      <c r="Y13" s="11"/>
      <c r="Z13" s="11"/>
      <c r="AA13" s="11"/>
      <c r="AB13" s="11"/>
      <c r="AC13" s="11"/>
      <c r="AD13" s="12"/>
      <c r="AE13" s="48" t="s">
        <v>201</v>
      </c>
      <c r="AF13" s="12"/>
      <c r="AG13" s="48"/>
      <c r="AH13" s="11"/>
      <c r="AI13" s="12"/>
      <c r="AJ13" s="48"/>
      <c r="AK13" s="11"/>
      <c r="AL13" s="12"/>
      <c r="AM13" s="48"/>
      <c r="AN13" s="11"/>
      <c r="AO13" s="12"/>
      <c r="AP13" s="48"/>
      <c r="AQ13" s="11"/>
      <c r="AR13" s="12"/>
      <c r="AS13" s="48"/>
      <c r="AT13" s="11"/>
      <c r="AU13" s="12"/>
      <c r="AV13" s="48"/>
      <c r="AW13" s="11"/>
      <c r="AX13" s="12"/>
      <c r="AY13" s="48"/>
      <c r="AZ13" s="11"/>
      <c r="BA13" s="12"/>
      <c r="BB13" s="48"/>
      <c r="BC13" s="11"/>
      <c r="BD13" s="12"/>
      <c r="BE13" s="48"/>
      <c r="BF13" s="11"/>
      <c r="BG13" s="12"/>
      <c r="BH13" s="48"/>
      <c r="BI13" s="11"/>
      <c r="BJ13" s="12"/>
      <c r="BK13" s="49"/>
      <c r="BL13" s="11"/>
      <c r="BM13" s="11"/>
      <c r="BN13" s="11"/>
      <c r="BO13" s="11"/>
      <c r="BP13" s="11"/>
      <c r="BQ13" s="12"/>
    </row>
    <row r="14" ht="240.0" customHeight="1">
      <c r="A14" s="47">
        <v>2.0</v>
      </c>
      <c r="B14" s="49" t="s">
        <v>258</v>
      </c>
      <c r="C14" s="11"/>
      <c r="D14" s="12"/>
      <c r="E14" s="49" t="s">
        <v>259</v>
      </c>
      <c r="F14" s="11"/>
      <c r="G14" s="11"/>
      <c r="H14" s="11"/>
      <c r="I14" s="12"/>
      <c r="J14" s="49" t="s">
        <v>260</v>
      </c>
      <c r="K14" s="11"/>
      <c r="L14" s="11"/>
      <c r="M14" s="11"/>
      <c r="N14" s="11"/>
      <c r="O14" s="11"/>
      <c r="P14" s="12"/>
      <c r="Q14" s="49" t="s">
        <v>261</v>
      </c>
      <c r="R14" s="11"/>
      <c r="S14" s="11"/>
      <c r="T14" s="11"/>
      <c r="U14" s="11"/>
      <c r="V14" s="11"/>
      <c r="W14" s="12"/>
      <c r="X14" s="49" t="s">
        <v>262</v>
      </c>
      <c r="Y14" s="11"/>
      <c r="Z14" s="11"/>
      <c r="AA14" s="11"/>
      <c r="AB14" s="11"/>
      <c r="AC14" s="11"/>
      <c r="AD14" s="12"/>
      <c r="AE14" s="48" t="s">
        <v>201</v>
      </c>
      <c r="AF14" s="12"/>
      <c r="AG14" s="48"/>
      <c r="AH14" s="11"/>
      <c r="AI14" s="12"/>
      <c r="AJ14" s="48"/>
      <c r="AK14" s="11"/>
      <c r="AL14" s="12"/>
      <c r="AM14" s="48"/>
      <c r="AN14" s="11"/>
      <c r="AO14" s="12"/>
      <c r="AP14" s="48"/>
      <c r="AQ14" s="11"/>
      <c r="AR14" s="12"/>
      <c r="AS14" s="48"/>
      <c r="AT14" s="11"/>
      <c r="AU14" s="12"/>
      <c r="AV14" s="48"/>
      <c r="AW14" s="11"/>
      <c r="AX14" s="12"/>
      <c r="AY14" s="48"/>
      <c r="AZ14" s="11"/>
      <c r="BA14" s="12"/>
      <c r="BB14" s="48"/>
      <c r="BC14" s="11"/>
      <c r="BD14" s="12"/>
      <c r="BE14" s="48"/>
      <c r="BF14" s="11"/>
      <c r="BG14" s="12"/>
      <c r="BH14" s="48"/>
      <c r="BI14" s="11"/>
      <c r="BJ14" s="12"/>
      <c r="BK14" s="49"/>
      <c r="BL14" s="11"/>
      <c r="BM14" s="11"/>
      <c r="BN14" s="11"/>
      <c r="BO14" s="11"/>
      <c r="BP14" s="11"/>
      <c r="BQ14" s="12"/>
    </row>
    <row r="15" ht="127.5" customHeight="1">
      <c r="A15" s="47">
        <v>3.0</v>
      </c>
      <c r="B15" s="49" t="s">
        <v>263</v>
      </c>
      <c r="C15" s="11"/>
      <c r="D15" s="12"/>
      <c r="E15" s="49" t="s">
        <v>264</v>
      </c>
      <c r="F15" s="11"/>
      <c r="G15" s="11"/>
      <c r="H15" s="11"/>
      <c r="I15" s="12"/>
      <c r="J15" s="49" t="s">
        <v>265</v>
      </c>
      <c r="K15" s="11"/>
      <c r="L15" s="11"/>
      <c r="M15" s="11"/>
      <c r="N15" s="11"/>
      <c r="O15" s="11"/>
      <c r="P15" s="12"/>
      <c r="Q15" s="49" t="s">
        <v>266</v>
      </c>
      <c r="R15" s="11"/>
      <c r="S15" s="11"/>
      <c r="T15" s="11"/>
      <c r="U15" s="11"/>
      <c r="V15" s="11"/>
      <c r="W15" s="12"/>
      <c r="X15" s="49" t="s">
        <v>267</v>
      </c>
      <c r="Y15" s="11"/>
      <c r="Z15" s="11"/>
      <c r="AA15" s="11"/>
      <c r="AB15" s="11"/>
      <c r="AC15" s="11"/>
      <c r="AD15" s="12"/>
      <c r="AE15" s="48" t="s">
        <v>268</v>
      </c>
      <c r="AF15" s="12"/>
      <c r="AG15" s="48"/>
      <c r="AH15" s="11"/>
      <c r="AI15" s="12"/>
      <c r="AJ15" s="48"/>
      <c r="AK15" s="11"/>
      <c r="AL15" s="12"/>
      <c r="AM15" s="48"/>
      <c r="AN15" s="11"/>
      <c r="AO15" s="12"/>
      <c r="AP15" s="48"/>
      <c r="AQ15" s="11"/>
      <c r="AR15" s="12"/>
      <c r="AS15" s="48"/>
      <c r="AT15" s="11"/>
      <c r="AU15" s="12"/>
      <c r="AV15" s="48"/>
      <c r="AW15" s="11"/>
      <c r="AX15" s="12"/>
      <c r="AY15" s="48"/>
      <c r="AZ15" s="11"/>
      <c r="BA15" s="12"/>
      <c r="BB15" s="48"/>
      <c r="BC15" s="11"/>
      <c r="BD15" s="12"/>
      <c r="BE15" s="48"/>
      <c r="BF15" s="11"/>
      <c r="BG15" s="12"/>
      <c r="BH15" s="48"/>
      <c r="BI15" s="11"/>
      <c r="BJ15" s="12"/>
      <c r="BK15" s="49"/>
      <c r="BL15" s="11"/>
      <c r="BM15" s="11"/>
      <c r="BN15" s="11"/>
      <c r="BO15" s="11"/>
      <c r="BP15" s="11"/>
      <c r="BQ15" s="12"/>
    </row>
    <row r="16" ht="127.5" customHeight="1">
      <c r="A16" s="47">
        <v>4.0</v>
      </c>
      <c r="B16" s="49" t="s">
        <v>269</v>
      </c>
      <c r="C16" s="11"/>
      <c r="D16" s="12"/>
      <c r="E16" s="49" t="s">
        <v>270</v>
      </c>
      <c r="F16" s="11"/>
      <c r="G16" s="11"/>
      <c r="H16" s="11"/>
      <c r="I16" s="12"/>
      <c r="J16" s="49" t="s">
        <v>271</v>
      </c>
      <c r="K16" s="11"/>
      <c r="L16" s="11"/>
      <c r="M16" s="11"/>
      <c r="N16" s="11"/>
      <c r="O16" s="11"/>
      <c r="P16" s="12"/>
      <c r="Q16" s="49" t="s">
        <v>272</v>
      </c>
      <c r="R16" s="11"/>
      <c r="S16" s="11"/>
      <c r="T16" s="11"/>
      <c r="U16" s="11"/>
      <c r="V16" s="11"/>
      <c r="W16" s="12"/>
      <c r="X16" s="49" t="s">
        <v>273</v>
      </c>
      <c r="Y16" s="11"/>
      <c r="Z16" s="11"/>
      <c r="AA16" s="11"/>
      <c r="AB16" s="11"/>
      <c r="AC16" s="11"/>
      <c r="AD16" s="12"/>
      <c r="AE16" s="48" t="s">
        <v>268</v>
      </c>
      <c r="AF16" s="12"/>
      <c r="AG16" s="48"/>
      <c r="AH16" s="11"/>
      <c r="AI16" s="12"/>
      <c r="AJ16" s="48"/>
      <c r="AK16" s="11"/>
      <c r="AL16" s="12"/>
      <c r="AM16" s="48"/>
      <c r="AN16" s="11"/>
      <c r="AO16" s="12"/>
      <c r="AP16" s="48"/>
      <c r="AQ16" s="11"/>
      <c r="AR16" s="12"/>
      <c r="AS16" s="48"/>
      <c r="AT16" s="11"/>
      <c r="AU16" s="12"/>
      <c r="AV16" s="48"/>
      <c r="AW16" s="11"/>
      <c r="AX16" s="12"/>
      <c r="AY16" s="48"/>
      <c r="AZ16" s="11"/>
      <c r="BA16" s="12"/>
      <c r="BB16" s="48"/>
      <c r="BC16" s="11"/>
      <c r="BD16" s="12"/>
      <c r="BE16" s="48"/>
      <c r="BF16" s="11"/>
      <c r="BG16" s="12"/>
      <c r="BH16" s="48"/>
      <c r="BI16" s="11"/>
      <c r="BJ16" s="12"/>
      <c r="BK16" s="49"/>
      <c r="BL16" s="11"/>
      <c r="BM16" s="11"/>
      <c r="BN16" s="11"/>
      <c r="BO16" s="11"/>
      <c r="BP16" s="11"/>
      <c r="BQ16" s="12"/>
    </row>
    <row r="17" ht="255.75" customHeight="1">
      <c r="A17" s="47">
        <v>5.0</v>
      </c>
      <c r="B17" s="49" t="s">
        <v>274</v>
      </c>
      <c r="C17" s="11"/>
      <c r="D17" s="12"/>
      <c r="E17" s="49" t="s">
        <v>275</v>
      </c>
      <c r="F17" s="11"/>
      <c r="G17" s="11"/>
      <c r="H17" s="11"/>
      <c r="I17" s="12"/>
      <c r="J17" s="49" t="s">
        <v>276</v>
      </c>
      <c r="K17" s="11"/>
      <c r="L17" s="11"/>
      <c r="M17" s="11"/>
      <c r="N17" s="11"/>
      <c r="O17" s="11"/>
      <c r="P17" s="12"/>
      <c r="Q17" s="49" t="s">
        <v>277</v>
      </c>
      <c r="R17" s="11"/>
      <c r="S17" s="11"/>
      <c r="T17" s="11"/>
      <c r="U17" s="11"/>
      <c r="V17" s="11"/>
      <c r="W17" s="12"/>
      <c r="X17" s="49" t="s">
        <v>278</v>
      </c>
      <c r="Y17" s="11"/>
      <c r="Z17" s="11"/>
      <c r="AA17" s="11"/>
      <c r="AB17" s="11"/>
      <c r="AC17" s="11"/>
      <c r="AD17" s="12"/>
      <c r="AE17" s="48" t="s">
        <v>268</v>
      </c>
      <c r="AF17" s="12"/>
      <c r="AG17" s="48"/>
      <c r="AH17" s="11"/>
      <c r="AI17" s="12"/>
      <c r="AJ17" s="48"/>
      <c r="AK17" s="11"/>
      <c r="AL17" s="12"/>
      <c r="AM17" s="48"/>
      <c r="AN17" s="11"/>
      <c r="AO17" s="12"/>
      <c r="AP17" s="48"/>
      <c r="AQ17" s="11"/>
      <c r="AR17" s="12"/>
      <c r="AS17" s="48"/>
      <c r="AT17" s="11"/>
      <c r="AU17" s="12"/>
      <c r="AV17" s="48"/>
      <c r="AW17" s="11"/>
      <c r="AX17" s="12"/>
      <c r="AY17" s="48"/>
      <c r="AZ17" s="11"/>
      <c r="BA17" s="12"/>
      <c r="BB17" s="48"/>
      <c r="BC17" s="11"/>
      <c r="BD17" s="12"/>
      <c r="BE17" s="48"/>
      <c r="BF17" s="11"/>
      <c r="BG17" s="12"/>
      <c r="BH17" s="48"/>
      <c r="BI17" s="11"/>
      <c r="BJ17" s="12"/>
      <c r="BK17" s="49"/>
      <c r="BL17" s="11"/>
      <c r="BM17" s="11"/>
      <c r="BN17" s="11"/>
      <c r="BO17" s="11"/>
      <c r="BP17" s="11"/>
      <c r="BQ17" s="12"/>
    </row>
    <row r="18" ht="192.0" customHeight="1">
      <c r="A18" s="47">
        <v>6.0</v>
      </c>
      <c r="B18" s="49" t="s">
        <v>279</v>
      </c>
      <c r="C18" s="11"/>
      <c r="D18" s="12"/>
      <c r="E18" s="49" t="s">
        <v>280</v>
      </c>
      <c r="F18" s="11"/>
      <c r="G18" s="11"/>
      <c r="H18" s="11"/>
      <c r="I18" s="12"/>
      <c r="J18" s="49" t="s">
        <v>281</v>
      </c>
      <c r="K18" s="11"/>
      <c r="L18" s="11"/>
      <c r="M18" s="11"/>
      <c r="N18" s="11"/>
      <c r="O18" s="11"/>
      <c r="P18" s="12"/>
      <c r="Q18" s="49" t="s">
        <v>282</v>
      </c>
      <c r="R18" s="11"/>
      <c r="S18" s="11"/>
      <c r="T18" s="11"/>
      <c r="U18" s="11"/>
      <c r="V18" s="11"/>
      <c r="W18" s="12"/>
      <c r="X18" s="49" t="s">
        <v>283</v>
      </c>
      <c r="Y18" s="11"/>
      <c r="Z18" s="11"/>
      <c r="AA18" s="11"/>
      <c r="AB18" s="11"/>
      <c r="AC18" s="11"/>
      <c r="AD18" s="12"/>
      <c r="AE18" s="48" t="s">
        <v>201</v>
      </c>
      <c r="AF18" s="12"/>
      <c r="AG18" s="48"/>
      <c r="AH18" s="11"/>
      <c r="AI18" s="12"/>
      <c r="AJ18" s="48"/>
      <c r="AK18" s="11"/>
      <c r="AL18" s="12"/>
      <c r="AM18" s="48"/>
      <c r="AN18" s="11"/>
      <c r="AO18" s="12"/>
      <c r="AP18" s="48"/>
      <c r="AQ18" s="11"/>
      <c r="AR18" s="12"/>
      <c r="AS18" s="48"/>
      <c r="AT18" s="11"/>
      <c r="AU18" s="12"/>
      <c r="AV18" s="48"/>
      <c r="AW18" s="11"/>
      <c r="AX18" s="12"/>
      <c r="AY18" s="48"/>
      <c r="AZ18" s="11"/>
      <c r="BA18" s="12"/>
      <c r="BB18" s="48"/>
      <c r="BC18" s="11"/>
      <c r="BD18" s="12"/>
      <c r="BE18" s="48"/>
      <c r="BF18" s="11"/>
      <c r="BG18" s="12"/>
      <c r="BH18" s="48"/>
      <c r="BI18" s="11"/>
      <c r="BJ18" s="12"/>
      <c r="BK18" s="49"/>
      <c r="BL18" s="11"/>
      <c r="BM18" s="11"/>
      <c r="BN18" s="11"/>
      <c r="BO18" s="11"/>
      <c r="BP18" s="11"/>
      <c r="BQ18" s="12"/>
    </row>
    <row r="19" ht="192.0" customHeight="1">
      <c r="A19" s="47">
        <v>7.0</v>
      </c>
      <c r="B19" s="49" t="s">
        <v>284</v>
      </c>
      <c r="C19" s="11"/>
      <c r="D19" s="12"/>
      <c r="E19" s="49" t="s">
        <v>285</v>
      </c>
      <c r="F19" s="11"/>
      <c r="G19" s="11"/>
      <c r="H19" s="11"/>
      <c r="I19" s="12"/>
      <c r="J19" s="49" t="s">
        <v>286</v>
      </c>
      <c r="K19" s="11"/>
      <c r="L19" s="11"/>
      <c r="M19" s="11"/>
      <c r="N19" s="11"/>
      <c r="O19" s="11"/>
      <c r="P19" s="12"/>
      <c r="Q19" s="49" t="s">
        <v>287</v>
      </c>
      <c r="R19" s="11"/>
      <c r="S19" s="11"/>
      <c r="T19" s="11"/>
      <c r="U19" s="11"/>
      <c r="V19" s="11"/>
      <c r="W19" s="12"/>
      <c r="X19" s="49" t="s">
        <v>288</v>
      </c>
      <c r="Y19" s="11"/>
      <c r="Z19" s="11"/>
      <c r="AA19" s="11"/>
      <c r="AB19" s="11"/>
      <c r="AC19" s="11"/>
      <c r="AD19" s="12"/>
      <c r="AE19" s="48" t="s">
        <v>201</v>
      </c>
      <c r="AF19" s="12"/>
      <c r="AG19" s="48"/>
      <c r="AH19" s="11"/>
      <c r="AI19" s="12"/>
      <c r="AJ19" s="48"/>
      <c r="AK19" s="11"/>
      <c r="AL19" s="12"/>
      <c r="AM19" s="48"/>
      <c r="AN19" s="11"/>
      <c r="AO19" s="12"/>
      <c r="AP19" s="48"/>
      <c r="AQ19" s="11"/>
      <c r="AR19" s="12"/>
      <c r="AS19" s="48"/>
      <c r="AT19" s="11"/>
      <c r="AU19" s="12"/>
      <c r="AV19" s="48"/>
      <c r="AW19" s="11"/>
      <c r="AX19" s="12"/>
      <c r="AY19" s="48"/>
      <c r="AZ19" s="11"/>
      <c r="BA19" s="12"/>
      <c r="BB19" s="48"/>
      <c r="BC19" s="11"/>
      <c r="BD19" s="12"/>
      <c r="BE19" s="48"/>
      <c r="BF19" s="11"/>
      <c r="BG19" s="12"/>
      <c r="BH19" s="48"/>
      <c r="BI19" s="11"/>
      <c r="BJ19" s="12"/>
      <c r="BK19" s="49"/>
      <c r="BL19" s="11"/>
      <c r="BM19" s="11"/>
      <c r="BN19" s="11"/>
      <c r="BO19" s="11"/>
      <c r="BP19" s="11"/>
      <c r="BQ19" s="12"/>
    </row>
    <row r="20" ht="144.0" customHeight="1">
      <c r="A20" s="47">
        <v>8.0</v>
      </c>
      <c r="B20" s="58" t="s">
        <v>289</v>
      </c>
      <c r="C20" s="11"/>
      <c r="D20" s="12"/>
      <c r="E20" s="58" t="s">
        <v>290</v>
      </c>
      <c r="F20" s="11"/>
      <c r="G20" s="11"/>
      <c r="H20" s="11"/>
      <c r="I20" s="12"/>
      <c r="J20" s="58" t="s">
        <v>291</v>
      </c>
      <c r="K20" s="11"/>
      <c r="L20" s="11"/>
      <c r="M20" s="11"/>
      <c r="N20" s="11"/>
      <c r="O20" s="11"/>
      <c r="P20" s="12"/>
      <c r="Q20" s="58" t="s">
        <v>292</v>
      </c>
      <c r="R20" s="11"/>
      <c r="S20" s="11"/>
      <c r="T20" s="11"/>
      <c r="U20" s="11"/>
      <c r="V20" s="11"/>
      <c r="W20" s="12"/>
      <c r="X20" s="58" t="s">
        <v>293</v>
      </c>
      <c r="Y20" s="11"/>
      <c r="Z20" s="11"/>
      <c r="AA20" s="11"/>
      <c r="AB20" s="11"/>
      <c r="AC20" s="11"/>
      <c r="AD20" s="12"/>
      <c r="AE20" s="59" t="s">
        <v>201</v>
      </c>
      <c r="AF20" s="12"/>
      <c r="AG20" s="60" t="s">
        <v>54</v>
      </c>
      <c r="AH20" s="11"/>
      <c r="AI20" s="12"/>
      <c r="AJ20" s="48"/>
      <c r="AK20" s="11"/>
      <c r="AL20" s="12"/>
      <c r="AM20" s="48"/>
      <c r="AN20" s="11"/>
      <c r="AO20" s="12"/>
      <c r="AP20" s="48"/>
      <c r="AQ20" s="11"/>
      <c r="AR20" s="12"/>
      <c r="AS20" s="48"/>
      <c r="AT20" s="11"/>
      <c r="AU20" s="12"/>
      <c r="AV20" s="48"/>
      <c r="AW20" s="11"/>
      <c r="AX20" s="12"/>
      <c r="AY20" s="48"/>
      <c r="AZ20" s="11"/>
      <c r="BA20" s="12"/>
      <c r="BB20" s="48"/>
      <c r="BC20" s="11"/>
      <c r="BD20" s="12"/>
      <c r="BE20" s="48"/>
      <c r="BF20" s="11"/>
      <c r="BG20" s="12"/>
      <c r="BH20" s="48"/>
      <c r="BI20" s="11"/>
      <c r="BJ20" s="12"/>
      <c r="BK20" s="61" t="s">
        <v>294</v>
      </c>
      <c r="BL20" s="11"/>
      <c r="BM20" s="11"/>
      <c r="BN20" s="11"/>
      <c r="BO20" s="11"/>
      <c r="BP20" s="11"/>
      <c r="BQ20" s="12"/>
    </row>
    <row r="21" ht="22.5" customHeight="1">
      <c r="A21" s="35" t="s">
        <v>295</v>
      </c>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2"/>
    </row>
    <row r="22" ht="127.5" customHeight="1">
      <c r="A22" s="47">
        <v>9.0</v>
      </c>
      <c r="B22" s="49" t="s">
        <v>296</v>
      </c>
      <c r="C22" s="11"/>
      <c r="D22" s="12"/>
      <c r="E22" s="49" t="s">
        <v>297</v>
      </c>
      <c r="F22" s="11"/>
      <c r="G22" s="11"/>
      <c r="H22" s="11"/>
      <c r="I22" s="12"/>
      <c r="J22" s="49" t="s">
        <v>298</v>
      </c>
      <c r="K22" s="11"/>
      <c r="L22" s="11"/>
      <c r="M22" s="11"/>
      <c r="N22" s="11"/>
      <c r="O22" s="11"/>
      <c r="P22" s="12"/>
      <c r="Q22" s="49" t="s">
        <v>299</v>
      </c>
      <c r="R22" s="11"/>
      <c r="S22" s="11"/>
      <c r="T22" s="11"/>
      <c r="U22" s="11"/>
      <c r="V22" s="11"/>
      <c r="W22" s="12"/>
      <c r="X22" s="49" t="s">
        <v>300</v>
      </c>
      <c r="Y22" s="11"/>
      <c r="Z22" s="11"/>
      <c r="AA22" s="11"/>
      <c r="AB22" s="11"/>
      <c r="AC22" s="11"/>
      <c r="AD22" s="12"/>
      <c r="AE22" s="48" t="s">
        <v>268</v>
      </c>
      <c r="AF22" s="12"/>
      <c r="AG22" s="48"/>
      <c r="AH22" s="11"/>
      <c r="AI22" s="12"/>
      <c r="AJ22" s="48"/>
      <c r="AK22" s="11"/>
      <c r="AL22" s="12"/>
      <c r="AM22" s="48"/>
      <c r="AN22" s="11"/>
      <c r="AO22" s="12"/>
      <c r="AP22" s="48"/>
      <c r="AQ22" s="11"/>
      <c r="AR22" s="12"/>
      <c r="AS22" s="48"/>
      <c r="AT22" s="11"/>
      <c r="AU22" s="12"/>
      <c r="AV22" s="48"/>
      <c r="AW22" s="11"/>
      <c r="AX22" s="12"/>
      <c r="AY22" s="48"/>
      <c r="AZ22" s="11"/>
      <c r="BA22" s="12"/>
      <c r="BB22" s="48"/>
      <c r="BC22" s="11"/>
      <c r="BD22" s="12"/>
      <c r="BE22" s="48"/>
      <c r="BF22" s="11"/>
      <c r="BG22" s="12"/>
      <c r="BH22" s="48"/>
      <c r="BI22" s="11"/>
      <c r="BJ22" s="12"/>
      <c r="BK22" s="49"/>
      <c r="BL22" s="11"/>
      <c r="BM22" s="11"/>
      <c r="BN22" s="11"/>
      <c r="BO22" s="11"/>
      <c r="BP22" s="11"/>
      <c r="BQ22" s="12"/>
    </row>
    <row r="23" ht="192.0" customHeight="1">
      <c r="A23" s="47">
        <v>10.0</v>
      </c>
      <c r="B23" s="49" t="s">
        <v>301</v>
      </c>
      <c r="C23" s="11"/>
      <c r="D23" s="12"/>
      <c r="E23" s="49" t="s">
        <v>302</v>
      </c>
      <c r="F23" s="11"/>
      <c r="G23" s="11"/>
      <c r="H23" s="11"/>
      <c r="I23" s="12"/>
      <c r="J23" s="49" t="s">
        <v>303</v>
      </c>
      <c r="K23" s="11"/>
      <c r="L23" s="11"/>
      <c r="M23" s="11"/>
      <c r="N23" s="11"/>
      <c r="O23" s="11"/>
      <c r="P23" s="12"/>
      <c r="Q23" s="49" t="s">
        <v>304</v>
      </c>
      <c r="R23" s="11"/>
      <c r="S23" s="11"/>
      <c r="T23" s="11"/>
      <c r="U23" s="11"/>
      <c r="V23" s="11"/>
      <c r="W23" s="12"/>
      <c r="X23" s="49" t="s">
        <v>305</v>
      </c>
      <c r="Y23" s="11"/>
      <c r="Z23" s="11"/>
      <c r="AA23" s="11"/>
      <c r="AB23" s="11"/>
      <c r="AC23" s="11"/>
      <c r="AD23" s="12"/>
      <c r="AE23" s="48" t="s">
        <v>268</v>
      </c>
      <c r="AF23" s="12"/>
      <c r="AG23" s="48"/>
      <c r="AH23" s="11"/>
      <c r="AI23" s="12"/>
      <c r="AJ23" s="48"/>
      <c r="AK23" s="11"/>
      <c r="AL23" s="12"/>
      <c r="AM23" s="48"/>
      <c r="AN23" s="11"/>
      <c r="AO23" s="12"/>
      <c r="AP23" s="48"/>
      <c r="AQ23" s="11"/>
      <c r="AR23" s="12"/>
      <c r="AS23" s="48"/>
      <c r="AT23" s="11"/>
      <c r="AU23" s="12"/>
      <c r="AV23" s="48"/>
      <c r="AW23" s="11"/>
      <c r="AX23" s="12"/>
      <c r="AY23" s="48"/>
      <c r="AZ23" s="11"/>
      <c r="BA23" s="12"/>
      <c r="BB23" s="48"/>
      <c r="BC23" s="11"/>
      <c r="BD23" s="12"/>
      <c r="BE23" s="48"/>
      <c r="BF23" s="11"/>
      <c r="BG23" s="12"/>
      <c r="BH23" s="48"/>
      <c r="BI23" s="11"/>
      <c r="BJ23" s="12"/>
      <c r="BK23" s="49"/>
      <c r="BL23" s="11"/>
      <c r="BM23" s="11"/>
      <c r="BN23" s="11"/>
      <c r="BO23" s="11"/>
      <c r="BP23" s="11"/>
      <c r="BQ23" s="12"/>
    </row>
    <row r="24" ht="271.5" customHeight="1">
      <c r="A24" s="47">
        <v>11.0</v>
      </c>
      <c r="B24" s="49" t="s">
        <v>306</v>
      </c>
      <c r="C24" s="11"/>
      <c r="D24" s="12"/>
      <c r="E24" s="49" t="s">
        <v>307</v>
      </c>
      <c r="F24" s="11"/>
      <c r="G24" s="11"/>
      <c r="H24" s="11"/>
      <c r="I24" s="12"/>
      <c r="J24" s="49" t="s">
        <v>308</v>
      </c>
      <c r="K24" s="11"/>
      <c r="L24" s="11"/>
      <c r="M24" s="11"/>
      <c r="N24" s="11"/>
      <c r="O24" s="11"/>
      <c r="P24" s="12"/>
      <c r="Q24" s="49" t="s">
        <v>309</v>
      </c>
      <c r="R24" s="11"/>
      <c r="S24" s="11"/>
      <c r="T24" s="11"/>
      <c r="U24" s="11"/>
      <c r="V24" s="11"/>
      <c r="W24" s="12"/>
      <c r="X24" s="49" t="s">
        <v>310</v>
      </c>
      <c r="Y24" s="11"/>
      <c r="Z24" s="11"/>
      <c r="AA24" s="11"/>
      <c r="AB24" s="11"/>
      <c r="AC24" s="11"/>
      <c r="AD24" s="12"/>
      <c r="AE24" s="48" t="s">
        <v>268</v>
      </c>
      <c r="AF24" s="12"/>
      <c r="AG24" s="48"/>
      <c r="AH24" s="11"/>
      <c r="AI24" s="12"/>
      <c r="AJ24" s="48"/>
      <c r="AK24" s="11"/>
      <c r="AL24" s="12"/>
      <c r="AM24" s="48"/>
      <c r="AN24" s="11"/>
      <c r="AO24" s="12"/>
      <c r="AP24" s="48"/>
      <c r="AQ24" s="11"/>
      <c r="AR24" s="12"/>
      <c r="AS24" s="48"/>
      <c r="AT24" s="11"/>
      <c r="AU24" s="12"/>
      <c r="AV24" s="48"/>
      <c r="AW24" s="11"/>
      <c r="AX24" s="12"/>
      <c r="AY24" s="48"/>
      <c r="AZ24" s="11"/>
      <c r="BA24" s="12"/>
      <c r="BB24" s="48"/>
      <c r="BC24" s="11"/>
      <c r="BD24" s="12"/>
      <c r="BE24" s="48"/>
      <c r="BF24" s="11"/>
      <c r="BG24" s="12"/>
      <c r="BH24" s="48"/>
      <c r="BI24" s="11"/>
      <c r="BJ24" s="12"/>
      <c r="BK24" s="49"/>
      <c r="BL24" s="11"/>
      <c r="BM24" s="11"/>
      <c r="BN24" s="11"/>
      <c r="BO24" s="11"/>
      <c r="BP24" s="11"/>
      <c r="BQ24" s="12"/>
    </row>
    <row r="25" ht="271.5" customHeight="1">
      <c r="A25" s="47">
        <v>12.0</v>
      </c>
      <c r="B25" s="49" t="s">
        <v>311</v>
      </c>
      <c r="C25" s="11"/>
      <c r="D25" s="12"/>
      <c r="E25" s="49" t="s">
        <v>312</v>
      </c>
      <c r="F25" s="11"/>
      <c r="G25" s="11"/>
      <c r="H25" s="11"/>
      <c r="I25" s="12"/>
      <c r="J25" s="49" t="s">
        <v>313</v>
      </c>
      <c r="K25" s="11"/>
      <c r="L25" s="11"/>
      <c r="M25" s="11"/>
      <c r="N25" s="11"/>
      <c r="O25" s="11"/>
      <c r="P25" s="12"/>
      <c r="Q25" s="49" t="s">
        <v>314</v>
      </c>
      <c r="R25" s="11"/>
      <c r="S25" s="11"/>
      <c r="T25" s="11"/>
      <c r="U25" s="11"/>
      <c r="V25" s="11"/>
      <c r="W25" s="12"/>
      <c r="X25" s="49" t="s">
        <v>315</v>
      </c>
      <c r="Y25" s="11"/>
      <c r="Z25" s="11"/>
      <c r="AA25" s="11"/>
      <c r="AB25" s="11"/>
      <c r="AC25" s="11"/>
      <c r="AD25" s="12"/>
      <c r="AE25" s="48" t="s">
        <v>268</v>
      </c>
      <c r="AF25" s="12"/>
      <c r="AG25" s="48"/>
      <c r="AH25" s="11"/>
      <c r="AI25" s="12"/>
      <c r="AJ25" s="48"/>
      <c r="AK25" s="11"/>
      <c r="AL25" s="12"/>
      <c r="AM25" s="48"/>
      <c r="AN25" s="11"/>
      <c r="AO25" s="12"/>
      <c r="AP25" s="48"/>
      <c r="AQ25" s="11"/>
      <c r="AR25" s="12"/>
      <c r="AS25" s="48"/>
      <c r="AT25" s="11"/>
      <c r="AU25" s="12"/>
      <c r="AV25" s="48"/>
      <c r="AW25" s="11"/>
      <c r="AX25" s="12"/>
      <c r="AY25" s="48"/>
      <c r="AZ25" s="11"/>
      <c r="BA25" s="12"/>
      <c r="BB25" s="48"/>
      <c r="BC25" s="11"/>
      <c r="BD25" s="12"/>
      <c r="BE25" s="48"/>
      <c r="BF25" s="11"/>
      <c r="BG25" s="12"/>
      <c r="BH25" s="48"/>
      <c r="BI25" s="11"/>
      <c r="BJ25" s="12"/>
      <c r="BK25" s="49"/>
      <c r="BL25" s="11"/>
      <c r="BM25" s="11"/>
      <c r="BN25" s="11"/>
      <c r="BO25" s="11"/>
      <c r="BP25" s="11"/>
      <c r="BQ25" s="12"/>
    </row>
    <row r="26" ht="111.75" customHeight="1">
      <c r="A26" s="47">
        <v>13.0</v>
      </c>
      <c r="B26" s="49" t="s">
        <v>316</v>
      </c>
      <c r="C26" s="11"/>
      <c r="D26" s="12"/>
      <c r="E26" s="49" t="s">
        <v>317</v>
      </c>
      <c r="F26" s="11"/>
      <c r="G26" s="11"/>
      <c r="H26" s="11"/>
      <c r="I26" s="12"/>
      <c r="J26" s="49" t="s">
        <v>298</v>
      </c>
      <c r="K26" s="11"/>
      <c r="L26" s="11"/>
      <c r="M26" s="11"/>
      <c r="N26" s="11"/>
      <c r="O26" s="11"/>
      <c r="P26" s="12"/>
      <c r="Q26" s="49" t="s">
        <v>318</v>
      </c>
      <c r="R26" s="11"/>
      <c r="S26" s="11"/>
      <c r="T26" s="11"/>
      <c r="U26" s="11"/>
      <c r="V26" s="11"/>
      <c r="W26" s="12"/>
      <c r="X26" s="49" t="s">
        <v>319</v>
      </c>
      <c r="Y26" s="11"/>
      <c r="Z26" s="11"/>
      <c r="AA26" s="11"/>
      <c r="AB26" s="11"/>
      <c r="AC26" s="11"/>
      <c r="AD26" s="12"/>
      <c r="AE26" s="48" t="s">
        <v>268</v>
      </c>
      <c r="AF26" s="12"/>
      <c r="AG26" s="48"/>
      <c r="AH26" s="11"/>
      <c r="AI26" s="12"/>
      <c r="AJ26" s="48"/>
      <c r="AK26" s="11"/>
      <c r="AL26" s="12"/>
      <c r="AM26" s="48"/>
      <c r="AN26" s="11"/>
      <c r="AO26" s="12"/>
      <c r="AP26" s="48"/>
      <c r="AQ26" s="11"/>
      <c r="AR26" s="12"/>
      <c r="AS26" s="48"/>
      <c r="AT26" s="11"/>
      <c r="AU26" s="12"/>
      <c r="AV26" s="48"/>
      <c r="AW26" s="11"/>
      <c r="AX26" s="12"/>
      <c r="AY26" s="48"/>
      <c r="AZ26" s="11"/>
      <c r="BA26" s="12"/>
      <c r="BB26" s="48"/>
      <c r="BC26" s="11"/>
      <c r="BD26" s="12"/>
      <c r="BE26" s="48"/>
      <c r="BF26" s="11"/>
      <c r="BG26" s="12"/>
      <c r="BH26" s="48"/>
      <c r="BI26" s="11"/>
      <c r="BJ26" s="12"/>
      <c r="BK26" s="49"/>
      <c r="BL26" s="11"/>
      <c r="BM26" s="11"/>
      <c r="BN26" s="11"/>
      <c r="BO26" s="11"/>
      <c r="BP26" s="11"/>
      <c r="BQ26" s="12"/>
    </row>
    <row r="27" ht="192.0" customHeight="1">
      <c r="A27" s="47">
        <v>14.0</v>
      </c>
      <c r="B27" s="49" t="s">
        <v>320</v>
      </c>
      <c r="C27" s="11"/>
      <c r="D27" s="12"/>
      <c r="E27" s="49" t="s">
        <v>321</v>
      </c>
      <c r="F27" s="11"/>
      <c r="G27" s="11"/>
      <c r="H27" s="11"/>
      <c r="I27" s="12"/>
      <c r="J27" s="49" t="s">
        <v>298</v>
      </c>
      <c r="K27" s="11"/>
      <c r="L27" s="11"/>
      <c r="M27" s="11"/>
      <c r="N27" s="11"/>
      <c r="O27" s="11"/>
      <c r="P27" s="12"/>
      <c r="Q27" s="49" t="s">
        <v>322</v>
      </c>
      <c r="R27" s="11"/>
      <c r="S27" s="11"/>
      <c r="T27" s="11"/>
      <c r="U27" s="11"/>
      <c r="V27" s="11"/>
      <c r="W27" s="12"/>
      <c r="X27" s="49" t="s">
        <v>323</v>
      </c>
      <c r="Y27" s="11"/>
      <c r="Z27" s="11"/>
      <c r="AA27" s="11"/>
      <c r="AB27" s="11"/>
      <c r="AC27" s="11"/>
      <c r="AD27" s="12"/>
      <c r="AE27" s="48" t="s">
        <v>268</v>
      </c>
      <c r="AF27" s="12"/>
      <c r="AG27" s="48"/>
      <c r="AH27" s="11"/>
      <c r="AI27" s="12"/>
      <c r="AJ27" s="48"/>
      <c r="AK27" s="11"/>
      <c r="AL27" s="12"/>
      <c r="AM27" s="48"/>
      <c r="AN27" s="11"/>
      <c r="AO27" s="12"/>
      <c r="AP27" s="48"/>
      <c r="AQ27" s="11"/>
      <c r="AR27" s="12"/>
      <c r="AS27" s="48"/>
      <c r="AT27" s="11"/>
      <c r="AU27" s="12"/>
      <c r="AV27" s="48"/>
      <c r="AW27" s="11"/>
      <c r="AX27" s="12"/>
      <c r="AY27" s="48"/>
      <c r="AZ27" s="11"/>
      <c r="BA27" s="12"/>
      <c r="BB27" s="48"/>
      <c r="BC27" s="11"/>
      <c r="BD27" s="12"/>
      <c r="BE27" s="48"/>
      <c r="BF27" s="11"/>
      <c r="BG27" s="12"/>
      <c r="BH27" s="48"/>
      <c r="BI27" s="11"/>
      <c r="BJ27" s="12"/>
      <c r="BK27" s="49" t="s">
        <v>324</v>
      </c>
      <c r="BL27" s="11"/>
      <c r="BM27" s="11"/>
      <c r="BN27" s="11"/>
      <c r="BO27" s="11"/>
      <c r="BP27" s="11"/>
      <c r="BQ27" s="12"/>
    </row>
    <row r="28" ht="22.5" customHeight="1">
      <c r="A28" s="35" t="s">
        <v>325</v>
      </c>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2"/>
    </row>
    <row r="29" ht="159.75" customHeight="1">
      <c r="A29" s="47">
        <v>15.0</v>
      </c>
      <c r="B29" s="49" t="s">
        <v>326</v>
      </c>
      <c r="C29" s="11"/>
      <c r="D29" s="12"/>
      <c r="E29" s="49" t="s">
        <v>327</v>
      </c>
      <c r="F29" s="11"/>
      <c r="G29" s="11"/>
      <c r="H29" s="11"/>
      <c r="I29" s="12"/>
      <c r="J29" s="49" t="s">
        <v>298</v>
      </c>
      <c r="K29" s="11"/>
      <c r="L29" s="11"/>
      <c r="M29" s="11"/>
      <c r="N29" s="11"/>
      <c r="O29" s="11"/>
      <c r="P29" s="12"/>
      <c r="Q29" s="49" t="s">
        <v>328</v>
      </c>
      <c r="R29" s="11"/>
      <c r="S29" s="11"/>
      <c r="T29" s="11"/>
      <c r="U29" s="11"/>
      <c r="V29" s="11"/>
      <c r="W29" s="12"/>
      <c r="X29" s="49" t="s">
        <v>329</v>
      </c>
      <c r="Y29" s="11"/>
      <c r="Z29" s="11"/>
      <c r="AA29" s="11"/>
      <c r="AB29" s="11"/>
      <c r="AC29" s="11"/>
      <c r="AD29" s="12"/>
      <c r="AE29" s="48" t="s">
        <v>201</v>
      </c>
      <c r="AF29" s="12"/>
      <c r="AG29" s="48"/>
      <c r="AH29" s="11"/>
      <c r="AI29" s="12"/>
      <c r="AJ29" s="48"/>
      <c r="AK29" s="11"/>
      <c r="AL29" s="12"/>
      <c r="AM29" s="48"/>
      <c r="AN29" s="11"/>
      <c r="AO29" s="12"/>
      <c r="AP29" s="48"/>
      <c r="AQ29" s="11"/>
      <c r="AR29" s="12"/>
      <c r="AS29" s="48"/>
      <c r="AT29" s="11"/>
      <c r="AU29" s="12"/>
      <c r="AV29" s="48"/>
      <c r="AW29" s="11"/>
      <c r="AX29" s="12"/>
      <c r="AY29" s="48"/>
      <c r="AZ29" s="11"/>
      <c r="BA29" s="12"/>
      <c r="BB29" s="48"/>
      <c r="BC29" s="11"/>
      <c r="BD29" s="12"/>
      <c r="BE29" s="48"/>
      <c r="BF29" s="11"/>
      <c r="BG29" s="12"/>
      <c r="BH29" s="48"/>
      <c r="BI29" s="11"/>
      <c r="BJ29" s="12"/>
      <c r="BK29" s="49"/>
      <c r="BL29" s="11"/>
      <c r="BM29" s="11"/>
      <c r="BN29" s="11"/>
      <c r="BO29" s="11"/>
      <c r="BP29" s="11"/>
      <c r="BQ29" s="12"/>
    </row>
    <row r="30" ht="159.75" customHeight="1">
      <c r="A30" s="47">
        <v>16.0</v>
      </c>
      <c r="B30" s="49" t="s">
        <v>330</v>
      </c>
      <c r="C30" s="11"/>
      <c r="D30" s="12"/>
      <c r="E30" s="49" t="s">
        <v>331</v>
      </c>
      <c r="F30" s="11"/>
      <c r="G30" s="11"/>
      <c r="H30" s="11"/>
      <c r="I30" s="12"/>
      <c r="J30" s="49" t="s">
        <v>298</v>
      </c>
      <c r="K30" s="11"/>
      <c r="L30" s="11"/>
      <c r="M30" s="11"/>
      <c r="N30" s="11"/>
      <c r="O30" s="11"/>
      <c r="P30" s="12"/>
      <c r="Q30" s="49" t="s">
        <v>332</v>
      </c>
      <c r="R30" s="11"/>
      <c r="S30" s="11"/>
      <c r="T30" s="11"/>
      <c r="U30" s="11"/>
      <c r="V30" s="11"/>
      <c r="W30" s="12"/>
      <c r="X30" s="49" t="s">
        <v>333</v>
      </c>
      <c r="Y30" s="11"/>
      <c r="Z30" s="11"/>
      <c r="AA30" s="11"/>
      <c r="AB30" s="11"/>
      <c r="AC30" s="11"/>
      <c r="AD30" s="12"/>
      <c r="AE30" s="48" t="s">
        <v>201</v>
      </c>
      <c r="AF30" s="12"/>
      <c r="AG30" s="48"/>
      <c r="AH30" s="11"/>
      <c r="AI30" s="12"/>
      <c r="AJ30" s="48"/>
      <c r="AK30" s="11"/>
      <c r="AL30" s="12"/>
      <c r="AM30" s="48"/>
      <c r="AN30" s="11"/>
      <c r="AO30" s="12"/>
      <c r="AP30" s="48"/>
      <c r="AQ30" s="11"/>
      <c r="AR30" s="12"/>
      <c r="AS30" s="48"/>
      <c r="AT30" s="11"/>
      <c r="AU30" s="12"/>
      <c r="AV30" s="48"/>
      <c r="AW30" s="11"/>
      <c r="AX30" s="12"/>
      <c r="AY30" s="48"/>
      <c r="AZ30" s="11"/>
      <c r="BA30" s="12"/>
      <c r="BB30" s="48"/>
      <c r="BC30" s="11"/>
      <c r="BD30" s="12"/>
      <c r="BE30" s="48"/>
      <c r="BF30" s="11"/>
      <c r="BG30" s="12"/>
      <c r="BH30" s="48"/>
      <c r="BI30" s="11"/>
      <c r="BJ30" s="12"/>
      <c r="BK30" s="49"/>
      <c r="BL30" s="11"/>
      <c r="BM30" s="11"/>
      <c r="BN30" s="11"/>
      <c r="BO30" s="11"/>
      <c r="BP30" s="11"/>
      <c r="BQ30" s="12"/>
    </row>
    <row r="31" ht="111.75" customHeight="1">
      <c r="A31" s="47">
        <v>17.0</v>
      </c>
      <c r="B31" s="49" t="s">
        <v>334</v>
      </c>
      <c r="C31" s="11"/>
      <c r="D31" s="12"/>
      <c r="E31" s="49" t="s">
        <v>335</v>
      </c>
      <c r="F31" s="11"/>
      <c r="G31" s="11"/>
      <c r="H31" s="11"/>
      <c r="I31" s="12"/>
      <c r="J31" s="49" t="s">
        <v>298</v>
      </c>
      <c r="K31" s="11"/>
      <c r="L31" s="11"/>
      <c r="M31" s="11"/>
      <c r="N31" s="11"/>
      <c r="O31" s="11"/>
      <c r="P31" s="12"/>
      <c r="Q31" s="49" t="s">
        <v>336</v>
      </c>
      <c r="R31" s="11"/>
      <c r="S31" s="11"/>
      <c r="T31" s="11"/>
      <c r="U31" s="11"/>
      <c r="V31" s="11"/>
      <c r="W31" s="12"/>
      <c r="X31" s="49" t="s">
        <v>337</v>
      </c>
      <c r="Y31" s="11"/>
      <c r="Z31" s="11"/>
      <c r="AA31" s="11"/>
      <c r="AB31" s="11"/>
      <c r="AC31" s="11"/>
      <c r="AD31" s="12"/>
      <c r="AE31" s="48" t="s">
        <v>201</v>
      </c>
      <c r="AF31" s="12"/>
      <c r="AG31" s="48"/>
      <c r="AH31" s="11"/>
      <c r="AI31" s="12"/>
      <c r="AJ31" s="48"/>
      <c r="AK31" s="11"/>
      <c r="AL31" s="12"/>
      <c r="AM31" s="48"/>
      <c r="AN31" s="11"/>
      <c r="AO31" s="12"/>
      <c r="AP31" s="48"/>
      <c r="AQ31" s="11"/>
      <c r="AR31" s="12"/>
      <c r="AS31" s="48"/>
      <c r="AT31" s="11"/>
      <c r="AU31" s="12"/>
      <c r="AV31" s="48"/>
      <c r="AW31" s="11"/>
      <c r="AX31" s="12"/>
      <c r="AY31" s="48"/>
      <c r="AZ31" s="11"/>
      <c r="BA31" s="12"/>
      <c r="BB31" s="48"/>
      <c r="BC31" s="11"/>
      <c r="BD31" s="12"/>
      <c r="BE31" s="48"/>
      <c r="BF31" s="11"/>
      <c r="BG31" s="12"/>
      <c r="BH31" s="48"/>
      <c r="BI31" s="11"/>
      <c r="BJ31" s="12"/>
      <c r="BK31" s="49"/>
      <c r="BL31" s="11"/>
      <c r="BM31" s="11"/>
      <c r="BN31" s="11"/>
      <c r="BO31" s="11"/>
      <c r="BP31" s="11"/>
      <c r="BQ31" s="12"/>
    </row>
    <row r="32" ht="255.75" customHeight="1">
      <c r="A32" s="47">
        <v>18.0</v>
      </c>
      <c r="B32" s="49" t="s">
        <v>338</v>
      </c>
      <c r="C32" s="11"/>
      <c r="D32" s="12"/>
      <c r="E32" s="49" t="s">
        <v>339</v>
      </c>
      <c r="F32" s="11"/>
      <c r="G32" s="11"/>
      <c r="H32" s="11"/>
      <c r="I32" s="12"/>
      <c r="J32" s="49" t="s">
        <v>298</v>
      </c>
      <c r="K32" s="11"/>
      <c r="L32" s="11"/>
      <c r="M32" s="11"/>
      <c r="N32" s="11"/>
      <c r="O32" s="11"/>
      <c r="P32" s="12"/>
      <c r="Q32" s="49" t="s">
        <v>340</v>
      </c>
      <c r="R32" s="11"/>
      <c r="S32" s="11"/>
      <c r="T32" s="11"/>
      <c r="U32" s="11"/>
      <c r="V32" s="11"/>
      <c r="W32" s="12"/>
      <c r="X32" s="49" t="s">
        <v>341</v>
      </c>
      <c r="Y32" s="11"/>
      <c r="Z32" s="11"/>
      <c r="AA32" s="11"/>
      <c r="AB32" s="11"/>
      <c r="AC32" s="11"/>
      <c r="AD32" s="12"/>
      <c r="AE32" s="48" t="s">
        <v>205</v>
      </c>
      <c r="AF32" s="12"/>
      <c r="AG32" s="48"/>
      <c r="AH32" s="11"/>
      <c r="AI32" s="12"/>
      <c r="AJ32" s="48"/>
      <c r="AK32" s="11"/>
      <c r="AL32" s="12"/>
      <c r="AM32" s="48"/>
      <c r="AN32" s="11"/>
      <c r="AO32" s="12"/>
      <c r="AP32" s="48"/>
      <c r="AQ32" s="11"/>
      <c r="AR32" s="12"/>
      <c r="AS32" s="48"/>
      <c r="AT32" s="11"/>
      <c r="AU32" s="12"/>
      <c r="AV32" s="48"/>
      <c r="AW32" s="11"/>
      <c r="AX32" s="12"/>
      <c r="AY32" s="48"/>
      <c r="AZ32" s="11"/>
      <c r="BA32" s="12"/>
      <c r="BB32" s="48"/>
      <c r="BC32" s="11"/>
      <c r="BD32" s="12"/>
      <c r="BE32" s="48"/>
      <c r="BF32" s="11"/>
      <c r="BG32" s="12"/>
      <c r="BH32" s="48"/>
      <c r="BI32" s="11"/>
      <c r="BJ32" s="12"/>
      <c r="BK32" s="49"/>
      <c r="BL32" s="11"/>
      <c r="BM32" s="11"/>
      <c r="BN32" s="11"/>
      <c r="BO32" s="11"/>
      <c r="BP32" s="11"/>
      <c r="BQ32" s="12"/>
    </row>
    <row r="33" ht="207.75" customHeight="1">
      <c r="A33" s="47">
        <v>19.0</v>
      </c>
      <c r="B33" s="49" t="s">
        <v>342</v>
      </c>
      <c r="C33" s="11"/>
      <c r="D33" s="12"/>
      <c r="E33" s="49" t="s">
        <v>343</v>
      </c>
      <c r="F33" s="11"/>
      <c r="G33" s="11"/>
      <c r="H33" s="11"/>
      <c r="I33" s="12"/>
      <c r="J33" s="49" t="s">
        <v>298</v>
      </c>
      <c r="K33" s="11"/>
      <c r="L33" s="11"/>
      <c r="M33" s="11"/>
      <c r="N33" s="11"/>
      <c r="O33" s="11"/>
      <c r="P33" s="12"/>
      <c r="Q33" s="49" t="s">
        <v>344</v>
      </c>
      <c r="R33" s="11"/>
      <c r="S33" s="11"/>
      <c r="T33" s="11"/>
      <c r="U33" s="11"/>
      <c r="V33" s="11"/>
      <c r="W33" s="12"/>
      <c r="X33" s="49" t="s">
        <v>345</v>
      </c>
      <c r="Y33" s="11"/>
      <c r="Z33" s="11"/>
      <c r="AA33" s="11"/>
      <c r="AB33" s="11"/>
      <c r="AC33" s="11"/>
      <c r="AD33" s="12"/>
      <c r="AE33" s="48" t="s">
        <v>205</v>
      </c>
      <c r="AF33" s="12"/>
      <c r="AG33" s="48"/>
      <c r="AH33" s="11"/>
      <c r="AI33" s="12"/>
      <c r="AJ33" s="48"/>
      <c r="AK33" s="11"/>
      <c r="AL33" s="12"/>
      <c r="AM33" s="48"/>
      <c r="AN33" s="11"/>
      <c r="AO33" s="12"/>
      <c r="AP33" s="48"/>
      <c r="AQ33" s="11"/>
      <c r="AR33" s="12"/>
      <c r="AS33" s="48"/>
      <c r="AT33" s="11"/>
      <c r="AU33" s="12"/>
      <c r="AV33" s="48"/>
      <c r="AW33" s="11"/>
      <c r="AX33" s="12"/>
      <c r="AY33" s="48"/>
      <c r="AZ33" s="11"/>
      <c r="BA33" s="12"/>
      <c r="BB33" s="48"/>
      <c r="BC33" s="11"/>
      <c r="BD33" s="12"/>
      <c r="BE33" s="48"/>
      <c r="BF33" s="11"/>
      <c r="BG33" s="12"/>
      <c r="BH33" s="48"/>
      <c r="BI33" s="11"/>
      <c r="BJ33" s="12"/>
      <c r="BK33" s="49"/>
      <c r="BL33" s="11"/>
      <c r="BM33" s="11"/>
      <c r="BN33" s="11"/>
      <c r="BO33" s="11"/>
      <c r="BP33" s="11"/>
      <c r="BQ33" s="12"/>
    </row>
    <row r="34" ht="255.75" customHeight="1">
      <c r="A34" s="47">
        <v>20.0</v>
      </c>
      <c r="B34" s="49" t="s">
        <v>346</v>
      </c>
      <c r="C34" s="11"/>
      <c r="D34" s="12"/>
      <c r="E34" s="49" t="s">
        <v>347</v>
      </c>
      <c r="F34" s="11"/>
      <c r="G34" s="11"/>
      <c r="H34" s="11"/>
      <c r="I34" s="12"/>
      <c r="J34" s="49" t="s">
        <v>298</v>
      </c>
      <c r="K34" s="11"/>
      <c r="L34" s="11"/>
      <c r="M34" s="11"/>
      <c r="N34" s="11"/>
      <c r="O34" s="11"/>
      <c r="P34" s="12"/>
      <c r="Q34" s="49" t="s">
        <v>348</v>
      </c>
      <c r="R34" s="11"/>
      <c r="S34" s="11"/>
      <c r="T34" s="11"/>
      <c r="U34" s="11"/>
      <c r="V34" s="11"/>
      <c r="W34" s="12"/>
      <c r="X34" s="49" t="s">
        <v>349</v>
      </c>
      <c r="Y34" s="11"/>
      <c r="Z34" s="11"/>
      <c r="AA34" s="11"/>
      <c r="AB34" s="11"/>
      <c r="AC34" s="11"/>
      <c r="AD34" s="12"/>
      <c r="AE34" s="48" t="s">
        <v>205</v>
      </c>
      <c r="AF34" s="12"/>
      <c r="AG34" s="48"/>
      <c r="AH34" s="11"/>
      <c r="AI34" s="12"/>
      <c r="AJ34" s="48"/>
      <c r="AK34" s="11"/>
      <c r="AL34" s="12"/>
      <c r="AM34" s="48"/>
      <c r="AN34" s="11"/>
      <c r="AO34" s="12"/>
      <c r="AP34" s="48"/>
      <c r="AQ34" s="11"/>
      <c r="AR34" s="12"/>
      <c r="AS34" s="48"/>
      <c r="AT34" s="11"/>
      <c r="AU34" s="12"/>
      <c r="AV34" s="48"/>
      <c r="AW34" s="11"/>
      <c r="AX34" s="12"/>
      <c r="AY34" s="48"/>
      <c r="AZ34" s="11"/>
      <c r="BA34" s="12"/>
      <c r="BB34" s="48"/>
      <c r="BC34" s="11"/>
      <c r="BD34" s="12"/>
      <c r="BE34" s="48"/>
      <c r="BF34" s="11"/>
      <c r="BG34" s="12"/>
      <c r="BH34" s="48"/>
      <c r="BI34" s="11"/>
      <c r="BJ34" s="12"/>
      <c r="BK34" s="49"/>
      <c r="BL34" s="11"/>
      <c r="BM34" s="11"/>
      <c r="BN34" s="11"/>
      <c r="BO34" s="11"/>
      <c r="BP34" s="11"/>
      <c r="BQ34" s="12"/>
    </row>
    <row r="35" ht="192.0" customHeight="1">
      <c r="A35" s="47">
        <v>21.0</v>
      </c>
      <c r="B35" s="49" t="s">
        <v>350</v>
      </c>
      <c r="C35" s="11"/>
      <c r="D35" s="12"/>
      <c r="E35" s="49" t="s">
        <v>351</v>
      </c>
      <c r="F35" s="11"/>
      <c r="G35" s="11"/>
      <c r="H35" s="11"/>
      <c r="I35" s="12"/>
      <c r="J35" s="49" t="s">
        <v>298</v>
      </c>
      <c r="K35" s="11"/>
      <c r="L35" s="11"/>
      <c r="M35" s="11"/>
      <c r="N35" s="11"/>
      <c r="O35" s="11"/>
      <c r="P35" s="12"/>
      <c r="Q35" s="49" t="s">
        <v>352</v>
      </c>
      <c r="R35" s="11"/>
      <c r="S35" s="11"/>
      <c r="T35" s="11"/>
      <c r="U35" s="11"/>
      <c r="V35" s="11"/>
      <c r="W35" s="12"/>
      <c r="X35" s="49" t="s">
        <v>353</v>
      </c>
      <c r="Y35" s="11"/>
      <c r="Z35" s="11"/>
      <c r="AA35" s="11"/>
      <c r="AB35" s="11"/>
      <c r="AC35" s="11"/>
      <c r="AD35" s="12"/>
      <c r="AE35" s="48" t="s">
        <v>205</v>
      </c>
      <c r="AF35" s="12"/>
      <c r="AG35" s="48"/>
      <c r="AH35" s="11"/>
      <c r="AI35" s="12"/>
      <c r="AJ35" s="48"/>
      <c r="AK35" s="11"/>
      <c r="AL35" s="12"/>
      <c r="AM35" s="48"/>
      <c r="AN35" s="11"/>
      <c r="AO35" s="12"/>
      <c r="AP35" s="48"/>
      <c r="AQ35" s="11"/>
      <c r="AR35" s="12"/>
      <c r="AS35" s="48"/>
      <c r="AT35" s="11"/>
      <c r="AU35" s="12"/>
      <c r="AV35" s="48"/>
      <c r="AW35" s="11"/>
      <c r="AX35" s="12"/>
      <c r="AY35" s="48"/>
      <c r="AZ35" s="11"/>
      <c r="BA35" s="12"/>
      <c r="BB35" s="48"/>
      <c r="BC35" s="11"/>
      <c r="BD35" s="12"/>
      <c r="BE35" s="48"/>
      <c r="BF35" s="11"/>
      <c r="BG35" s="12"/>
      <c r="BH35" s="48"/>
      <c r="BI35" s="11"/>
      <c r="BJ35" s="12"/>
      <c r="BK35" s="49"/>
      <c r="BL35" s="11"/>
      <c r="BM35" s="11"/>
      <c r="BN35" s="11"/>
      <c r="BO35" s="11"/>
      <c r="BP35" s="11"/>
      <c r="BQ35" s="12"/>
    </row>
    <row r="36" ht="223.5" customHeight="1">
      <c r="A36" s="47">
        <v>22.0</v>
      </c>
      <c r="B36" s="49" t="s">
        <v>354</v>
      </c>
      <c r="C36" s="11"/>
      <c r="D36" s="12"/>
      <c r="E36" s="49" t="s">
        <v>355</v>
      </c>
      <c r="F36" s="11"/>
      <c r="G36" s="11"/>
      <c r="H36" s="11"/>
      <c r="I36" s="12"/>
      <c r="J36" s="49" t="s">
        <v>298</v>
      </c>
      <c r="K36" s="11"/>
      <c r="L36" s="11"/>
      <c r="M36" s="11"/>
      <c r="N36" s="11"/>
      <c r="O36" s="11"/>
      <c r="P36" s="12"/>
      <c r="Q36" s="49" t="s">
        <v>356</v>
      </c>
      <c r="R36" s="11"/>
      <c r="S36" s="11"/>
      <c r="T36" s="11"/>
      <c r="U36" s="11"/>
      <c r="V36" s="11"/>
      <c r="W36" s="12"/>
      <c r="X36" s="49" t="s">
        <v>357</v>
      </c>
      <c r="Y36" s="11"/>
      <c r="Z36" s="11"/>
      <c r="AA36" s="11"/>
      <c r="AB36" s="11"/>
      <c r="AC36" s="11"/>
      <c r="AD36" s="12"/>
      <c r="AE36" s="48" t="s">
        <v>205</v>
      </c>
      <c r="AF36" s="12"/>
      <c r="AG36" s="48"/>
      <c r="AH36" s="11"/>
      <c r="AI36" s="12"/>
      <c r="AJ36" s="48"/>
      <c r="AK36" s="11"/>
      <c r="AL36" s="12"/>
      <c r="AM36" s="48"/>
      <c r="AN36" s="11"/>
      <c r="AO36" s="12"/>
      <c r="AP36" s="48"/>
      <c r="AQ36" s="11"/>
      <c r="AR36" s="12"/>
      <c r="AS36" s="48"/>
      <c r="AT36" s="11"/>
      <c r="AU36" s="12"/>
      <c r="AV36" s="48"/>
      <c r="AW36" s="11"/>
      <c r="AX36" s="12"/>
      <c r="AY36" s="48"/>
      <c r="AZ36" s="11"/>
      <c r="BA36" s="12"/>
      <c r="BB36" s="48"/>
      <c r="BC36" s="11"/>
      <c r="BD36" s="12"/>
      <c r="BE36" s="48"/>
      <c r="BF36" s="11"/>
      <c r="BG36" s="12"/>
      <c r="BH36" s="48"/>
      <c r="BI36" s="11"/>
      <c r="BJ36" s="12"/>
      <c r="BK36" s="49"/>
      <c r="BL36" s="11"/>
      <c r="BM36" s="11"/>
      <c r="BN36" s="11"/>
      <c r="BO36" s="11"/>
      <c r="BP36" s="11"/>
      <c r="BQ36" s="12"/>
    </row>
    <row r="37" ht="192.0" customHeight="1">
      <c r="A37" s="47">
        <v>23.0</v>
      </c>
      <c r="B37" s="49" t="s">
        <v>358</v>
      </c>
      <c r="C37" s="11"/>
      <c r="D37" s="12"/>
      <c r="E37" s="49" t="s">
        <v>359</v>
      </c>
      <c r="F37" s="11"/>
      <c r="G37" s="11"/>
      <c r="H37" s="11"/>
      <c r="I37" s="12"/>
      <c r="J37" s="49" t="s">
        <v>298</v>
      </c>
      <c r="K37" s="11"/>
      <c r="L37" s="11"/>
      <c r="M37" s="11"/>
      <c r="N37" s="11"/>
      <c r="O37" s="11"/>
      <c r="P37" s="12"/>
      <c r="Q37" s="49" t="s">
        <v>360</v>
      </c>
      <c r="R37" s="11"/>
      <c r="S37" s="11"/>
      <c r="T37" s="11"/>
      <c r="U37" s="11"/>
      <c r="V37" s="11"/>
      <c r="W37" s="12"/>
      <c r="X37" s="49" t="s">
        <v>361</v>
      </c>
      <c r="Y37" s="11"/>
      <c r="Z37" s="11"/>
      <c r="AA37" s="11"/>
      <c r="AB37" s="11"/>
      <c r="AC37" s="11"/>
      <c r="AD37" s="12"/>
      <c r="AE37" s="48" t="s">
        <v>205</v>
      </c>
      <c r="AF37" s="12"/>
      <c r="AG37" s="48"/>
      <c r="AH37" s="11"/>
      <c r="AI37" s="12"/>
      <c r="AJ37" s="48"/>
      <c r="AK37" s="11"/>
      <c r="AL37" s="12"/>
      <c r="AM37" s="48"/>
      <c r="AN37" s="11"/>
      <c r="AO37" s="12"/>
      <c r="AP37" s="48"/>
      <c r="AQ37" s="11"/>
      <c r="AR37" s="12"/>
      <c r="AS37" s="48"/>
      <c r="AT37" s="11"/>
      <c r="AU37" s="12"/>
      <c r="AV37" s="48"/>
      <c r="AW37" s="11"/>
      <c r="AX37" s="12"/>
      <c r="AY37" s="48"/>
      <c r="AZ37" s="11"/>
      <c r="BA37" s="12"/>
      <c r="BB37" s="48"/>
      <c r="BC37" s="11"/>
      <c r="BD37" s="12"/>
      <c r="BE37" s="48"/>
      <c r="BF37" s="11"/>
      <c r="BG37" s="12"/>
      <c r="BH37" s="48"/>
      <c r="BI37" s="11"/>
      <c r="BJ37" s="12"/>
      <c r="BK37" s="49"/>
      <c r="BL37" s="11"/>
      <c r="BM37" s="11"/>
      <c r="BN37" s="11"/>
      <c r="BO37" s="11"/>
      <c r="BP37" s="11"/>
      <c r="BQ37" s="12"/>
    </row>
    <row r="38" ht="127.5" customHeight="1">
      <c r="A38" s="47">
        <v>24.0</v>
      </c>
      <c r="B38" s="49" t="s">
        <v>362</v>
      </c>
      <c r="C38" s="11"/>
      <c r="D38" s="12"/>
      <c r="E38" s="49" t="s">
        <v>363</v>
      </c>
      <c r="F38" s="11"/>
      <c r="G38" s="11"/>
      <c r="H38" s="11"/>
      <c r="I38" s="12"/>
      <c r="J38" s="49" t="s">
        <v>298</v>
      </c>
      <c r="K38" s="11"/>
      <c r="L38" s="11"/>
      <c r="M38" s="11"/>
      <c r="N38" s="11"/>
      <c r="O38" s="11"/>
      <c r="P38" s="12"/>
      <c r="Q38" s="49" t="s">
        <v>364</v>
      </c>
      <c r="R38" s="11"/>
      <c r="S38" s="11"/>
      <c r="T38" s="11"/>
      <c r="U38" s="11"/>
      <c r="V38" s="11"/>
      <c r="W38" s="12"/>
      <c r="X38" s="49" t="s">
        <v>365</v>
      </c>
      <c r="Y38" s="11"/>
      <c r="Z38" s="11"/>
      <c r="AA38" s="11"/>
      <c r="AB38" s="11"/>
      <c r="AC38" s="11"/>
      <c r="AD38" s="12"/>
      <c r="AE38" s="48" t="s">
        <v>268</v>
      </c>
      <c r="AF38" s="12"/>
      <c r="AG38" s="48"/>
      <c r="AH38" s="11"/>
      <c r="AI38" s="12"/>
      <c r="AJ38" s="48"/>
      <c r="AK38" s="11"/>
      <c r="AL38" s="12"/>
      <c r="AM38" s="48"/>
      <c r="AN38" s="11"/>
      <c r="AO38" s="12"/>
      <c r="AP38" s="48"/>
      <c r="AQ38" s="11"/>
      <c r="AR38" s="12"/>
      <c r="AS38" s="48"/>
      <c r="AT38" s="11"/>
      <c r="AU38" s="12"/>
      <c r="AV38" s="48"/>
      <c r="AW38" s="11"/>
      <c r="AX38" s="12"/>
      <c r="AY38" s="48"/>
      <c r="AZ38" s="11"/>
      <c r="BA38" s="12"/>
      <c r="BB38" s="48"/>
      <c r="BC38" s="11"/>
      <c r="BD38" s="12"/>
      <c r="BE38" s="48"/>
      <c r="BF38" s="11"/>
      <c r="BG38" s="12"/>
      <c r="BH38" s="48"/>
      <c r="BI38" s="11"/>
      <c r="BJ38" s="12"/>
      <c r="BK38" s="49"/>
      <c r="BL38" s="11"/>
      <c r="BM38" s="11"/>
      <c r="BN38" s="11"/>
      <c r="BO38" s="11"/>
      <c r="BP38" s="11"/>
      <c r="BQ38" s="12"/>
    </row>
    <row r="39" ht="192.0" customHeight="1">
      <c r="A39" s="47">
        <v>25.0</v>
      </c>
      <c r="B39" s="49" t="s">
        <v>366</v>
      </c>
      <c r="C39" s="11"/>
      <c r="D39" s="12"/>
      <c r="E39" s="49" t="s">
        <v>367</v>
      </c>
      <c r="F39" s="11"/>
      <c r="G39" s="11"/>
      <c r="H39" s="11"/>
      <c r="I39" s="12"/>
      <c r="J39" s="49" t="s">
        <v>298</v>
      </c>
      <c r="K39" s="11"/>
      <c r="L39" s="11"/>
      <c r="M39" s="11"/>
      <c r="N39" s="11"/>
      <c r="O39" s="11"/>
      <c r="P39" s="12"/>
      <c r="Q39" s="49" t="s">
        <v>368</v>
      </c>
      <c r="R39" s="11"/>
      <c r="S39" s="11"/>
      <c r="T39" s="11"/>
      <c r="U39" s="11"/>
      <c r="V39" s="11"/>
      <c r="W39" s="12"/>
      <c r="X39" s="49" t="s">
        <v>369</v>
      </c>
      <c r="Y39" s="11"/>
      <c r="Z39" s="11"/>
      <c r="AA39" s="11"/>
      <c r="AB39" s="11"/>
      <c r="AC39" s="11"/>
      <c r="AD39" s="12"/>
      <c r="AE39" s="48" t="s">
        <v>205</v>
      </c>
      <c r="AF39" s="12"/>
      <c r="AG39" s="48"/>
      <c r="AH39" s="11"/>
      <c r="AI39" s="12"/>
      <c r="AJ39" s="48"/>
      <c r="AK39" s="11"/>
      <c r="AL39" s="12"/>
      <c r="AM39" s="48"/>
      <c r="AN39" s="11"/>
      <c r="AO39" s="12"/>
      <c r="AP39" s="48"/>
      <c r="AQ39" s="11"/>
      <c r="AR39" s="12"/>
      <c r="AS39" s="48"/>
      <c r="AT39" s="11"/>
      <c r="AU39" s="12"/>
      <c r="AV39" s="48"/>
      <c r="AW39" s="11"/>
      <c r="AX39" s="12"/>
      <c r="AY39" s="48"/>
      <c r="AZ39" s="11"/>
      <c r="BA39" s="12"/>
      <c r="BB39" s="48"/>
      <c r="BC39" s="11"/>
      <c r="BD39" s="12"/>
      <c r="BE39" s="48"/>
      <c r="BF39" s="11"/>
      <c r="BG39" s="12"/>
      <c r="BH39" s="48"/>
      <c r="BI39" s="11"/>
      <c r="BJ39" s="12"/>
      <c r="BK39" s="49"/>
      <c r="BL39" s="11"/>
      <c r="BM39" s="11"/>
      <c r="BN39" s="11"/>
      <c r="BO39" s="11"/>
      <c r="BP39" s="11"/>
      <c r="BQ39" s="12"/>
    </row>
    <row r="40" ht="159.75" customHeight="1">
      <c r="A40" s="47">
        <v>26.0</v>
      </c>
      <c r="B40" s="49" t="s">
        <v>370</v>
      </c>
      <c r="C40" s="11"/>
      <c r="D40" s="12"/>
      <c r="E40" s="49" t="s">
        <v>371</v>
      </c>
      <c r="F40" s="11"/>
      <c r="G40" s="11"/>
      <c r="H40" s="11"/>
      <c r="I40" s="12"/>
      <c r="J40" s="49" t="s">
        <v>298</v>
      </c>
      <c r="K40" s="11"/>
      <c r="L40" s="11"/>
      <c r="M40" s="11"/>
      <c r="N40" s="11"/>
      <c r="O40" s="11"/>
      <c r="P40" s="12"/>
      <c r="Q40" s="49" t="s">
        <v>372</v>
      </c>
      <c r="R40" s="11"/>
      <c r="S40" s="11"/>
      <c r="T40" s="11"/>
      <c r="U40" s="11"/>
      <c r="V40" s="11"/>
      <c r="W40" s="12"/>
      <c r="X40" s="49" t="s">
        <v>373</v>
      </c>
      <c r="Y40" s="11"/>
      <c r="Z40" s="11"/>
      <c r="AA40" s="11"/>
      <c r="AB40" s="11"/>
      <c r="AC40" s="11"/>
      <c r="AD40" s="12"/>
      <c r="AE40" s="48" t="s">
        <v>201</v>
      </c>
      <c r="AF40" s="12"/>
      <c r="AG40" s="48"/>
      <c r="AH40" s="11"/>
      <c r="AI40" s="12"/>
      <c r="AJ40" s="48"/>
      <c r="AK40" s="11"/>
      <c r="AL40" s="12"/>
      <c r="AM40" s="48"/>
      <c r="AN40" s="11"/>
      <c r="AO40" s="12"/>
      <c r="AP40" s="48"/>
      <c r="AQ40" s="11"/>
      <c r="AR40" s="12"/>
      <c r="AS40" s="48"/>
      <c r="AT40" s="11"/>
      <c r="AU40" s="12"/>
      <c r="AV40" s="48"/>
      <c r="AW40" s="11"/>
      <c r="AX40" s="12"/>
      <c r="AY40" s="48"/>
      <c r="AZ40" s="11"/>
      <c r="BA40" s="12"/>
      <c r="BB40" s="48"/>
      <c r="BC40" s="11"/>
      <c r="BD40" s="12"/>
      <c r="BE40" s="48"/>
      <c r="BF40" s="11"/>
      <c r="BG40" s="12"/>
      <c r="BH40" s="48"/>
      <c r="BI40" s="11"/>
      <c r="BJ40" s="12"/>
      <c r="BK40" s="49"/>
      <c r="BL40" s="11"/>
      <c r="BM40" s="11"/>
      <c r="BN40" s="11"/>
      <c r="BO40" s="11"/>
      <c r="BP40" s="11"/>
      <c r="BQ40" s="12"/>
    </row>
    <row r="41" ht="127.5" customHeight="1">
      <c r="A41" s="47">
        <v>27.0</v>
      </c>
      <c r="B41" s="49" t="s">
        <v>374</v>
      </c>
      <c r="C41" s="11"/>
      <c r="D41" s="12"/>
      <c r="E41" s="49" t="s">
        <v>375</v>
      </c>
      <c r="F41" s="11"/>
      <c r="G41" s="11"/>
      <c r="H41" s="11"/>
      <c r="I41" s="12"/>
      <c r="J41" s="49" t="s">
        <v>298</v>
      </c>
      <c r="K41" s="11"/>
      <c r="L41" s="11"/>
      <c r="M41" s="11"/>
      <c r="N41" s="11"/>
      <c r="O41" s="11"/>
      <c r="P41" s="12"/>
      <c r="Q41" s="49" t="s">
        <v>376</v>
      </c>
      <c r="R41" s="11"/>
      <c r="S41" s="11"/>
      <c r="T41" s="11"/>
      <c r="U41" s="11"/>
      <c r="V41" s="11"/>
      <c r="W41" s="12"/>
      <c r="X41" s="49" t="s">
        <v>377</v>
      </c>
      <c r="Y41" s="11"/>
      <c r="Z41" s="11"/>
      <c r="AA41" s="11"/>
      <c r="AB41" s="11"/>
      <c r="AC41" s="11"/>
      <c r="AD41" s="12"/>
      <c r="AE41" s="48" t="s">
        <v>201</v>
      </c>
      <c r="AF41" s="12"/>
      <c r="AG41" s="48"/>
      <c r="AH41" s="11"/>
      <c r="AI41" s="12"/>
      <c r="AJ41" s="48"/>
      <c r="AK41" s="11"/>
      <c r="AL41" s="12"/>
      <c r="AM41" s="48"/>
      <c r="AN41" s="11"/>
      <c r="AO41" s="12"/>
      <c r="AP41" s="48"/>
      <c r="AQ41" s="11"/>
      <c r="AR41" s="12"/>
      <c r="AS41" s="48"/>
      <c r="AT41" s="11"/>
      <c r="AU41" s="12"/>
      <c r="AV41" s="48"/>
      <c r="AW41" s="11"/>
      <c r="AX41" s="12"/>
      <c r="AY41" s="48"/>
      <c r="AZ41" s="11"/>
      <c r="BA41" s="12"/>
      <c r="BB41" s="48"/>
      <c r="BC41" s="11"/>
      <c r="BD41" s="12"/>
      <c r="BE41" s="48"/>
      <c r="BF41" s="11"/>
      <c r="BG41" s="12"/>
      <c r="BH41" s="48"/>
      <c r="BI41" s="11"/>
      <c r="BJ41" s="12"/>
      <c r="BK41" s="49" t="s">
        <v>324</v>
      </c>
      <c r="BL41" s="11"/>
      <c r="BM41" s="11"/>
      <c r="BN41" s="11"/>
      <c r="BO41" s="11"/>
      <c r="BP41" s="11"/>
      <c r="BQ41" s="12"/>
    </row>
    <row r="42" ht="22.5" customHeight="1">
      <c r="A42" s="35" t="s">
        <v>378</v>
      </c>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O42" s="11"/>
      <c r="BP42" s="11"/>
      <c r="BQ42" s="12"/>
    </row>
    <row r="43" ht="223.5" customHeight="1">
      <c r="A43" s="47">
        <v>28.0</v>
      </c>
      <c r="B43" s="49" t="s">
        <v>379</v>
      </c>
      <c r="C43" s="11"/>
      <c r="D43" s="12"/>
      <c r="E43" s="49" t="s">
        <v>380</v>
      </c>
      <c r="F43" s="11"/>
      <c r="G43" s="11"/>
      <c r="H43" s="11"/>
      <c r="I43" s="12"/>
      <c r="J43" s="49" t="s">
        <v>381</v>
      </c>
      <c r="K43" s="11"/>
      <c r="L43" s="11"/>
      <c r="M43" s="11"/>
      <c r="N43" s="11"/>
      <c r="O43" s="11"/>
      <c r="P43" s="12"/>
      <c r="Q43" s="49" t="s">
        <v>382</v>
      </c>
      <c r="R43" s="11"/>
      <c r="S43" s="11"/>
      <c r="T43" s="11"/>
      <c r="U43" s="11"/>
      <c r="V43" s="11"/>
      <c r="W43" s="12"/>
      <c r="X43" s="49" t="s">
        <v>383</v>
      </c>
      <c r="Y43" s="11"/>
      <c r="Z43" s="11"/>
      <c r="AA43" s="11"/>
      <c r="AB43" s="11"/>
      <c r="AC43" s="11"/>
      <c r="AD43" s="12"/>
      <c r="AE43" s="48" t="s">
        <v>268</v>
      </c>
      <c r="AF43" s="12"/>
      <c r="AG43" s="48"/>
      <c r="AH43" s="11"/>
      <c r="AI43" s="12"/>
      <c r="AJ43" s="48"/>
      <c r="AK43" s="11"/>
      <c r="AL43" s="12"/>
      <c r="AM43" s="48"/>
      <c r="AN43" s="11"/>
      <c r="AO43" s="12"/>
      <c r="AP43" s="48"/>
      <c r="AQ43" s="11"/>
      <c r="AR43" s="12"/>
      <c r="AS43" s="48"/>
      <c r="AT43" s="11"/>
      <c r="AU43" s="12"/>
      <c r="AV43" s="48"/>
      <c r="AW43" s="11"/>
      <c r="AX43" s="12"/>
      <c r="AY43" s="48"/>
      <c r="AZ43" s="11"/>
      <c r="BA43" s="12"/>
      <c r="BB43" s="48"/>
      <c r="BC43" s="11"/>
      <c r="BD43" s="12"/>
      <c r="BE43" s="48"/>
      <c r="BF43" s="11"/>
      <c r="BG43" s="12"/>
      <c r="BH43" s="48"/>
      <c r="BI43" s="11"/>
      <c r="BJ43" s="12"/>
      <c r="BK43" s="49"/>
      <c r="BL43" s="11"/>
      <c r="BM43" s="11"/>
      <c r="BN43" s="11"/>
      <c r="BO43" s="11"/>
      <c r="BP43" s="11"/>
      <c r="BQ43" s="12"/>
    </row>
    <row r="44" ht="255.75" customHeight="1">
      <c r="A44" s="47">
        <v>29.0</v>
      </c>
      <c r="B44" s="49" t="s">
        <v>384</v>
      </c>
      <c r="C44" s="11"/>
      <c r="D44" s="12"/>
      <c r="E44" s="49" t="s">
        <v>385</v>
      </c>
      <c r="F44" s="11"/>
      <c r="G44" s="11"/>
      <c r="H44" s="11"/>
      <c r="I44" s="12"/>
      <c r="J44" s="49" t="s">
        <v>386</v>
      </c>
      <c r="K44" s="11"/>
      <c r="L44" s="11"/>
      <c r="M44" s="11"/>
      <c r="N44" s="11"/>
      <c r="O44" s="11"/>
      <c r="P44" s="12"/>
      <c r="Q44" s="49" t="s">
        <v>387</v>
      </c>
      <c r="R44" s="11"/>
      <c r="S44" s="11"/>
      <c r="T44" s="11"/>
      <c r="U44" s="11"/>
      <c r="V44" s="11"/>
      <c r="W44" s="12"/>
      <c r="X44" s="49" t="s">
        <v>388</v>
      </c>
      <c r="Y44" s="11"/>
      <c r="Z44" s="11"/>
      <c r="AA44" s="11"/>
      <c r="AB44" s="11"/>
      <c r="AC44" s="11"/>
      <c r="AD44" s="12"/>
      <c r="AE44" s="48" t="s">
        <v>268</v>
      </c>
      <c r="AF44" s="12"/>
      <c r="AG44" s="48"/>
      <c r="AH44" s="11"/>
      <c r="AI44" s="12"/>
      <c r="AJ44" s="48"/>
      <c r="AK44" s="11"/>
      <c r="AL44" s="12"/>
      <c r="AM44" s="48"/>
      <c r="AN44" s="11"/>
      <c r="AO44" s="12"/>
      <c r="AP44" s="48"/>
      <c r="AQ44" s="11"/>
      <c r="AR44" s="12"/>
      <c r="AS44" s="48"/>
      <c r="AT44" s="11"/>
      <c r="AU44" s="12"/>
      <c r="AV44" s="48"/>
      <c r="AW44" s="11"/>
      <c r="AX44" s="12"/>
      <c r="AY44" s="48"/>
      <c r="AZ44" s="11"/>
      <c r="BA44" s="12"/>
      <c r="BB44" s="48"/>
      <c r="BC44" s="11"/>
      <c r="BD44" s="12"/>
      <c r="BE44" s="48"/>
      <c r="BF44" s="11"/>
      <c r="BG44" s="12"/>
      <c r="BH44" s="48"/>
      <c r="BI44" s="11"/>
      <c r="BJ44" s="12"/>
      <c r="BK44" s="49"/>
      <c r="BL44" s="11"/>
      <c r="BM44" s="11"/>
      <c r="BN44" s="11"/>
      <c r="BO44" s="11"/>
      <c r="BP44" s="11"/>
      <c r="BQ44" s="12"/>
    </row>
    <row r="45" ht="271.5" customHeight="1">
      <c r="A45" s="47">
        <v>30.0</v>
      </c>
      <c r="B45" s="49" t="s">
        <v>389</v>
      </c>
      <c r="C45" s="11"/>
      <c r="D45" s="12"/>
      <c r="E45" s="49" t="s">
        <v>390</v>
      </c>
      <c r="F45" s="11"/>
      <c r="G45" s="11"/>
      <c r="H45" s="11"/>
      <c r="I45" s="12"/>
      <c r="J45" s="49" t="s">
        <v>298</v>
      </c>
      <c r="K45" s="11"/>
      <c r="L45" s="11"/>
      <c r="M45" s="11"/>
      <c r="N45" s="11"/>
      <c r="O45" s="11"/>
      <c r="P45" s="12"/>
      <c r="Q45" s="49" t="s">
        <v>391</v>
      </c>
      <c r="R45" s="11"/>
      <c r="S45" s="11"/>
      <c r="T45" s="11"/>
      <c r="U45" s="11"/>
      <c r="V45" s="11"/>
      <c r="W45" s="12"/>
      <c r="X45" s="49" t="s">
        <v>392</v>
      </c>
      <c r="Y45" s="11"/>
      <c r="Z45" s="11"/>
      <c r="AA45" s="11"/>
      <c r="AB45" s="11"/>
      <c r="AC45" s="11"/>
      <c r="AD45" s="12"/>
      <c r="AE45" s="48" t="s">
        <v>268</v>
      </c>
      <c r="AF45" s="12"/>
      <c r="AG45" s="48"/>
      <c r="AH45" s="11"/>
      <c r="AI45" s="12"/>
      <c r="AJ45" s="48"/>
      <c r="AK45" s="11"/>
      <c r="AL45" s="12"/>
      <c r="AM45" s="48"/>
      <c r="AN45" s="11"/>
      <c r="AO45" s="12"/>
      <c r="AP45" s="48"/>
      <c r="AQ45" s="11"/>
      <c r="AR45" s="12"/>
      <c r="AS45" s="48"/>
      <c r="AT45" s="11"/>
      <c r="AU45" s="12"/>
      <c r="AV45" s="48"/>
      <c r="AW45" s="11"/>
      <c r="AX45" s="12"/>
      <c r="AY45" s="48"/>
      <c r="AZ45" s="11"/>
      <c r="BA45" s="12"/>
      <c r="BB45" s="48"/>
      <c r="BC45" s="11"/>
      <c r="BD45" s="12"/>
      <c r="BE45" s="48"/>
      <c r="BF45" s="11"/>
      <c r="BG45" s="12"/>
      <c r="BH45" s="48"/>
      <c r="BI45" s="11"/>
      <c r="BJ45" s="12"/>
      <c r="BK45" s="49"/>
      <c r="BL45" s="11"/>
      <c r="BM45" s="11"/>
      <c r="BN45" s="11"/>
      <c r="BO45" s="11"/>
      <c r="BP45" s="11"/>
      <c r="BQ45" s="12"/>
    </row>
    <row r="46" ht="319.5" customHeight="1">
      <c r="A46" s="47">
        <v>31.0</v>
      </c>
      <c r="B46" s="49" t="s">
        <v>393</v>
      </c>
      <c r="C46" s="11"/>
      <c r="D46" s="12"/>
      <c r="E46" s="49" t="s">
        <v>394</v>
      </c>
      <c r="F46" s="11"/>
      <c r="G46" s="11"/>
      <c r="H46" s="11"/>
      <c r="I46" s="12"/>
      <c r="J46" s="49" t="s">
        <v>395</v>
      </c>
      <c r="K46" s="11"/>
      <c r="L46" s="11"/>
      <c r="M46" s="11"/>
      <c r="N46" s="11"/>
      <c r="O46" s="11"/>
      <c r="P46" s="12"/>
      <c r="Q46" s="49" t="s">
        <v>396</v>
      </c>
      <c r="R46" s="11"/>
      <c r="S46" s="11"/>
      <c r="T46" s="11"/>
      <c r="U46" s="11"/>
      <c r="V46" s="11"/>
      <c r="W46" s="12"/>
      <c r="X46" s="49" t="s">
        <v>397</v>
      </c>
      <c r="Y46" s="11"/>
      <c r="Z46" s="11"/>
      <c r="AA46" s="11"/>
      <c r="AB46" s="11"/>
      <c r="AC46" s="11"/>
      <c r="AD46" s="12"/>
      <c r="AE46" s="48" t="s">
        <v>268</v>
      </c>
      <c r="AF46" s="12"/>
      <c r="AG46" s="48"/>
      <c r="AH46" s="11"/>
      <c r="AI46" s="12"/>
      <c r="AJ46" s="48"/>
      <c r="AK46" s="11"/>
      <c r="AL46" s="12"/>
      <c r="AM46" s="48"/>
      <c r="AN46" s="11"/>
      <c r="AO46" s="12"/>
      <c r="AP46" s="48"/>
      <c r="AQ46" s="11"/>
      <c r="AR46" s="12"/>
      <c r="AS46" s="48"/>
      <c r="AT46" s="11"/>
      <c r="AU46" s="12"/>
      <c r="AV46" s="48"/>
      <c r="AW46" s="11"/>
      <c r="AX46" s="12"/>
      <c r="AY46" s="48"/>
      <c r="AZ46" s="11"/>
      <c r="BA46" s="12"/>
      <c r="BB46" s="48"/>
      <c r="BC46" s="11"/>
      <c r="BD46" s="12"/>
      <c r="BE46" s="48"/>
      <c r="BF46" s="11"/>
      <c r="BG46" s="12"/>
      <c r="BH46" s="48"/>
      <c r="BI46" s="11"/>
      <c r="BJ46" s="12"/>
      <c r="BK46" s="49"/>
      <c r="BL46" s="11"/>
      <c r="BM46" s="11"/>
      <c r="BN46" s="11"/>
      <c r="BO46" s="11"/>
      <c r="BP46" s="11"/>
      <c r="BQ46" s="12"/>
    </row>
    <row r="47" ht="271.5" customHeight="1">
      <c r="A47" s="62">
        <v>32.0</v>
      </c>
      <c r="B47" s="58" t="s">
        <v>398</v>
      </c>
      <c r="C47" s="11"/>
      <c r="D47" s="12"/>
      <c r="E47" s="58" t="s">
        <v>399</v>
      </c>
      <c r="F47" s="11"/>
      <c r="G47" s="11"/>
      <c r="H47" s="11"/>
      <c r="I47" s="12"/>
      <c r="J47" s="58" t="s">
        <v>298</v>
      </c>
      <c r="K47" s="11"/>
      <c r="L47" s="11"/>
      <c r="M47" s="11"/>
      <c r="N47" s="11"/>
      <c r="O47" s="11"/>
      <c r="P47" s="12"/>
      <c r="Q47" s="58" t="s">
        <v>400</v>
      </c>
      <c r="R47" s="11"/>
      <c r="S47" s="11"/>
      <c r="T47" s="11"/>
      <c r="U47" s="11"/>
      <c r="V47" s="11"/>
      <c r="W47" s="12"/>
      <c r="X47" s="58" t="s">
        <v>401</v>
      </c>
      <c r="Y47" s="11"/>
      <c r="Z47" s="11"/>
      <c r="AA47" s="11"/>
      <c r="AB47" s="11"/>
      <c r="AC47" s="11"/>
      <c r="AD47" s="12"/>
      <c r="AE47" s="59" t="s">
        <v>268</v>
      </c>
      <c r="AF47" s="12"/>
      <c r="AG47" s="59"/>
      <c r="AH47" s="11"/>
      <c r="AI47" s="12"/>
      <c r="AJ47" s="48"/>
      <c r="AK47" s="11"/>
      <c r="AL47" s="12"/>
      <c r="AM47" s="48"/>
      <c r="AN47" s="11"/>
      <c r="AO47" s="12"/>
      <c r="AP47" s="48"/>
      <c r="AQ47" s="11"/>
      <c r="AR47" s="12"/>
      <c r="AS47" s="48"/>
      <c r="AT47" s="11"/>
      <c r="AU47" s="12"/>
      <c r="AV47" s="48"/>
      <c r="AW47" s="11"/>
      <c r="AX47" s="12"/>
      <c r="AY47" s="48"/>
      <c r="AZ47" s="11"/>
      <c r="BA47" s="12"/>
      <c r="BB47" s="48"/>
      <c r="BC47" s="11"/>
      <c r="BD47" s="12"/>
      <c r="BE47" s="48"/>
      <c r="BF47" s="11"/>
      <c r="BG47" s="12"/>
      <c r="BH47" s="48"/>
      <c r="BI47" s="11"/>
      <c r="BJ47" s="12"/>
      <c r="BK47" s="61" t="s">
        <v>402</v>
      </c>
      <c r="BL47" s="11"/>
      <c r="BM47" s="11"/>
      <c r="BN47" s="11"/>
      <c r="BO47" s="11"/>
      <c r="BP47" s="11"/>
      <c r="BQ47" s="12"/>
    </row>
    <row r="48" ht="288.0" customHeight="1">
      <c r="A48" s="62">
        <v>33.0</v>
      </c>
      <c r="B48" s="58" t="s">
        <v>403</v>
      </c>
      <c r="C48" s="11"/>
      <c r="D48" s="12"/>
      <c r="E48" s="58" t="s">
        <v>404</v>
      </c>
      <c r="F48" s="11"/>
      <c r="G48" s="11"/>
      <c r="H48" s="11"/>
      <c r="I48" s="12"/>
      <c r="J48" s="58" t="s">
        <v>298</v>
      </c>
      <c r="K48" s="11"/>
      <c r="L48" s="11"/>
      <c r="M48" s="11"/>
      <c r="N48" s="11"/>
      <c r="O48" s="11"/>
      <c r="P48" s="12"/>
      <c r="Q48" s="58" t="s">
        <v>405</v>
      </c>
      <c r="R48" s="11"/>
      <c r="S48" s="11"/>
      <c r="T48" s="11"/>
      <c r="U48" s="11"/>
      <c r="V48" s="11"/>
      <c r="W48" s="12"/>
      <c r="X48" s="58" t="s">
        <v>406</v>
      </c>
      <c r="Y48" s="11"/>
      <c r="Z48" s="11"/>
      <c r="AA48" s="11"/>
      <c r="AB48" s="11"/>
      <c r="AC48" s="11"/>
      <c r="AD48" s="12"/>
      <c r="AE48" s="59" t="s">
        <v>268</v>
      </c>
      <c r="AF48" s="12"/>
      <c r="AG48" s="60" t="s">
        <v>54</v>
      </c>
      <c r="AH48" s="11"/>
      <c r="AI48" s="12"/>
      <c r="AJ48" s="48"/>
      <c r="AK48" s="11"/>
      <c r="AL48" s="12"/>
      <c r="AM48" s="48"/>
      <c r="AN48" s="11"/>
      <c r="AO48" s="12"/>
      <c r="AP48" s="48"/>
      <c r="AQ48" s="11"/>
      <c r="AR48" s="12"/>
      <c r="AS48" s="48"/>
      <c r="AT48" s="11"/>
      <c r="AU48" s="12"/>
      <c r="AV48" s="48"/>
      <c r="AW48" s="11"/>
      <c r="AX48" s="12"/>
      <c r="AY48" s="48"/>
      <c r="AZ48" s="11"/>
      <c r="BA48" s="12"/>
      <c r="BB48" s="48"/>
      <c r="BC48" s="11"/>
      <c r="BD48" s="12"/>
      <c r="BE48" s="48"/>
      <c r="BF48" s="11"/>
      <c r="BG48" s="12"/>
      <c r="BH48" s="48"/>
      <c r="BI48" s="11"/>
      <c r="BJ48" s="12"/>
      <c r="BK48" s="49"/>
      <c r="BL48" s="11"/>
      <c r="BM48" s="11"/>
      <c r="BN48" s="11"/>
      <c r="BO48" s="11"/>
      <c r="BP48" s="11"/>
      <c r="BQ48" s="12"/>
    </row>
    <row r="49" ht="144.0" customHeight="1">
      <c r="A49" s="47">
        <v>34.0</v>
      </c>
      <c r="B49" s="49" t="s">
        <v>407</v>
      </c>
      <c r="C49" s="11"/>
      <c r="D49" s="12"/>
      <c r="E49" s="49" t="s">
        <v>408</v>
      </c>
      <c r="F49" s="11"/>
      <c r="G49" s="11"/>
      <c r="H49" s="11"/>
      <c r="I49" s="12"/>
      <c r="J49" s="49" t="s">
        <v>409</v>
      </c>
      <c r="K49" s="11"/>
      <c r="L49" s="11"/>
      <c r="M49" s="11"/>
      <c r="N49" s="11"/>
      <c r="O49" s="11"/>
      <c r="P49" s="12"/>
      <c r="Q49" s="49" t="s">
        <v>410</v>
      </c>
      <c r="R49" s="11"/>
      <c r="S49" s="11"/>
      <c r="T49" s="11"/>
      <c r="U49" s="11"/>
      <c r="V49" s="11"/>
      <c r="W49" s="12"/>
      <c r="X49" s="49" t="s">
        <v>411</v>
      </c>
      <c r="Y49" s="11"/>
      <c r="Z49" s="11"/>
      <c r="AA49" s="11"/>
      <c r="AB49" s="11"/>
      <c r="AC49" s="11"/>
      <c r="AD49" s="12"/>
      <c r="AE49" s="48" t="s">
        <v>268</v>
      </c>
      <c r="AF49" s="12"/>
      <c r="AG49" s="48"/>
      <c r="AH49" s="11"/>
      <c r="AI49" s="12"/>
      <c r="AJ49" s="48"/>
      <c r="AK49" s="11"/>
      <c r="AL49" s="12"/>
      <c r="AM49" s="48"/>
      <c r="AN49" s="11"/>
      <c r="AO49" s="12"/>
      <c r="AP49" s="48"/>
      <c r="AQ49" s="11"/>
      <c r="AR49" s="12"/>
      <c r="AS49" s="48"/>
      <c r="AT49" s="11"/>
      <c r="AU49" s="12"/>
      <c r="AV49" s="48"/>
      <c r="AW49" s="11"/>
      <c r="AX49" s="12"/>
      <c r="AY49" s="48"/>
      <c r="AZ49" s="11"/>
      <c r="BA49" s="12"/>
      <c r="BB49" s="48"/>
      <c r="BC49" s="11"/>
      <c r="BD49" s="12"/>
      <c r="BE49" s="48"/>
      <c r="BF49" s="11"/>
      <c r="BG49" s="12"/>
      <c r="BH49" s="48"/>
      <c r="BI49" s="11"/>
      <c r="BJ49" s="12"/>
      <c r="BK49" s="49"/>
      <c r="BL49" s="11"/>
      <c r="BM49" s="11"/>
      <c r="BN49" s="11"/>
      <c r="BO49" s="11"/>
      <c r="BP49" s="11"/>
      <c r="BQ49" s="12"/>
    </row>
    <row r="50" ht="144.0" customHeight="1">
      <c r="A50" s="47">
        <v>35.0</v>
      </c>
      <c r="B50" s="49" t="s">
        <v>412</v>
      </c>
      <c r="C50" s="11"/>
      <c r="D50" s="12"/>
      <c r="E50" s="49" t="s">
        <v>413</v>
      </c>
      <c r="F50" s="11"/>
      <c r="G50" s="11"/>
      <c r="H50" s="11"/>
      <c r="I50" s="12"/>
      <c r="J50" s="49" t="s">
        <v>414</v>
      </c>
      <c r="K50" s="11"/>
      <c r="L50" s="11"/>
      <c r="M50" s="11"/>
      <c r="N50" s="11"/>
      <c r="O50" s="11"/>
      <c r="P50" s="12"/>
      <c r="Q50" s="49" t="s">
        <v>415</v>
      </c>
      <c r="R50" s="11"/>
      <c r="S50" s="11"/>
      <c r="T50" s="11"/>
      <c r="U50" s="11"/>
      <c r="V50" s="11"/>
      <c r="W50" s="12"/>
      <c r="X50" s="49" t="s">
        <v>416</v>
      </c>
      <c r="Y50" s="11"/>
      <c r="Z50" s="11"/>
      <c r="AA50" s="11"/>
      <c r="AB50" s="11"/>
      <c r="AC50" s="11"/>
      <c r="AD50" s="12"/>
      <c r="AE50" s="48" t="s">
        <v>201</v>
      </c>
      <c r="AF50" s="12"/>
      <c r="AG50" s="48"/>
      <c r="AH50" s="11"/>
      <c r="AI50" s="12"/>
      <c r="AJ50" s="48"/>
      <c r="AK50" s="11"/>
      <c r="AL50" s="12"/>
      <c r="AM50" s="48"/>
      <c r="AN50" s="11"/>
      <c r="AO50" s="12"/>
      <c r="AP50" s="48"/>
      <c r="AQ50" s="11"/>
      <c r="AR50" s="12"/>
      <c r="AS50" s="48"/>
      <c r="AT50" s="11"/>
      <c r="AU50" s="12"/>
      <c r="AV50" s="48"/>
      <c r="AW50" s="11"/>
      <c r="AX50" s="12"/>
      <c r="AY50" s="48"/>
      <c r="AZ50" s="11"/>
      <c r="BA50" s="12"/>
      <c r="BB50" s="48"/>
      <c r="BC50" s="11"/>
      <c r="BD50" s="12"/>
      <c r="BE50" s="48"/>
      <c r="BF50" s="11"/>
      <c r="BG50" s="12"/>
      <c r="BH50" s="48"/>
      <c r="BI50" s="11"/>
      <c r="BJ50" s="12"/>
      <c r="BK50" s="49"/>
      <c r="BL50" s="11"/>
      <c r="BM50" s="11"/>
      <c r="BN50" s="11"/>
      <c r="BO50" s="11"/>
      <c r="BP50" s="11"/>
      <c r="BQ50" s="12"/>
    </row>
    <row r="51" ht="192.0" customHeight="1">
      <c r="A51" s="47">
        <v>36.0</v>
      </c>
      <c r="B51" s="49" t="s">
        <v>417</v>
      </c>
      <c r="C51" s="11"/>
      <c r="D51" s="12"/>
      <c r="E51" s="49" t="s">
        <v>418</v>
      </c>
      <c r="F51" s="11"/>
      <c r="G51" s="11"/>
      <c r="H51" s="11"/>
      <c r="I51" s="12"/>
      <c r="J51" s="49" t="s">
        <v>419</v>
      </c>
      <c r="K51" s="11"/>
      <c r="L51" s="11"/>
      <c r="M51" s="11"/>
      <c r="N51" s="11"/>
      <c r="O51" s="11"/>
      <c r="P51" s="12"/>
      <c r="Q51" s="49" t="s">
        <v>420</v>
      </c>
      <c r="R51" s="11"/>
      <c r="S51" s="11"/>
      <c r="T51" s="11"/>
      <c r="U51" s="11"/>
      <c r="V51" s="11"/>
      <c r="W51" s="12"/>
      <c r="X51" s="49" t="s">
        <v>421</v>
      </c>
      <c r="Y51" s="11"/>
      <c r="Z51" s="11"/>
      <c r="AA51" s="11"/>
      <c r="AB51" s="11"/>
      <c r="AC51" s="11"/>
      <c r="AD51" s="12"/>
      <c r="AE51" s="48" t="s">
        <v>268</v>
      </c>
      <c r="AF51" s="12"/>
      <c r="AG51" s="48"/>
      <c r="AH51" s="11"/>
      <c r="AI51" s="12"/>
      <c r="AJ51" s="48"/>
      <c r="AK51" s="11"/>
      <c r="AL51" s="12"/>
      <c r="AM51" s="48"/>
      <c r="AN51" s="11"/>
      <c r="AO51" s="12"/>
      <c r="AP51" s="48"/>
      <c r="AQ51" s="11"/>
      <c r="AR51" s="12"/>
      <c r="AS51" s="48"/>
      <c r="AT51" s="11"/>
      <c r="AU51" s="12"/>
      <c r="AV51" s="48"/>
      <c r="AW51" s="11"/>
      <c r="AX51" s="12"/>
      <c r="AY51" s="48"/>
      <c r="AZ51" s="11"/>
      <c r="BA51" s="12"/>
      <c r="BB51" s="48"/>
      <c r="BC51" s="11"/>
      <c r="BD51" s="12"/>
      <c r="BE51" s="48"/>
      <c r="BF51" s="11"/>
      <c r="BG51" s="12"/>
      <c r="BH51" s="48"/>
      <c r="BI51" s="11"/>
      <c r="BJ51" s="12"/>
      <c r="BK51" s="49"/>
      <c r="BL51" s="11"/>
      <c r="BM51" s="11"/>
      <c r="BN51" s="11"/>
      <c r="BO51" s="11"/>
      <c r="BP51" s="11"/>
      <c r="BQ51" s="12"/>
    </row>
    <row r="52" ht="159.75" customHeight="1">
      <c r="A52" s="47">
        <v>37.0</v>
      </c>
      <c r="B52" s="49" t="s">
        <v>422</v>
      </c>
      <c r="C52" s="11"/>
      <c r="D52" s="12"/>
      <c r="E52" s="49" t="s">
        <v>423</v>
      </c>
      <c r="F52" s="11"/>
      <c r="G52" s="11"/>
      <c r="H52" s="11"/>
      <c r="I52" s="12"/>
      <c r="J52" s="49" t="s">
        <v>424</v>
      </c>
      <c r="K52" s="11"/>
      <c r="L52" s="11"/>
      <c r="M52" s="11"/>
      <c r="N52" s="11"/>
      <c r="O52" s="11"/>
      <c r="P52" s="12"/>
      <c r="Q52" s="49" t="s">
        <v>425</v>
      </c>
      <c r="R52" s="11"/>
      <c r="S52" s="11"/>
      <c r="T52" s="11"/>
      <c r="U52" s="11"/>
      <c r="V52" s="11"/>
      <c r="W52" s="12"/>
      <c r="X52" s="49" t="s">
        <v>426</v>
      </c>
      <c r="Y52" s="11"/>
      <c r="Z52" s="11"/>
      <c r="AA52" s="11"/>
      <c r="AB52" s="11"/>
      <c r="AC52" s="11"/>
      <c r="AD52" s="12"/>
      <c r="AE52" s="48" t="s">
        <v>268</v>
      </c>
      <c r="AF52" s="12"/>
      <c r="AG52" s="48"/>
      <c r="AH52" s="11"/>
      <c r="AI52" s="12"/>
      <c r="AJ52" s="48"/>
      <c r="AK52" s="11"/>
      <c r="AL52" s="12"/>
      <c r="AM52" s="48"/>
      <c r="AN52" s="11"/>
      <c r="AO52" s="12"/>
      <c r="AP52" s="48"/>
      <c r="AQ52" s="11"/>
      <c r="AR52" s="12"/>
      <c r="AS52" s="48"/>
      <c r="AT52" s="11"/>
      <c r="AU52" s="12"/>
      <c r="AV52" s="48"/>
      <c r="AW52" s="11"/>
      <c r="AX52" s="12"/>
      <c r="AY52" s="48"/>
      <c r="AZ52" s="11"/>
      <c r="BA52" s="12"/>
      <c r="BB52" s="48"/>
      <c r="BC52" s="11"/>
      <c r="BD52" s="12"/>
      <c r="BE52" s="48"/>
      <c r="BF52" s="11"/>
      <c r="BG52" s="12"/>
      <c r="BH52" s="48"/>
      <c r="BI52" s="11"/>
      <c r="BJ52" s="12"/>
      <c r="BK52" s="49"/>
      <c r="BL52" s="11"/>
      <c r="BM52" s="11"/>
      <c r="BN52" s="11"/>
      <c r="BO52" s="11"/>
      <c r="BP52" s="11"/>
      <c r="BQ52" s="12"/>
    </row>
    <row r="53" ht="240.0" customHeight="1">
      <c r="A53" s="47">
        <v>38.0</v>
      </c>
      <c r="B53" s="49" t="s">
        <v>427</v>
      </c>
      <c r="C53" s="11"/>
      <c r="D53" s="12"/>
      <c r="E53" s="49" t="s">
        <v>428</v>
      </c>
      <c r="F53" s="11"/>
      <c r="G53" s="11"/>
      <c r="H53" s="11"/>
      <c r="I53" s="12"/>
      <c r="J53" s="49" t="s">
        <v>429</v>
      </c>
      <c r="K53" s="11"/>
      <c r="L53" s="11"/>
      <c r="M53" s="11"/>
      <c r="N53" s="11"/>
      <c r="O53" s="11"/>
      <c r="P53" s="12"/>
      <c r="Q53" s="49" t="s">
        <v>430</v>
      </c>
      <c r="R53" s="11"/>
      <c r="S53" s="11"/>
      <c r="T53" s="11"/>
      <c r="U53" s="11"/>
      <c r="V53" s="11"/>
      <c r="W53" s="12"/>
      <c r="X53" s="49" t="s">
        <v>431</v>
      </c>
      <c r="Y53" s="11"/>
      <c r="Z53" s="11"/>
      <c r="AA53" s="11"/>
      <c r="AB53" s="11"/>
      <c r="AC53" s="11"/>
      <c r="AD53" s="12"/>
      <c r="AE53" s="48" t="s">
        <v>201</v>
      </c>
      <c r="AF53" s="12"/>
      <c r="AG53" s="48"/>
      <c r="AH53" s="11"/>
      <c r="AI53" s="12"/>
      <c r="AJ53" s="48"/>
      <c r="AK53" s="11"/>
      <c r="AL53" s="12"/>
      <c r="AM53" s="48"/>
      <c r="AN53" s="11"/>
      <c r="AO53" s="12"/>
      <c r="AP53" s="48"/>
      <c r="AQ53" s="11"/>
      <c r="AR53" s="12"/>
      <c r="AS53" s="48"/>
      <c r="AT53" s="11"/>
      <c r="AU53" s="12"/>
      <c r="AV53" s="48"/>
      <c r="AW53" s="11"/>
      <c r="AX53" s="12"/>
      <c r="AY53" s="48"/>
      <c r="AZ53" s="11"/>
      <c r="BA53" s="12"/>
      <c r="BB53" s="48"/>
      <c r="BC53" s="11"/>
      <c r="BD53" s="12"/>
      <c r="BE53" s="48"/>
      <c r="BF53" s="11"/>
      <c r="BG53" s="12"/>
      <c r="BH53" s="48"/>
      <c r="BI53" s="11"/>
      <c r="BJ53" s="12"/>
      <c r="BK53" s="49"/>
      <c r="BL53" s="11"/>
      <c r="BM53" s="11"/>
      <c r="BN53" s="11"/>
      <c r="BO53" s="11"/>
      <c r="BP53" s="11"/>
      <c r="BQ53" s="12"/>
    </row>
    <row r="54" ht="175.5" customHeight="1">
      <c r="A54" s="47">
        <v>39.0</v>
      </c>
      <c r="B54" s="49" t="s">
        <v>432</v>
      </c>
      <c r="C54" s="11"/>
      <c r="D54" s="12"/>
      <c r="E54" s="49" t="s">
        <v>433</v>
      </c>
      <c r="F54" s="11"/>
      <c r="G54" s="11"/>
      <c r="H54" s="11"/>
      <c r="I54" s="12"/>
      <c r="J54" s="49" t="s">
        <v>434</v>
      </c>
      <c r="K54" s="11"/>
      <c r="L54" s="11"/>
      <c r="M54" s="11"/>
      <c r="N54" s="11"/>
      <c r="O54" s="11"/>
      <c r="P54" s="12"/>
      <c r="Q54" s="49" t="s">
        <v>435</v>
      </c>
      <c r="R54" s="11"/>
      <c r="S54" s="11"/>
      <c r="T54" s="11"/>
      <c r="U54" s="11"/>
      <c r="V54" s="11"/>
      <c r="W54" s="12"/>
      <c r="X54" s="49" t="s">
        <v>436</v>
      </c>
      <c r="Y54" s="11"/>
      <c r="Z54" s="11"/>
      <c r="AA54" s="11"/>
      <c r="AB54" s="11"/>
      <c r="AC54" s="11"/>
      <c r="AD54" s="12"/>
      <c r="AE54" s="48" t="s">
        <v>268</v>
      </c>
      <c r="AF54" s="12"/>
      <c r="AG54" s="48"/>
      <c r="AH54" s="11"/>
      <c r="AI54" s="12"/>
      <c r="AJ54" s="48"/>
      <c r="AK54" s="11"/>
      <c r="AL54" s="12"/>
      <c r="AM54" s="48"/>
      <c r="AN54" s="11"/>
      <c r="AO54" s="12"/>
      <c r="AP54" s="48"/>
      <c r="AQ54" s="11"/>
      <c r="AR54" s="12"/>
      <c r="AS54" s="48"/>
      <c r="AT54" s="11"/>
      <c r="AU54" s="12"/>
      <c r="AV54" s="48"/>
      <c r="AW54" s="11"/>
      <c r="AX54" s="12"/>
      <c r="AY54" s="48"/>
      <c r="AZ54" s="11"/>
      <c r="BA54" s="12"/>
      <c r="BB54" s="48"/>
      <c r="BC54" s="11"/>
      <c r="BD54" s="12"/>
      <c r="BE54" s="48"/>
      <c r="BF54" s="11"/>
      <c r="BG54" s="12"/>
      <c r="BH54" s="48"/>
      <c r="BI54" s="11"/>
      <c r="BJ54" s="12"/>
      <c r="BK54" s="49" t="s">
        <v>324</v>
      </c>
      <c r="BL54" s="11"/>
      <c r="BM54" s="11"/>
      <c r="BN54" s="11"/>
      <c r="BO54" s="11"/>
      <c r="BP54" s="11"/>
      <c r="BQ54" s="12"/>
    </row>
    <row r="55" ht="22.5" customHeight="1">
      <c r="A55" s="35" t="s">
        <v>437</v>
      </c>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2"/>
    </row>
    <row r="56" ht="79.5" customHeight="1">
      <c r="A56" s="47">
        <v>40.0</v>
      </c>
      <c r="B56" s="49" t="s">
        <v>438</v>
      </c>
      <c r="C56" s="11"/>
      <c r="D56" s="12"/>
      <c r="E56" s="49" t="s">
        <v>439</v>
      </c>
      <c r="F56" s="11"/>
      <c r="G56" s="11"/>
      <c r="H56" s="11"/>
      <c r="I56" s="12"/>
      <c r="J56" s="49" t="s">
        <v>298</v>
      </c>
      <c r="K56" s="11"/>
      <c r="L56" s="11"/>
      <c r="M56" s="11"/>
      <c r="N56" s="11"/>
      <c r="O56" s="11"/>
      <c r="P56" s="12"/>
      <c r="Q56" s="49" t="s">
        <v>440</v>
      </c>
      <c r="R56" s="11"/>
      <c r="S56" s="11"/>
      <c r="T56" s="11"/>
      <c r="U56" s="11"/>
      <c r="V56" s="11"/>
      <c r="W56" s="12"/>
      <c r="X56" s="49" t="s">
        <v>441</v>
      </c>
      <c r="Y56" s="11"/>
      <c r="Z56" s="11"/>
      <c r="AA56" s="11"/>
      <c r="AB56" s="11"/>
      <c r="AC56" s="11"/>
      <c r="AD56" s="12"/>
      <c r="AE56" s="48" t="s">
        <v>201</v>
      </c>
      <c r="AF56" s="12"/>
      <c r="AG56" s="48"/>
      <c r="AH56" s="11"/>
      <c r="AI56" s="12"/>
      <c r="AJ56" s="48"/>
      <c r="AK56" s="11"/>
      <c r="AL56" s="12"/>
      <c r="AM56" s="48"/>
      <c r="AN56" s="11"/>
      <c r="AO56" s="12"/>
      <c r="AP56" s="48"/>
      <c r="AQ56" s="11"/>
      <c r="AR56" s="12"/>
      <c r="AS56" s="48"/>
      <c r="AT56" s="11"/>
      <c r="AU56" s="12"/>
      <c r="AV56" s="48"/>
      <c r="AW56" s="11"/>
      <c r="AX56" s="12"/>
      <c r="AY56" s="48"/>
      <c r="AZ56" s="11"/>
      <c r="BA56" s="12"/>
      <c r="BB56" s="48"/>
      <c r="BC56" s="11"/>
      <c r="BD56" s="12"/>
      <c r="BE56" s="48"/>
      <c r="BF56" s="11"/>
      <c r="BG56" s="12"/>
      <c r="BH56" s="48"/>
      <c r="BI56" s="11"/>
      <c r="BJ56" s="12"/>
      <c r="BK56" s="49"/>
      <c r="BL56" s="11"/>
      <c r="BM56" s="11"/>
      <c r="BN56" s="11"/>
      <c r="BO56" s="11"/>
      <c r="BP56" s="11"/>
      <c r="BQ56" s="12"/>
    </row>
    <row r="57" ht="175.5" customHeight="1">
      <c r="A57" s="47">
        <v>41.0</v>
      </c>
      <c r="B57" s="49" t="s">
        <v>442</v>
      </c>
      <c r="C57" s="11"/>
      <c r="D57" s="12"/>
      <c r="E57" s="49" t="s">
        <v>443</v>
      </c>
      <c r="F57" s="11"/>
      <c r="G57" s="11"/>
      <c r="H57" s="11"/>
      <c r="I57" s="12"/>
      <c r="J57" s="49" t="s">
        <v>444</v>
      </c>
      <c r="K57" s="11"/>
      <c r="L57" s="11"/>
      <c r="M57" s="11"/>
      <c r="N57" s="11"/>
      <c r="O57" s="11"/>
      <c r="P57" s="12"/>
      <c r="Q57" s="49" t="s">
        <v>445</v>
      </c>
      <c r="R57" s="11"/>
      <c r="S57" s="11"/>
      <c r="T57" s="11"/>
      <c r="U57" s="11"/>
      <c r="V57" s="11"/>
      <c r="W57" s="12"/>
      <c r="X57" s="49" t="s">
        <v>446</v>
      </c>
      <c r="Y57" s="11"/>
      <c r="Z57" s="11"/>
      <c r="AA57" s="11"/>
      <c r="AB57" s="11"/>
      <c r="AC57" s="11"/>
      <c r="AD57" s="12"/>
      <c r="AE57" s="48" t="s">
        <v>201</v>
      </c>
      <c r="AF57" s="12"/>
      <c r="AG57" s="48"/>
      <c r="AH57" s="11"/>
      <c r="AI57" s="12"/>
      <c r="AJ57" s="48"/>
      <c r="AK57" s="11"/>
      <c r="AL57" s="12"/>
      <c r="AM57" s="48"/>
      <c r="AN57" s="11"/>
      <c r="AO57" s="12"/>
      <c r="AP57" s="48"/>
      <c r="AQ57" s="11"/>
      <c r="AR57" s="12"/>
      <c r="AS57" s="48"/>
      <c r="AT57" s="11"/>
      <c r="AU57" s="12"/>
      <c r="AV57" s="48"/>
      <c r="AW57" s="11"/>
      <c r="AX57" s="12"/>
      <c r="AY57" s="48"/>
      <c r="AZ57" s="11"/>
      <c r="BA57" s="12"/>
      <c r="BB57" s="48"/>
      <c r="BC57" s="11"/>
      <c r="BD57" s="12"/>
      <c r="BE57" s="48"/>
      <c r="BF57" s="11"/>
      <c r="BG57" s="12"/>
      <c r="BH57" s="48"/>
      <c r="BI57" s="11"/>
      <c r="BJ57" s="12"/>
      <c r="BK57" s="49"/>
      <c r="BL57" s="11"/>
      <c r="BM57" s="11"/>
      <c r="BN57" s="11"/>
      <c r="BO57" s="11"/>
      <c r="BP57" s="11"/>
      <c r="BQ57" s="12"/>
    </row>
    <row r="58" ht="144.0" customHeight="1">
      <c r="A58" s="47">
        <v>42.0</v>
      </c>
      <c r="B58" s="49" t="s">
        <v>447</v>
      </c>
      <c r="C58" s="11"/>
      <c r="D58" s="12"/>
      <c r="E58" s="49" t="s">
        <v>448</v>
      </c>
      <c r="F58" s="11"/>
      <c r="G58" s="11"/>
      <c r="H58" s="11"/>
      <c r="I58" s="12"/>
      <c r="J58" s="49" t="s">
        <v>298</v>
      </c>
      <c r="K58" s="11"/>
      <c r="L58" s="11"/>
      <c r="M58" s="11"/>
      <c r="N58" s="11"/>
      <c r="O58" s="11"/>
      <c r="P58" s="12"/>
      <c r="Q58" s="49" t="s">
        <v>449</v>
      </c>
      <c r="R58" s="11"/>
      <c r="S58" s="11"/>
      <c r="T58" s="11"/>
      <c r="U58" s="11"/>
      <c r="V58" s="11"/>
      <c r="W58" s="12"/>
      <c r="X58" s="49" t="s">
        <v>450</v>
      </c>
      <c r="Y58" s="11"/>
      <c r="Z58" s="11"/>
      <c r="AA58" s="11"/>
      <c r="AB58" s="11"/>
      <c r="AC58" s="11"/>
      <c r="AD58" s="12"/>
      <c r="AE58" s="48" t="s">
        <v>201</v>
      </c>
      <c r="AF58" s="12"/>
      <c r="AG58" s="48"/>
      <c r="AH58" s="11"/>
      <c r="AI58" s="12"/>
      <c r="AJ58" s="48"/>
      <c r="AK58" s="11"/>
      <c r="AL58" s="12"/>
      <c r="AM58" s="48"/>
      <c r="AN58" s="11"/>
      <c r="AO58" s="12"/>
      <c r="AP58" s="48"/>
      <c r="AQ58" s="11"/>
      <c r="AR58" s="12"/>
      <c r="AS58" s="48"/>
      <c r="AT58" s="11"/>
      <c r="AU58" s="12"/>
      <c r="AV58" s="48"/>
      <c r="AW58" s="11"/>
      <c r="AX58" s="12"/>
      <c r="AY58" s="48"/>
      <c r="AZ58" s="11"/>
      <c r="BA58" s="12"/>
      <c r="BB58" s="48"/>
      <c r="BC58" s="11"/>
      <c r="BD58" s="12"/>
      <c r="BE58" s="48"/>
      <c r="BF58" s="11"/>
      <c r="BG58" s="12"/>
      <c r="BH58" s="48"/>
      <c r="BI58" s="11"/>
      <c r="BJ58" s="12"/>
      <c r="BK58" s="49"/>
      <c r="BL58" s="11"/>
      <c r="BM58" s="11"/>
      <c r="BN58" s="11"/>
      <c r="BO58" s="11"/>
      <c r="BP58" s="11"/>
      <c r="BQ58" s="12"/>
    </row>
    <row r="59" ht="159.75" customHeight="1">
      <c r="A59" s="47">
        <v>43.0</v>
      </c>
      <c r="B59" s="49" t="s">
        <v>451</v>
      </c>
      <c r="C59" s="11"/>
      <c r="D59" s="12"/>
      <c r="E59" s="49" t="s">
        <v>452</v>
      </c>
      <c r="F59" s="11"/>
      <c r="G59" s="11"/>
      <c r="H59" s="11"/>
      <c r="I59" s="12"/>
      <c r="J59" s="49" t="s">
        <v>298</v>
      </c>
      <c r="K59" s="11"/>
      <c r="L59" s="11"/>
      <c r="M59" s="11"/>
      <c r="N59" s="11"/>
      <c r="O59" s="11"/>
      <c r="P59" s="12"/>
      <c r="Q59" s="49" t="s">
        <v>453</v>
      </c>
      <c r="R59" s="11"/>
      <c r="S59" s="11"/>
      <c r="T59" s="11"/>
      <c r="U59" s="11"/>
      <c r="V59" s="11"/>
      <c r="W59" s="12"/>
      <c r="X59" s="49" t="s">
        <v>454</v>
      </c>
      <c r="Y59" s="11"/>
      <c r="Z59" s="11"/>
      <c r="AA59" s="11"/>
      <c r="AB59" s="11"/>
      <c r="AC59" s="11"/>
      <c r="AD59" s="12"/>
      <c r="AE59" s="48" t="s">
        <v>201</v>
      </c>
      <c r="AF59" s="12"/>
      <c r="AG59" s="48"/>
      <c r="AH59" s="11"/>
      <c r="AI59" s="12"/>
      <c r="AJ59" s="48"/>
      <c r="AK59" s="11"/>
      <c r="AL59" s="12"/>
      <c r="AM59" s="48"/>
      <c r="AN59" s="11"/>
      <c r="AO59" s="12"/>
      <c r="AP59" s="48"/>
      <c r="AQ59" s="11"/>
      <c r="AR59" s="12"/>
      <c r="AS59" s="48"/>
      <c r="AT59" s="11"/>
      <c r="AU59" s="12"/>
      <c r="AV59" s="48"/>
      <c r="AW59" s="11"/>
      <c r="AX59" s="12"/>
      <c r="AY59" s="48"/>
      <c r="AZ59" s="11"/>
      <c r="BA59" s="12"/>
      <c r="BB59" s="48"/>
      <c r="BC59" s="11"/>
      <c r="BD59" s="12"/>
      <c r="BE59" s="48"/>
      <c r="BF59" s="11"/>
      <c r="BG59" s="12"/>
      <c r="BH59" s="48"/>
      <c r="BI59" s="11"/>
      <c r="BJ59" s="12"/>
      <c r="BK59" s="49"/>
      <c r="BL59" s="11"/>
      <c r="BM59" s="11"/>
      <c r="BN59" s="11"/>
      <c r="BO59" s="11"/>
      <c r="BP59" s="11"/>
      <c r="BQ59" s="12"/>
    </row>
    <row r="60" ht="159.75" customHeight="1">
      <c r="A60" s="47">
        <v>44.0</v>
      </c>
      <c r="B60" s="49" t="s">
        <v>455</v>
      </c>
      <c r="C60" s="11"/>
      <c r="D60" s="12"/>
      <c r="E60" s="49" t="s">
        <v>456</v>
      </c>
      <c r="F60" s="11"/>
      <c r="G60" s="11"/>
      <c r="H60" s="11"/>
      <c r="I60" s="12"/>
      <c r="J60" s="49" t="s">
        <v>457</v>
      </c>
      <c r="K60" s="11"/>
      <c r="L60" s="11"/>
      <c r="M60" s="11"/>
      <c r="N60" s="11"/>
      <c r="O60" s="11"/>
      <c r="P60" s="12"/>
      <c r="Q60" s="49" t="s">
        <v>458</v>
      </c>
      <c r="R60" s="11"/>
      <c r="S60" s="11"/>
      <c r="T60" s="11"/>
      <c r="U60" s="11"/>
      <c r="V60" s="11"/>
      <c r="W60" s="12"/>
      <c r="X60" s="49" t="s">
        <v>459</v>
      </c>
      <c r="Y60" s="11"/>
      <c r="Z60" s="11"/>
      <c r="AA60" s="11"/>
      <c r="AB60" s="11"/>
      <c r="AC60" s="11"/>
      <c r="AD60" s="12"/>
      <c r="AE60" s="48" t="s">
        <v>201</v>
      </c>
      <c r="AF60" s="12"/>
      <c r="AG60" s="48"/>
      <c r="AH60" s="11"/>
      <c r="AI60" s="12"/>
      <c r="AJ60" s="48"/>
      <c r="AK60" s="11"/>
      <c r="AL60" s="12"/>
      <c r="AM60" s="48"/>
      <c r="AN60" s="11"/>
      <c r="AO60" s="12"/>
      <c r="AP60" s="48"/>
      <c r="AQ60" s="11"/>
      <c r="AR60" s="12"/>
      <c r="AS60" s="48"/>
      <c r="AT60" s="11"/>
      <c r="AU60" s="12"/>
      <c r="AV60" s="48"/>
      <c r="AW60" s="11"/>
      <c r="AX60" s="12"/>
      <c r="AY60" s="48"/>
      <c r="AZ60" s="11"/>
      <c r="BA60" s="12"/>
      <c r="BB60" s="48"/>
      <c r="BC60" s="11"/>
      <c r="BD60" s="12"/>
      <c r="BE60" s="48"/>
      <c r="BF60" s="11"/>
      <c r="BG60" s="12"/>
      <c r="BH60" s="48"/>
      <c r="BI60" s="11"/>
      <c r="BJ60" s="12"/>
      <c r="BK60" s="49"/>
      <c r="BL60" s="11"/>
      <c r="BM60" s="11"/>
      <c r="BN60" s="11"/>
      <c r="BO60" s="11"/>
      <c r="BP60" s="11"/>
      <c r="BQ60" s="12"/>
    </row>
    <row r="61" ht="127.5" customHeight="1">
      <c r="A61" s="47">
        <v>45.0</v>
      </c>
      <c r="B61" s="49" t="s">
        <v>460</v>
      </c>
      <c r="C61" s="11"/>
      <c r="D61" s="12"/>
      <c r="E61" s="49" t="s">
        <v>461</v>
      </c>
      <c r="F61" s="11"/>
      <c r="G61" s="11"/>
      <c r="H61" s="11"/>
      <c r="I61" s="12"/>
      <c r="J61" s="49" t="s">
        <v>298</v>
      </c>
      <c r="K61" s="11"/>
      <c r="L61" s="11"/>
      <c r="M61" s="11"/>
      <c r="N61" s="11"/>
      <c r="O61" s="11"/>
      <c r="P61" s="12"/>
      <c r="Q61" s="49" t="s">
        <v>462</v>
      </c>
      <c r="R61" s="11"/>
      <c r="S61" s="11"/>
      <c r="T61" s="11"/>
      <c r="U61" s="11"/>
      <c r="V61" s="11"/>
      <c r="W61" s="12"/>
      <c r="X61" s="49" t="s">
        <v>463</v>
      </c>
      <c r="Y61" s="11"/>
      <c r="Z61" s="11"/>
      <c r="AA61" s="11"/>
      <c r="AB61" s="11"/>
      <c r="AC61" s="11"/>
      <c r="AD61" s="12"/>
      <c r="AE61" s="48" t="s">
        <v>201</v>
      </c>
      <c r="AF61" s="12"/>
      <c r="AG61" s="48"/>
      <c r="AH61" s="11"/>
      <c r="AI61" s="12"/>
      <c r="AJ61" s="48"/>
      <c r="AK61" s="11"/>
      <c r="AL61" s="12"/>
      <c r="AM61" s="48"/>
      <c r="AN61" s="11"/>
      <c r="AO61" s="12"/>
      <c r="AP61" s="48"/>
      <c r="AQ61" s="11"/>
      <c r="AR61" s="12"/>
      <c r="AS61" s="48"/>
      <c r="AT61" s="11"/>
      <c r="AU61" s="12"/>
      <c r="AV61" s="48"/>
      <c r="AW61" s="11"/>
      <c r="AX61" s="12"/>
      <c r="AY61" s="48"/>
      <c r="AZ61" s="11"/>
      <c r="BA61" s="12"/>
      <c r="BB61" s="48"/>
      <c r="BC61" s="11"/>
      <c r="BD61" s="12"/>
      <c r="BE61" s="48"/>
      <c r="BF61" s="11"/>
      <c r="BG61" s="12"/>
      <c r="BH61" s="48"/>
      <c r="BI61" s="11"/>
      <c r="BJ61" s="12"/>
      <c r="BK61" s="49"/>
      <c r="BL61" s="11"/>
      <c r="BM61" s="11"/>
      <c r="BN61" s="11"/>
      <c r="BO61" s="11"/>
      <c r="BP61" s="11"/>
      <c r="BQ61" s="12"/>
    </row>
    <row r="62" ht="159.75" customHeight="1">
      <c r="A62" s="47">
        <v>46.0</v>
      </c>
      <c r="B62" s="49" t="s">
        <v>464</v>
      </c>
      <c r="C62" s="11"/>
      <c r="D62" s="12"/>
      <c r="E62" s="49" t="s">
        <v>465</v>
      </c>
      <c r="F62" s="11"/>
      <c r="G62" s="11"/>
      <c r="H62" s="11"/>
      <c r="I62" s="12"/>
      <c r="J62" s="49" t="s">
        <v>298</v>
      </c>
      <c r="K62" s="11"/>
      <c r="L62" s="11"/>
      <c r="M62" s="11"/>
      <c r="N62" s="11"/>
      <c r="O62" s="11"/>
      <c r="P62" s="12"/>
      <c r="Q62" s="49" t="s">
        <v>466</v>
      </c>
      <c r="R62" s="11"/>
      <c r="S62" s="11"/>
      <c r="T62" s="11"/>
      <c r="U62" s="11"/>
      <c r="V62" s="11"/>
      <c r="W62" s="12"/>
      <c r="X62" s="49" t="s">
        <v>467</v>
      </c>
      <c r="Y62" s="11"/>
      <c r="Z62" s="11"/>
      <c r="AA62" s="11"/>
      <c r="AB62" s="11"/>
      <c r="AC62" s="11"/>
      <c r="AD62" s="12"/>
      <c r="AE62" s="48" t="s">
        <v>201</v>
      </c>
      <c r="AF62" s="12"/>
      <c r="AG62" s="48"/>
      <c r="AH62" s="11"/>
      <c r="AI62" s="12"/>
      <c r="AJ62" s="48"/>
      <c r="AK62" s="11"/>
      <c r="AL62" s="12"/>
      <c r="AM62" s="48"/>
      <c r="AN62" s="11"/>
      <c r="AO62" s="12"/>
      <c r="AP62" s="48"/>
      <c r="AQ62" s="11"/>
      <c r="AR62" s="12"/>
      <c r="AS62" s="48"/>
      <c r="AT62" s="11"/>
      <c r="AU62" s="12"/>
      <c r="AV62" s="48"/>
      <c r="AW62" s="11"/>
      <c r="AX62" s="12"/>
      <c r="AY62" s="48"/>
      <c r="AZ62" s="11"/>
      <c r="BA62" s="12"/>
      <c r="BB62" s="48"/>
      <c r="BC62" s="11"/>
      <c r="BD62" s="12"/>
      <c r="BE62" s="48"/>
      <c r="BF62" s="11"/>
      <c r="BG62" s="12"/>
      <c r="BH62" s="48"/>
      <c r="BI62" s="11"/>
      <c r="BJ62" s="12"/>
      <c r="BK62" s="49"/>
      <c r="BL62" s="11"/>
      <c r="BM62" s="11"/>
      <c r="BN62" s="11"/>
      <c r="BO62" s="11"/>
      <c r="BP62" s="11"/>
      <c r="BQ62" s="12"/>
    </row>
    <row r="63" ht="159.75" customHeight="1">
      <c r="A63" s="47">
        <v>47.0</v>
      </c>
      <c r="B63" s="49" t="s">
        <v>468</v>
      </c>
      <c r="C63" s="11"/>
      <c r="D63" s="12"/>
      <c r="E63" s="49" t="s">
        <v>469</v>
      </c>
      <c r="F63" s="11"/>
      <c r="G63" s="11"/>
      <c r="H63" s="11"/>
      <c r="I63" s="12"/>
      <c r="J63" s="49" t="s">
        <v>298</v>
      </c>
      <c r="K63" s="11"/>
      <c r="L63" s="11"/>
      <c r="M63" s="11"/>
      <c r="N63" s="11"/>
      <c r="O63" s="11"/>
      <c r="P63" s="12"/>
      <c r="Q63" s="49" t="s">
        <v>470</v>
      </c>
      <c r="R63" s="11"/>
      <c r="S63" s="11"/>
      <c r="T63" s="11"/>
      <c r="U63" s="11"/>
      <c r="V63" s="11"/>
      <c r="W63" s="12"/>
      <c r="X63" s="49" t="s">
        <v>471</v>
      </c>
      <c r="Y63" s="11"/>
      <c r="Z63" s="11"/>
      <c r="AA63" s="11"/>
      <c r="AB63" s="11"/>
      <c r="AC63" s="11"/>
      <c r="AD63" s="12"/>
      <c r="AE63" s="48" t="s">
        <v>201</v>
      </c>
      <c r="AF63" s="12"/>
      <c r="AG63" s="48"/>
      <c r="AH63" s="11"/>
      <c r="AI63" s="12"/>
      <c r="AJ63" s="48"/>
      <c r="AK63" s="11"/>
      <c r="AL63" s="12"/>
      <c r="AM63" s="48"/>
      <c r="AN63" s="11"/>
      <c r="AO63" s="12"/>
      <c r="AP63" s="48"/>
      <c r="AQ63" s="11"/>
      <c r="AR63" s="12"/>
      <c r="AS63" s="48"/>
      <c r="AT63" s="11"/>
      <c r="AU63" s="12"/>
      <c r="AV63" s="48"/>
      <c r="AW63" s="11"/>
      <c r="AX63" s="12"/>
      <c r="AY63" s="48"/>
      <c r="AZ63" s="11"/>
      <c r="BA63" s="12"/>
      <c r="BB63" s="48"/>
      <c r="BC63" s="11"/>
      <c r="BD63" s="12"/>
      <c r="BE63" s="48"/>
      <c r="BF63" s="11"/>
      <c r="BG63" s="12"/>
      <c r="BH63" s="48"/>
      <c r="BI63" s="11"/>
      <c r="BJ63" s="12"/>
      <c r="BK63" s="49"/>
      <c r="BL63" s="11"/>
      <c r="BM63" s="11"/>
      <c r="BN63" s="11"/>
      <c r="BO63" s="11"/>
      <c r="BP63" s="11"/>
      <c r="BQ63" s="12"/>
    </row>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70">
    <mergeCell ref="A1:E1"/>
    <mergeCell ref="F1:Q1"/>
    <mergeCell ref="R1:V1"/>
    <mergeCell ref="W1:AH1"/>
    <mergeCell ref="F2:Q2"/>
    <mergeCell ref="R2:V2"/>
    <mergeCell ref="W2:AH2"/>
    <mergeCell ref="A2:E2"/>
    <mergeCell ref="A3:E3"/>
    <mergeCell ref="F3:Q3"/>
    <mergeCell ref="R3:V3"/>
    <mergeCell ref="W3:AH3"/>
    <mergeCell ref="A4:E4"/>
    <mergeCell ref="F4:AH4"/>
    <mergeCell ref="T6:V6"/>
    <mergeCell ref="W6:Y6"/>
    <mergeCell ref="Z6:AB6"/>
    <mergeCell ref="AC6:AE6"/>
    <mergeCell ref="A5:S5"/>
    <mergeCell ref="T5:AH5"/>
    <mergeCell ref="H6:J6"/>
    <mergeCell ref="K6:M6"/>
    <mergeCell ref="N6:P6"/>
    <mergeCell ref="Q6:S6"/>
    <mergeCell ref="AF6:AH6"/>
    <mergeCell ref="W7:Y7"/>
    <mergeCell ref="Z7:AB7"/>
    <mergeCell ref="AC7:AE7"/>
    <mergeCell ref="AF7:AH7"/>
    <mergeCell ref="A6:G6"/>
    <mergeCell ref="A7:G7"/>
    <mergeCell ref="H7:J7"/>
    <mergeCell ref="K7:M7"/>
    <mergeCell ref="N7:P7"/>
    <mergeCell ref="Q7:S7"/>
    <mergeCell ref="T7:V7"/>
    <mergeCell ref="Z8:AB8"/>
    <mergeCell ref="AC8:AE8"/>
    <mergeCell ref="AF8:AH8"/>
    <mergeCell ref="A8:G8"/>
    <mergeCell ref="H8:J8"/>
    <mergeCell ref="K8:M8"/>
    <mergeCell ref="N8:P8"/>
    <mergeCell ref="Q8:S8"/>
    <mergeCell ref="T8:V8"/>
    <mergeCell ref="W8:Y8"/>
    <mergeCell ref="AS11:AU11"/>
    <mergeCell ref="AV11:AX11"/>
    <mergeCell ref="AY11:BA11"/>
    <mergeCell ref="BB11:BD11"/>
    <mergeCell ref="BE11:BG11"/>
    <mergeCell ref="BH11:BJ11"/>
    <mergeCell ref="A12:BQ12"/>
    <mergeCell ref="AG10:AU10"/>
    <mergeCell ref="AV10:BJ10"/>
    <mergeCell ref="BK10:BQ11"/>
    <mergeCell ref="AG11:AI11"/>
    <mergeCell ref="AJ11:AL11"/>
    <mergeCell ref="AM11:AO11"/>
    <mergeCell ref="AP11:AR11"/>
    <mergeCell ref="A10:A11"/>
    <mergeCell ref="B10:D11"/>
    <mergeCell ref="E10:I11"/>
    <mergeCell ref="J10:P11"/>
    <mergeCell ref="Q10:W11"/>
    <mergeCell ref="X10:AD11"/>
    <mergeCell ref="AE10:AF11"/>
    <mergeCell ref="BE15:BG15"/>
    <mergeCell ref="BH15:BJ15"/>
    <mergeCell ref="AJ15:AL15"/>
    <mergeCell ref="AM15:AO15"/>
    <mergeCell ref="AP15:AR15"/>
    <mergeCell ref="AS15:AU15"/>
    <mergeCell ref="AV15:AX15"/>
    <mergeCell ref="AY15:BA15"/>
    <mergeCell ref="BB15:BD15"/>
    <mergeCell ref="BE13:BG13"/>
    <mergeCell ref="BH13:BJ13"/>
    <mergeCell ref="BK13:BQ13"/>
    <mergeCell ref="AJ13:AL13"/>
    <mergeCell ref="AM13:AO13"/>
    <mergeCell ref="AP13:AR13"/>
    <mergeCell ref="AS13:AU13"/>
    <mergeCell ref="AV13:AX13"/>
    <mergeCell ref="AY13:BA13"/>
    <mergeCell ref="BB13:BD13"/>
    <mergeCell ref="B13:D13"/>
    <mergeCell ref="E13:I13"/>
    <mergeCell ref="J13:P13"/>
    <mergeCell ref="Q13:W13"/>
    <mergeCell ref="X13:AD13"/>
    <mergeCell ref="AE13:AF13"/>
    <mergeCell ref="AG13:AI13"/>
    <mergeCell ref="BE14:BG14"/>
    <mergeCell ref="BH14:BJ14"/>
    <mergeCell ref="BK14:BQ14"/>
    <mergeCell ref="BK15:BQ15"/>
    <mergeCell ref="AJ14:AL14"/>
    <mergeCell ref="AM14:AO14"/>
    <mergeCell ref="AP14:AR14"/>
    <mergeCell ref="AS14:AU14"/>
    <mergeCell ref="AV14:AX14"/>
    <mergeCell ref="AY14:BA14"/>
    <mergeCell ref="BB14:BD14"/>
    <mergeCell ref="B14:D14"/>
    <mergeCell ref="E14:I14"/>
    <mergeCell ref="J14:P14"/>
    <mergeCell ref="Q14:W14"/>
    <mergeCell ref="X14:AD14"/>
    <mergeCell ref="AE14:AF14"/>
    <mergeCell ref="AG14:AI14"/>
    <mergeCell ref="B15:D15"/>
    <mergeCell ref="E15:I15"/>
    <mergeCell ref="J15:P15"/>
    <mergeCell ref="Q15:W15"/>
    <mergeCell ref="X15:AD15"/>
    <mergeCell ref="AE15:AF15"/>
    <mergeCell ref="AG15:AI15"/>
    <mergeCell ref="BE18:BG18"/>
    <mergeCell ref="BH18:BJ18"/>
    <mergeCell ref="AJ18:AL18"/>
    <mergeCell ref="AM18:AO18"/>
    <mergeCell ref="AP18:AR18"/>
    <mergeCell ref="AS18:AU18"/>
    <mergeCell ref="AV18:AX18"/>
    <mergeCell ref="AY18:BA18"/>
    <mergeCell ref="BB18:BD18"/>
    <mergeCell ref="BE16:BG16"/>
    <mergeCell ref="BH16:BJ16"/>
    <mergeCell ref="BK16:BQ16"/>
    <mergeCell ref="AJ16:AL16"/>
    <mergeCell ref="AM16:AO16"/>
    <mergeCell ref="AP16:AR16"/>
    <mergeCell ref="AS16:AU16"/>
    <mergeCell ref="AV16:AX16"/>
    <mergeCell ref="AY16:BA16"/>
    <mergeCell ref="BB16:BD16"/>
    <mergeCell ref="B16:D16"/>
    <mergeCell ref="E16:I16"/>
    <mergeCell ref="J16:P16"/>
    <mergeCell ref="Q16:W16"/>
    <mergeCell ref="X16:AD16"/>
    <mergeCell ref="AE16:AF16"/>
    <mergeCell ref="AG16:AI16"/>
    <mergeCell ref="BE17:BG17"/>
    <mergeCell ref="BH17:BJ17"/>
    <mergeCell ref="BK17:BQ17"/>
    <mergeCell ref="BK18:BQ18"/>
    <mergeCell ref="AJ17:AL17"/>
    <mergeCell ref="AM17:AO17"/>
    <mergeCell ref="AP17:AR17"/>
    <mergeCell ref="AS17:AU17"/>
    <mergeCell ref="AV17:AX17"/>
    <mergeCell ref="AY17:BA17"/>
    <mergeCell ref="BB17:BD17"/>
    <mergeCell ref="B17:D17"/>
    <mergeCell ref="E17:I17"/>
    <mergeCell ref="J17:P17"/>
    <mergeCell ref="Q17:W17"/>
    <mergeCell ref="X17:AD17"/>
    <mergeCell ref="AE17:AF17"/>
    <mergeCell ref="AG17:AI17"/>
    <mergeCell ref="B18:D18"/>
    <mergeCell ref="E18:I18"/>
    <mergeCell ref="J18:P18"/>
    <mergeCell ref="Q18:W18"/>
    <mergeCell ref="X18:AD18"/>
    <mergeCell ref="AE18:AF18"/>
    <mergeCell ref="AG18:AI18"/>
    <mergeCell ref="BE41:BG41"/>
    <mergeCell ref="BH41:BJ41"/>
    <mergeCell ref="AJ41:AL41"/>
    <mergeCell ref="AM41:AO41"/>
    <mergeCell ref="AP41:AR41"/>
    <mergeCell ref="AS41:AU41"/>
    <mergeCell ref="AV41:AX41"/>
    <mergeCell ref="AY41:BA41"/>
    <mergeCell ref="BB41:BD41"/>
    <mergeCell ref="E41:I41"/>
    <mergeCell ref="J41:P41"/>
    <mergeCell ref="Q41:W41"/>
    <mergeCell ref="X41:AD41"/>
    <mergeCell ref="AE41:AF41"/>
    <mergeCell ref="AG41:AI41"/>
    <mergeCell ref="A42:BQ42"/>
    <mergeCell ref="B41:D41"/>
    <mergeCell ref="B43:D43"/>
    <mergeCell ref="E43:I43"/>
    <mergeCell ref="J43:P43"/>
    <mergeCell ref="Q43:W43"/>
    <mergeCell ref="X43:AD43"/>
    <mergeCell ref="AE43:AF43"/>
    <mergeCell ref="BH43:BJ43"/>
    <mergeCell ref="BK43:BQ43"/>
    <mergeCell ref="AM43:AO43"/>
    <mergeCell ref="AP43:AR43"/>
    <mergeCell ref="AS43:AU43"/>
    <mergeCell ref="AV43:AX43"/>
    <mergeCell ref="AY43:BA43"/>
    <mergeCell ref="BB43:BD43"/>
    <mergeCell ref="BE43:BG43"/>
    <mergeCell ref="BE39:BG39"/>
    <mergeCell ref="BH39:BJ39"/>
    <mergeCell ref="BK39:BQ39"/>
    <mergeCell ref="AJ39:AL39"/>
    <mergeCell ref="AM39:AO39"/>
    <mergeCell ref="AP39:AR39"/>
    <mergeCell ref="AS39:AU39"/>
    <mergeCell ref="AV39:AX39"/>
    <mergeCell ref="AY39:BA39"/>
    <mergeCell ref="BB39:BD39"/>
    <mergeCell ref="B39:D39"/>
    <mergeCell ref="E39:I39"/>
    <mergeCell ref="J39:P39"/>
    <mergeCell ref="Q39:W39"/>
    <mergeCell ref="X39:AD39"/>
    <mergeCell ref="AE39:AF39"/>
    <mergeCell ref="AG39:AI39"/>
    <mergeCell ref="BE40:BG40"/>
    <mergeCell ref="BH40:BJ40"/>
    <mergeCell ref="BK40:BQ40"/>
    <mergeCell ref="BK41:BQ41"/>
    <mergeCell ref="AJ40:AL40"/>
    <mergeCell ref="AM40:AO40"/>
    <mergeCell ref="AP40:AR40"/>
    <mergeCell ref="AS40:AU40"/>
    <mergeCell ref="AV40:AX40"/>
    <mergeCell ref="AY40:BA40"/>
    <mergeCell ref="BB40:BD40"/>
    <mergeCell ref="B40:D40"/>
    <mergeCell ref="E40:I40"/>
    <mergeCell ref="J40:P40"/>
    <mergeCell ref="Q40:W40"/>
    <mergeCell ref="X40:AD40"/>
    <mergeCell ref="AE40:AF40"/>
    <mergeCell ref="AG40:AI40"/>
    <mergeCell ref="BE44:BG44"/>
    <mergeCell ref="BH44:BJ44"/>
    <mergeCell ref="BK44:BQ44"/>
    <mergeCell ref="AJ44:AL44"/>
    <mergeCell ref="AM44:AO44"/>
    <mergeCell ref="AP44:AR44"/>
    <mergeCell ref="AS44:AU44"/>
    <mergeCell ref="AV44:AX44"/>
    <mergeCell ref="AY44:BA44"/>
    <mergeCell ref="BB44:BD44"/>
    <mergeCell ref="AJ46:AL46"/>
    <mergeCell ref="AM46:AO46"/>
    <mergeCell ref="AP46:AR46"/>
    <mergeCell ref="AS46:AU46"/>
    <mergeCell ref="AV46:AX46"/>
    <mergeCell ref="AY46:BA46"/>
    <mergeCell ref="BB46:BD46"/>
    <mergeCell ref="B46:D46"/>
    <mergeCell ref="E46:I46"/>
    <mergeCell ref="J46:P46"/>
    <mergeCell ref="Q46:W46"/>
    <mergeCell ref="X46:AD46"/>
    <mergeCell ref="AE46:AF46"/>
    <mergeCell ref="AG46:AI46"/>
    <mergeCell ref="BE47:BG47"/>
    <mergeCell ref="BH47:BJ47"/>
    <mergeCell ref="AJ47:AL47"/>
    <mergeCell ref="AM47:AO47"/>
    <mergeCell ref="AP47:AR47"/>
    <mergeCell ref="AS47:AU47"/>
    <mergeCell ref="AV47:AX47"/>
    <mergeCell ref="AY47:BA47"/>
    <mergeCell ref="BB47:BD47"/>
    <mergeCell ref="AE44:AF44"/>
    <mergeCell ref="AG44:AI44"/>
    <mergeCell ref="AG43:AI43"/>
    <mergeCell ref="AJ43:AL43"/>
    <mergeCell ref="B44:D44"/>
    <mergeCell ref="E44:I44"/>
    <mergeCell ref="J44:P44"/>
    <mergeCell ref="Q44:W44"/>
    <mergeCell ref="X44:AD44"/>
    <mergeCell ref="BE45:BG45"/>
    <mergeCell ref="BH45:BJ45"/>
    <mergeCell ref="BK45:BQ45"/>
    <mergeCell ref="AJ45:AL45"/>
    <mergeCell ref="AM45:AO45"/>
    <mergeCell ref="AP45:AR45"/>
    <mergeCell ref="AS45:AU45"/>
    <mergeCell ref="AV45:AX45"/>
    <mergeCell ref="AY45:BA45"/>
    <mergeCell ref="BB45:BD45"/>
    <mergeCell ref="B45:D45"/>
    <mergeCell ref="E45:I45"/>
    <mergeCell ref="J45:P45"/>
    <mergeCell ref="Q45:W45"/>
    <mergeCell ref="X45:AD45"/>
    <mergeCell ref="AE45:AF45"/>
    <mergeCell ref="AG45:AI45"/>
    <mergeCell ref="BE46:BG46"/>
    <mergeCell ref="BH46:BJ46"/>
    <mergeCell ref="BK46:BQ46"/>
    <mergeCell ref="BK47:BQ47"/>
    <mergeCell ref="B47:D47"/>
    <mergeCell ref="E47:I47"/>
    <mergeCell ref="J47:P47"/>
    <mergeCell ref="Q47:W47"/>
    <mergeCell ref="X47:AD47"/>
    <mergeCell ref="AE47:AF47"/>
    <mergeCell ref="AG47:AI47"/>
    <mergeCell ref="BE50:BG50"/>
    <mergeCell ref="BH50:BJ50"/>
    <mergeCell ref="AJ50:AL50"/>
    <mergeCell ref="AM50:AO50"/>
    <mergeCell ref="AP50:AR50"/>
    <mergeCell ref="AS50:AU50"/>
    <mergeCell ref="AV50:AX50"/>
    <mergeCell ref="AY50:BA50"/>
    <mergeCell ref="BB50:BD50"/>
    <mergeCell ref="BE48:BG48"/>
    <mergeCell ref="BH48:BJ48"/>
    <mergeCell ref="BK48:BQ48"/>
    <mergeCell ref="AJ48:AL48"/>
    <mergeCell ref="AM48:AO48"/>
    <mergeCell ref="AP48:AR48"/>
    <mergeCell ref="AS48:AU48"/>
    <mergeCell ref="AV48:AX48"/>
    <mergeCell ref="AY48:BA48"/>
    <mergeCell ref="BB48:BD48"/>
    <mergeCell ref="B48:D48"/>
    <mergeCell ref="E48:I48"/>
    <mergeCell ref="J48:P48"/>
    <mergeCell ref="Q48:W48"/>
    <mergeCell ref="X48:AD48"/>
    <mergeCell ref="AE48:AF48"/>
    <mergeCell ref="AG48:AI48"/>
    <mergeCell ref="BE49:BG49"/>
    <mergeCell ref="BH49:BJ49"/>
    <mergeCell ref="BK49:BQ49"/>
    <mergeCell ref="BK50:BQ50"/>
    <mergeCell ref="AJ49:AL49"/>
    <mergeCell ref="AM49:AO49"/>
    <mergeCell ref="AP49:AR49"/>
    <mergeCell ref="AS49:AU49"/>
    <mergeCell ref="AV49:AX49"/>
    <mergeCell ref="AY49:BA49"/>
    <mergeCell ref="BB49:BD49"/>
    <mergeCell ref="B49:D49"/>
    <mergeCell ref="E49:I49"/>
    <mergeCell ref="J49:P49"/>
    <mergeCell ref="Q49:W49"/>
    <mergeCell ref="X49:AD49"/>
    <mergeCell ref="AE49:AF49"/>
    <mergeCell ref="AG49:AI49"/>
    <mergeCell ref="B50:D50"/>
    <mergeCell ref="E50:I50"/>
    <mergeCell ref="J50:P50"/>
    <mergeCell ref="Q50:W50"/>
    <mergeCell ref="X50:AD50"/>
    <mergeCell ref="AE50:AF50"/>
    <mergeCell ref="AG50:AI50"/>
    <mergeCell ref="BB22:BD22"/>
    <mergeCell ref="BE22:BG22"/>
    <mergeCell ref="AG22:AI22"/>
    <mergeCell ref="AJ22:AL22"/>
    <mergeCell ref="AM22:AO22"/>
    <mergeCell ref="AP22:AR22"/>
    <mergeCell ref="AS22:AU22"/>
    <mergeCell ref="AV22:AX22"/>
    <mergeCell ref="AY22:BA22"/>
    <mergeCell ref="BE19:BG19"/>
    <mergeCell ref="BH19:BJ19"/>
    <mergeCell ref="BK19:BQ19"/>
    <mergeCell ref="AJ19:AL19"/>
    <mergeCell ref="AM19:AO19"/>
    <mergeCell ref="AP19:AR19"/>
    <mergeCell ref="AS19:AU19"/>
    <mergeCell ref="AV19:AX19"/>
    <mergeCell ref="AY19:BA19"/>
    <mergeCell ref="BB19:BD19"/>
    <mergeCell ref="B19:D19"/>
    <mergeCell ref="E19:I19"/>
    <mergeCell ref="J19:P19"/>
    <mergeCell ref="Q19:W19"/>
    <mergeCell ref="X19:AD19"/>
    <mergeCell ref="AE19:AF19"/>
    <mergeCell ref="AG19:AI19"/>
    <mergeCell ref="BE20:BG20"/>
    <mergeCell ref="BH20:BJ20"/>
    <mergeCell ref="BK20:BQ20"/>
    <mergeCell ref="BH22:BJ22"/>
    <mergeCell ref="BK22:BQ22"/>
    <mergeCell ref="AJ20:AL20"/>
    <mergeCell ref="AM20:AO20"/>
    <mergeCell ref="AP20:AR20"/>
    <mergeCell ref="AS20:AU20"/>
    <mergeCell ref="AV20:AX20"/>
    <mergeCell ref="AY20:BA20"/>
    <mergeCell ref="BB20:BD20"/>
    <mergeCell ref="E20:I20"/>
    <mergeCell ref="J20:P20"/>
    <mergeCell ref="Q20:W20"/>
    <mergeCell ref="X20:AD20"/>
    <mergeCell ref="AE20:AF20"/>
    <mergeCell ref="AG20:AI20"/>
    <mergeCell ref="A21:BQ21"/>
    <mergeCell ref="B20:D20"/>
    <mergeCell ref="B22:D22"/>
    <mergeCell ref="E22:I22"/>
    <mergeCell ref="J22:P22"/>
    <mergeCell ref="Q22:W22"/>
    <mergeCell ref="X22:AD22"/>
    <mergeCell ref="AE22:AF22"/>
    <mergeCell ref="BE25:BG25"/>
    <mergeCell ref="BH25:BJ25"/>
    <mergeCell ref="AJ25:AL25"/>
    <mergeCell ref="AM25:AO25"/>
    <mergeCell ref="AP25:AR25"/>
    <mergeCell ref="AS25:AU25"/>
    <mergeCell ref="AV25:AX25"/>
    <mergeCell ref="AY25:BA25"/>
    <mergeCell ref="BB25:BD25"/>
    <mergeCell ref="BE23:BG23"/>
    <mergeCell ref="BH23:BJ23"/>
    <mergeCell ref="BK23:BQ23"/>
    <mergeCell ref="AJ23:AL23"/>
    <mergeCell ref="AM23:AO23"/>
    <mergeCell ref="AP23:AR23"/>
    <mergeCell ref="AS23:AU23"/>
    <mergeCell ref="AV23:AX23"/>
    <mergeCell ref="AY23:BA23"/>
    <mergeCell ref="BB23:BD23"/>
    <mergeCell ref="B23:D23"/>
    <mergeCell ref="E23:I23"/>
    <mergeCell ref="J23:P23"/>
    <mergeCell ref="Q23:W23"/>
    <mergeCell ref="X23:AD23"/>
    <mergeCell ref="AE23:AF23"/>
    <mergeCell ref="AG23:AI23"/>
    <mergeCell ref="BE24:BG24"/>
    <mergeCell ref="BH24:BJ24"/>
    <mergeCell ref="BK24:BQ24"/>
    <mergeCell ref="BK25:BQ25"/>
    <mergeCell ref="AJ24:AL24"/>
    <mergeCell ref="AM24:AO24"/>
    <mergeCell ref="AP24:AR24"/>
    <mergeCell ref="AS24:AU24"/>
    <mergeCell ref="AV24:AX24"/>
    <mergeCell ref="AY24:BA24"/>
    <mergeCell ref="BB24:BD24"/>
    <mergeCell ref="B24:D24"/>
    <mergeCell ref="E24:I24"/>
    <mergeCell ref="J24:P24"/>
    <mergeCell ref="Q24:W24"/>
    <mergeCell ref="X24:AD24"/>
    <mergeCell ref="AE24:AF24"/>
    <mergeCell ref="AG24:AI24"/>
    <mergeCell ref="B25:D25"/>
    <mergeCell ref="E25:I25"/>
    <mergeCell ref="J25:P25"/>
    <mergeCell ref="Q25:W25"/>
    <mergeCell ref="X25:AD25"/>
    <mergeCell ref="AE25:AF25"/>
    <mergeCell ref="AG25:AI25"/>
    <mergeCell ref="BB29:BD29"/>
    <mergeCell ref="BE29:BG29"/>
    <mergeCell ref="AG29:AI29"/>
    <mergeCell ref="AJ29:AL29"/>
    <mergeCell ref="AM29:AO29"/>
    <mergeCell ref="AP29:AR29"/>
    <mergeCell ref="AS29:AU29"/>
    <mergeCell ref="AV29:AX29"/>
    <mergeCell ref="AY29:BA29"/>
    <mergeCell ref="BE26:BG26"/>
    <mergeCell ref="BH26:BJ26"/>
    <mergeCell ref="BK26:BQ26"/>
    <mergeCell ref="AJ26:AL26"/>
    <mergeCell ref="AM26:AO26"/>
    <mergeCell ref="AP26:AR26"/>
    <mergeCell ref="AS26:AU26"/>
    <mergeCell ref="AV26:AX26"/>
    <mergeCell ref="AY26:BA26"/>
    <mergeCell ref="BB26:BD26"/>
    <mergeCell ref="B26:D26"/>
    <mergeCell ref="E26:I26"/>
    <mergeCell ref="J26:P26"/>
    <mergeCell ref="Q26:W26"/>
    <mergeCell ref="X26:AD26"/>
    <mergeCell ref="AE26:AF26"/>
    <mergeCell ref="AG26:AI26"/>
    <mergeCell ref="BE27:BG27"/>
    <mergeCell ref="BH27:BJ27"/>
    <mergeCell ref="BK27:BQ27"/>
    <mergeCell ref="BH29:BJ29"/>
    <mergeCell ref="BK29:BQ29"/>
    <mergeCell ref="AJ27:AL27"/>
    <mergeCell ref="AM27:AO27"/>
    <mergeCell ref="AP27:AR27"/>
    <mergeCell ref="AS27:AU27"/>
    <mergeCell ref="AV27:AX27"/>
    <mergeCell ref="AY27:BA27"/>
    <mergeCell ref="BB27:BD27"/>
    <mergeCell ref="E27:I27"/>
    <mergeCell ref="J27:P27"/>
    <mergeCell ref="Q27:W27"/>
    <mergeCell ref="X27:AD27"/>
    <mergeCell ref="AE27:AF27"/>
    <mergeCell ref="AG27:AI27"/>
    <mergeCell ref="A28:BQ28"/>
    <mergeCell ref="B27:D27"/>
    <mergeCell ref="B29:D29"/>
    <mergeCell ref="E29:I29"/>
    <mergeCell ref="J29:P29"/>
    <mergeCell ref="Q29:W29"/>
    <mergeCell ref="X29:AD29"/>
    <mergeCell ref="AE29:AF29"/>
    <mergeCell ref="BE32:BG32"/>
    <mergeCell ref="BH32:BJ32"/>
    <mergeCell ref="AJ32:AL32"/>
    <mergeCell ref="AM32:AO32"/>
    <mergeCell ref="AP32:AR32"/>
    <mergeCell ref="AS32:AU32"/>
    <mergeCell ref="AV32:AX32"/>
    <mergeCell ref="AY32:BA32"/>
    <mergeCell ref="BB32:BD32"/>
    <mergeCell ref="BE30:BG30"/>
    <mergeCell ref="BH30:BJ30"/>
    <mergeCell ref="BK30:BQ30"/>
    <mergeCell ref="AJ30:AL30"/>
    <mergeCell ref="AM30:AO30"/>
    <mergeCell ref="AP30:AR30"/>
    <mergeCell ref="AS30:AU30"/>
    <mergeCell ref="AV30:AX30"/>
    <mergeCell ref="AY30:BA30"/>
    <mergeCell ref="BB30:BD30"/>
    <mergeCell ref="B30:D30"/>
    <mergeCell ref="E30:I30"/>
    <mergeCell ref="J30:P30"/>
    <mergeCell ref="Q30:W30"/>
    <mergeCell ref="X30:AD30"/>
    <mergeCell ref="AE30:AF30"/>
    <mergeCell ref="AG30:AI30"/>
    <mergeCell ref="BE31:BG31"/>
    <mergeCell ref="BH31:BJ31"/>
    <mergeCell ref="BK31:BQ31"/>
    <mergeCell ref="BK32:BQ32"/>
    <mergeCell ref="AJ31:AL31"/>
    <mergeCell ref="AM31:AO31"/>
    <mergeCell ref="AP31:AR31"/>
    <mergeCell ref="AS31:AU31"/>
    <mergeCell ref="AV31:AX31"/>
    <mergeCell ref="AY31:BA31"/>
    <mergeCell ref="BB31:BD31"/>
    <mergeCell ref="B31:D31"/>
    <mergeCell ref="E31:I31"/>
    <mergeCell ref="J31:P31"/>
    <mergeCell ref="Q31:W31"/>
    <mergeCell ref="X31:AD31"/>
    <mergeCell ref="AE31:AF31"/>
    <mergeCell ref="AG31:AI31"/>
    <mergeCell ref="B32:D32"/>
    <mergeCell ref="E32:I32"/>
    <mergeCell ref="J32:P32"/>
    <mergeCell ref="Q32:W32"/>
    <mergeCell ref="X32:AD32"/>
    <mergeCell ref="AE32:AF32"/>
    <mergeCell ref="AG32:AI32"/>
    <mergeCell ref="BE35:BG35"/>
    <mergeCell ref="BH35:BJ35"/>
    <mergeCell ref="AJ35:AL35"/>
    <mergeCell ref="AM35:AO35"/>
    <mergeCell ref="AP35:AR35"/>
    <mergeCell ref="AS35:AU35"/>
    <mergeCell ref="AV35:AX35"/>
    <mergeCell ref="AY35:BA35"/>
    <mergeCell ref="BB35:BD35"/>
    <mergeCell ref="BE33:BG33"/>
    <mergeCell ref="BH33:BJ33"/>
    <mergeCell ref="BK33:BQ33"/>
    <mergeCell ref="AJ33:AL33"/>
    <mergeCell ref="AM33:AO33"/>
    <mergeCell ref="AP33:AR33"/>
    <mergeCell ref="AS33:AU33"/>
    <mergeCell ref="AV33:AX33"/>
    <mergeCell ref="AY33:BA33"/>
    <mergeCell ref="BB33:BD33"/>
    <mergeCell ref="B33:D33"/>
    <mergeCell ref="E33:I33"/>
    <mergeCell ref="J33:P33"/>
    <mergeCell ref="Q33:W33"/>
    <mergeCell ref="X33:AD33"/>
    <mergeCell ref="AE33:AF33"/>
    <mergeCell ref="AG33:AI33"/>
    <mergeCell ref="BE34:BG34"/>
    <mergeCell ref="BH34:BJ34"/>
    <mergeCell ref="BK34:BQ34"/>
    <mergeCell ref="BK35:BQ35"/>
    <mergeCell ref="AJ34:AL34"/>
    <mergeCell ref="AM34:AO34"/>
    <mergeCell ref="AP34:AR34"/>
    <mergeCell ref="AS34:AU34"/>
    <mergeCell ref="AV34:AX34"/>
    <mergeCell ref="AY34:BA34"/>
    <mergeCell ref="BB34:BD34"/>
    <mergeCell ref="B34:D34"/>
    <mergeCell ref="E34:I34"/>
    <mergeCell ref="J34:P34"/>
    <mergeCell ref="Q34:W34"/>
    <mergeCell ref="X34:AD34"/>
    <mergeCell ref="AE34:AF34"/>
    <mergeCell ref="AG34:AI34"/>
    <mergeCell ref="B35:D35"/>
    <mergeCell ref="E35:I35"/>
    <mergeCell ref="J35:P35"/>
    <mergeCell ref="Q35:W35"/>
    <mergeCell ref="X35:AD35"/>
    <mergeCell ref="AE35:AF35"/>
    <mergeCell ref="AG35:AI35"/>
    <mergeCell ref="BE38:BG38"/>
    <mergeCell ref="BH38:BJ38"/>
    <mergeCell ref="AJ38:AL38"/>
    <mergeCell ref="AM38:AO38"/>
    <mergeCell ref="AP38:AR38"/>
    <mergeCell ref="AS38:AU38"/>
    <mergeCell ref="AV38:AX38"/>
    <mergeCell ref="AY38:BA38"/>
    <mergeCell ref="BB38:BD38"/>
    <mergeCell ref="BE36:BG36"/>
    <mergeCell ref="BH36:BJ36"/>
    <mergeCell ref="BK36:BQ36"/>
    <mergeCell ref="AJ36:AL36"/>
    <mergeCell ref="AM36:AO36"/>
    <mergeCell ref="AP36:AR36"/>
    <mergeCell ref="AS36:AU36"/>
    <mergeCell ref="AV36:AX36"/>
    <mergeCell ref="AY36:BA36"/>
    <mergeCell ref="BB36:BD36"/>
    <mergeCell ref="B36:D36"/>
    <mergeCell ref="E36:I36"/>
    <mergeCell ref="J36:P36"/>
    <mergeCell ref="Q36:W36"/>
    <mergeCell ref="X36:AD36"/>
    <mergeCell ref="AE36:AF36"/>
    <mergeCell ref="AG36:AI36"/>
    <mergeCell ref="BE37:BG37"/>
    <mergeCell ref="BH37:BJ37"/>
    <mergeCell ref="BK37:BQ37"/>
    <mergeCell ref="BK38:BQ38"/>
    <mergeCell ref="AJ37:AL37"/>
    <mergeCell ref="AM37:AO37"/>
    <mergeCell ref="AP37:AR37"/>
    <mergeCell ref="AS37:AU37"/>
    <mergeCell ref="AV37:AX37"/>
    <mergeCell ref="AY37:BA37"/>
    <mergeCell ref="BB37:BD37"/>
    <mergeCell ref="B37:D37"/>
    <mergeCell ref="E37:I37"/>
    <mergeCell ref="J37:P37"/>
    <mergeCell ref="Q37:W37"/>
    <mergeCell ref="X37:AD37"/>
    <mergeCell ref="AE37:AF37"/>
    <mergeCell ref="AG37:AI37"/>
    <mergeCell ref="B38:D38"/>
    <mergeCell ref="E38:I38"/>
    <mergeCell ref="J38:P38"/>
    <mergeCell ref="Q38:W38"/>
    <mergeCell ref="X38:AD38"/>
    <mergeCell ref="AE38:AF38"/>
    <mergeCell ref="AG38:AI38"/>
    <mergeCell ref="BE53:BG53"/>
    <mergeCell ref="BH53:BJ53"/>
    <mergeCell ref="AJ53:AL53"/>
    <mergeCell ref="AM53:AO53"/>
    <mergeCell ref="AP53:AR53"/>
    <mergeCell ref="AS53:AU53"/>
    <mergeCell ref="AV53:AX53"/>
    <mergeCell ref="AY53:BA53"/>
    <mergeCell ref="BB53:BD53"/>
    <mergeCell ref="BE51:BG51"/>
    <mergeCell ref="BH51:BJ51"/>
    <mergeCell ref="BK51:BQ51"/>
    <mergeCell ref="AJ51:AL51"/>
    <mergeCell ref="AM51:AO51"/>
    <mergeCell ref="AP51:AR51"/>
    <mergeCell ref="AS51:AU51"/>
    <mergeCell ref="AV51:AX51"/>
    <mergeCell ref="AY51:BA51"/>
    <mergeCell ref="BB51:BD51"/>
    <mergeCell ref="B51:D51"/>
    <mergeCell ref="E51:I51"/>
    <mergeCell ref="J51:P51"/>
    <mergeCell ref="Q51:W51"/>
    <mergeCell ref="X51:AD51"/>
    <mergeCell ref="AE51:AF51"/>
    <mergeCell ref="AG51:AI51"/>
    <mergeCell ref="BE52:BG52"/>
    <mergeCell ref="BH52:BJ52"/>
    <mergeCell ref="BK52:BQ52"/>
    <mergeCell ref="BK53:BQ53"/>
    <mergeCell ref="AJ52:AL52"/>
    <mergeCell ref="AM52:AO52"/>
    <mergeCell ref="AP52:AR52"/>
    <mergeCell ref="AS52:AU52"/>
    <mergeCell ref="AV52:AX52"/>
    <mergeCell ref="AY52:BA52"/>
    <mergeCell ref="BB52:BD52"/>
    <mergeCell ref="B52:D52"/>
    <mergeCell ref="E52:I52"/>
    <mergeCell ref="J52:P52"/>
    <mergeCell ref="Q52:W52"/>
    <mergeCell ref="X52:AD52"/>
    <mergeCell ref="AE52:AF52"/>
    <mergeCell ref="AG52:AI52"/>
    <mergeCell ref="B53:D53"/>
    <mergeCell ref="E53:I53"/>
    <mergeCell ref="J53:P53"/>
    <mergeCell ref="Q53:W53"/>
    <mergeCell ref="X53:AD53"/>
    <mergeCell ref="AE53:AF53"/>
    <mergeCell ref="AG53:AI53"/>
    <mergeCell ref="BE57:BG57"/>
    <mergeCell ref="BH57:BJ57"/>
    <mergeCell ref="AJ57:AL57"/>
    <mergeCell ref="AM57:AO57"/>
    <mergeCell ref="AP57:AR57"/>
    <mergeCell ref="AS57:AU57"/>
    <mergeCell ref="AV57:AX57"/>
    <mergeCell ref="AY57:BA57"/>
    <mergeCell ref="BB57:BD57"/>
    <mergeCell ref="BE54:BG54"/>
    <mergeCell ref="BH54:BJ54"/>
    <mergeCell ref="BK54:BQ54"/>
    <mergeCell ref="AJ54:AL54"/>
    <mergeCell ref="AM54:AO54"/>
    <mergeCell ref="AP54:AR54"/>
    <mergeCell ref="AS54:AU54"/>
    <mergeCell ref="AV54:AX54"/>
    <mergeCell ref="AY54:BA54"/>
    <mergeCell ref="BB54:BD54"/>
    <mergeCell ref="E54:I54"/>
    <mergeCell ref="J54:P54"/>
    <mergeCell ref="Q54:W54"/>
    <mergeCell ref="X54:AD54"/>
    <mergeCell ref="AE54:AF54"/>
    <mergeCell ref="AG54:AI54"/>
    <mergeCell ref="A55:BQ55"/>
    <mergeCell ref="BB56:BD56"/>
    <mergeCell ref="BE56:BG56"/>
    <mergeCell ref="BH56:BJ56"/>
    <mergeCell ref="BK56:BQ56"/>
    <mergeCell ref="BK57:BQ57"/>
    <mergeCell ref="AG56:AI56"/>
    <mergeCell ref="AJ56:AL56"/>
    <mergeCell ref="AM56:AO56"/>
    <mergeCell ref="AP56:AR56"/>
    <mergeCell ref="AS56:AU56"/>
    <mergeCell ref="AV56:AX56"/>
    <mergeCell ref="AY56:BA56"/>
    <mergeCell ref="B54:D54"/>
    <mergeCell ref="B56:D56"/>
    <mergeCell ref="E56:I56"/>
    <mergeCell ref="J56:P56"/>
    <mergeCell ref="Q56:W56"/>
    <mergeCell ref="X56:AD56"/>
    <mergeCell ref="AE56:AF56"/>
    <mergeCell ref="B57:D57"/>
    <mergeCell ref="E57:I57"/>
    <mergeCell ref="J57:P57"/>
    <mergeCell ref="Q57:W57"/>
    <mergeCell ref="X57:AD57"/>
    <mergeCell ref="AE57:AF57"/>
    <mergeCell ref="AG57:AI57"/>
    <mergeCell ref="BE60:BG60"/>
    <mergeCell ref="BH60:BJ60"/>
    <mergeCell ref="AJ60:AL60"/>
    <mergeCell ref="AM60:AO60"/>
    <mergeCell ref="AP60:AR60"/>
    <mergeCell ref="AS60:AU60"/>
    <mergeCell ref="AV60:AX60"/>
    <mergeCell ref="AY60:BA60"/>
    <mergeCell ref="BB60:BD60"/>
    <mergeCell ref="BE58:BG58"/>
    <mergeCell ref="BH58:BJ58"/>
    <mergeCell ref="BK58:BQ58"/>
    <mergeCell ref="AJ58:AL58"/>
    <mergeCell ref="AM58:AO58"/>
    <mergeCell ref="AP58:AR58"/>
    <mergeCell ref="AS58:AU58"/>
    <mergeCell ref="AV58:AX58"/>
    <mergeCell ref="AY58:BA58"/>
    <mergeCell ref="BB58:BD58"/>
    <mergeCell ref="B58:D58"/>
    <mergeCell ref="E58:I58"/>
    <mergeCell ref="J58:P58"/>
    <mergeCell ref="Q58:W58"/>
    <mergeCell ref="X58:AD58"/>
    <mergeCell ref="AE58:AF58"/>
    <mergeCell ref="AG58:AI58"/>
    <mergeCell ref="BE59:BG59"/>
    <mergeCell ref="BH59:BJ59"/>
    <mergeCell ref="BK59:BQ59"/>
    <mergeCell ref="BK60:BQ60"/>
    <mergeCell ref="AJ59:AL59"/>
    <mergeCell ref="AM59:AO59"/>
    <mergeCell ref="AP59:AR59"/>
    <mergeCell ref="AS59:AU59"/>
    <mergeCell ref="AV59:AX59"/>
    <mergeCell ref="AY59:BA59"/>
    <mergeCell ref="BB59:BD59"/>
    <mergeCell ref="B59:D59"/>
    <mergeCell ref="E59:I59"/>
    <mergeCell ref="J59:P59"/>
    <mergeCell ref="Q59:W59"/>
    <mergeCell ref="X59:AD59"/>
    <mergeCell ref="AE59:AF59"/>
    <mergeCell ref="AG59:AI59"/>
    <mergeCell ref="B60:D60"/>
    <mergeCell ref="E60:I60"/>
    <mergeCell ref="J60:P60"/>
    <mergeCell ref="Q60:W60"/>
    <mergeCell ref="X60:AD60"/>
    <mergeCell ref="AE60:AF60"/>
    <mergeCell ref="AG60:AI60"/>
    <mergeCell ref="BE63:BG63"/>
    <mergeCell ref="BH63:BJ63"/>
    <mergeCell ref="AJ63:AL63"/>
    <mergeCell ref="AM63:AO63"/>
    <mergeCell ref="AP63:AR63"/>
    <mergeCell ref="AS63:AU63"/>
    <mergeCell ref="AV63:AX63"/>
    <mergeCell ref="AY63:BA63"/>
    <mergeCell ref="BB63:BD63"/>
    <mergeCell ref="BE61:BG61"/>
    <mergeCell ref="BH61:BJ61"/>
    <mergeCell ref="BK61:BQ61"/>
    <mergeCell ref="AJ61:AL61"/>
    <mergeCell ref="AM61:AO61"/>
    <mergeCell ref="AP61:AR61"/>
    <mergeCell ref="AS61:AU61"/>
    <mergeCell ref="AV61:AX61"/>
    <mergeCell ref="AY61:BA61"/>
    <mergeCell ref="BB61:BD61"/>
    <mergeCell ref="B61:D61"/>
    <mergeCell ref="E61:I61"/>
    <mergeCell ref="J61:P61"/>
    <mergeCell ref="Q61:W61"/>
    <mergeCell ref="X61:AD61"/>
    <mergeCell ref="AE61:AF61"/>
    <mergeCell ref="AG61:AI61"/>
    <mergeCell ref="BE62:BG62"/>
    <mergeCell ref="BH62:BJ62"/>
    <mergeCell ref="BK62:BQ62"/>
    <mergeCell ref="BK63:BQ63"/>
    <mergeCell ref="AJ62:AL62"/>
    <mergeCell ref="AM62:AO62"/>
    <mergeCell ref="AP62:AR62"/>
    <mergeCell ref="AS62:AU62"/>
    <mergeCell ref="AV62:AX62"/>
    <mergeCell ref="AY62:BA62"/>
    <mergeCell ref="BB62:BD62"/>
    <mergeCell ref="B62:D62"/>
    <mergeCell ref="E62:I62"/>
    <mergeCell ref="J62:P62"/>
    <mergeCell ref="Q62:W62"/>
    <mergeCell ref="X62:AD62"/>
    <mergeCell ref="AE62:AF62"/>
    <mergeCell ref="AG62:AI62"/>
    <mergeCell ref="B63:D63"/>
    <mergeCell ref="E63:I63"/>
    <mergeCell ref="J63:P63"/>
    <mergeCell ref="Q63:W63"/>
    <mergeCell ref="X63:AD63"/>
    <mergeCell ref="AE63:AF63"/>
    <mergeCell ref="AG63:AI63"/>
  </mergeCells>
  <dataValidations>
    <dataValidation type="list" allowBlank="1" sqref="F1">
      <formula1>"単体テスト,結合テスト,システムテスト"</formula1>
    </dataValidation>
    <dataValidation type="list" allowBlank="1" sqref="AG13:AG20 AV13:AV20 AG22:AG27 AV22:AV27 AG29:AG41 AV29:AV41 AG43:AG54 AV43:AV54 AG56:AG63 AV56:AV63">
      <formula1>"合格,不合格,未テスト,N/A"</formula1>
    </dataValidation>
    <dataValidation type="list" allowBlank="1" sqref="AE13:AE20 AE22:AE27 AE29:AE41 AE43:AE54 AE56:AE63">
      <formula1>"N,A,B"</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2026-06-17T08:58:39Z</dcterms:created>
  <dc:creator>openpyxl</dc:creator>
</cp:coreProperties>
</file>