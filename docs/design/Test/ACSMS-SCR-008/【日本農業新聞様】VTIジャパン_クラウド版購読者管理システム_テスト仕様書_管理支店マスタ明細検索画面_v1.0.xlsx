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概要" sheetId="3" r:id="rId3"/>
    <sheet name="テスト報告書" sheetId="4" r:id="rId4"/>
    <sheet name="テスト観点" sheetId="5" r:id="rId5"/>
    <sheet name="機能"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<sst xmlns="http://schemas.openxmlformats.org/spreadsheetml/2006/main" count="1098" uniqueCount="592">
  <si>
    <t>クラウド版購読者管理システム</t>
  </si>
  <si>
    <t>管理支店マスタ明細検索画面</t>
  </si>
  <si>
    <t>版1.0</t>
  </si>
  <si>
    <t>フォーマットコード</t>
  </si>
  <si>
    <t>16-BM/PM/VTI</t>
  </si>
  <si>
    <t>フォーマットバージョン</t>
  </si>
  <si>
    <t>1.0</t>
  </si>
  <si>
    <t>発行日</t>
  </si>
  <si>
    <t>2026/05/14</t>
  </si>
  <si>
    <t>項番</t>
  </si>
  <si>
    <t>バージョン</t>
  </si>
  <si>
    <t>担当者</t>
  </si>
  <si>
    <t>変更内容</t>
  </si>
  <si>
    <t>確認者</t>
  </si>
  <si>
    <t>承認者</t>
  </si>
  <si>
    <t>2026-05-14</t>
  </si>
  <si>
    <t>Kieu Thi Diem</t>
  </si>
  <si>
    <t>Tạo mới</t>
  </si>
  <si>
    <t>Nguyen Huy Dat</t>
  </si>
  <si>
    <t>システム・アプリケーション名</t>
  </si>
  <si>
    <t>ドキュメント</t>
  </si>
  <si>
    <t>シート名</t>
  </si>
  <si>
    <t>作成日</t>
  </si>
  <si>
    <t>作成者</t>
  </si>
  <si>
    <t>更新日</t>
  </si>
  <si>
    <t>更新者</t>
  </si>
  <si>
    <t>テスト仕様書</t>
  </si>
  <si>
    <t>概要</t>
  </si>
  <si>
    <t>1.システム概要</t>
  </si>
  <si>
    <t>本システムは、JA向けのクラウド型読者管理システムであり、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</si>
  <si>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</si>
  <si>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</si>
  <si>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</si>
  <si>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</si>
  <si>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</si>
  <si>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</si>
  <si>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</si>
  <si>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Tài liệu này mô tả chi tiết test specification cho "Màn hình tìm kiếm chi tiết Master Chi nhánh Quản lý (ACSMS-SCR-008)" được tạo mới trên hệ thống. Tài liệu tham khảo ISTQB và IEEE 829, đảm bảo các tiêu chuẩn chất lượng sau.</t>
  </si>
  <si>
    <t>- Mỗi test case được tạo dựa trên một kịch bản duy nhất (single responsibility).</t>
  </si>
  <si>
    <t>- Mô tả các bước với độ mịn có thể tái hiện được, chỉ rõ test data.</t>
  </si>
  <si>
    <t>- Kỳ vọng kết quả phải đo lường được (nội dung message, kết quả query DB, HTTP status code...).</t>
  </si>
  <si>
    <t>- Đặt mức độ ưu tiên (P0: Release blocker / P1: Cao / P2: Trung bình).</t>
  </si>
  <si>
    <t>3.関連資料</t>
  </si>
  <si>
    <t>No</t>
  </si>
  <si>
    <t>資料コード</t>
  </si>
  <si>
    <t>資料名</t>
  </si>
  <si>
    <t>ACSMS-SCR-008</t>
  </si>
  <si>
    <t>Tài liệu thiết kế Màn hình tìm kiếm chi tiết Master Chi nhánh Quản lý</t>
  </si>
  <si>
    <t>ACSMS-SCR-008-api</t>
  </si>
  <si>
    <t>Tài liệu thiết kế API tìm kiếm chi tiết Master Chi nhánh Quản lý</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</si>
  <si>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</si>
  <si>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</si>
  <si>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</si>
  <si>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</si>
  <si>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</si>
  <si>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</si>
  <si>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</si>
  <si>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</si>
  <si>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</si>
  <si>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</si>
  <si>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</si>
  <si>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</si>
  <si>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</si>
  <si>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</si>
  <si>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</si>
  <si>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</si>
  <si>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</si>
  <si>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</si>
  <si>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</si>
  <si>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</si>
  <si>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</si>
  <si>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</si>
  <si>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</si>
  <si>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</si>
  <si>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</si>
  <si>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</si>
  <si>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</si>
  <si>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</si>
  <si>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</si>
  <si>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</si>
  <si>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</si>
  <si>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</si>
  <si>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</si>
  <si>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</si>
  <si>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</si>
  <si>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</si>
  <si>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</si>
  <si>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</si>
  <si>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</si>
  <si>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</si>
  <si>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</si>
  <si>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</si>
  <si>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</si>
  <si>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</si>
  <si>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</si>
  <si>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</si>
  <si>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</si>
  <si>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</si>
  <si>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</si>
  <si>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</si>
  <si>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</si>
  <si>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</si>
  <si>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</si>
  <si>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</si>
  <si>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</si>
  <si>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</si>
  <si>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</si>
  <si>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</si>
  <si>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</si>
  <si>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</si>
  <si>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</si>
  <si>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</si>
  <si>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</si>
  <si>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</si>
  <si>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</si>
  <si>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</si>
  <si>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</si>
  <si>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</si>
  <si>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</si>
  <si>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</si>
  <si>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</si>
  <si>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</si>
  <si>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</si>
  <si>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</si>
  <si>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</si>
  <si>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</si>
  <si>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</si>
  <si>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</si>
  <si>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</si>
  <si>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</si>
  <si>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</si>
  <si>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</si>
  <si>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</si>
  <si>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</si>
  <si>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</si>
  <si>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</si>
  <si>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</si>
  <si>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</si>
  <si>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</si>
  <si>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</si>
  <si>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</si>
  <si>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</si>
  <si>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</si>
  <si>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</si>
  <si>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</si>
  <si>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</si>
  <si>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</si>
  <si>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</si>
  <si>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</si>
  <si>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</si>
  <si>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</si>
  <si>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</si>
  <si>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</si>
  <si>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</si>
  <si>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</si>
  <si>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</si>
  <si>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</si>
  <si>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</si>
  <si>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</si>
  <si>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</si>
  <si>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</si>
  <si>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</si>
  <si>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</si>
  <si>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</si>
  <si>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</si>
  <si>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</si>
  <si>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</si>
  <si>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</si>
  <si>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</si>
  <si>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</si>
  <si>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</si>
  <si>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</si>
  <si>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</si>
  <si>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</si>
  <si>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</si>
  <si>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</si>
  <si>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</si>
  <si>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</si>
  <si>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</si>
  <si>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</si>
  <si>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</si>
  <si>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</si>
  <si>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</si>
  <si>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</si>
  <si>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</si>
  <si>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</si>
  <si>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</si>
  <si>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</si>
  <si>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</si>
  <si>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</si>
  <si>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</si>
  <si>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</si>
  <si>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</si>
  <si>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</si>
  <si>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</si>
  <si>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</si>
  <si>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</si>
  <si>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</si>
  <si>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</si>
  <si>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</si>
  <si>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</si>
  <si>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</si>
  <si>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</si>
  <si>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</si>
  <si>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</si>
  <si>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</si>
  <si>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</si>
  <si>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</si>
  <si>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</si>
  <si>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</si>
  <si>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</si>
  <si>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</si>
  <si>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</si>
  <si>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</si>
  <si>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</si>
  <si>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</si>
  <si>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</si>
  <si>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</si>
  <si>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</si>
  <si>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</si>
  <si>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</si>
  <si>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</si>
  <si>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</si>
  <si>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</si>
  <si>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</si>
  <si>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</si>
  <si>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</si>
  <si>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</si>
  <si>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</si>
  <si>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</si>
  <si>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</si>
  <si>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</si>
  <si>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</si>
  <si>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</si>
  <si>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</si>
  <si>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</si>
  <si>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</si>
  <si>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</si>
  <si>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</si>
  <si>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</si>
  <si>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</si>
  <si>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</si>
  <si>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ACSMS-SCR-008_管理支店マスタ明細検索画面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</si>
  <si>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</si>
  <si>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</si>
  <si>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</si>
  <si>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</si>
  <si>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</si>
  <si>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</si>
  <si>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</si>
  <si>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</si>
  <si>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</si>
  <si>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</si>
  <si>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</si>
  <si>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</si>
  <si>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</si>
  <si>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</si>
  <si>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</si>
  <si>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</si>
  <si>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</si>
  <si>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</si>
  <si>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</si>
  <si>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</si>
  <si>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</si>
  <si>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</si>
  <si>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ACSMS-TC-008-001</t>
  </si>
  <si>
    <t>Cho phép NICHINO_ADMIN xem màn hình tìm kiếm chi tiết Master Chi nhánh Quản lý</t>
  </si>
  <si>
    <t>・role: NICHINO_ADMIN
・Đã login + đã xác thực MFA
・Có quyền `kanri_shiten.view`</t>
  </si>
  <si>
    <r>
      <rPr>
        <b/>
        <sz val="10"/>
        <color rgb="FF000000"/>
        <rFont val="游ゴシック"/>
        <charset val="134"/>
      </rPr>
      <t xml:space="preserve">ステップ1：
</t>
    </r>
    <r>
      <rPr>
        <sz val="10"/>
        <color rgb="FF000000"/>
        <rFont val="游ゴシック"/>
        <charset val="134"/>
      </rPr>
      <t xml:space="preserve">Mở dashboard, kiểm tra item "管理支店マスタ" trên sidebar
</t>
    </r>
    <r>
      <rPr>
        <b/>
        <sz val="10"/>
        <color rgb="FF000000"/>
        <rFont val="游ゴシック"/>
        <charset val="134"/>
      </rPr>
      <t xml:space="preserve">ステップ2：
</t>
    </r>
    <r>
      <rPr>
        <sz val="10"/>
        <color rgb="FF000000"/>
        <rFont val="游ゴシック"/>
        <charset val="134"/>
      </rPr>
      <t xml:space="preserve">Click "管理支店マスタ" trên sidebar, mở URL `/kanri-shiten`
</t>
    </r>
    <r>
      <rPr>
        <b/>
        <sz val="10"/>
        <color rgb="FF000000"/>
        <rFont val="游ゴシック"/>
        <charset val="134"/>
      </rPr>
      <t xml:space="preserve">ステップ3：
</t>
    </r>
    <r>
      <rPr>
        <sz val="10"/>
        <color rgb="FF000000"/>
        <rFont val="游ゴシック"/>
        <charset val="134"/>
      </rPr>
      <t>Dùng DevTools gọi trực tiếp GET `/api/v1/kanri-shiten`, kiểm tra response</t>
    </r>
  </si>
  <si>
    <r>
      <rPr>
        <b/>
        <sz val="10"/>
        <color rgb="FF000000"/>
        <rFont val="游ゴシック"/>
        <charset val="134"/>
      </rPr>
      <t xml:space="preserve">ステップ1：
</t>
    </r>
    <r>
      <rPr>
        <sz val="10"/>
        <color rgb="FF000000"/>
        <rFont val="游ゴシック"/>
        <charset val="134"/>
      </rPr>
      <t xml:space="preserve">Item "管理支店マスタ" được hiển thị trên sidebar (do có quyền `kanri_shiten.view`)
</t>
    </r>
    <r>
      <rPr>
        <b/>
        <sz val="10"/>
        <color rgb="FF000000"/>
        <rFont val="游ゴシック"/>
        <charset val="134"/>
      </rPr>
      <t xml:space="preserve">ステップ2：
</t>
    </r>
    <r>
      <rPr>
        <sz val="10"/>
        <color rgb="FF000000"/>
        <rFont val="游ゴシック"/>
        <charset val="134"/>
      </rPr>
      <t xml:space="preserve">Màn hình tìm kiếm chi tiết Master Chi nhánh Quản lý được hiển thị, form search và danh sách chi nhánh quản lý (updated_at giảm dần) được render
</t>
    </r>
    <r>
      <rPr>
        <b/>
        <sz val="10"/>
        <color rgb="FF000000"/>
        <rFont val="游ゴシック"/>
        <charset val="134"/>
      </rPr>
      <t xml:space="preserve">ステップ3：
</t>
    </r>
    <r>
      <rPr>
        <sz val="10"/>
        <color rgb="FF000000"/>
        <rFont val="游ゴシック"/>
        <charset val="134"/>
      </rPr>
      <t xml:space="preserve">Trả về HTTP 200, response body chứa mảng `data` và object `meta`
</t>
    </r>
    <r>
      <rPr>
        <b/>
        <sz val="10"/>
        <color rgb="FF000000"/>
        <rFont val="游ゴシック"/>
        <charset val="134"/>
      </rPr>
      <t xml:space="preserve">補足：
</t>
    </r>
    <r>
      <rPr>
        <sz val="10"/>
        <color rgb="FF000000"/>
        <rFont val="游ゴシック"/>
        <charset val="134"/>
      </rPr>
      <t>・Button "新規登録" hiển thị ở trạng thái active (do có quyền `kanri_shiten.create`)
・Link "削除" tại cột thao tác hiển thị ở trạng thái active (do có quyền `kanri_shiten.delete`)</t>
    </r>
  </si>
  <si>
    <t>N</t>
  </si>
  <si>
    <t>diem.kieuthi</t>
  </si>
  <si>
    <t>mai.tranthi1</t>
  </si>
  <si>
    <t>ACSMS-TC-008-002</t>
  </si>
  <si>
    <t>Cấm NICHINO_STAFF truy cập màn hình tìm kiếm chi tiết Master Chi nhánh Quản lý</t>
  </si>
  <si>
    <t>・role: NICHINO_STAFF
・Đã login + đã xác thực MFA
・Không có quyền `kanri_shiten.view`</t>
  </si>
  <si>
    <r>
      <rPr>
        <b/>
        <sz val="10"/>
        <color rgb="FF000000"/>
        <rFont val="游ゴシック"/>
        <charset val="134"/>
      </rPr>
      <t xml:space="preserve">ステップ1：
</t>
    </r>
    <r>
      <rPr>
        <sz val="10"/>
        <color rgb="FF000000"/>
        <rFont val="游ゴシック"/>
        <charset val="134"/>
      </rPr>
      <t xml:space="preserve">Mở dashboard, kiểm tra hiển thị item "管理支店マスタ" trên sidebar
</t>
    </r>
    <r>
      <rPr>
        <b/>
        <sz val="10"/>
        <color rgb="FF000000"/>
        <rFont val="游ゴシック"/>
        <charset val="134"/>
      </rPr>
      <t xml:space="preserve">ステップ2：
</t>
    </r>
    <r>
      <rPr>
        <sz val="10"/>
        <color rgb="FF000000"/>
        <rFont val="游ゴシック"/>
        <charset val="134"/>
      </rPr>
      <t xml:space="preserve">Truy cập trực tiếp URL `/kanri-shiten`
</t>
    </r>
    <r>
      <rPr>
        <b/>
        <sz val="10"/>
        <color rgb="FF000000"/>
        <rFont val="游ゴシック"/>
        <charset val="134"/>
      </rPr>
      <t xml:space="preserve">ステップ3：
</t>
    </r>
    <r>
      <rPr>
        <sz val="10"/>
        <color rgb="FF000000"/>
        <rFont val="游ゴシック"/>
        <charset val="134"/>
      </rPr>
      <t xml:space="preserve">Dùng DevTools gọi trực tiếp GET `/api/v1/kanri-shiten`
</t>
    </r>
  </si>
  <si>
    <r>
      <rPr>
        <b/>
        <sz val="10"/>
        <color rgb="FF000000"/>
        <rFont val="游ゴシック"/>
        <charset val="134"/>
      </rPr>
      <t xml:space="preserve">ステップ1：
</t>
    </r>
    <r>
      <rPr>
        <sz val="10"/>
        <color rgb="FF000000"/>
        <rFont val="游ゴシック"/>
        <charset val="134"/>
      </rPr>
      <t xml:space="preserve">Item "管理支店マスタ" không được hiển thị trên sidebar (do không có quyền `kanri_shiten.view`)
</t>
    </r>
    <r>
      <rPr>
        <b/>
        <sz val="10"/>
        <color rgb="FF000000"/>
        <rFont val="游ゴシック"/>
        <charset val="134"/>
      </rPr>
      <t xml:space="preserve">ステップ2：
</t>
    </r>
    <r>
      <rPr>
        <sz val="10"/>
        <color rgb="FF000000"/>
        <rFont val="游ゴシック"/>
        <charset val="134"/>
      </rPr>
      <t xml:space="preserve">Hiển thị toast `アクセス権がありません。` + chuyển về `/dashboard`
</t>
    </r>
    <r>
      <rPr>
        <b/>
        <sz val="10"/>
        <color rgb="FF000000"/>
        <rFont val="游ゴシック"/>
        <charset val="134"/>
      </rPr>
      <t xml:space="preserve">ステップ3：
</t>
    </r>
    <r>
      <rPr>
        <sz val="10"/>
        <color rgb="FF000000"/>
        <rFont val="游ゴシック"/>
        <charset val="134"/>
      </rPr>
      <t xml:space="preserve">Trả về HTTP 403 (`error_code: FORBIDDEN`, message `この画面へのアクセス権限がありません。`)
</t>
    </r>
    <r>
      <rPr>
        <b/>
        <sz val="10"/>
        <color rgb="FF000000"/>
        <rFont val="游ゴシック"/>
        <charset val="134"/>
      </rPr>
      <t xml:space="preserve">補足：
</t>
    </r>
    <r>
      <rPr>
        <sz val="10"/>
        <color rgb="FF000000"/>
        <rFont val="游ゴシック"/>
        <charset val="134"/>
      </rPr>
      <t>・Cả 3 tầng FE menu / FE router guard / BE API guard đều block truy cập
・Không phát sinh thay đổi đối với `m_kanri_shiten`</t>
    </r>
  </si>
  <si>
    <t>Theo ma trận quyền tại `docs/database/seeder.md §3`, `kanri_shiten.view` chỉ cấp cho NICHINO_ADMIN (thiết kế màn hình §1.3 có gợi ý mở rộng sang role khác trong tương lai nhưng seed quyền hiện tại chưa cấp).</t>
  </si>
  <si>
    <t>ACSMS-TC-008-003</t>
  </si>
  <si>
    <t>Cấm CHUOKAI truy cập màn hình tìm kiếm chi tiết Master Chi nhánh Quản lý</t>
  </si>
  <si>
    <t>・role: CHUOKAI (thuộc chuokai-001)
・Đã login + đã xác thực MFA
・Có quyền `kanri_shiten.view`</t>
  </si>
  <si>
    <r>
      <rPr>
        <sz val="10"/>
        <color rgb="FF000000"/>
        <rFont val="游ゴシック"/>
        <charset val="134"/>
      </rPr>
      <t xml:space="preserve">
</t>
    </r>
    <r>
      <rPr>
        <b/>
        <sz val="11"/>
        <color rgb="FF000000"/>
        <rFont val="游ゴシック"/>
        <charset val="134"/>
      </rPr>
      <t>ステップ1：</t>
    </r>
    <r>
      <rPr>
        <sz val="11"/>
        <color rgb="FF000000"/>
        <rFont val="游ゴシック"/>
        <charset val="134"/>
      </rPr>
      <t xml:space="preserve">
Item "管理支店マスタ" được hiển thị trên sidebar (do có quyền `kanri_shiten.view`)
</t>
    </r>
    <r>
      <rPr>
        <b/>
        <sz val="11"/>
        <color rgb="FF000000"/>
        <rFont val="游ゴシック"/>
        <charset val="134"/>
      </rPr>
      <t>ステップ2：</t>
    </r>
    <r>
      <rPr>
        <sz val="11"/>
        <color rgb="FF000000"/>
        <rFont val="游ゴシック"/>
        <charset val="134"/>
      </rPr>
      <t xml:space="preserve">
Màn hình tìm kiếm chi tiết Master Chi nhánh Quản lý được hiển thị, form search và danh sách chi nhánh quản lý (updated_at giảm dần) được render
</t>
    </r>
    <r>
      <rPr>
        <b/>
        <sz val="11"/>
        <color rgb="FF000000"/>
        <rFont val="游ゴシック"/>
        <charset val="134"/>
      </rPr>
      <t>ステップ3：</t>
    </r>
    <r>
      <rPr>
        <sz val="11"/>
        <color rgb="FF000000"/>
        <rFont val="游ゴシック"/>
        <charset val="134"/>
      </rPr>
      <t xml:space="preserve">
Trả về HTTP 200, response body chứa mảng `data` và object `meta`</t>
    </r>
  </si>
  <si>
    <t>Khi mở rộng trong tương lai, case này sẽ được phân loại lại thành normal (chỉ xem được chuokai của mình).</t>
  </si>
  <si>
    <t>ACSMS-TC-008-004</t>
  </si>
  <si>
    <t>Cấm JA_HONTEN truy cập màn hình tìm kiếm chi tiết Master Chi nhánh Quản lý</t>
  </si>
  <si>
    <t>・role: JA_HONTEN (thuộc ja-001)
・Đã login + đã xác thực MFA
・Có quyền `kanri_shiten.view`</t>
  </si>
  <si>
    <r>
      <rPr>
        <b/>
        <sz val="10"/>
        <color rgb="FF000000"/>
        <rFont val="メイリオ"/>
        <charset val="134"/>
      </rPr>
      <t xml:space="preserve">ステップ1：
</t>
    </r>
    <r>
      <rPr>
        <sz val="10"/>
        <color rgb="FF000000"/>
        <rFont val="メイリオ"/>
        <charset val="134"/>
      </rPr>
      <t xml:space="preserve">Mở dashboard, kiểm tra item "管理支店マスタ" trên sidebar
</t>
    </r>
    <r>
      <rPr>
        <b/>
        <sz val="10"/>
        <color rgb="FF000000"/>
        <rFont val="メイリオ"/>
        <charset val="134"/>
      </rPr>
      <t xml:space="preserve">ステップ2：
</t>
    </r>
    <r>
      <rPr>
        <sz val="10"/>
        <color rgb="FF000000"/>
        <rFont val="メイリオ"/>
        <charset val="134"/>
      </rPr>
      <t xml:space="preserve">Click "管理支店マスタ" trên sidebar, mở URL `/kanri-shiten`
</t>
    </r>
    <r>
      <rPr>
        <b/>
        <sz val="10"/>
        <color rgb="FF000000"/>
        <rFont val="メイリオ"/>
        <charset val="134"/>
      </rPr>
      <t xml:space="preserve">ステップ3：
</t>
    </r>
    <r>
      <rPr>
        <sz val="10"/>
        <color rgb="FF000000"/>
        <rFont val="メイリオ"/>
        <charset val="134"/>
      </rPr>
      <t>Dùng DevTools gọi trực tiếp GET `/api/v1/kanri-shiten`, kiểm tra response</t>
    </r>
  </si>
  <si>
    <t>ACSMS-TC-008-005</t>
  </si>
  <si>
    <t>Cấm JA_KANRI_SHITEN truy cập màn hình tìm kiếm chi tiết Master Chi nhánh Quản lý</t>
  </si>
  <si>
    <t>・role: JA_KANRI_SHITEN (thuộc ja-001 / kanri_shiten-001)
・Đã login + đã xác thực MFA
・Có quyền `kanri_shiten.view`</t>
  </si>
  <si>
    <t>(なし)
---</t>
  </si>
  <si>
    <t>Hiển thị màn hình &amp; Responsive (Layout &amp; Responsive)</t>
  </si>
  <si>
    <t>ACSMS-TC-008-006</t>
  </si>
  <si>
    <t>Layout tổng thể màn list khớp với thiết kế</t>
  </si>
  <si>
    <t>・role: NICHINO_ADMIN
・Trình duyệt: Chrome (latest), độ phân giải 1920×1080
・Có ≥3 record chi nhánh quản lý đã đăng ký</t>
  </si>
  <si>
    <r>
      <rPr>
        <b/>
        <sz val="10"/>
        <color rgb="FF000000"/>
        <rFont val="メイリオ"/>
        <charset val="134"/>
      </rPr>
      <t xml:space="preserve">ステップ1：
</t>
    </r>
    <r>
      <rPr>
        <sz val="10"/>
        <color rgb="FF000000"/>
        <rFont val="メイリオ"/>
        <charset val="134"/>
      </rPr>
      <t xml:space="preserve">Click "管理支店マスタ" trên sidebar, mở `/kanri-shiten`
</t>
    </r>
    <r>
      <rPr>
        <b/>
        <sz val="10"/>
        <color rgb="FF000000"/>
        <rFont val="メイリオ"/>
        <charset val="134"/>
      </rPr>
      <t xml:space="preserve">ステップ2：
</t>
    </r>
    <r>
      <rPr>
        <sz val="10"/>
        <color rgb="FF000000"/>
        <rFont val="メイリオ"/>
        <charset val="134"/>
      </rPr>
      <t xml:space="preserve">So sánh song song màn hình với tài liệu thiết kế (screen-design.md / index.html)
</t>
    </r>
    <r>
      <rPr>
        <b/>
        <sz val="10"/>
        <color rgb="FF000000"/>
        <rFont val="メイリオ"/>
        <charset val="134"/>
      </rPr>
      <t xml:space="preserve">ステップ3：
</t>
    </r>
    <r>
      <rPr>
        <sz val="10"/>
        <color rgb="FF000000"/>
        <rFont val="メイリオ"/>
        <charset val="134"/>
      </rPr>
      <t>Kiểm tra vị trí từng phần breadcrumb / form search / table list / pagination</t>
    </r>
  </si>
  <si>
    <r>
      <rPr>
        <b/>
        <sz val="10"/>
        <color rgb="FF000000"/>
        <rFont val="游ゴシック"/>
        <charset val="134"/>
      </rPr>
      <t xml:space="preserve">ステップ1：
</t>
    </r>
    <r>
      <rPr>
        <sz val="10"/>
        <color rgb="FF000000"/>
        <rFont val="游ゴシック"/>
        <charset val="134"/>
      </rPr>
      <t xml:space="preserve">Màn hình tìm kiếm chi tiết Master Chi nhánh Quản lý được hiển thị
</t>
    </r>
    <r>
      <rPr>
        <b/>
        <sz val="10"/>
        <color rgb="FF000000"/>
        <rFont val="游ゴシック"/>
        <charset val="134"/>
      </rPr>
      <t xml:space="preserve">ステップ2：
</t>
    </r>
    <r>
      <rPr>
        <sz val="10"/>
        <color rgb="FF000000"/>
        <rFont val="游ゴシック"/>
        <charset val="134"/>
      </rPr>
      <t xml:space="preserve">Màu nền, font, font size, padding/margin, màu button, style ô input tất cả đều khớp với tài liệu thiết kế
</t>
    </r>
    <r>
      <rPr>
        <b/>
        <sz val="10"/>
        <color rgb="FF000000"/>
        <rFont val="游ゴシック"/>
        <charset val="134"/>
      </rPr>
      <t xml:space="preserve">ステップ3：
</t>
    </r>
    <r>
      <rPr>
        <sz val="10"/>
        <color rgb="FF000000"/>
        <rFont val="游ゴシック"/>
        <charset val="134"/>
      </rPr>
      <t xml:space="preserve">Bố cục đúng theo tài liệu thiết kế
</t>
    </r>
    <r>
      <rPr>
        <b/>
        <sz val="10"/>
        <color rgb="FF000000"/>
        <rFont val="游ゴシック"/>
        <charset val="134"/>
      </rPr>
      <t xml:space="preserve">補足：
</t>
    </r>
    <r>
      <rPr>
        <sz val="10"/>
        <color rgb="FF000000"/>
        <rFont val="游ゴシック"/>
        <charset val="134"/>
      </rPr>
      <t xml:space="preserve">・Không phát sinh sai lệch về thị giác so với tài liệu thiết kế
</t>
    </r>
  </si>
  <si>
    <t>ACSMS-TC-008-007</t>
  </si>
  <si>
    <t>Cấu trúc cột bảng list khớp với thiết kế</t>
  </si>
  <si>
    <t>・role: NICHINO_ADMIN
・Có ≥3 record chi nhánh quản lý đã đăng ký</t>
  </si>
  <si>
    <r>
      <rPr>
        <b/>
        <sz val="10"/>
        <color rgb="FF000000"/>
        <rFont val="游ゴシック"/>
        <charset val="134"/>
      </rPr>
      <t xml:space="preserve">ステップ1：
</t>
    </r>
    <r>
      <rPr>
        <sz val="10"/>
        <color rgb="FF000000"/>
        <rFont val="游ゴシック"/>
        <charset val="134"/>
      </rPr>
      <t xml:space="preserve">Mở `/kanri-shiten`, kiểm tra header của table list
</t>
    </r>
    <r>
      <rPr>
        <b/>
        <sz val="10"/>
        <color rgb="FF000000"/>
        <rFont val="游ゴシック"/>
        <charset val="134"/>
      </rPr>
      <t xml:space="preserve">ステップ2：
</t>
    </r>
    <r>
      <rPr>
        <sz val="10"/>
        <color rgb="FF000000"/>
        <rFont val="游ゴシック"/>
        <charset val="134"/>
      </rPr>
      <t xml:space="preserve">Kiểm tra tên cột, độ rộng và canh lề theo thứ tự từ trái sang phải (管理支店コード / 管理支店名 / 都道府県 / 郵便番号 / 住所 / 電話番号 / FAX / 紙版 / 電子版 / 操作)
</t>
    </r>
    <r>
      <rPr>
        <b/>
        <sz val="10"/>
        <color rgb="FF000000"/>
        <rFont val="游ゴシック"/>
        <charset val="134"/>
      </rPr>
      <t xml:space="preserve">ステップ3：
</t>
    </r>
    <r>
      <rPr>
        <sz val="10"/>
        <color rgb="FF000000"/>
        <rFont val="游ゴシック"/>
        <charset val="134"/>
      </rPr>
      <t>Kiểm tra hiển thị của icon sort</t>
    </r>
  </si>
  <si>
    <r>
      <rPr>
        <b/>
        <sz val="10"/>
        <color rgb="FF000000"/>
        <rFont val="游ゴシック"/>
        <charset val="134"/>
      </rPr>
      <t xml:space="preserve">ステップ1：
</t>
    </r>
    <r>
      <rPr>
        <sz val="10"/>
        <color rgb="FF000000"/>
        <rFont val="游ゴシック"/>
        <charset val="134"/>
      </rPr>
      <t xml:space="preserve">Table list được hiển thị
</t>
    </r>
    <r>
      <rPr>
        <b/>
        <sz val="10"/>
        <color rgb="FF000000"/>
        <rFont val="游ゴシック"/>
        <charset val="134"/>
      </rPr>
      <t xml:space="preserve">ステップ2：
</t>
    </r>
    <r>
      <rPr>
        <sz val="10"/>
        <color rgb="FF000000"/>
        <rFont val="游ゴシック"/>
        <charset val="134"/>
      </rPr>
      <t xml:space="preserve">Theo 定義項目画面 trong tài liệu thiết kế, hiển thị 10 cột từ trái sang phải "管理支店コード" "管理支店名" "都道府県" "郵便番号" "住所" "電話番号" "FAX" "紙版" "電子版" "操作"; 紙版 / 電子版 / 操作 canh giữa, các cột khác canh trái
</t>
    </r>
    <r>
      <rPr>
        <b/>
        <sz val="10"/>
        <color rgb="FF000000"/>
        <rFont val="游ゴシック"/>
        <charset val="134"/>
      </rPr>
      <t xml:space="preserve">ステップ3：
</t>
    </r>
    <r>
      <rPr>
        <sz val="10"/>
        <color rgb="FF000000"/>
        <rFont val="游ゴシック"/>
        <charset val="134"/>
      </rPr>
      <t xml:space="preserve">3 cột "管理支店コード" "管理支店名" "都道府県" hiển thị icon sort, các cột khác không hiển thị icon sort
</t>
    </r>
    <r>
      <rPr>
        <b/>
        <sz val="10"/>
        <color rgb="FF000000"/>
        <rFont val="游ゴシック"/>
        <charset val="134"/>
      </rPr>
      <t xml:space="preserve">補足：
</t>
    </r>
    <r>
      <rPr>
        <sz val="10"/>
        <color rgb="FF000000"/>
        <rFont val="游ゴシック"/>
        <charset val="134"/>
      </rPr>
      <t>・Header cột FAX hiển thị là `FAX` 
・Cột 紙版 / 電子版 chỉ hiển thị icon check khi giá trị ON</t>
    </r>
  </si>
  <si>
    <t>ACSMS-TC-008-008</t>
  </si>
  <si>
    <t>Layout 5 item của form search khớp với thiết kế</t>
  </si>
  <si>
    <t>・role: NICHINO_ADMIN</t>
  </si>
  <si>
    <r>
      <rPr>
        <b/>
        <sz val="10"/>
        <color rgb="FF000000"/>
        <rFont val="游ゴシック"/>
        <charset val="134"/>
      </rPr>
      <t xml:space="preserve">ステップ1：
</t>
    </r>
    <r>
      <rPr>
        <sz val="10"/>
        <color rgb="FF000000"/>
        <rFont val="游ゴシック"/>
        <charset val="134"/>
      </rPr>
      <t xml:space="preserve">Mở `/kanri-shiten`, kiểm tra khu vực form search
</t>
    </r>
    <r>
      <rPr>
        <b/>
        <sz val="10"/>
        <color rgb="FF000000"/>
        <rFont val="游ゴシック"/>
        <charset val="134"/>
      </rPr>
      <t xml:space="preserve">ステップ2：
</t>
    </r>
    <r>
      <rPr>
        <sz val="10"/>
        <color rgb="FF000000"/>
        <rFont val="游ゴシック"/>
        <charset val="134"/>
      </rPr>
      <t xml:space="preserve">Kiểm tra label, ô input, placeholder của từng item search
</t>
    </r>
    <r>
      <rPr>
        <b/>
        <sz val="10"/>
        <color rgb="FF000000"/>
        <rFont val="游ゴシック"/>
        <charset val="134"/>
      </rPr>
      <t xml:space="preserve">ステップ3：
</t>
    </r>
    <r>
      <rPr>
        <sz val="10"/>
        <color rgb="FF000000"/>
        <rFont val="游ゴシック"/>
        <charset val="134"/>
      </rPr>
      <t>Kiểm tra vị trí và màu của button "検索" "検索クリア"</t>
    </r>
  </si>
  <si>
    <r>
      <rPr>
        <b/>
        <sz val="10"/>
        <color rgb="FF000000"/>
        <rFont val="游ゴシック"/>
        <charset val="134"/>
      </rPr>
      <t xml:space="preserve">ステップ1：
</t>
    </r>
    <r>
      <rPr>
        <sz val="10"/>
        <color rgb="FF000000"/>
        <rFont val="游ゴシック"/>
        <charset val="134"/>
      </rPr>
      <t xml:space="preserve">Form search được hiển thị
</t>
    </r>
    <r>
      <rPr>
        <b/>
        <sz val="10"/>
        <color rgb="FF000000"/>
        <rFont val="游ゴシック"/>
        <charset val="134"/>
      </rPr>
      <t xml:space="preserve">ステップ2：
</t>
    </r>
    <r>
      <rPr>
        <sz val="10"/>
        <color rgb="FF000000"/>
        <rFont val="游ゴシック"/>
        <charset val="134"/>
      </rPr>
      <t xml:space="preserve">5 item "管理支店コード" "管理支店名" "都道府県" "電話番号" "FAX" được hiển thị dạng grid 4 cột; item 都道府県 là dropdown, các item khác là textbox
</t>
    </r>
    <r>
      <rPr>
        <b/>
        <sz val="10"/>
        <color rgb="FF000000"/>
        <rFont val="游ゴシック"/>
        <charset val="134"/>
      </rPr>
      <t xml:space="preserve">ステップ3：
</t>
    </r>
    <r>
      <rPr>
        <sz val="10"/>
        <color rgb="FF000000"/>
        <rFont val="游ゴシック"/>
        <charset val="134"/>
      </rPr>
      <t xml:space="preserve">Button "検索" hiển thị màu primary (xanh) ở trạng thái active; button "検索クリア" hiển thị màu secondary ở trạng thái active
</t>
    </r>
    <r>
      <rPr>
        <b/>
        <sz val="10"/>
        <color rgb="FF000000"/>
        <rFont val="游ゴシック"/>
        <charset val="134"/>
      </rPr>
      <t xml:space="preserve">補足：
</t>
    </r>
    <r>
      <rPr>
        <sz val="10"/>
        <color rgb="FF000000"/>
        <rFont val="游ゴシック"/>
        <charset val="134"/>
      </rPr>
      <t>・5 item được bố trí trên 2 dòng (wrap)
・Mỗi ô input hiển thị icon clear `allow-clear`</t>
    </r>
  </si>
  <si>
    <t>ACSMS-TC-008-009</t>
  </si>
  <si>
    <t>Hiển thị message empty state khi kết quả search 0 record</t>
  </si>
  <si>
    <t>・role: NICHINO_ADMIN
・Có 0 record chi nhánh quản lý khớp điều kiện</t>
  </si>
  <si>
    <r>
      <rPr>
        <b/>
        <sz val="10"/>
        <color rgb="FF000000"/>
        <rFont val="游ゴシック"/>
        <charset val="134"/>
      </rPr>
      <t xml:space="preserve">ステップ1：
</t>
    </r>
    <r>
      <rPr>
        <sz val="10"/>
        <color rgb="FF000000"/>
        <rFont val="游ゴシック"/>
        <charset val="134"/>
      </rPr>
      <t xml:space="preserve">Mở `/kanri-shiten`
</t>
    </r>
    <r>
      <rPr>
        <b/>
        <sz val="10"/>
        <color rgb="FF000000"/>
        <rFont val="游ゴシック"/>
        <charset val="134"/>
      </rPr>
      <t xml:space="preserve">ステップ2：
</t>
    </r>
    <r>
      <rPr>
        <sz val="10"/>
        <color rgb="FF000000"/>
        <rFont val="游ゴシック"/>
        <charset val="134"/>
      </rPr>
      <t xml:space="preserve">Nhập `ZZZ-9999-999` (giá trị không tồn tại) vào item search "管理支店コード"
</t>
    </r>
    <r>
      <rPr>
        <b/>
        <sz val="10"/>
        <color rgb="FF000000"/>
        <rFont val="游ゴシック"/>
        <charset val="134"/>
      </rPr>
      <t xml:space="preserve">ステップ3：
</t>
    </r>
    <r>
      <rPr>
        <sz val="10"/>
        <color rgb="FF000000"/>
        <rFont val="游ゴシック"/>
        <charset val="134"/>
      </rPr>
      <t>Click button "検索"</t>
    </r>
  </si>
  <si>
    <r>
      <rPr>
        <b/>
        <sz val="10"/>
        <color rgb="FF000000"/>
        <rFont val="游ゴシック"/>
        <charset val="134"/>
      </rPr>
      <t xml:space="preserve">ステップ1：
</t>
    </r>
    <r>
      <rPr>
        <sz val="10"/>
        <color rgb="FF000000"/>
        <rFont val="游ゴシック"/>
        <charset val="134"/>
      </rPr>
      <t xml:space="preserve">Màn hình tìm kiếm chi tiết Master Chi nhánh Quản lý được hiển thị
</t>
    </r>
    <r>
      <rPr>
        <b/>
        <sz val="10"/>
        <color rgb="FF000000"/>
        <rFont val="游ゴシック"/>
        <charset val="134"/>
      </rPr>
      <t xml:space="preserve">ステップ2：
</t>
    </r>
    <r>
      <rPr>
        <sz val="10"/>
        <color rgb="FF000000"/>
        <rFont val="游ゴシック"/>
        <charset val="134"/>
      </rPr>
      <t xml:space="preserve">`ZZZ-9999-999` được nhập vào 管理支店コード
</t>
    </r>
    <r>
      <rPr>
        <b/>
        <sz val="10"/>
        <color rgb="FF000000"/>
        <rFont val="游ゴシック"/>
        <charset val="134"/>
      </rPr>
      <t xml:space="preserve">ステップ3：
</t>
    </r>
    <r>
      <rPr>
        <sz val="10"/>
        <color rgb="FF000000"/>
        <rFont val="游ゴシック"/>
        <charset val="134"/>
      </rPr>
      <t xml:space="preserve">Hiển thị 0 kết quả search, trên màn hình hiển thị `検索結果が見つかりませんでした。
</t>
    </r>
  </si>
  <si>
    <t>ACSMS-TC-008-010</t>
  </si>
  <si>
    <t>Responsive — Breakpoint PC / Tablet / Mobile</t>
  </si>
  <si>
    <t>・role: NICHINO_ADMIN
・Sử dụng được Chrome DevTools device emulator</t>
  </si>
  <si>
    <r>
      <rPr>
        <b/>
        <sz val="10"/>
        <color rgb="FF000000"/>
        <rFont val="メイリオ"/>
        <charset val="134"/>
      </rPr>
      <t xml:space="preserve">ステップ1：
</t>
    </r>
    <r>
      <rPr>
        <sz val="10"/>
        <color rgb="FF000000"/>
        <rFont val="メイリオ"/>
        <charset val="134"/>
      </rPr>
      <t xml:space="preserve">Hiển thị `/kanri-shiten` ở độ phân giải PC (1920×1080)
</t>
    </r>
    <r>
      <rPr>
        <b/>
        <sz val="10"/>
        <color rgb="FF000000"/>
        <rFont val="メイリオ"/>
        <charset val="134"/>
      </rPr>
      <t xml:space="preserve">ステップ2：
</t>
    </r>
    <r>
      <rPr>
        <sz val="10"/>
        <color rgb="FF000000"/>
        <rFont val="メイリオ"/>
        <charset val="134"/>
      </rPr>
      <t xml:space="preserve">Chuyển sang độ phân giải tablet (768×1024, iPad dọc)
</t>
    </r>
    <r>
      <rPr>
        <b/>
        <sz val="10"/>
        <color rgb="FF000000"/>
        <rFont val="メイリオ"/>
        <charset val="134"/>
      </rPr>
      <t xml:space="preserve">ステップ3：
</t>
    </r>
    <r>
      <rPr>
        <sz val="10"/>
        <color rgb="FF000000"/>
        <rFont val="メイリオ"/>
        <charset val="134"/>
      </rPr>
      <t xml:space="preserve">Chuyển sang độ phân giải mobile (375×667, iPhone SE)
</t>
    </r>
    <r>
      <rPr>
        <b/>
        <sz val="10"/>
        <color rgb="FF000000"/>
        <rFont val="メイリオ"/>
        <charset val="134"/>
      </rPr>
      <t xml:space="preserve">ステップ4：
</t>
    </r>
    <r>
      <rPr>
        <sz val="10"/>
        <color rgb="FF000000"/>
        <rFont val="メイリオ"/>
        <charset val="134"/>
      </rPr>
      <t>Kiểm tra hiển thị form search, table list, pagination ở từng độ phân giải</t>
    </r>
  </si>
  <si>
    <r>
      <rPr>
        <b/>
        <sz val="10"/>
        <color rgb="FF000000"/>
        <rFont val="メイリオ"/>
        <charset val="134"/>
      </rPr>
      <t xml:space="preserve">ステップ1：
</t>
    </r>
    <r>
      <rPr>
        <sz val="10"/>
        <color rgb="FF000000"/>
        <rFont val="メイリオ"/>
        <charset val="134"/>
      </rPr>
      <t xml:space="preserve">Hiển thị layout PC, form search hiển thị 5 item ngang hàng (wrap 2 dòng)
</t>
    </r>
    <r>
      <rPr>
        <b/>
        <sz val="10"/>
        <color rgb="FF000000"/>
        <rFont val="メイリオ"/>
        <charset val="134"/>
      </rPr>
      <t xml:space="preserve">ステップ2：
</t>
    </r>
    <r>
      <rPr>
        <sz val="10"/>
        <color rgb="FF000000"/>
        <rFont val="メイリオ"/>
        <charset val="134"/>
      </rPr>
      <t xml:space="preserve">Chuyển sang layout tablet, các item search được sắp xếp lại theo chiều dọc
</t>
    </r>
    <r>
      <rPr>
        <b/>
        <sz val="10"/>
        <color rgb="FF000000"/>
        <rFont val="メイリオ"/>
        <charset val="134"/>
      </rPr>
      <t xml:space="preserve">ステップ3：
</t>
    </r>
    <r>
      <rPr>
        <sz val="10"/>
        <color rgb="FF000000"/>
        <rFont val="メイリオ"/>
        <charset val="134"/>
      </rPr>
      <t xml:space="preserve">Chuyển sang layout mobile, table list hiển thị với horizontal scroll
</t>
    </r>
    <r>
      <rPr>
        <b/>
        <sz val="10"/>
        <color rgb="FF000000"/>
        <rFont val="メイリオ"/>
        <charset val="134"/>
      </rPr>
      <t xml:space="preserve">ステップ4：
</t>
    </r>
    <r>
      <rPr>
        <sz val="10"/>
        <color rgb="FF000000"/>
        <rFont val="メイリオ"/>
        <charset val="134"/>
      </rPr>
      <t xml:space="preserve">Không vỡ layout, tất cả thao tác đều khả dụng
</t>
    </r>
    <r>
      <rPr>
        <b/>
        <sz val="10"/>
        <color rgb="FF000000"/>
        <rFont val="メイリオ"/>
        <charset val="134"/>
      </rPr>
      <t xml:space="preserve">補足：
</t>
    </r>
    <r>
      <rPr>
        <sz val="10"/>
        <color rgb="FF000000"/>
        <rFont val="メイリオ"/>
        <charset val="134"/>
      </rPr>
      <t xml:space="preserve">・Sidebar chuyển sang hamburger menu khi &lt;= tablet
</t>
    </r>
    <r>
      <rPr>
        <sz val="10"/>
        <color rgb="FF000000"/>
        <rFont val="メイリオ"/>
        <charset val="134"/>
      </rPr>
      <t>・Khi table scroll ngang, cột cố định không vỡ</t>
    </r>
  </si>
  <si>
    <t>ACSMS-TC-008-011</t>
  </si>
  <si>
    <t>Chuyển focus bằng thao tác bàn phím</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</si>
  <si>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Nhấn liên tục phím Tab, kiểm tra thứ tự chuyển focus
</t>
    </r>
    <r>
      <rPr>
        <b/>
        <sz val="10"/>
        <color rgb="FF000000"/>
        <rFont val="メイリオ"/>
        <charset val="134"/>
      </rPr>
      <t xml:space="preserve">ステップ3：
</t>
    </r>
    <r>
      <rPr>
        <sz val="10"/>
        <color rgb="FF000000"/>
        <rFont val="メイリオ"/>
        <charset val="134"/>
      </rPr>
      <t xml:space="preserve">Nhấn Shift+Tab kiểm tra chuyển focus theo chiều ngược lại
</t>
    </r>
    <r>
      <rPr>
        <b/>
        <sz val="10"/>
        <color rgb="FF000000"/>
        <rFont val="メイリオ"/>
        <charset val="134"/>
      </rPr>
      <t xml:space="preserve">ステップ4：
</t>
    </r>
    <r>
      <rPr>
        <sz val="10"/>
        <color rgb="FF000000"/>
        <rFont val="メイリオ"/>
        <charset val="134"/>
      </rPr>
      <t>Đưa focus vào dropdown 都道府県, kiểm tra di chuyển lựa chọn bằng phím mũi tên</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</si>
  <si>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Focus chuyển theo thứ tự 管理支店コード → 管理支店名 → 都道府県 → 電話番号 → FAX → button 検索 → button 検索クリア → button 新規登録 → sort header → link 削除
</t>
    </r>
    <r>
      <rPr>
        <b/>
        <sz val="10"/>
        <color rgb="FF000000"/>
        <rFont val="メイリオ"/>
        <charset val="134"/>
      </rPr>
      <t xml:space="preserve">ステップ3：
</t>
    </r>
    <r>
      <rPr>
        <sz val="10"/>
        <color rgb="FF000000"/>
        <rFont val="メイリオ"/>
        <charset val="134"/>
      </rPr>
      <t xml:space="preserve">Focus chuyển theo chiều ngược lại
</t>
    </r>
    <r>
      <rPr>
        <b/>
        <sz val="10"/>
        <color rgb="FF000000"/>
        <rFont val="メイリオ"/>
        <charset val="134"/>
      </rPr>
      <t xml:space="preserve">ステップ4：
</t>
    </r>
    <r>
      <rPr>
        <sz val="10"/>
        <color rgb="FF000000"/>
        <rFont val="メイリオ"/>
        <charset val="134"/>
      </rPr>
      <t xml:space="preserve">Phím mũi tên di chuyển được lựa chọn của 都道府県, phím Enter xác nhận lựa chọn
</t>
    </r>
    <r>
      <rPr>
        <b/>
        <sz val="10"/>
        <color rgb="FF000000"/>
        <rFont val="メイリオ"/>
        <charset val="134"/>
      </rPr>
      <t xml:space="preserve">補足：
</t>
    </r>
    <r>
      <rPr>
        <sz val="10"/>
        <color rgb="FF000000"/>
        <rFont val="メイリオ"/>
        <charset val="134"/>
      </rPr>
      <t>・Focus ring được hiển thị thị giác trên mọi phần tử có thể thao tác</t>
    </r>
  </si>
  <si>
    <t>ACSMS-TC-008-012</t>
  </si>
  <si>
    <t>Kiểm soát hiển thị button "新規登録" "削除" theo role</t>
  </si>
  <si>
    <t>・role: NICHINO_ADMIN (có quyền `kanri_shiten.create` và `kanri_shiten.delete`)
・role: CHUOKAI,JA_HONTEN, JA_ KANRI_SHITEN (có quyền `kanri_shiten.view` và `kanri_shiten.update`)
・Có ≥1 record chi nhánh quản lý đã đăng ký</t>
  </si>
  <si>
    <r>
      <rPr>
        <b/>
        <sz val="10"/>
        <color rgb="FF000000"/>
        <rFont val="游ゴシック"/>
        <charset val="134"/>
      </rPr>
      <t xml:space="preserve">ステップ1：
</t>
    </r>
    <r>
      <rPr>
        <sz val="10"/>
        <color rgb="FF000000"/>
        <rFont val="游ゴシック"/>
        <charset val="134"/>
      </rPr>
      <t xml:space="preserve">Đăng nhập NICHINO_ADMIN, mở `/kanri-shiten`, kiểm tra trạng thái active của button "新規登録" "削除"
</t>
    </r>
    <r>
      <rPr>
        <b/>
        <sz val="10"/>
        <color rgb="FF000000"/>
        <rFont val="游ゴシック"/>
        <charset val="134"/>
      </rPr>
      <t xml:space="preserve">ステップ2：
</t>
    </r>
    <r>
      <rPr>
        <sz val="10"/>
        <color rgb="FF000000"/>
        <rFont val="游ゴシック"/>
        <charset val="134"/>
      </rPr>
      <t>Đăng nhập CHUOKAI,JA_HONTEN, JA_ KANRI_SHITEN mở `/kanri-shiten`, kiểm tra trạng thái active của button "新規登録" "削除"</t>
    </r>
  </si>
  <si>
    <r>
      <rPr>
        <b/>
        <sz val="10"/>
        <color rgb="FF000000"/>
        <rFont val="游ゴシック"/>
        <charset val="134"/>
      </rPr>
      <t xml:space="preserve">ステップ1：
</t>
    </r>
    <r>
      <rPr>
        <sz val="10"/>
        <color rgb="FF000000"/>
        <rFont val="游ゴシック"/>
        <charset val="134"/>
      </rPr>
      <t xml:space="preserve">Button "新規登録" hiển thị ở trạng thái active, link "削除" tại cột thao tác hiển thị ở trạng thái active
</t>
    </r>
    <r>
      <rPr>
        <b/>
        <sz val="10"/>
        <color rgb="FF000000"/>
        <rFont val="游ゴシック"/>
        <charset val="134"/>
      </rPr>
      <t xml:space="preserve">ステップ2：
</t>
    </r>
    <r>
      <rPr>
        <sz val="10"/>
        <color rgb="FF000000"/>
        <rFont val="游ゴシック"/>
        <charset val="134"/>
      </rPr>
      <t xml:space="preserve">Button "新規登録" hiển thị ở trạng thái disable (do không có quyền `kanri_shiten.create`), link "削除" tại cột thao tác hiển thị ở trạng thái disable
</t>
    </r>
    <r>
      <rPr>
        <b/>
        <sz val="10"/>
        <color rgb="FF000000"/>
        <rFont val="游ゴシック"/>
        <charset val="134"/>
      </rPr>
      <t xml:space="preserve">補足：
</t>
    </r>
    <r>
      <rPr>
        <sz val="10"/>
        <color rgb="FF000000"/>
        <rFont val="游ゴシック"/>
        <charset val="134"/>
      </rPr>
      <t>・Button ở trạng thái disable chứ không phải hidden (UX convention: vẫn cho thấy chức năng tồn tại, chỉ thông báo role hiện tại không dùng được)
・Cell 管理支店コード hiển thị dạng text chỉ đọc, không phải link chuyển sang màn edit</t>
    </r>
  </si>
  <si>
    <t>Header &amp; Breadcrumb</t>
  </si>
  <si>
    <t>ACSMS-TC-008-013</t>
  </si>
  <si>
    <t>Kiểm soát chuyển trang của breadcrumb</t>
  </si>
  <si>
    <t>・role: NICHINO_ADMIN
・Đã login</t>
  </si>
  <si>
    <r>
      <rPr>
        <b/>
        <sz val="10"/>
        <color rgb="FF000000"/>
        <rFont val="游ゴシック"/>
        <charset val="134"/>
      </rPr>
      <t xml:space="preserve">ステップ1：
</t>
    </r>
    <r>
      <rPr>
        <sz val="10"/>
        <color rgb="FF000000"/>
        <rFont val="游ゴシック"/>
        <charset val="134"/>
      </rPr>
      <t xml:space="preserve">Mở `/kanri-shiten`, kiểm tra breadcrumb
</t>
    </r>
    <r>
      <rPr>
        <b/>
        <sz val="10"/>
        <color rgb="FF000000"/>
        <rFont val="游ゴシック"/>
        <charset val="134"/>
      </rPr>
      <t xml:space="preserve">ステップ2：
</t>
    </r>
    <r>
      <rPr>
        <sz val="10"/>
        <color rgb="FF000000"/>
        <rFont val="游ゴシック"/>
        <charset val="134"/>
      </rPr>
      <t>Click link "ホーム" của breadcrumb</t>
    </r>
  </si>
  <si>
    <r>
      <rPr>
        <b/>
        <sz val="10"/>
        <color rgb="FF000000"/>
        <rFont val="游ゴシック"/>
        <charset val="134"/>
      </rPr>
      <t xml:space="preserve">ステップ1：
</t>
    </r>
    <r>
      <rPr>
        <sz val="10"/>
        <color rgb="FF000000"/>
        <rFont val="游ゴシック"/>
        <charset val="134"/>
      </rPr>
      <t xml:space="preserve">Breadcrumb hiển thị 2 cấp "ホーム &gt; 管理支店マスタ明細検索画面", cấp cuối hiển thị dạng text chứ không phải link
</t>
    </r>
    <r>
      <rPr>
        <b/>
        <sz val="10"/>
        <color rgb="FF000000"/>
        <rFont val="游ゴシック"/>
        <charset val="134"/>
      </rPr>
      <t xml:space="preserve">ステップ2：
</t>
    </r>
    <r>
      <rPr>
        <sz val="10"/>
        <color rgb="FF000000"/>
        <rFont val="游ゴシック"/>
        <charset val="134"/>
      </rPr>
      <t xml:space="preserve">Chuyển về `/dashboard`
</t>
    </r>
    <r>
      <rPr>
        <b/>
        <sz val="10"/>
        <color rgb="FF000000"/>
        <rFont val="游ゴシック"/>
        <charset val="134"/>
      </rPr>
      <t xml:space="preserve">補足：
</t>
    </r>
    <r>
      <rPr>
        <sz val="10"/>
        <color rgb="FF000000"/>
        <rFont val="游ゴシック"/>
        <charset val="134"/>
      </rPr>
      <t>・Breadcrumb theo đúng định nghĩa tại 1.2 của tài liệu thiết kế</t>
    </r>
  </si>
  <si>
    <t>ACSMS-TC-008-014</t>
  </si>
  <si>
    <t>Highlight menu trên sidebar</t>
  </si>
  <si>
    <r>
      <rPr>
        <b/>
        <sz val="10"/>
        <color rgb="FF000000"/>
        <rFont val="游ゴシック"/>
        <charset val="134"/>
      </rPr>
      <t xml:space="preserve">ステップ1：
</t>
    </r>
    <r>
      <rPr>
        <sz val="10"/>
        <color rgb="FF000000"/>
        <rFont val="游ゴシック"/>
        <charset val="134"/>
      </rPr>
      <t xml:space="preserve">Từ dashboard click item "管理支店マスタ" trên sidebar
</t>
    </r>
    <r>
      <rPr>
        <b/>
        <sz val="10"/>
        <color rgb="FF000000"/>
        <rFont val="游ゴシック"/>
        <charset val="134"/>
      </rPr>
      <t xml:space="preserve">ステップ2：
</t>
    </r>
    <r>
      <rPr>
        <sz val="10"/>
        <color rgb="FF000000"/>
        <rFont val="游ゴシック"/>
        <charset val="134"/>
      </rPr>
      <t xml:space="preserve">Sau khi chuyển màn, kiểm tra item "管理支店マスタ" trên sidebar
</t>
    </r>
    <r>
      <rPr>
        <b/>
        <sz val="10"/>
        <color rgb="FF000000"/>
        <rFont val="游ゴシック"/>
        <charset val="134"/>
      </rPr>
      <t xml:space="preserve">ステップ3：
</t>
    </r>
    <r>
      <rPr>
        <sz val="10"/>
        <color rgb="FF000000"/>
        <rFont val="游ゴシック"/>
        <charset val="134"/>
      </rPr>
      <t>Click item khác trên sidebar (ví dụ: "JAマスタ")</t>
    </r>
  </si>
  <si>
    <r>
      <rPr>
        <b/>
        <sz val="10"/>
        <color rgb="FF000000"/>
        <rFont val="游ゴシック"/>
        <charset val="134"/>
      </rPr>
      <t xml:space="preserve">ステップ1：
</t>
    </r>
    <r>
      <rPr>
        <sz val="10"/>
        <color rgb="FF000000"/>
        <rFont val="游ゴシック"/>
        <charset val="134"/>
      </rPr>
      <t xml:space="preserve">Màn hình tìm kiếm chi tiết Master Chi nhánh Quản lý được hiển thị
</t>
    </r>
    <r>
      <rPr>
        <b/>
        <sz val="10"/>
        <color rgb="FF000000"/>
        <rFont val="游ゴシック"/>
        <charset val="134"/>
      </rPr>
      <t xml:space="preserve">ステップ2：
</t>
    </r>
    <r>
      <rPr>
        <sz val="10"/>
        <color rgb="FF000000"/>
        <rFont val="游ゴシック"/>
        <charset val="134"/>
      </rPr>
      <t xml:space="preserve">Item "管理支店マスタ" trên sidebar hiển thị ở trạng thái active (đổi màu nền)
</t>
    </r>
    <r>
      <rPr>
        <b/>
        <sz val="10"/>
        <color rgb="FF000000"/>
        <rFont val="游ゴシック"/>
        <charset val="134"/>
      </rPr>
      <t xml:space="preserve">ステップ3：
</t>
    </r>
    <r>
      <rPr>
        <sz val="10"/>
        <color rgb="FF000000"/>
        <rFont val="游ゴシック"/>
        <charset val="134"/>
      </rPr>
      <t xml:space="preserve">Chuyển sang màn khác, highlight sidebar chuyển sang màn mới
</t>
    </r>
  </si>
  <si>
    <t>ACSMS-TC-008-015</t>
  </si>
  <si>
    <t>Hiển thị tên user và thao tác logout</t>
  </si>
  <si>
    <t>・role: NICHINO_ADMIN
・Đã login (account name "日農 太郎")</t>
  </si>
  <si>
    <r>
      <rPr>
        <b/>
        <sz val="10"/>
        <color rgb="FF000000"/>
        <rFont val="游ゴシック"/>
        <charset val="134"/>
      </rPr>
      <t xml:space="preserve">ステップ1：
</t>
    </r>
    <r>
      <rPr>
        <sz val="10"/>
        <color rgb="FF000000"/>
        <rFont val="游ゴシック"/>
        <charset val="134"/>
      </rPr>
      <t xml:space="preserve">Mở `/kanri-shiten`
</t>
    </r>
    <r>
      <rPr>
        <b/>
        <sz val="10"/>
        <color rgb="FF000000"/>
        <rFont val="游ゴシック"/>
        <charset val="134"/>
      </rPr>
      <t xml:space="preserve">ステップ2：
</t>
    </r>
    <r>
      <rPr>
        <sz val="10"/>
        <color rgb="FF000000"/>
        <rFont val="游ゴシック"/>
        <charset val="134"/>
      </rPr>
      <t xml:space="preserve">Kiểm tra khu vực hiển thị tên user phía trên bên phải header
</t>
    </r>
    <r>
      <rPr>
        <b/>
        <sz val="10"/>
        <color rgb="FF000000"/>
        <rFont val="游ゴシック"/>
        <charset val="134"/>
      </rPr>
      <t xml:space="preserve">ステップ3：
</t>
    </r>
    <r>
      <rPr>
        <sz val="10"/>
        <color rgb="FF000000"/>
        <rFont val="游ゴシック"/>
        <charset val="134"/>
      </rPr>
      <t>Click icon user mở dropdown, click "ログアウト"</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</si>
  <si>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Hiển thị tên user đang login (ví dụ: `日農 太郎`)
</t>
    </r>
    <r>
      <rPr>
        <b/>
        <sz val="10"/>
        <color rgb="FF000000"/>
        <rFont val="メイリオ"/>
        <charset val="134"/>
      </rPr>
      <t xml:space="preserve">ステップ3：
</t>
    </r>
    <r>
      <rPr>
        <sz val="10"/>
        <color rgb="FF000000"/>
        <rFont val="メイリオ"/>
        <charset val="134"/>
      </rPr>
      <t xml:space="preserve">Xử lý logout được thực hiện, chuyển về `/login`; truy cập lại trực tiếp `/kanri-shiten` sẽ chuyển về màn login
</t>
    </r>
    <r>
      <rPr>
        <b/>
        <sz val="10"/>
        <color rgb="FF000000"/>
        <rFont val="メイリオ"/>
        <charset val="134"/>
      </rPr>
      <t xml:space="preserve">補足：
</t>
    </r>
    <r>
      <rPr>
        <sz val="10"/>
        <color rgb="FF000000"/>
        <rFont val="メイリオ"/>
        <charset val="134"/>
      </rPr>
      <t>・Sau logout, Redis session bị xóa, HTTP-only Cookie hết hạn</t>
    </r>
  </si>
  <si>
    <t>Validation điều kiện tìm kiếm (Search Filter Validation)</t>
  </si>
  <si>
    <t>ACSMS-TC-008-016</t>
  </si>
  <si>
    <t>Hiển thị trạng thái khởi tạo của form search</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</si>
  <si>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Kiểm tra giá trị khởi tạo và placeholder của từng item search</t>
    </r>
  </si>
  <si>
    <r>
      <rPr>
        <b/>
        <sz val="10"/>
        <color rgb="FF000000"/>
        <rFont val="游ゴシック"/>
        <charset val="134"/>
      </rPr>
      <t xml:space="preserve">ステップ1：
</t>
    </r>
    <r>
      <rPr>
        <sz val="10"/>
        <color rgb="FF000000"/>
        <rFont val="游ゴシック"/>
        <charset val="134"/>
      </rPr>
      <t xml:space="preserve">Màn hình tìm kiếm chi tiết Master Chi nhánh Quản lý được hiển thị
</t>
    </r>
    <r>
      <rPr>
        <b/>
        <sz val="10"/>
        <color rgb="FF000000"/>
        <rFont val="游ゴシック"/>
        <charset val="134"/>
      </rPr>
      <t xml:space="preserve">ステップ2：
</t>
    </r>
    <r>
      <rPr>
        <sz val="10"/>
        <color rgb="FF000000"/>
        <rFont val="游ゴシック"/>
        <charset val="134"/>
      </rPr>
      <t xml:space="preserve">Textbox "管理支店コード" "管理支店名" "電話番号" "FAX"  dropdown "都道府県" hiển thị "選択してください", mỗi ô input hiển thị icon `allow-clear`
</t>
    </r>
    <r>
      <rPr>
        <b/>
        <sz val="10"/>
        <color rgb="FF000000"/>
        <rFont val="游ゴシック"/>
        <charset val="134"/>
      </rPr>
      <t xml:space="preserve">補足：
</t>
    </r>
    <r>
      <rPr>
        <sz val="10"/>
        <color rgb="FF000000"/>
        <rFont val="游ゴシック"/>
        <charset val="134"/>
      </rPr>
      <t>・Khi hiển thị khởi tạo, thực hiện lấy toàn bộ record (trong DataScope) không kèm điều kiện search</t>
    </r>
  </si>
  <si>
    <t>ACSMS-TC-008-017</t>
  </si>
  <si>
    <t>Search partial match 管理支店コード — Normal</t>
  </si>
  <si>
    <t>・role: NICHINO_ADMIN
・Đã đăng ký 管理支店コード `013-3300-001` và `013-3300-002`</t>
  </si>
  <si>
    <r>
      <rPr>
        <b/>
        <sz val="10"/>
        <color rgb="FF000000"/>
        <rFont val="メイリオ"/>
        <charset val="134"/>
      </rPr>
      <t xml:space="preserve">ステップ1：
</t>
    </r>
    <r>
      <rPr>
        <sz val="10"/>
        <color rgb="FF000000"/>
        <rFont val="メイリオ"/>
        <charset val="134"/>
      </rPr>
      <t xml:space="preserve">Nhập `013` vào ô input 管理支店コード
</t>
    </r>
    <r>
      <rPr>
        <b/>
        <sz val="10"/>
        <color rgb="FF000000"/>
        <rFont val="メイリオ"/>
        <charset val="134"/>
      </rPr>
      <t xml:space="preserve">ステップ2：
</t>
    </r>
    <r>
      <rPr>
        <sz val="10"/>
        <color rgb="FF000000"/>
        <rFont val="メイリオ"/>
        <charset val="134"/>
      </rPr>
      <t xml:space="preserve">Click button "検索"
</t>
    </r>
    <r>
      <rPr>
        <b/>
        <sz val="10"/>
        <color rgb="FF000000"/>
        <rFont val="メイリオ"/>
        <charset val="134"/>
      </rPr>
      <t xml:space="preserve">ステップ3：
</t>
    </r>
    <r>
      <rPr>
        <sz val="10"/>
        <color rgb="FF000000"/>
        <rFont val="メイリオ"/>
        <charset val="134"/>
      </rPr>
      <t>Kiểm tra response và API request bằng DevTools</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</si>
  <si>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Chỉ các record có 管理支店コード chứa `013` được hiển thị
</t>
    </r>
    <r>
      <rPr>
        <b/>
        <sz val="10"/>
        <color rgb="FF000000"/>
        <rFont val="メイリオ"/>
        <charset val="134"/>
      </rPr>
      <t xml:space="preserve">ステップ3：
</t>
    </r>
    <r>
      <rPr>
        <sz val="10"/>
        <color rgb="FF000000"/>
        <rFont val="メイリオ"/>
        <charset val="134"/>
      </rPr>
      <t xml:space="preserve">GET `/api/v1/kanri-shiten?kanri_shiten_code=013&amp;...` được gửi, trả về HTTP 200, BE thực hiện search partial match bằng `ILIKE '%013%'`
</t>
    </r>
    <r>
      <rPr>
        <b/>
        <sz val="10"/>
        <color rgb="FF000000"/>
        <rFont val="メイリオ"/>
        <charset val="134"/>
      </rPr>
      <t xml:space="preserve">補足：
</t>
    </r>
    <r>
      <rPr>
        <sz val="10"/>
        <color rgb="FF000000"/>
        <rFont val="メイリオ"/>
        <charset val="134"/>
      </rPr>
      <t>・Có thể search partial match</t>
    </r>
  </si>
  <si>
    <t>ACSMS-TC-008-018</t>
  </si>
  <si>
    <t>管理支店コード — giá trị biên tối đa 15 ký tự</t>
  </si>
  <si>
    <r>
      <rPr>
        <b/>
        <strike/>
        <sz val="10"/>
        <color rgb="FF000000"/>
        <rFont val="メイリオ"/>
        <charset val="134"/>
      </rPr>
      <t xml:space="preserve">ステップ1：
</t>
    </r>
    <r>
      <rPr>
        <strike/>
        <sz val="10"/>
        <color rgb="FF000000"/>
        <rFont val="メイリオ"/>
        <charset val="134"/>
      </rPr>
      <t xml:space="preserve">Nhập 15 ký tự vào ô input 管理支店コード (ví dụ: `013-3300-001-AB`)
</t>
    </r>
    <r>
      <rPr>
        <b/>
        <strike/>
        <sz val="10"/>
        <color rgb="FF000000"/>
        <rFont val="メイリオ"/>
        <charset val="134"/>
      </rPr>
      <t xml:space="preserve">ステップ2：
</t>
    </r>
    <r>
      <rPr>
        <strike/>
        <sz val="10"/>
        <color rgb="FF000000"/>
        <rFont val="メイリオ"/>
        <charset val="134"/>
      </rPr>
      <t xml:space="preserve">Click button "検索", kiểm tra API request
</t>
    </r>
    <r>
      <rPr>
        <b/>
        <strike/>
        <sz val="10"/>
        <color rgb="FF000000"/>
        <rFont val="メイリオ"/>
        <charset val="134"/>
      </rPr>
      <t xml:space="preserve">ステップ3：
</t>
    </r>
    <r>
      <rPr>
        <strike/>
        <sz val="10"/>
        <color rgb="FF000000"/>
        <rFont val="メイリオ"/>
        <charset val="134"/>
      </rPr>
      <t>Dùng DevTools gửi trực tiếp GET `/api/v1/kanri-shiten?kanri_shiten_code=AAAAAAAAAAAAAAAA` (16 ký tự)</t>
    </r>
  </si>
  <si>
    <r>
      <rPr>
        <b/>
        <strike/>
        <sz val="10"/>
        <color rgb="FF000000"/>
        <rFont val="メイリオ"/>
        <charset val="134"/>
      </rPr>
      <t xml:space="preserve">ステップ1：
</t>
    </r>
    <r>
      <rPr>
        <strike/>
        <sz val="10"/>
        <color rgb="FF000000"/>
        <rFont val="メイリオ"/>
        <charset val="134"/>
      </rPr>
      <t xml:space="preserve">Có thể nhập đầy đủ 15 ký tự
</t>
    </r>
    <r>
      <rPr>
        <b/>
        <strike/>
        <sz val="10"/>
        <color rgb="FF000000"/>
        <rFont val="メイリオ"/>
        <charset val="134"/>
      </rPr>
      <t xml:space="preserve">ステップ2：
</t>
    </r>
    <r>
      <rPr>
        <strike/>
        <sz val="10"/>
        <color rgb="FF000000"/>
        <rFont val="メイリオ"/>
        <charset val="134"/>
      </rPr>
      <t xml:space="preserve">Trả về HTTP 200, hiển thị kết quả search (giả định 0 record)
</t>
    </r>
    <r>
      <rPr>
        <b/>
        <strike/>
        <sz val="10"/>
        <color rgb="FF000000"/>
        <rFont val="メイリオ"/>
        <charset val="134"/>
      </rPr>
      <t xml:space="preserve">ステップ3：
</t>
    </r>
    <r>
      <rPr>
        <strike/>
        <sz val="10"/>
        <color rgb="FF000000"/>
        <rFont val="メイリオ"/>
        <charset val="134"/>
      </rPr>
      <t xml:space="preserve">Trả về HTTP 400 (`error_code: VALIDATION_ERROR`, message `管理支店コードは最大15文字で指定してください。`)
</t>
    </r>
    <r>
      <rPr>
        <b/>
        <strike/>
        <sz val="10"/>
        <color rgb="FF000000"/>
        <rFont val="メイリオ"/>
        <charset val="134"/>
      </rPr>
      <t xml:space="preserve">補足：
</t>
    </r>
    <r>
      <rPr>
        <strike/>
        <sz val="10"/>
        <color rgb="FF000000"/>
        <rFont val="メイリオ"/>
        <charset val="134"/>
      </rPr>
      <t xml:space="preserve">・Có thể search trong giới hạn số ký tự cho phép
</t>
    </r>
    <r>
      <rPr>
        <strike/>
        <sz val="10"/>
        <color rgb="FF000000"/>
        <rFont val="メイリオ"/>
        <charset val="134"/>
      </rPr>
      <t>・Lỗi vượt quá số ký tự được phát hiện ở phía backend</t>
    </r>
  </si>
  <si>
    <t>ACSMS-TC-008-019</t>
  </si>
  <si>
    <t>管理支店コード — hành vi trim space đầu/cuối</t>
  </si>
  <si>
    <r>
      <rPr>
        <b/>
        <sz val="10"/>
        <color rgb="FF000000"/>
        <rFont val="メイリオ"/>
        <charset val="134"/>
      </rPr>
      <t xml:space="preserve">ステップ1：
</t>
    </r>
    <r>
      <rPr>
        <sz val="10"/>
        <color rgb="FF000000"/>
        <rFont val="メイリオ"/>
        <charset val="134"/>
      </rPr>
      <t xml:space="preserve">Nhập `  013-3300-001  ` (2 ký tự space half-width đầu và cuối) vào ô input 管理支店コード
</t>
    </r>
    <r>
      <rPr>
        <b/>
        <sz val="10"/>
        <color rgb="FF000000"/>
        <rFont val="メイリオ"/>
        <charset val="134"/>
      </rPr>
      <t xml:space="preserve">ステップ2：
</t>
    </r>
    <r>
      <rPr>
        <sz val="10"/>
        <color rgb="FF000000"/>
        <rFont val="メイリオ"/>
        <charset val="134"/>
      </rPr>
      <t xml:space="preserve">Click button "検索"
</t>
    </r>
    <r>
      <rPr>
        <b/>
        <sz val="10"/>
        <color rgb="FF000000"/>
        <rFont val="メイリオ"/>
        <charset val="134"/>
      </rPr>
      <t xml:space="preserve">ステップ3：
</t>
    </r>
    <r>
      <rPr>
        <sz val="10"/>
        <color rgb="FF000000"/>
        <rFont val="メイリオ"/>
        <charset val="134"/>
      </rPr>
      <t xml:space="preserve">Kiểm tra nội dung hiển thị trong ô input
</t>
    </r>
    <r>
      <rPr>
        <b/>
        <sz val="10"/>
        <color rgb="FF000000"/>
        <rFont val="メイリオ"/>
        <charset val="134"/>
      </rPr>
      <t xml:space="preserve">ステップ4：
</t>
    </r>
    <r>
      <rPr>
        <sz val="10"/>
        <color rgb="FF000000"/>
        <rFont val="メイリオ"/>
        <charset val="134"/>
      </rPr>
      <t>Kiểm tra parameter của API request được gửi bằng DevTools</t>
    </r>
  </si>
  <si>
    <r>
      <rPr>
        <b/>
        <sz val="10"/>
        <color rgb="FF000000"/>
        <rFont val="メイリオ"/>
        <charset val="134"/>
      </rPr>
      <t xml:space="preserve">ステップ1：
</t>
    </r>
    <r>
      <rPr>
        <sz val="10"/>
        <color rgb="FF000000"/>
        <rFont val="メイリオ"/>
        <charset val="134"/>
      </rPr>
      <t xml:space="preserve">Giá trị nhập được phản ánh nguyên dạng
</t>
    </r>
    <r>
      <rPr>
        <b/>
        <sz val="10"/>
        <color rgb="FF000000"/>
        <rFont val="メイリオ"/>
        <charset val="134"/>
      </rPr>
      <t xml:space="preserve">ステップ2：
</t>
    </r>
    <r>
      <rPr>
        <sz val="10"/>
        <color rgb="FF000000"/>
        <rFont val="メイリオ"/>
        <charset val="134"/>
      </rPr>
      <t xml:space="preserve">Xử lý search được thực hiện
</t>
    </r>
    <r>
      <rPr>
        <b/>
        <sz val="10"/>
        <color rgb="FF000000"/>
        <rFont val="メイリオ"/>
        <charset val="134"/>
      </rPr>
      <t xml:space="preserve">ステップ3：
</t>
    </r>
    <r>
      <rPr>
        <sz val="10"/>
        <color rgb="FF000000"/>
        <rFont val="メイリオ"/>
        <charset val="134"/>
      </rPr>
      <t xml:space="preserve">Giá trị nhập được trim (hiển thị trong ô input cập nhật thành `013-3300-001`)
</t>
    </r>
    <r>
      <rPr>
        <b/>
        <sz val="10"/>
        <color rgb="FF000000"/>
        <rFont val="メイリオ"/>
        <charset val="134"/>
      </rPr>
      <t xml:space="preserve">ステップ4：
</t>
    </r>
    <r>
      <rPr>
        <sz val="10"/>
        <color rgb="FF000000"/>
        <rFont val="メイリオ"/>
        <charset val="134"/>
      </rPr>
      <t xml:space="preserve">GET `/api/v1/kanri-shiten?kanri_shiten_code=013-3300-001&amp;...` được gửi (không có space đầu/cuối)
</t>
    </r>
    <r>
      <rPr>
        <b/>
        <sz val="10"/>
        <color rgb="FF000000"/>
        <rFont val="メイリオ"/>
        <charset val="134"/>
      </rPr>
      <t xml:space="preserve">補足：
</t>
    </r>
    <r>
      <rPr>
        <sz val="10"/>
        <color rgb="FF000000"/>
        <rFont val="メイリオ"/>
        <charset val="134"/>
      </rPr>
      <t>・Giá trị nhập được trim</t>
    </r>
  </si>
  <si>
    <t>ACSMS-TC-008-020</t>
  </si>
  <si>
    <t>Search partial match 管理支店名 — Normal</t>
  </si>
  <si>
    <t>・role: NICHINO_ADMIN
・Đã đăng ký 管理支店名 "JA北海道中央管理支店" "JA北海道東部管理支店"</t>
  </si>
  <si>
    <r>
      <rPr>
        <b/>
        <sz val="10"/>
        <color rgb="FF000000"/>
        <rFont val="メイリオ"/>
        <charset val="134"/>
      </rPr>
      <t xml:space="preserve">ステップ1：
</t>
    </r>
    <r>
      <rPr>
        <sz val="10"/>
        <color rgb="FF000000"/>
        <rFont val="メイリオ"/>
        <charset val="134"/>
      </rPr>
      <t xml:space="preserve">Nhập `北海道` vào ô input 管理支店名
</t>
    </r>
    <r>
      <rPr>
        <b/>
        <sz val="10"/>
        <color rgb="FF000000"/>
        <rFont val="メイリオ"/>
        <charset val="134"/>
      </rPr>
      <t xml:space="preserve">ステップ2：
</t>
    </r>
    <r>
      <rPr>
        <sz val="10"/>
        <color rgb="FF000000"/>
        <rFont val="メイリオ"/>
        <charset val="134"/>
      </rPr>
      <t xml:space="preserve">Click button "検索"
</t>
    </r>
    <r>
      <rPr>
        <b/>
        <sz val="10"/>
        <color rgb="FF000000"/>
        <rFont val="メイリオ"/>
        <charset val="134"/>
      </rPr>
      <t xml:space="preserve">ステップ3：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</si>
  <si>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Chỉ các record có 管理支店名 chứa `北海道` được hiển thị
</t>
    </r>
    <r>
      <rPr>
        <b/>
        <sz val="10"/>
        <color rgb="FF000000"/>
        <rFont val="メイリオ"/>
        <charset val="134"/>
      </rPr>
      <t xml:space="preserve">ステップ3：
</t>
    </r>
    <r>
      <rPr>
        <sz val="10"/>
        <color rgb="FF000000"/>
        <rFont val="メイリオ"/>
        <charset val="134"/>
      </rPr>
      <t xml:space="preserve">Có thể search partial match (`ILIKE '%北海道%'`)
</t>
    </r>
    <r>
      <rPr>
        <b/>
        <sz val="10"/>
        <color rgb="FF000000"/>
        <rFont val="メイリオ"/>
        <charset val="134"/>
      </rPr>
      <t xml:space="preserve">補足：
</t>
    </r>
    <r>
      <rPr>
        <sz val="10"/>
        <color rgb="FF000000"/>
        <rFont val="メイリオ"/>
        <charset val="134"/>
      </rPr>
      <t>・Có thể nhập ký tự full-width</t>
    </r>
  </si>
  <si>
    <t>ACSMS-TC-008-021</t>
  </si>
  <si>
    <t>管理支店名 — giá trị biên tối đa 100 ký tự</t>
  </si>
  <si>
    <r>
      <rPr>
        <b/>
        <strike/>
        <sz val="10"/>
        <color rgb="FF000000"/>
        <rFont val="メイリオ"/>
        <charset val="134"/>
      </rPr>
      <t xml:space="preserve">ステップ1：
</t>
    </r>
    <r>
      <rPr>
        <strike/>
        <sz val="10"/>
        <color rgb="FF000000"/>
        <rFont val="メイリオ"/>
        <charset val="134"/>
      </rPr>
      <t xml:space="preserve">Paste chuỗi 100 ký tự full-width vào ô input 管理支店名
</t>
    </r>
    <r>
      <rPr>
        <b/>
        <strike/>
        <sz val="10"/>
        <color rgb="FF000000"/>
        <rFont val="メイリオ"/>
        <charset val="134"/>
      </rPr>
      <t xml:space="preserve">ステップ2：
</t>
    </r>
    <r>
      <rPr>
        <strike/>
        <sz val="10"/>
        <color rgb="FF000000"/>
        <rFont val="メイリオ"/>
        <charset val="134"/>
      </rPr>
      <t xml:space="preserve">Click button "検索"
</t>
    </r>
    <r>
      <rPr>
        <b/>
        <strike/>
        <sz val="10"/>
        <color rgb="FF000000"/>
        <rFont val="メイリオ"/>
        <charset val="134"/>
      </rPr>
      <t xml:space="preserve">ステップ3：
</t>
    </r>
    <r>
      <rPr>
        <strike/>
        <sz val="10"/>
        <color rgb="FF000000"/>
        <rFont val="メイリオ"/>
        <charset val="134"/>
      </rPr>
      <t>Dùng DevTools gửi trực tiếp GET `/api/v1/kanri-shiten?kanri_shiten_name=(101 ký tự)`</t>
    </r>
  </si>
  <si>
    <r>
      <rPr>
        <b/>
        <strike/>
        <sz val="10"/>
        <color rgb="FF000000"/>
        <rFont val="メイリオ"/>
        <charset val="134"/>
      </rPr>
      <t xml:space="preserve">ステップ1：
</t>
    </r>
    <r>
      <rPr>
        <strike/>
        <sz val="10"/>
        <color rgb="FF000000"/>
        <rFont val="メイリオ"/>
        <charset val="134"/>
      </rPr>
      <t xml:space="preserve">Có thể nhập đầy đủ 100 ký tự
</t>
    </r>
    <r>
      <rPr>
        <b/>
        <strike/>
        <sz val="10"/>
        <color rgb="FF000000"/>
        <rFont val="メイリオ"/>
        <charset val="134"/>
      </rPr>
      <t xml:space="preserve">ステップ2：
</t>
    </r>
    <r>
      <rPr>
        <strike/>
        <sz val="10"/>
        <color rgb="FF000000"/>
        <rFont val="メイリオ"/>
        <charset val="134"/>
      </rPr>
      <t xml:space="preserve">Trả về HTTP 200
</t>
    </r>
    <r>
      <rPr>
        <b/>
        <strike/>
        <sz val="10"/>
        <color rgb="FF000000"/>
        <rFont val="メイリオ"/>
        <charset val="134"/>
      </rPr>
      <t xml:space="preserve">ステップ3：
</t>
    </r>
    <r>
      <rPr>
        <strike/>
        <sz val="10"/>
        <color rgb="FF000000"/>
        <rFont val="メイリオ"/>
        <charset val="134"/>
      </rPr>
      <t xml:space="preserve">Trả về HTTP 400 (`error_code: VALIDATION_ERROR`, message `管理支店名は最大100文字で指定してください。`)
</t>
    </r>
    <r>
      <rPr>
        <b/>
        <strike/>
        <sz val="10"/>
        <color rgb="FF000000"/>
        <rFont val="メイリオ"/>
        <charset val="134"/>
      </rPr>
      <t xml:space="preserve">補足：
</t>
    </r>
    <r>
      <rPr>
        <strike/>
        <sz val="10"/>
        <color rgb="FF000000"/>
        <rFont val="メイリオ"/>
        <charset val="134"/>
      </rPr>
      <t>・Lỗi vượt quá số ký tự được phát hiện ở phía backend</t>
    </r>
  </si>
  <si>
    <t>ACSMS-TC-008-022</t>
  </si>
  <si>
    <t>Chọn dropdown 都道府県</t>
  </si>
  <si>
    <t>・role: NICHINO_ADMIN
・Đã đăng ký 47 tỉnh thành trong bảng m_todofuken</t>
  </si>
  <si>
    <r>
      <rPr>
        <b/>
        <sz val="10"/>
        <color rgb="FF000000"/>
        <rFont val="游ゴシック"/>
        <charset val="134"/>
      </rPr>
      <t xml:space="preserve">ステップ1：
</t>
    </r>
    <r>
      <rPr>
        <sz val="10"/>
        <color rgb="FF000000"/>
        <rFont val="游ゴシック"/>
        <charset val="134"/>
      </rPr>
      <t xml:space="preserve">Mở dropdown 都道府県
</t>
    </r>
    <r>
      <rPr>
        <b/>
        <sz val="10"/>
        <color rgb="FF000000"/>
        <rFont val="游ゴシック"/>
        <charset val="134"/>
      </rPr>
      <t xml:space="preserve">ステップ2：
</t>
    </r>
    <r>
      <rPr>
        <sz val="10"/>
        <color rgb="FF000000"/>
        <rFont val="游ゴシック"/>
        <charset val="134"/>
      </rPr>
      <t xml:space="preserve">Kiểm tra số lượng và thứ tự lựa chọn
</t>
    </r>
    <r>
      <rPr>
        <b/>
        <sz val="10"/>
        <color rgb="FF000000"/>
        <rFont val="游ゴシック"/>
        <charset val="134"/>
      </rPr>
      <t xml:space="preserve">ステップ3：
</t>
    </r>
    <r>
      <rPr>
        <sz val="10"/>
        <color rgb="FF000000"/>
        <rFont val="游ゴシック"/>
        <charset val="134"/>
      </rPr>
      <t xml:space="preserve">Chọn "東京都" (todofuken_code = `13`)
</t>
    </r>
    <r>
      <rPr>
        <b/>
        <sz val="10"/>
        <color rgb="FF000000"/>
        <rFont val="游ゴシック"/>
        <charset val="134"/>
      </rPr>
      <t xml:space="preserve">ステップ4：
</t>
    </r>
    <r>
      <rPr>
        <sz val="10"/>
        <color rgb="FF000000"/>
        <rFont val="游ゴシック"/>
        <charset val="134"/>
      </rPr>
      <t>Click button "検索"</t>
    </r>
  </si>
  <si>
    <r>
      <rPr>
        <b/>
        <sz val="10"/>
        <color rgb="FF000000"/>
        <rFont val="游ゴシック"/>
        <charset val="134"/>
      </rPr>
      <t xml:space="preserve">ステップ1：
</t>
    </r>
    <r>
      <rPr>
        <sz val="10"/>
        <color rgb="FF000000"/>
        <rFont val="游ゴシック"/>
        <charset val="134"/>
      </rPr>
      <t xml:space="preserve">Dropdown được mở
</t>
    </r>
    <r>
      <rPr>
        <b/>
        <sz val="10"/>
        <color rgb="FF000000"/>
        <rFont val="游ゴシック"/>
        <charset val="134"/>
      </rPr>
      <t xml:space="preserve">ステップ2：
</t>
    </r>
    <r>
      <rPr>
        <sz val="10"/>
        <color rgb="FF000000"/>
        <rFont val="游ゴシック"/>
        <charset val="134"/>
      </rPr>
      <t xml:space="preserve">Lựa chọn "すべて" + 47 todofuken hiển thị theo todofuken_code tăng dần của m_todofuken
</t>
    </r>
    <r>
      <rPr>
        <b/>
        <sz val="10"/>
        <color rgb="FF000000"/>
        <rFont val="游ゴシック"/>
        <charset val="134"/>
      </rPr>
      <t xml:space="preserve">ステップ3：
</t>
    </r>
    <r>
      <rPr>
        <sz val="10"/>
        <color rgb="FF000000"/>
        <rFont val="游ゴシック"/>
        <charset val="134"/>
      </rPr>
      <t xml:space="preserve">"東京都" được chọn và hiển thị
</t>
    </r>
    <r>
      <rPr>
        <b/>
        <sz val="10"/>
        <color rgb="FF000000"/>
        <rFont val="游ゴシック"/>
        <charset val="134"/>
      </rPr>
      <t xml:space="preserve">ステップ4：
</t>
    </r>
    <r>
      <rPr>
        <sz val="10"/>
        <color rgb="FF000000"/>
        <rFont val="游ゴシック"/>
        <charset val="134"/>
      </rPr>
      <t xml:space="preserve">GET `/api/v1/kanri-shiten?todofuken_code=13&amp;...` được gửi, chỉ hiển thị chi nhánh quản lý có todofuken_code = `13`
</t>
    </r>
    <r>
      <rPr>
        <b/>
        <sz val="10"/>
        <color rgb="FF000000"/>
        <rFont val="游ゴシック"/>
        <charset val="134"/>
      </rPr>
      <t xml:space="preserve">補足：
</t>
    </r>
    <r>
      <rPr>
        <sz val="10"/>
        <color rgb="FF000000"/>
        <rFont val="游ゴシック"/>
        <charset val="134"/>
      </rPr>
      <t>・Data todofuken được lấy bằng JOIN từ master code (không phải hardcoded)</t>
    </r>
  </si>
  <si>
    <t>ACSMS-TC-008-023</t>
  </si>
  <si>
    <t>都道府県 — hành vi clear dropdown</t>
  </si>
  <si>
    <r>
      <rPr>
        <b/>
        <sz val="10"/>
        <color rgb="FF000000"/>
        <rFont val="游ゴシック"/>
        <charset val="134"/>
      </rPr>
      <t xml:space="preserve">ステップ1：
</t>
    </r>
    <r>
      <rPr>
        <sz val="10"/>
        <color rgb="FF000000"/>
        <rFont val="游ゴシック"/>
        <charset val="134"/>
      </rPr>
      <t xml:space="preserve">Chọn "北海道" trong dropdown 都道府県
</t>
    </r>
    <r>
      <rPr>
        <b/>
        <sz val="10"/>
        <color rgb="FF000000"/>
        <rFont val="游ゴシック"/>
        <charset val="134"/>
      </rPr>
      <t xml:space="preserve">ステップ2：
</t>
    </r>
    <r>
      <rPr>
        <sz val="10"/>
        <color rgb="FF000000"/>
        <rFont val="游ゴシック"/>
        <charset val="134"/>
      </rPr>
      <t xml:space="preserve">Click icon clear "×" của dropdown
</t>
    </r>
    <r>
      <rPr>
        <b/>
        <sz val="10"/>
        <color rgb="FF000000"/>
        <rFont val="游ゴシック"/>
        <charset val="134"/>
      </rPr>
      <t xml:space="preserve">ステップ3：
</t>
    </r>
    <r>
      <rPr>
        <sz val="10"/>
        <color rgb="FF000000"/>
        <rFont val="游ゴシック"/>
        <charset val="134"/>
      </rPr>
      <t>Click button "検索"</t>
    </r>
  </si>
  <si>
    <r>
      <rPr>
        <b/>
        <sz val="10"/>
        <color rgb="FF000000"/>
        <rFont val="游ゴシック"/>
        <charset val="134"/>
      </rPr>
      <t xml:space="preserve">ステップ1：
</t>
    </r>
    <r>
      <rPr>
        <sz val="10"/>
        <color rgb="FF000000"/>
        <rFont val="游ゴシック"/>
        <charset val="134"/>
      </rPr>
      <t xml:space="preserve">"北海道" được chọn
</t>
    </r>
    <r>
      <rPr>
        <b/>
        <sz val="10"/>
        <color rgb="FF000000"/>
        <rFont val="游ゴシック"/>
        <charset val="134"/>
      </rPr>
      <t xml:space="preserve">ステップ2：
</t>
    </r>
    <r>
      <rPr>
        <sz val="10"/>
        <color rgb="FF000000"/>
        <rFont val="游ゴシック"/>
        <charset val="134"/>
      </rPr>
      <t xml:space="preserve">Lựa chọn được clear, hiển thị "選択してください"
</t>
    </r>
    <r>
      <rPr>
        <b/>
        <sz val="10"/>
        <color rgb="FF000000"/>
        <rFont val="游ゴシック"/>
        <charset val="134"/>
      </rPr>
      <t xml:space="preserve">ステップ3：
</t>
    </r>
    <r>
      <rPr>
        <sz val="10"/>
        <color rgb="FF000000"/>
        <rFont val="游ゴシック"/>
        <charset val="134"/>
      </rPr>
      <t xml:space="preserve">Thực hiện search toàn bộ record không kèm điều kiện todofuken, API request không chứa parameter `todofuken_code`
</t>
    </r>
    <r>
      <rPr>
        <b/>
        <sz val="10"/>
        <color rgb="FF000000"/>
        <rFont val="游ゴシック"/>
        <charset val="134"/>
      </rPr>
      <t xml:space="preserve">補足：
</t>
    </r>
    <r>
      <rPr>
        <sz val="10"/>
        <color rgb="FF000000"/>
        <rFont val="游ゴシック"/>
        <charset val="134"/>
      </rPr>
      <t>・Điều kiện search được clear</t>
    </r>
  </si>
  <si>
    <t>ACSMS-TC-008-024</t>
  </si>
  <si>
    <t>Search partial match 電話番号 — Normal</t>
  </si>
  <si>
    <t>・role: NICHINO_ADMIN
・Đã đăng ký chi nhánh quản lý có 電話番号 "011-222-3333" "011-333-3333"</t>
  </si>
  <si>
    <r>
      <rPr>
        <b/>
        <sz val="10"/>
        <color rgb="FF000000"/>
        <rFont val="游ゴシック"/>
        <charset val="134"/>
      </rPr>
      <t xml:space="preserve">ステップ1：
</t>
    </r>
    <r>
      <rPr>
        <sz val="10"/>
        <color rgb="FF000000"/>
        <rFont val="游ゴシック"/>
        <charset val="134"/>
      </rPr>
      <t xml:space="preserve">Nhập `011` vào ô input 電話番号
</t>
    </r>
    <r>
      <rPr>
        <b/>
        <sz val="10"/>
        <color rgb="FF000000"/>
        <rFont val="游ゴシック"/>
        <charset val="134"/>
      </rPr>
      <t xml:space="preserve">ステップ2：
</t>
    </r>
    <r>
      <rPr>
        <sz val="10"/>
        <color rgb="FF000000"/>
        <rFont val="游ゴシック"/>
        <charset val="134"/>
      </rPr>
      <t xml:space="preserve">Click button "検索"
</t>
    </r>
    <r>
      <rPr>
        <b/>
        <sz val="10"/>
        <color rgb="FF000000"/>
        <rFont val="游ゴシック"/>
        <charset val="134"/>
      </rPr>
      <t xml:space="preserve">ステップ3：
</t>
    </r>
    <r>
      <rPr>
        <sz val="10"/>
        <color rgb="FF000000"/>
        <rFont val="游ゴシック"/>
        <charset val="134"/>
      </rPr>
      <t>Kiểm tra response</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</si>
  <si>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Chỉ các record có 電話番号 chứa `011` được hiển thị
</t>
    </r>
    <r>
      <rPr>
        <b/>
        <sz val="10"/>
        <color rgb="FF000000"/>
        <rFont val="メイリオ"/>
        <charset val="134"/>
      </rPr>
      <t xml:space="preserve">ステップ3：
</t>
    </r>
    <r>
      <rPr>
        <sz val="10"/>
        <color rgb="FF000000"/>
        <rFont val="メイリオ"/>
        <charset val="134"/>
      </rPr>
      <t xml:space="preserve">Có thể search partial match (`ILIKE '%011%'`)
</t>
    </r>
    <r>
      <rPr>
        <b/>
        <sz val="10"/>
        <color rgb="FF000000"/>
        <rFont val="メイリオ"/>
        <charset val="134"/>
      </rPr>
      <t xml:space="preserve">補足：
</t>
    </r>
    <r>
      <rPr>
        <sz val="10"/>
        <color rgb="FF000000"/>
        <rFont val="メイリオ"/>
        <charset val="134"/>
      </rPr>
      <t>・Bất kể có hay không hyphen, partial match được thực hiện dưới dạng chuỗi giá trị đã lưu</t>
    </r>
  </si>
  <si>
    <t>ACSMS-TC-008-025</t>
  </si>
  <si>
    <t>電話番号 — giá trị biên tối đa 15 ký tự</t>
  </si>
  <si>
    <r>
      <rPr>
        <b/>
        <strike/>
        <sz val="10"/>
        <color rgb="FF000000"/>
        <rFont val="メイリオ"/>
        <charset val="134"/>
      </rPr>
      <t xml:space="preserve">ステップ1：
</t>
    </r>
    <r>
      <rPr>
        <strike/>
        <sz val="10"/>
        <color rgb="FF000000"/>
        <rFont val="メイリオ"/>
        <charset val="134"/>
      </rPr>
      <t xml:space="preserve">Nhập 15 ký tự vào ô input 電話番号 (ví dụ: `090-1234-5678-9`)
</t>
    </r>
    <r>
      <rPr>
        <b/>
        <strike/>
        <sz val="10"/>
        <color rgb="FF000000"/>
        <rFont val="メイリオ"/>
        <charset val="134"/>
      </rPr>
      <t xml:space="preserve">ステップ2：
</t>
    </r>
    <r>
      <rPr>
        <strike/>
        <sz val="10"/>
        <color rgb="FF000000"/>
        <rFont val="メイリオ"/>
        <charset val="134"/>
      </rPr>
      <t xml:space="preserve">Click button "検索"
</t>
    </r>
    <r>
      <rPr>
        <b/>
        <strike/>
        <sz val="10"/>
        <color rgb="FF000000"/>
        <rFont val="メイリオ"/>
        <charset val="134"/>
      </rPr>
      <t xml:space="preserve">ステップ3：
</t>
    </r>
    <r>
      <rPr>
        <strike/>
        <sz val="10"/>
        <color rgb="FF000000"/>
        <rFont val="メイリオ"/>
        <charset val="134"/>
      </rPr>
      <t>Dùng DevTools gửi trực tiếp GET `/api/v1/kanri-shiten?tel=1234567890123456` (16 ký tự)</t>
    </r>
  </si>
  <si>
    <r>
      <rPr>
        <b/>
        <strike/>
        <sz val="10"/>
        <color rgb="FF000000"/>
        <rFont val="メイリオ"/>
        <charset val="134"/>
      </rPr>
      <t xml:space="preserve">ステップ1：
</t>
    </r>
    <r>
      <rPr>
        <strike/>
        <sz val="10"/>
        <color rgb="FF000000"/>
        <rFont val="メイリオ"/>
        <charset val="134"/>
      </rPr>
      <t xml:space="preserve">Có thể nhập đầy đủ 15 ký tự
</t>
    </r>
    <r>
      <rPr>
        <b/>
        <strike/>
        <sz val="10"/>
        <color rgb="FF000000"/>
        <rFont val="メイリオ"/>
        <charset val="134"/>
      </rPr>
      <t xml:space="preserve">ステップ2：
</t>
    </r>
    <r>
      <rPr>
        <strike/>
        <sz val="10"/>
        <color rgb="FF000000"/>
        <rFont val="メイリオ"/>
        <charset val="134"/>
      </rPr>
      <t xml:space="preserve">Trả về HTTP 200
</t>
    </r>
    <r>
      <rPr>
        <b/>
        <strike/>
        <sz val="10"/>
        <color rgb="FF000000"/>
        <rFont val="メイリオ"/>
        <charset val="134"/>
      </rPr>
      <t xml:space="preserve">ステップ3：
</t>
    </r>
    <r>
      <rPr>
        <strike/>
        <sz val="10"/>
        <color rgb="FF000000"/>
        <rFont val="メイリオ"/>
        <charset val="134"/>
      </rPr>
      <t xml:space="preserve">Trả về HTTP 400 (`error_code: VALIDATION_ERROR`, message `電話番号は最大15文字で指定してください。`)
</t>
    </r>
    <r>
      <rPr>
        <b/>
        <strike/>
        <sz val="10"/>
        <color rgb="FF000000"/>
        <rFont val="メイリオ"/>
        <charset val="134"/>
      </rPr>
      <t xml:space="preserve">補足：
</t>
    </r>
    <r>
      <rPr>
        <strike/>
        <sz val="10"/>
        <color rgb="FF000000"/>
        <rFont val="メイリオ"/>
        <charset val="134"/>
      </rPr>
      <t>・Lỗi vượt quá số ký tự được phát hiện ở phía backend</t>
    </r>
  </si>
  <si>
    <t>ACSMS-TC-008-026</t>
  </si>
  <si>
    <t>Search partial match FAX — Normal</t>
  </si>
  <si>
    <t>・role: NICHINO_ADMIN
・Đã đăng ký chi nhánh quản lý có FAX "011-222-3334" "011-333-3334"</t>
  </si>
  <si>
    <r>
      <rPr>
        <b/>
        <sz val="10"/>
        <color rgb="FF000000"/>
        <rFont val="游ゴシック"/>
        <charset val="134"/>
      </rPr>
      <t xml:space="preserve">ステップ1：
</t>
    </r>
    <r>
      <rPr>
        <sz val="10"/>
        <color rgb="FF000000"/>
        <rFont val="游ゴシック"/>
        <charset val="134"/>
      </rPr>
      <t xml:space="preserve">Nhập `3334` vào ô input FAX
</t>
    </r>
    <r>
      <rPr>
        <b/>
        <sz val="10"/>
        <color rgb="FF000000"/>
        <rFont val="游ゴシック"/>
        <charset val="134"/>
      </rPr>
      <t xml:space="preserve">ステップ2：
</t>
    </r>
    <r>
      <rPr>
        <sz val="10"/>
        <color rgb="FF000000"/>
        <rFont val="游ゴシック"/>
        <charset val="134"/>
      </rPr>
      <t>Click button "検索"</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</si>
  <si>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Chỉ các record có FAX chứa `3334` được hiển thị (`ILIKE '%3334%'`)
</t>
    </r>
    <r>
      <rPr>
        <b/>
        <sz val="10"/>
        <color rgb="FF000000"/>
        <rFont val="メイリオ"/>
        <charset val="134"/>
      </rPr>
      <t xml:space="preserve">補足：
</t>
    </r>
    <r>
      <rPr>
        <sz val="10"/>
        <color rgb="FF000000"/>
        <rFont val="メイリオ"/>
        <charset val="134"/>
      </rPr>
      <t>・Có thể search partial match</t>
    </r>
  </si>
  <si>
    <t>ACSMS-TC-008-027</t>
  </si>
  <si>
    <t>FAX — giá trị biên tối đa 15 ký tự</t>
  </si>
  <si>
    <r>
      <rPr>
        <b/>
        <strike/>
        <sz val="10"/>
        <color rgb="FF000000"/>
        <rFont val="メイリオ"/>
        <charset val="134"/>
      </rPr>
      <t xml:space="preserve">ステップ1：
</t>
    </r>
    <r>
      <rPr>
        <strike/>
        <sz val="10"/>
        <color rgb="FF000000"/>
        <rFont val="メイリオ"/>
        <charset val="134"/>
      </rPr>
      <t xml:space="preserve">Nhập 15 ký tự vào ô input FAX
</t>
    </r>
    <r>
      <rPr>
        <b/>
        <strike/>
        <sz val="10"/>
        <color rgb="FF000000"/>
        <rFont val="メイリオ"/>
        <charset val="134"/>
      </rPr>
      <t xml:space="preserve">ステップ2：
</t>
    </r>
    <r>
      <rPr>
        <strike/>
        <sz val="10"/>
        <color rgb="FF000000"/>
        <rFont val="メイリオ"/>
        <charset val="134"/>
      </rPr>
      <t>Dùng DevTools gửi trực tiếp GET `/api/v1/kanri-shiten?fax=(16 ký tự)`</t>
    </r>
  </si>
  <si>
    <r>
      <rPr>
        <b/>
        <strike/>
        <sz val="10"/>
        <color rgb="FF000000"/>
        <rFont val="メイリオ"/>
        <charset val="134"/>
      </rPr>
      <t xml:space="preserve">ステップ1：
</t>
    </r>
    <r>
      <rPr>
        <strike/>
        <sz val="10"/>
        <color rgb="FF000000"/>
        <rFont val="メイリオ"/>
        <charset val="134"/>
      </rPr>
      <t xml:space="preserve">Có thể nhập đầy đủ 15 ký tự, xử lý search được thực hiện
</t>
    </r>
    <r>
      <rPr>
        <b/>
        <strike/>
        <sz val="10"/>
        <color rgb="FF000000"/>
        <rFont val="メイリオ"/>
        <charset val="134"/>
      </rPr>
      <t xml:space="preserve">ステップ2：
</t>
    </r>
    <r>
      <rPr>
        <strike/>
        <sz val="10"/>
        <color rgb="FF000000"/>
        <rFont val="メイリオ"/>
        <charset val="134"/>
      </rPr>
      <t xml:space="preserve">Trả về HTTP 400 (`error_code: VALIDATION_ERROR`, message `FAX番号は最大15文字で指定してください。`)
</t>
    </r>
    <r>
      <rPr>
        <b/>
        <strike/>
        <sz val="10"/>
        <color rgb="FF000000"/>
        <rFont val="メイリオ"/>
        <charset val="134"/>
      </rPr>
      <t xml:space="preserve">補足：
</t>
    </r>
    <r>
      <rPr>
        <strike/>
        <sz val="10"/>
        <color rgb="FF000000"/>
        <rFont val="メイリオ"/>
        <charset val="134"/>
      </rPr>
      <t>・Lỗi vượt quá số ký tự được phát hiện ở phía backend</t>
    </r>
  </si>
  <si>
    <t>ACSMS-TC-008-028</t>
  </si>
  <si>
    <t>Nhập ký tự đặc biệt vào item search — Đối phó SQL Injection</t>
  </si>
  <si>
    <r>
      <rPr>
        <b/>
        <sz val="10"/>
        <color rgb="FF000000"/>
        <rFont val="游ゴシック"/>
        <charset val="134"/>
      </rPr>
      <t xml:space="preserve">ステップ1：
</t>
    </r>
    <r>
      <rPr>
        <sz val="10"/>
        <color rgb="FF000000"/>
        <rFont val="游ゴシック"/>
        <charset val="134"/>
      </rPr>
      <t xml:space="preserve">Nhập `' OR '1'='1` vào ô input 管理支店コード
</t>
    </r>
    <r>
      <rPr>
        <b/>
        <sz val="10"/>
        <color rgb="FF000000"/>
        <rFont val="游ゴシック"/>
        <charset val="134"/>
      </rPr>
      <t xml:space="preserve">ステップ2：
</t>
    </r>
    <r>
      <rPr>
        <sz val="10"/>
        <color rgb="FF000000"/>
        <rFont val="游ゴシック"/>
        <charset val="134"/>
      </rPr>
      <t xml:space="preserve">Click button "検索"
</t>
    </r>
    <r>
      <rPr>
        <b/>
        <sz val="10"/>
        <color rgb="FF000000"/>
        <rFont val="游ゴシック"/>
        <charset val="134"/>
      </rPr>
      <t xml:space="preserve">ステップ3：
</t>
    </r>
    <r>
      <rPr>
        <sz val="10"/>
        <color rgb="FF000000"/>
        <rFont val="游ゴシック"/>
        <charset val="134"/>
      </rPr>
      <t xml:space="preserve">Nhập `; DROP TABLE m_kanri_shiten; --` vào ô input 管理支店名
</t>
    </r>
    <r>
      <rPr>
        <b/>
        <sz val="10"/>
        <color rgb="FF000000"/>
        <rFont val="游ゴシック"/>
        <charset val="134"/>
      </rPr>
      <t xml:space="preserve">ステップ4：
</t>
    </r>
    <r>
      <rPr>
        <sz val="10"/>
        <color rgb="FF000000"/>
        <rFont val="游ゴシック"/>
        <charset val="134"/>
      </rPr>
      <t xml:space="preserve">Click button "検索"
</t>
    </r>
    <r>
      <rPr>
        <b/>
        <sz val="10"/>
        <color rgb="FF000000"/>
        <rFont val="游ゴシック"/>
        <charset val="134"/>
      </rPr>
      <t xml:space="preserve">ステップ5：
</t>
    </r>
    <r>
      <rPr>
        <sz val="10"/>
        <color rgb="FF000000"/>
        <rFont val="游ゴシック"/>
        <charset val="134"/>
      </rPr>
      <t>Kiểm tra trạng thái DB: `SELECT COUNT(*) FROM m_kanri_shiten`</t>
    </r>
  </si>
  <si>
    <r>
      <rPr>
        <b/>
        <sz val="10"/>
        <color rgb="FF000000"/>
        <rFont val="メイリオ"/>
        <charset val="134"/>
      </rPr>
      <t xml:space="preserve">ステップ1：
</t>
    </r>
    <r>
      <rPr>
        <sz val="10"/>
        <color rgb="FF000000"/>
        <rFont val="メイリオ"/>
        <charset val="134"/>
      </rPr>
      <t xml:space="preserve">Giá trị nhập được phản ánh nguyên dạng
</t>
    </r>
    <r>
      <rPr>
        <b/>
        <sz val="10"/>
        <color rgb="FF000000"/>
        <rFont val="メイリオ"/>
        <charset val="134"/>
      </rPr>
      <t xml:space="preserve">ステップ2：
</t>
    </r>
    <r>
      <rPr>
        <sz val="10"/>
        <color rgb="FF000000"/>
        <rFont val="メイリオ"/>
        <charset val="134"/>
      </rPr>
      <t xml:space="preserve">Hiển thị 0 kết quả search, hiển thị `検索結果が見つかりませんでした。`
</t>
    </r>
    <r>
      <rPr>
        <b/>
        <sz val="10"/>
        <color rgb="FF000000"/>
        <rFont val="メイリオ"/>
        <charset val="134"/>
      </rPr>
      <t xml:space="preserve">ステップ3：
</t>
    </r>
    <r>
      <rPr>
        <sz val="10"/>
        <color rgb="FF000000"/>
        <rFont val="メイリオ"/>
        <charset val="134"/>
      </rPr>
      <t xml:space="preserve">Giá trị nhập được phản ánh nguyên dạng
</t>
    </r>
    <r>
      <rPr>
        <b/>
        <sz val="10"/>
        <color rgb="FF000000"/>
        <rFont val="メイリオ"/>
        <charset val="134"/>
      </rPr>
      <t xml:space="preserve">ステップ4：
</t>
    </r>
    <r>
      <rPr>
        <sz val="10"/>
        <color rgb="FF000000"/>
        <rFont val="メイリオ"/>
        <charset val="134"/>
      </rPr>
      <t xml:space="preserve">Hiển thị 0 kết quả search
</t>
    </r>
    <r>
      <rPr>
        <b/>
        <sz val="10"/>
        <color rgb="FF000000"/>
        <rFont val="メイリオ"/>
        <charset val="134"/>
      </rPr>
      <t xml:space="preserve">ステップ5：
</t>
    </r>
    <r>
      <rPr>
        <sz val="10"/>
        <color rgb="FF000000"/>
        <rFont val="メイリオ"/>
        <charset val="134"/>
      </rPr>
      <t xml:space="preserve">Bảng `m_kanri_shiten` không bị xóa, số lượng record không thay đổi
</t>
    </r>
    <r>
      <rPr>
        <b/>
        <sz val="10"/>
        <color rgb="FF000000"/>
        <rFont val="メイリオ"/>
        <charset val="134"/>
      </rPr>
      <t xml:space="preserve">補足：
</t>
    </r>
    <r>
      <rPr>
        <sz val="10"/>
        <color rgb="FF000000"/>
        <rFont val="メイリオ"/>
        <charset val="134"/>
      </rPr>
      <t>・Nhờ parameterized query, ký tự đặc biệt không được diễn giải như SQL injection (dùng `setParameters` của TypeORM)</t>
    </r>
  </si>
  <si>
    <t>ACSMS-TC-008-029</t>
  </si>
  <si>
    <t>Nhập ký tự đặc biệt vào item search — Đối phó XSS</t>
  </si>
  <si>
    <r>
      <rPr>
        <b/>
        <sz val="10"/>
        <color rgb="FF000000"/>
        <rFont val="游ゴシック"/>
        <charset val="134"/>
      </rPr>
      <t xml:space="preserve">ステップ1：
</t>
    </r>
    <r>
      <rPr>
        <sz val="10"/>
        <color rgb="FF000000"/>
        <rFont val="游ゴシック"/>
        <charset val="134"/>
      </rPr>
      <t xml:space="preserve">Nhập `&lt;script&gt;alert(1)&lt;/script&gt;` vào ô input 管理支店名
</t>
    </r>
    <r>
      <rPr>
        <b/>
        <sz val="10"/>
        <color rgb="FF000000"/>
        <rFont val="游ゴシック"/>
        <charset val="134"/>
      </rPr>
      <t xml:space="preserve">ステップ2：
</t>
    </r>
    <r>
      <rPr>
        <sz val="10"/>
        <color rgb="FF000000"/>
        <rFont val="游ゴシック"/>
        <charset val="134"/>
      </rPr>
      <t xml:space="preserve">Click button "検索"
</t>
    </r>
    <r>
      <rPr>
        <b/>
        <sz val="10"/>
        <color rgb="FF000000"/>
        <rFont val="游ゴシック"/>
        <charset val="134"/>
      </rPr>
      <t xml:space="preserve">ステップ3：
</t>
    </r>
    <r>
      <rPr>
        <sz val="10"/>
        <color rgb="FF000000"/>
        <rFont val="游ゴシック"/>
        <charset val="134"/>
      </rPr>
      <t>Kiểm tra hiển thị màn hình và console DevTools</t>
    </r>
  </si>
  <si>
    <r>
      <rPr>
        <b/>
        <sz val="10"/>
        <color rgb="FF000000"/>
        <rFont val="メイリオ"/>
        <charset val="134"/>
      </rPr>
      <t xml:space="preserve">ステップ1：
</t>
    </r>
    <r>
      <rPr>
        <sz val="10"/>
        <color rgb="FF000000"/>
        <rFont val="メイリオ"/>
        <charset val="134"/>
      </rPr>
      <t xml:space="preserve">Giá trị nhập được phản ánh nguyên dạng
</t>
    </r>
    <r>
      <rPr>
        <b/>
        <sz val="10"/>
        <color rgb="FF000000"/>
        <rFont val="メイリオ"/>
        <charset val="134"/>
      </rPr>
      <t xml:space="preserve">ステップ2：
</t>
    </r>
    <r>
      <rPr>
        <sz val="10"/>
        <color rgb="FF000000"/>
        <rFont val="メイリオ"/>
        <charset val="134"/>
      </rPr>
      <t xml:space="preserve">Hiển thị 0 kết quả search
</t>
    </r>
    <r>
      <rPr>
        <b/>
        <sz val="10"/>
        <color rgb="FF000000"/>
        <rFont val="メイリオ"/>
        <charset val="134"/>
      </rPr>
      <t xml:space="preserve">ステップ3：
</t>
    </r>
    <r>
      <rPr>
        <sz val="10"/>
        <color rgb="FF000000"/>
        <rFont val="メイリオ"/>
        <charset val="134"/>
      </rPr>
      <t xml:space="preserve">JavaScript không được thực thi, dialog `alert(1)` không được hiển thị, không có warning được xuất ra trên console DevTools
</t>
    </r>
    <r>
      <rPr>
        <b/>
        <sz val="10"/>
        <color rgb="FF000000"/>
        <rFont val="メイリオ"/>
        <charset val="134"/>
      </rPr>
      <t xml:space="preserve">補足：
</t>
    </r>
    <r>
      <rPr>
        <sz val="10"/>
        <color rgb="FF000000"/>
        <rFont val="メイリオ"/>
        <charset val="134"/>
      </rPr>
      <t>・Auto-escape bằng `{{ }}` interpolation của Vue đang hoạt động</t>
    </r>
  </si>
  <si>
    <t>Tìm kiếm / Sort / Pagination (Search / Sort / Pagination)</t>
  </si>
  <si>
    <t>ACSMS-TC-008-030</t>
  </si>
  <si>
    <t>Hiển thị khởi tạo — lấy toàn bộ record không kèm điều kiện search (trong DataScope)</t>
  </si>
  <si>
    <t>・role: NICHINO_ADMIN
・Đã đăng ký khoảng 30 record chi nhánh quản lý</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</si>
  <si>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Kiểm tra API request được gửi bằng DevTools
</t>
    </r>
    <r>
      <rPr>
        <b/>
        <sz val="10"/>
        <color rgb="FF000000"/>
        <rFont val="メイリオ"/>
        <charset val="134"/>
      </rPr>
      <t xml:space="preserve">ステップ3：
</t>
    </r>
    <r>
      <rPr>
        <sz val="10"/>
        <color rgb="FF000000"/>
        <rFont val="メイリオ"/>
        <charset val="134"/>
      </rPr>
      <t>Kiểm tra hiển thị của table list</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</si>
  <si>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GET `/api/v1/kanri-shiten?page=1&amp;per_page=20&amp;sort_by=updated_at&amp;sort_order=desc` được gửi
</t>
    </r>
    <r>
      <rPr>
        <b/>
        <sz val="10"/>
        <color rgb="FF000000"/>
        <rFont val="メイリオ"/>
        <charset val="134"/>
      </rPr>
      <t xml:space="preserve">ステップ3：
</t>
    </r>
    <r>
      <rPr>
        <sz val="10"/>
        <color rgb="FF000000"/>
        <rFont val="メイリオ"/>
        <charset val="134"/>
      </rPr>
      <t xml:space="preserve">Hiển thị 20 record của trang đầu theo thứ tự updated_at giảm dần, pagination hiển thị "全 30 件"
</t>
    </r>
    <r>
      <rPr>
        <b/>
        <sz val="10"/>
        <color rgb="FF000000"/>
        <rFont val="メイリオ"/>
        <charset val="134"/>
      </rPr>
      <t xml:space="preserve">補足：
</t>
    </r>
    <r>
      <rPr>
        <sz val="10"/>
        <color rgb="FF000000"/>
        <rFont val="メイリオ"/>
        <charset val="134"/>
      </rPr>
      <t xml:space="preserve">・Record được update mới nhất hiển thị đầu tiên
</t>
    </r>
    <r>
      <rPr>
        <sz val="10"/>
        <color rgb="FF000000"/>
        <rFont val="メイリオ"/>
        <charset val="134"/>
      </rPr>
      <t>・NICHINO_ADMIN không nằm trong đối tượng filter data scope bằng ja_id (xuyên toàn bộ JA)</t>
    </r>
  </si>
  <si>
    <t>ACSMS-TC-008-031</t>
  </si>
  <si>
    <t>Search AND-combine nhiều điều kiện</t>
  </si>
  <si>
    <t>・role: NICHINO_ADMIN
・Đã đăng ký khoảng 20 record chi nhánh quản lý</t>
  </si>
  <si>
    <r>
      <rPr>
        <b/>
        <sz val="10"/>
        <color rgb="FF000000"/>
        <rFont val="メイリオ"/>
        <charset val="134"/>
      </rPr>
      <t xml:space="preserve">ステップ1：
</t>
    </r>
    <r>
      <rPr>
        <sz val="10"/>
        <color rgb="FF000000"/>
        <rFont val="メイリオ"/>
        <charset val="134"/>
      </rPr>
      <t xml:space="preserve">Nhập 管理支店コード `013`, 都道府県 "北海道", 電話番号 `011`
</t>
    </r>
    <r>
      <rPr>
        <b/>
        <sz val="10"/>
        <color rgb="FF000000"/>
        <rFont val="メイリオ"/>
        <charset val="134"/>
      </rPr>
      <t xml:space="preserve">ステップ2：
</t>
    </r>
    <r>
      <rPr>
        <sz val="10"/>
        <color rgb="FF000000"/>
        <rFont val="メイリオ"/>
        <charset val="134"/>
      </rPr>
      <t xml:space="preserve">Click button "検索"
</t>
    </r>
    <r>
      <rPr>
        <b/>
        <sz val="10"/>
        <color rgb="FF000000"/>
        <rFont val="メイリオ"/>
        <charset val="134"/>
      </rPr>
      <t xml:space="preserve">ステップ3：
</t>
    </r>
    <r>
      <rPr>
        <sz val="10"/>
        <color rgb="FF000000"/>
        <rFont val="メイリオ"/>
        <charset val="134"/>
      </rPr>
      <t>Kiểm tra API request được gửi bằng DevTools</t>
    </r>
  </si>
  <si>
    <r>
      <rPr>
        <b/>
        <sz val="10"/>
        <color rgb="FF000000"/>
        <rFont val="メイリオ"/>
        <charset val="134"/>
      </rPr>
      <t xml:space="preserve">ステップ1：
</t>
    </r>
    <r>
      <rPr>
        <sz val="10"/>
        <color rgb="FF000000"/>
        <rFont val="メイリオ"/>
        <charset val="134"/>
      </rPr>
      <t xml:space="preserve">Giá trị nhập được phản ánh trong 3 item
</t>
    </r>
    <r>
      <rPr>
        <b/>
        <sz val="10"/>
        <color rgb="FF000000"/>
        <rFont val="メイリオ"/>
        <charset val="134"/>
      </rPr>
      <t xml:space="preserve">ステップ2：
</t>
    </r>
    <r>
      <rPr>
        <sz val="10"/>
        <color rgb="FF000000"/>
        <rFont val="メイリオ"/>
        <charset val="134"/>
      </rPr>
      <t xml:space="preserve">Chỉ các record khớp toàn bộ 3 điều kiện được hiển thị
</t>
    </r>
    <r>
      <rPr>
        <b/>
        <sz val="10"/>
        <color rgb="FF000000"/>
        <rFont val="メイリオ"/>
        <charset val="134"/>
      </rPr>
      <t xml:space="preserve">ステップ3：
</t>
    </r>
    <r>
      <rPr>
        <sz val="10"/>
        <color rgb="FF000000"/>
        <rFont val="メイリオ"/>
        <charset val="134"/>
      </rPr>
      <t xml:space="preserve">GET `/api/v1/kanri-shiten?kanri_shiten_code=013&amp;todofuken_code=01&amp;tel=011&amp;page=1&amp;per_page=20&amp;sort_by=updated_at&amp;sort_order=desc` được gửi
</t>
    </r>
    <r>
      <rPr>
        <b/>
        <sz val="10"/>
        <color rgb="FF000000"/>
        <rFont val="メイリオ"/>
        <charset val="134"/>
      </rPr>
      <t xml:space="preserve">補足：
</t>
    </r>
    <r>
      <rPr>
        <sz val="10"/>
        <color rgb="FF000000"/>
        <rFont val="メイリオ"/>
        <charset val="134"/>
      </rPr>
      <t xml:space="preserve">・Điều kiện search được áp dụng theo dạng AND-combine (không phải OR)
</t>
    </r>
    <r>
      <rPr>
        <sz val="10"/>
        <color rgb="FF000000"/>
        <rFont val="メイリオ"/>
        <charset val="134"/>
      </rPr>
      <t>・Chỉ data khớp điều kiện search được hiển thị</t>
    </r>
  </si>
  <si>
    <t>ACSMS-TC-008-032</t>
  </si>
  <si>
    <t>Hành vi của button 検索クリア</t>
  </si>
  <si>
    <r>
      <rPr>
        <b/>
        <sz val="10"/>
        <color rgb="FF000000"/>
        <rFont val="メイリオ"/>
        <charset val="134"/>
      </rPr>
      <t xml:space="preserve">ステップ1：
</t>
    </r>
    <r>
      <rPr>
        <sz val="10"/>
        <color rgb="FF000000"/>
        <rFont val="メイリオ"/>
        <charset val="134"/>
      </rPr>
      <t xml:space="preserve">Nhập 管理支店コード `013`, 都道府県 "北海道", FAX `3334`
</t>
    </r>
    <r>
      <rPr>
        <b/>
        <sz val="10"/>
        <color rgb="FF000000"/>
        <rFont val="メイリオ"/>
        <charset val="134"/>
      </rPr>
      <t xml:space="preserve">ステップ2：
</t>
    </r>
    <r>
      <rPr>
        <sz val="10"/>
        <color rgb="FF000000"/>
        <rFont val="メイリオ"/>
        <charset val="134"/>
      </rPr>
      <t xml:space="preserve">Click button "検索", thu hẹp kết quả
</t>
    </r>
    <r>
      <rPr>
        <b/>
        <sz val="10"/>
        <color rgb="FF000000"/>
        <rFont val="メイリオ"/>
        <charset val="134"/>
      </rPr>
      <t xml:space="preserve">ステップ3：
</t>
    </r>
    <r>
      <rPr>
        <sz val="10"/>
        <color rgb="FF000000"/>
        <rFont val="メイリオ"/>
        <charset val="134"/>
      </rPr>
      <t xml:space="preserve">Click button "検索クリア"
</t>
    </r>
    <r>
      <rPr>
        <b/>
        <sz val="10"/>
        <color rgb="FF000000"/>
        <rFont val="メイリオ"/>
        <charset val="134"/>
      </rPr>
      <t xml:space="preserve">ステップ4：
</t>
    </r>
    <r>
      <rPr>
        <sz val="10"/>
        <color rgb="FF000000"/>
        <rFont val="メイリオ"/>
        <charset val="134"/>
      </rPr>
      <t>Kiểm tra form search và hiển thị list</t>
    </r>
  </si>
  <si>
    <r>
      <rPr>
        <b/>
        <sz val="10"/>
        <color rgb="FF000000"/>
        <rFont val="メイリオ"/>
        <charset val="134"/>
      </rPr>
      <t xml:space="preserve">ステップ1：
</t>
    </r>
    <r>
      <rPr>
        <sz val="10"/>
        <color rgb="FF000000"/>
        <rFont val="メイリオ"/>
        <charset val="134"/>
      </rPr>
      <t xml:space="preserve">Giá trị nhập được phản ánh
</t>
    </r>
    <r>
      <rPr>
        <b/>
        <sz val="10"/>
        <color rgb="FF000000"/>
        <rFont val="メイリオ"/>
        <charset val="134"/>
      </rPr>
      <t xml:space="preserve">ステップ2：
</t>
    </r>
    <r>
      <rPr>
        <sz val="10"/>
        <color rgb="FF000000"/>
        <rFont val="メイリオ"/>
        <charset val="134"/>
      </rPr>
      <t xml:space="preserve">Kết quả đã thu hẹp được hiển thị
</t>
    </r>
    <r>
      <rPr>
        <b/>
        <sz val="10"/>
        <color rgb="FF000000"/>
        <rFont val="メイリオ"/>
        <charset val="134"/>
      </rPr>
      <t xml:space="preserve">ステップ3：
</t>
    </r>
    <r>
      <rPr>
        <sz val="10"/>
        <color rgb="FF000000"/>
        <rFont val="メイリオ"/>
        <charset val="134"/>
      </rPr>
      <t xml:space="preserve">Xử lý được thực hiện
</t>
    </r>
    <r>
      <rPr>
        <b/>
        <sz val="10"/>
        <color rgb="FF000000"/>
        <rFont val="メイリオ"/>
        <charset val="134"/>
      </rPr>
      <t xml:space="preserve">ステップ4：
</t>
    </r>
    <r>
      <rPr>
        <sz val="10"/>
        <color rgb="FF000000"/>
        <rFont val="メイリオ"/>
        <charset val="134"/>
      </rPr>
      <t xml:space="preserve">Điều kiện search được clear (toàn bộ textbox rỗng, 都道府県 "選択してください"), điều kiện sort cũng trở về giá trị khởi tạo (updated_at giảm dần), thực hiện lấy toàn bộ lại và hiển thị trang đầu
</t>
    </r>
    <r>
      <rPr>
        <b/>
        <sz val="10"/>
        <color rgb="FF000000"/>
        <rFont val="メイリオ"/>
        <charset val="134"/>
      </rPr>
      <t xml:space="preserve">補足：
</t>
    </r>
    <r>
      <rPr>
        <sz val="10"/>
        <color rgb="FF000000"/>
        <rFont val="メイリオ"/>
        <charset val="134"/>
      </rPr>
      <t xml:space="preserve">・Điều kiện search được clear
</t>
    </r>
    <r>
      <rPr>
        <sz val="10"/>
        <color rgb="FF000000"/>
        <rFont val="メイリオ"/>
        <charset val="134"/>
      </rPr>
      <t>・Hiển thị trang đầu tiên</t>
    </r>
  </si>
  <si>
    <t>ACSMS-TC-008-033</t>
  </si>
  <si>
    <t>Sort — 管理支店コード tăng dần</t>
  </si>
  <si>
    <t>・role: NICHINO_ADMIN
・Đã đăng ký ≥10 record chi nhánh quản lý</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</si>
  <si>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Click 1 lần header cột "管理支店コード"
</t>
    </r>
    <r>
      <rPr>
        <b/>
        <sz val="10"/>
        <color rgb="FF000000"/>
        <rFont val="メイリオ"/>
        <charset val="134"/>
      </rPr>
      <t xml:space="preserve">ステップ3：
</t>
    </r>
    <r>
      <rPr>
        <sz val="10"/>
        <color rgb="FF000000"/>
        <rFont val="メイリオ"/>
        <charset val="134"/>
      </rPr>
      <t>Kiểm tra API request và thứ tự hiển thị</t>
    </r>
  </si>
  <si>
    <r>
      <rPr>
        <b/>
        <sz val="10"/>
        <color rgb="FF000000"/>
        <rFont val="メイリオ"/>
        <charset val="134"/>
      </rPr>
      <t xml:space="preserve">ステップ1：
</t>
    </r>
    <r>
      <rPr>
        <sz val="10"/>
        <color rgb="FF000000"/>
        <rFont val="メイリオ"/>
        <charset val="134"/>
      </rPr>
      <t xml:space="preserve">Hiển thị trạng thái khởi tạo (updated_at giảm dần)
</t>
    </r>
    <r>
      <rPr>
        <b/>
        <sz val="10"/>
        <color rgb="FF000000"/>
        <rFont val="メイリオ"/>
        <charset val="134"/>
      </rPr>
      <t xml:space="preserve">ステップ2：
</t>
    </r>
    <r>
      <rPr>
        <sz val="10"/>
        <color rgb="FF000000"/>
        <rFont val="メイリオ"/>
        <charset val="134"/>
      </rPr>
      <t xml:space="preserve">Icon sort chuyển sang ▲ (tăng dần)
</t>
    </r>
    <r>
      <rPr>
        <b/>
        <sz val="10"/>
        <color rgb="FF000000"/>
        <rFont val="メイリオ"/>
        <charset val="134"/>
      </rPr>
      <t xml:space="preserve">ステップ3：
</t>
    </r>
    <r>
      <rPr>
        <sz val="10"/>
        <color rgb="FF000000"/>
        <rFont val="メイリオ"/>
        <charset val="134"/>
      </rPr>
      <t xml:space="preserve">GET `/api/v1/kanri-shiten?...&amp;sort_by=kanri_shiten_code&amp;sort_order=asc` được gửi, hiển thị sắp xếp theo 管理支店コード tăng dần
</t>
    </r>
    <r>
      <rPr>
        <b/>
        <sz val="10"/>
        <color rgb="FF000000"/>
        <rFont val="メイリオ"/>
        <charset val="134"/>
      </rPr>
      <t xml:space="preserve">補足：
</t>
    </r>
    <r>
      <rPr>
        <sz val="10"/>
        <color rgb="FF000000"/>
        <rFont val="メイリオ"/>
        <charset val="134"/>
      </rPr>
      <t xml:space="preserve">・Thứ tự sort đúng
</t>
    </r>
    <r>
      <rPr>
        <sz val="10"/>
        <color rgb="FF000000"/>
        <rFont val="メイリオ"/>
        <charset val="134"/>
      </rPr>
      <t>・Sort được áp dụng vẫn giữ nguyên điều kiện search hiện tại</t>
    </r>
  </si>
  <si>
    <t>ACSMS-TC-008-034</t>
  </si>
  <si>
    <t>Sort — 管理支店コード giảm dần</t>
  </si>
  <si>
    <r>
      <rPr>
        <b/>
        <sz val="10"/>
        <color rgb="FF000000"/>
        <rFont val="メイリオ"/>
        <charset val="134"/>
      </rPr>
      <t xml:space="preserve">ステップ1：
</t>
    </r>
    <r>
      <rPr>
        <sz val="10"/>
        <color rgb="FF000000"/>
        <rFont val="メイリオ"/>
        <charset val="134"/>
      </rPr>
      <t xml:space="preserve">Click 1 lần header cột "管理支店コード" (tăng dần)
</t>
    </r>
    <r>
      <rPr>
        <b/>
        <sz val="10"/>
        <color rgb="FF000000"/>
        <rFont val="メイリオ"/>
        <charset val="134"/>
      </rPr>
      <t xml:space="preserve">ステップ2：
</t>
    </r>
    <r>
      <rPr>
        <sz val="10"/>
        <color rgb="FF000000"/>
        <rFont val="メイリオ"/>
        <charset val="134"/>
      </rPr>
      <t>Click 1 lần nữa header cột "管理支店コード" (giảm dần)</t>
    </r>
  </si>
  <si>
    <r>
      <rPr>
        <b/>
        <sz val="10"/>
        <color rgb="FF000000"/>
        <rFont val="メイリオ"/>
        <charset val="134"/>
      </rPr>
      <t xml:space="preserve">ステップ1：
</t>
    </r>
    <r>
      <rPr>
        <sz val="10"/>
        <color rgb="FF000000"/>
        <rFont val="メイリオ"/>
        <charset val="134"/>
      </rPr>
      <t xml:space="preserve">Icon sort chuyển sang ▲ (tăng dần), hiển thị theo 管理支店コード tăng dần
</t>
    </r>
    <r>
      <rPr>
        <b/>
        <sz val="10"/>
        <color rgb="FF000000"/>
        <rFont val="メイリオ"/>
        <charset val="134"/>
      </rPr>
      <t xml:space="preserve">ステップ2：
</t>
    </r>
    <r>
      <rPr>
        <sz val="10"/>
        <color rgb="FF000000"/>
        <rFont val="メイリオ"/>
        <charset val="134"/>
      </rPr>
      <t xml:space="preserve">Icon sort chuyển sang ▼ (giảm dần), GET `/api/v1/kanri-shiten?...&amp;sort_by=kanri_shiten_code&amp;sort_order=desc` được gửi, hiển thị sắp xếp theo 管理支店コード giảm dần
</t>
    </r>
    <r>
      <rPr>
        <b/>
        <sz val="10"/>
        <color rgb="FF000000"/>
        <rFont val="メイリオ"/>
        <charset val="134"/>
      </rPr>
      <t xml:space="preserve">補足：
</t>
    </r>
    <r>
      <rPr>
        <sz val="10"/>
        <color rgb="FF000000"/>
        <rFont val="メイリオ"/>
        <charset val="134"/>
      </rPr>
      <t>・Thứ tự sort đúng</t>
    </r>
  </si>
  <si>
    <t>ACSMS-TC-008-035</t>
  </si>
  <si>
    <t>Sort — 管理支店名 tăng dần / giảm dần</t>
  </si>
  <si>
    <r>
      <rPr>
        <b/>
        <sz val="10"/>
        <color rgb="FF000000"/>
        <rFont val="メイリオ"/>
        <charset val="134"/>
      </rPr>
      <t xml:space="preserve">ステップ1：
</t>
    </r>
    <r>
      <rPr>
        <sz val="10"/>
        <color rgb="FF000000"/>
        <rFont val="メイリオ"/>
        <charset val="134"/>
      </rPr>
      <t xml:space="preserve">Click 1 lần header cột "管理支店名"
</t>
    </r>
    <r>
      <rPr>
        <b/>
        <sz val="10"/>
        <color rgb="FF000000"/>
        <rFont val="メイリオ"/>
        <charset val="134"/>
      </rPr>
      <t xml:space="preserve">ステップ2：
</t>
    </r>
    <r>
      <rPr>
        <sz val="10"/>
        <color rgb="FF000000"/>
        <rFont val="メイリオ"/>
        <charset val="134"/>
      </rPr>
      <t xml:space="preserve">Kiểm tra API request và thứ tự hiển thị
</t>
    </r>
    <r>
      <rPr>
        <b/>
        <sz val="10"/>
        <color rgb="FF000000"/>
        <rFont val="メイリオ"/>
        <charset val="134"/>
      </rPr>
      <t xml:space="preserve">ステップ3：
</t>
    </r>
    <r>
      <rPr>
        <sz val="10"/>
        <color rgb="FF000000"/>
        <rFont val="メイリオ"/>
        <charset val="134"/>
      </rPr>
      <t>Click 1 lần nữa header cột "管理支店名"</t>
    </r>
  </si>
  <si>
    <r>
      <rPr>
        <b/>
        <sz val="10"/>
        <color rgb="FF000000"/>
        <rFont val="メイリオ"/>
        <charset val="134"/>
      </rPr>
      <t xml:space="preserve">ステップ1：
</t>
    </r>
    <r>
      <rPr>
        <sz val="10"/>
        <color rgb="FF000000"/>
        <rFont val="メイリオ"/>
        <charset val="134"/>
      </rPr>
      <t xml:space="preserve">Icon sort chuyển sang ▲ (tăng dần)
</t>
    </r>
    <r>
      <rPr>
        <b/>
        <sz val="10"/>
        <color rgb="FF000000"/>
        <rFont val="メイリオ"/>
        <charset val="134"/>
      </rPr>
      <t xml:space="preserve">ステップ2：
</t>
    </r>
    <r>
      <rPr>
        <sz val="10"/>
        <color rgb="FF000000"/>
        <rFont val="メイリオ"/>
        <charset val="134"/>
      </rPr>
      <t xml:space="preserve">GET `/api/v1/kanri-shiten?...&amp;sort_by=kanri_shiten_name&amp;sort_order=asc` được gửi, hiển thị sắp xếp theo 管理支店名 tăng dần
</t>
    </r>
    <r>
      <rPr>
        <b/>
        <sz val="10"/>
        <color rgb="FF000000"/>
        <rFont val="メイリオ"/>
        <charset val="134"/>
      </rPr>
      <t xml:space="preserve">ステップ3：
</t>
    </r>
    <r>
      <rPr>
        <sz val="10"/>
        <color rgb="FF000000"/>
        <rFont val="メイリオ"/>
        <charset val="134"/>
      </rPr>
      <t xml:space="preserve">GET `/api/v1/kanri-shiten?...&amp;sort_by=kanri_shiten_name&amp;sort_order=desc` được gửi, hiển thị sắp xếp theo 管理支店名 giảm dần
</t>
    </r>
    <r>
      <rPr>
        <b/>
        <sz val="10"/>
        <color rgb="FF000000"/>
        <rFont val="メイリオ"/>
        <charset val="134"/>
      </rPr>
      <t xml:space="preserve">補足：
</t>
    </r>
    <r>
      <rPr>
        <sz val="10"/>
        <color rgb="FF000000"/>
        <rFont val="メイリオ"/>
        <charset val="134"/>
      </rPr>
      <t>・Thứ tự sort đúng</t>
    </r>
  </si>
  <si>
    <t>ACSMS-TC-008-036</t>
  </si>
  <si>
    <t>Sort — 都道府県 tăng dần / giảm dần (kiểm tra mapping todofuken_code)</t>
  </si>
  <si>
    <t>・role: NICHINO_ADMIN
・Đã đăng ký data chi nhánh quản lý của nhiều todofuken (Hokkaido / Tokyo / Osaka v.v.)</t>
  </si>
  <si>
    <r>
      <rPr>
        <b/>
        <sz val="10"/>
        <color rgb="FF000000"/>
        <rFont val="游ゴシック"/>
        <charset val="134"/>
      </rPr>
      <t xml:space="preserve">ステップ1：
</t>
    </r>
    <r>
      <rPr>
        <sz val="10"/>
        <color rgb="FF000000"/>
        <rFont val="游ゴシック"/>
        <charset val="134"/>
      </rPr>
      <t xml:space="preserve">Click 1 lần header cột "都道府県"
</t>
    </r>
    <r>
      <rPr>
        <b/>
        <sz val="10"/>
        <color rgb="FF000000"/>
        <rFont val="游ゴシック"/>
        <charset val="134"/>
      </rPr>
      <t xml:space="preserve">ステップ2：
</t>
    </r>
    <r>
      <rPr>
        <sz val="10"/>
        <color rgb="FF000000"/>
        <rFont val="游ゴシック"/>
        <charset val="134"/>
      </rPr>
      <t xml:space="preserve">Kiểm tra parameter `sort_by` của API request được gửi bằng DevTools
</t>
    </r>
    <r>
      <rPr>
        <b/>
        <sz val="10"/>
        <color rgb="FF000000"/>
        <rFont val="游ゴシック"/>
        <charset val="134"/>
      </rPr>
      <t xml:space="preserve">ステップ3：
</t>
    </r>
    <r>
      <rPr>
        <sz val="10"/>
        <color rgb="FF000000"/>
        <rFont val="游ゴシック"/>
        <charset val="134"/>
      </rPr>
      <t xml:space="preserve">Click 1 lần nữa header cột "都道府県"
</t>
    </r>
    <r>
      <rPr>
        <b/>
        <sz val="10"/>
        <color rgb="FF000000"/>
        <rFont val="游ゴシック"/>
        <charset val="134"/>
      </rPr>
      <t xml:space="preserve">ステップ4：
</t>
    </r>
    <r>
      <rPr>
        <sz val="10"/>
        <color rgb="FF000000"/>
        <rFont val="游ゴシック"/>
        <charset val="134"/>
      </rPr>
      <t>Kiểm tra thứ tự hiển thị</t>
    </r>
  </si>
  <si>
    <r>
      <rPr>
        <b/>
        <sz val="10"/>
        <color rgb="FF000000"/>
        <rFont val="游ゴシック"/>
        <charset val="134"/>
      </rPr>
      <t xml:space="preserve">ステップ1：
</t>
    </r>
    <r>
      <rPr>
        <sz val="10"/>
        <color rgb="FF000000"/>
        <rFont val="游ゴシック"/>
        <charset val="134"/>
      </rPr>
      <t xml:space="preserve">Icon sort chuyển sang ▲ (tăng dần)
</t>
    </r>
    <r>
      <rPr>
        <b/>
        <sz val="10"/>
        <color rgb="FF000000"/>
        <rFont val="游ゴシック"/>
        <charset val="134"/>
      </rPr>
      <t xml:space="preserve">ステップ2：
</t>
    </r>
    <r>
      <rPr>
        <sz val="10"/>
        <color rgb="FF000000"/>
        <rFont val="游ゴシック"/>
        <charset val="134"/>
      </rPr>
      <t xml:space="preserve">GET `/api/v1/kanri-shiten?...&amp;sort_by=todofuken_code&amp;sort_order=asc` được gửi (không phải `sort_by=todofuken_name`), không trả về HTTP 400
</t>
    </r>
    <r>
      <rPr>
        <b/>
        <sz val="10"/>
        <color rgb="FF000000"/>
        <rFont val="游ゴシック"/>
        <charset val="134"/>
      </rPr>
      <t xml:space="preserve">ステップ3：
</t>
    </r>
    <r>
      <rPr>
        <sz val="10"/>
        <color rgb="FF000000"/>
        <rFont val="游ゴシック"/>
        <charset val="134"/>
      </rPr>
      <t xml:space="preserve">GET `/api/v1/kanri-shiten?...&amp;sort_by=todofuken_code&amp;sort_order=desc` được gửi
</t>
    </r>
    <r>
      <rPr>
        <b/>
        <sz val="10"/>
        <color rgb="FF000000"/>
        <rFont val="游ゴシック"/>
        <charset val="134"/>
      </rPr>
      <t xml:space="preserve">ステップ4：
</t>
    </r>
    <r>
      <rPr>
        <sz val="10"/>
        <color rgb="FF000000"/>
        <rFont val="游ゴシック"/>
        <charset val="134"/>
      </rPr>
      <t xml:space="preserve">Hiển thị sắp xếp theo todofuken code (cột hiển thị là todofuken_name nhưng sort dựa trên todofuken_code)
</t>
    </r>
    <r>
      <rPr>
        <b/>
        <sz val="10"/>
        <color rgb="FF000000"/>
        <rFont val="游ゴシック"/>
        <charset val="134"/>
      </rPr>
      <t xml:space="preserve">補足：
</t>
    </r>
    <r>
      <rPr>
        <sz val="10"/>
        <color rgb="FF000000"/>
        <rFont val="游ゴシック"/>
        <charset val="134"/>
      </rPr>
      <t>・dataIndex của cột là `todofuken_name` (dùng để hiển thị) nhưng allow list của backend chỉ chứa `todofuken_code`, nên frontend cần mapping sort key
・Khi request bằng giá trị ngoài allow list (`todofuken_name`), VALIDATION_ERROR sẽ trả về, nên case này là regression prevention</t>
    </r>
  </si>
  <si>
    <t>Case regression prevention cho bug trước đây dataIndex (`todofuken_name`) được gửi nguyên dạng sang BE và gây VALIDATION_ERROR.</t>
  </si>
  <si>
    <t>ACSMS-TC-008-037</t>
  </si>
  <si>
    <t>Sort — hành vi khi click header cột không phải đối tượng sort</t>
  </si>
  <si>
    <r>
      <rPr>
        <b/>
        <sz val="10"/>
        <color rgb="FF000000"/>
        <rFont val="メイリオ"/>
        <charset val="134"/>
      </rPr>
      <t xml:space="preserve">ステップ1：
</t>
    </r>
    <r>
      <rPr>
        <sz val="10"/>
        <color rgb="FF000000"/>
        <rFont val="メイリオ"/>
        <charset val="134"/>
      </rPr>
      <t xml:space="preserve">Click header cột "FAX"
</t>
    </r>
    <r>
      <rPr>
        <b/>
        <sz val="10"/>
        <color rgb="FF000000"/>
        <rFont val="メイリオ"/>
        <charset val="134"/>
      </rPr>
      <t xml:space="preserve">ステップ2：
</t>
    </r>
    <r>
      <rPr>
        <sz val="10"/>
        <color rgb="FF000000"/>
        <rFont val="メイリオ"/>
        <charset val="134"/>
      </rPr>
      <t xml:space="preserve">Click header cột "住所"
</t>
    </r>
    <r>
      <rPr>
        <b/>
        <sz val="10"/>
        <color rgb="FF000000"/>
        <rFont val="メイリオ"/>
        <charset val="134"/>
      </rPr>
      <t xml:space="preserve">ステップ3：
</t>
    </r>
    <r>
      <rPr>
        <sz val="10"/>
        <color rgb="FF000000"/>
        <rFont val="メイリオ"/>
        <charset val="134"/>
      </rPr>
      <t>Kiểm tra có phát sinh API request bằng DevTools</t>
    </r>
  </si>
  <si>
    <r>
      <rPr>
        <b/>
        <sz val="10"/>
        <color rgb="FF000000"/>
        <rFont val="游ゴシック"/>
        <charset val="134"/>
      </rPr>
      <t xml:space="preserve">ステップ1：
</t>
    </r>
    <r>
      <rPr>
        <sz val="10"/>
        <color rgb="FF000000"/>
        <rFont val="游ゴシック"/>
        <charset val="134"/>
      </rPr>
      <t xml:space="preserve">Icon sort không được hiển thị, hiển thị cột không thay đổi
</t>
    </r>
    <r>
      <rPr>
        <b/>
        <sz val="10"/>
        <color rgb="FF000000"/>
        <rFont val="游ゴシック"/>
        <charset val="134"/>
      </rPr>
      <t xml:space="preserve">ステップ2：
</t>
    </r>
    <r>
      <rPr>
        <sz val="10"/>
        <color rgb="FF000000"/>
        <rFont val="游ゴシック"/>
        <charset val="134"/>
      </rPr>
      <t xml:space="preserve">Icon sort không được hiển thị
</t>
    </r>
    <r>
      <rPr>
        <b/>
        <sz val="10"/>
        <color rgb="FF000000"/>
        <rFont val="游ゴシック"/>
        <charset val="134"/>
      </rPr>
      <t xml:space="preserve">ステップ3：
</t>
    </r>
    <r>
      <rPr>
        <sz val="10"/>
        <color rgb="FF000000"/>
        <rFont val="游ゴシック"/>
        <charset val="134"/>
      </rPr>
      <t xml:space="preserve">Không phát sinh API request mới
</t>
    </r>
    <r>
      <rPr>
        <b/>
        <sz val="10"/>
        <color rgb="FF000000"/>
        <rFont val="游ゴシック"/>
        <charset val="134"/>
      </rPr>
      <t xml:space="preserve">補足：
</t>
    </r>
    <r>
      <rPr>
        <sz val="10"/>
        <color rgb="FF000000"/>
        <rFont val="游ゴシック"/>
        <charset val="134"/>
      </rPr>
      <t>・Cột đối tượng sort định nghĩa tại 8.1 của tài liệu thiết kế chỉ có "管理支店コード" "管理支店名" "都道府県"
・FAX / 住所 / 郵便番号 / 電話番号 / 紙版 / 電子版 / 操作 không sort được</t>
    </r>
  </si>
  <si>
    <t>ACSMS-TC-008-038</t>
  </si>
  <si>
    <t>Sort — backend từ chối sort_by ngoài allow list</t>
  </si>
  <si>
    <r>
      <rPr>
        <b/>
        <sz val="10"/>
        <color rgb="FF000000"/>
        <rFont val="游ゴシック"/>
        <charset val="134"/>
      </rPr>
      <t xml:space="preserve">ステップ1：
</t>
    </r>
    <r>
      <rPr>
        <sz val="10"/>
        <color rgb="FF000000"/>
        <rFont val="游ゴシック"/>
        <charset val="134"/>
      </rPr>
      <t xml:space="preserve">Dùng DevTools gửi trực tiếp GET `/api/v1/kanri-shiten?sort_by=fax&amp;sort_order=asc`
</t>
    </r>
    <r>
      <rPr>
        <b/>
        <sz val="10"/>
        <color rgb="FF000000"/>
        <rFont val="游ゴシック"/>
        <charset val="134"/>
      </rPr>
      <t xml:space="preserve">ステップ2：
</t>
    </r>
    <r>
      <rPr>
        <sz val="10"/>
        <color rgb="FF000000"/>
        <rFont val="游ゴシック"/>
        <charset val="134"/>
      </rPr>
      <t>Gửi trực tiếp GET `/api/v1/kanri-shiten?sort_by=address;%20DROP%20TABLE&amp;sort_order=asc`</t>
    </r>
  </si>
  <si>
    <r>
      <rPr>
        <b/>
        <sz val="10"/>
        <color rgb="FF000000"/>
        <rFont val="メイリオ"/>
        <charset val="134"/>
      </rPr>
      <t xml:space="preserve">ステップ1：
</t>
    </r>
    <r>
      <rPr>
        <sz val="10"/>
        <color rgb="FF000000"/>
        <rFont val="メイリオ"/>
        <charset val="134"/>
      </rPr>
      <t xml:space="preserve">Trả về HTTP 400 (`error_code: VALIDATION_ERROR`, message `sort_byは kanri_shiten_code / kanri_shiten_name / todofuken_code / updated_at のいずれかで指定してください。`)
</t>
    </r>
    <r>
      <rPr>
        <b/>
        <sz val="10"/>
        <color rgb="FF000000"/>
        <rFont val="メイリオ"/>
        <charset val="134"/>
      </rPr>
      <t xml:space="preserve">ステップ2：
</t>
    </r>
    <r>
      <rPr>
        <sz val="10"/>
        <color rgb="FF000000"/>
        <rFont val="メイリオ"/>
        <charset val="134"/>
      </rPr>
      <t xml:space="preserve">Trả về HTTP 400 (cùng message)
</t>
    </r>
    <r>
      <rPr>
        <b/>
        <sz val="10"/>
        <color rgb="FF000000"/>
        <rFont val="メイリオ"/>
        <charset val="134"/>
      </rPr>
      <t xml:space="preserve">補足：
</t>
    </r>
    <r>
      <rPr>
        <sz val="10"/>
        <color rgb="FF000000"/>
        <rFont val="メイリオ"/>
        <charset val="134"/>
      </rPr>
      <t xml:space="preserve">・Bằng phương thức allow list, SQL injection của `ORDER BY ${sort_by}` được ngăn chặn
</t>
    </r>
    <r>
      <rPr>
        <sz val="10"/>
        <color rgb="FF000000"/>
        <rFont val="メイリオ"/>
        <charset val="134"/>
      </rPr>
      <t>・Giá trị cho phép là 4 giá trị `kanri_shiten_code` / `kanri_shiten_name` / `todofuken_code` / `updated_at`</t>
    </r>
  </si>
  <si>
    <t>ACSMS-TC-008-039</t>
  </si>
  <si>
    <t>Hướng sort — từ chối giá trị sort_order không hợp lệ</t>
  </si>
  <si>
    <r>
      <rPr>
        <b/>
        <sz val="10"/>
        <color rgb="FF000000"/>
        <rFont val="メイリオ"/>
        <charset val="134"/>
      </rPr>
      <t xml:space="preserve">ステップ1：
</t>
    </r>
    <r>
      <rPr>
        <sz val="10"/>
        <color rgb="FF000000"/>
        <rFont val="メイリオ"/>
        <charset val="134"/>
      </rPr>
      <t xml:space="preserve">Dùng DevTools gửi GET `/api/v1/kanri-shiten?sort_by=kanri_shiten_code&amp;sort_order=ascending`
</t>
    </r>
    <r>
      <rPr>
        <b/>
        <sz val="10"/>
        <color rgb="FF000000"/>
        <rFont val="メイリオ"/>
        <charset val="134"/>
      </rPr>
      <t xml:space="preserve">ステップ2：
</t>
    </r>
    <r>
      <rPr>
        <sz val="10"/>
        <color rgb="FF000000"/>
        <rFont val="メイリオ"/>
        <charset val="134"/>
      </rPr>
      <t>Gửi GET `/api/v1/kanri-shiten?sort_by=kanri_shiten_code&amp;sort_order=random`</t>
    </r>
  </si>
  <si>
    <r>
      <rPr>
        <b/>
        <sz val="10"/>
        <color rgb="FF000000"/>
        <rFont val="メイリオ"/>
        <charset val="134"/>
      </rPr>
      <t xml:space="preserve">ステップ1：
</t>
    </r>
    <r>
      <rPr>
        <sz val="10"/>
        <color rgb="FF000000"/>
        <rFont val="メイリオ"/>
        <charset val="134"/>
      </rPr>
      <t xml:space="preserve">Trả về HTTP 400 (`error_code: VALIDATION_ERROR`, message `sort_orderは asc または desc で指定してください。`)
</t>
    </r>
    <r>
      <rPr>
        <b/>
        <sz val="10"/>
        <color rgb="FF000000"/>
        <rFont val="メイリオ"/>
        <charset val="134"/>
      </rPr>
      <t xml:space="preserve">ステップ2：
</t>
    </r>
    <r>
      <rPr>
        <sz val="10"/>
        <color rgb="FF000000"/>
        <rFont val="メイリオ"/>
        <charset val="134"/>
      </rPr>
      <t xml:space="preserve">Trả về HTTP 400 (cùng message)
</t>
    </r>
    <r>
      <rPr>
        <b/>
        <sz val="10"/>
        <color rgb="FF000000"/>
        <rFont val="メイリオ"/>
        <charset val="134"/>
      </rPr>
      <t xml:space="preserve">補足：
</t>
    </r>
    <r>
      <rPr>
        <sz val="10"/>
        <color rgb="FF000000"/>
        <rFont val="メイリオ"/>
        <charset val="134"/>
      </rPr>
      <t>・Giá trị cho phép chỉ là `asc` / `desc`</t>
    </r>
  </si>
  <si>
    <t>ACSMS-TC-008-040</t>
  </si>
  <si>
    <t>Pagination — chuyển trang</t>
  </si>
  <si>
    <t>・role: NICHINO_ADMIN
・Đã đăng ký 124 record chi nhánh quản lý</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</si>
  <si>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Click button "2" của pagination
</t>
    </r>
    <r>
      <rPr>
        <b/>
        <sz val="10"/>
        <color rgb="FF000000"/>
        <rFont val="メイリオ"/>
        <charset val="134"/>
      </rPr>
      <t xml:space="preserve">ステップ3：
</t>
    </r>
    <r>
      <rPr>
        <sz val="10"/>
        <color rgb="FF000000"/>
        <rFont val="メイリオ"/>
        <charset val="134"/>
      </rPr>
      <t xml:space="preserve">Kiểm tra API request bằng DevTools
</t>
    </r>
    <r>
      <rPr>
        <b/>
        <sz val="10"/>
        <color rgb="FF000000"/>
        <rFont val="メイリオ"/>
        <charset val="134"/>
      </rPr>
      <t xml:space="preserve">ステップ4：
</t>
    </r>
    <r>
      <rPr>
        <sz val="10"/>
        <color rgb="FF000000"/>
        <rFont val="メイリオ"/>
        <charset val="134"/>
      </rPr>
      <t>Click button "次へ (&gt;)"</t>
    </r>
  </si>
  <si>
    <r>
      <rPr>
        <b/>
        <sz val="10"/>
        <color rgb="FF000000"/>
        <rFont val="メイリオ"/>
        <charset val="134"/>
      </rPr>
      <t xml:space="preserve">ステップ1：
</t>
    </r>
    <r>
      <rPr>
        <sz val="10"/>
        <color rgb="FF000000"/>
        <rFont val="メイリオ"/>
        <charset val="134"/>
      </rPr>
      <t xml:space="preserve">Trang 1 (record 1-20) được hiển thị, pagination hiển thị "全 124 件"
</t>
    </r>
    <r>
      <rPr>
        <b/>
        <sz val="10"/>
        <color rgb="FF000000"/>
        <rFont val="メイリオ"/>
        <charset val="134"/>
      </rPr>
      <t xml:space="preserve">ステップ2：
</t>
    </r>
    <r>
      <rPr>
        <sz val="10"/>
        <color rgb="FF000000"/>
        <rFont val="メイリオ"/>
        <charset val="134"/>
      </rPr>
      <t xml:space="preserve">Trang 2 (record 21-40) được hiển thị, active của pagination chuyển sang "2"
</t>
    </r>
    <r>
      <rPr>
        <b/>
        <sz val="10"/>
        <color rgb="FF000000"/>
        <rFont val="メイリオ"/>
        <charset val="134"/>
      </rPr>
      <t xml:space="preserve">ステップ3：
</t>
    </r>
    <r>
      <rPr>
        <sz val="10"/>
        <color rgb="FF000000"/>
        <rFont val="メイリオ"/>
        <charset val="134"/>
      </rPr>
      <t xml:space="preserve">GET `/api/v1/kanri-shiten?...&amp;page=2&amp;per_page=20&amp;...` được gửi
</t>
    </r>
    <r>
      <rPr>
        <b/>
        <sz val="10"/>
        <color rgb="FF000000"/>
        <rFont val="メイリオ"/>
        <charset val="134"/>
      </rPr>
      <t xml:space="preserve">ステップ4：
</t>
    </r>
    <r>
      <rPr>
        <sz val="10"/>
        <color rgb="FF000000"/>
        <rFont val="メイリオ"/>
        <charset val="134"/>
      </rPr>
      <t xml:space="preserve">Trang 3 (record 41-60) được hiển thị
</t>
    </r>
    <r>
      <rPr>
        <b/>
        <sz val="10"/>
        <color rgb="FF000000"/>
        <rFont val="メイリオ"/>
        <charset val="134"/>
      </rPr>
      <t xml:space="preserve">補足：
</t>
    </r>
    <r>
      <rPr>
        <sz val="10"/>
        <color rgb="FF000000"/>
        <rFont val="メイリオ"/>
        <charset val="134"/>
      </rPr>
      <t>・Khi chuyển số trang, điều kiện search / điều kiện sort được giữ lại</t>
    </r>
  </si>
  <si>
    <t>ACSMS-TC-008-041</t>
  </si>
  <si>
    <t>Pagination — chuyển số record hiển thị mỗi trang</t>
  </si>
  <si>
    <r>
      <rPr>
        <b/>
        <sz val="10"/>
        <color rgb="FF000000"/>
        <rFont val="メイリオ"/>
        <charset val="134"/>
      </rPr>
      <t xml:space="preserve">ステップ1：
</t>
    </r>
    <r>
      <rPr>
        <sz val="10"/>
        <color rgb="FF000000"/>
        <rFont val="メイリオ"/>
        <charset val="134"/>
      </rPr>
      <t xml:space="preserve">Mở dropdown bên cạnh pagination
</t>
    </r>
    <r>
      <rPr>
        <b/>
        <sz val="10"/>
        <color rgb="FF000000"/>
        <rFont val="メイリオ"/>
        <charset val="134"/>
      </rPr>
      <t xml:space="preserve">ステップ2：
</t>
    </r>
    <r>
      <rPr>
        <sz val="10"/>
        <color rgb="FF000000"/>
        <rFont val="メイリオ"/>
        <charset val="134"/>
      </rPr>
      <t xml:space="preserve">Kiểm tra lựa chọn
</t>
    </r>
    <r>
      <rPr>
        <b/>
        <sz val="10"/>
        <color rgb="FF000000"/>
        <rFont val="メイリオ"/>
        <charset val="134"/>
      </rPr>
      <t xml:space="preserve">ステップ3：
</t>
    </r>
    <r>
      <rPr>
        <sz val="10"/>
        <color rgb="FF000000"/>
        <rFont val="メイリオ"/>
        <charset val="134"/>
      </rPr>
      <t xml:space="preserve">Chọn "50 / 頁"
</t>
    </r>
    <r>
      <rPr>
        <b/>
        <sz val="10"/>
        <color rgb="FF000000"/>
        <rFont val="メイリオ"/>
        <charset val="134"/>
      </rPr>
      <t xml:space="preserve">ステップ4：
</t>
    </r>
    <r>
      <rPr>
        <sz val="10"/>
        <color rgb="FF000000"/>
        <rFont val="メイリオ"/>
        <charset val="134"/>
      </rPr>
      <t>Chọn "100 / 頁"</t>
    </r>
  </si>
  <si>
    <r>
      <rPr>
        <b/>
        <sz val="10"/>
        <color rgb="FF000000"/>
        <rFont val="メイリオ"/>
        <charset val="134"/>
      </rPr>
      <t xml:space="preserve">ステップ1：
</t>
    </r>
    <r>
      <rPr>
        <sz val="10"/>
        <color rgb="FF000000"/>
        <rFont val="メイリオ"/>
        <charset val="134"/>
      </rPr>
      <t xml:space="preserve">Dropdown được mở
</t>
    </r>
    <r>
      <rPr>
        <b/>
        <sz val="10"/>
        <color rgb="FF000000"/>
        <rFont val="メイリオ"/>
        <charset val="134"/>
      </rPr>
      <t xml:space="preserve">ステップ2：
</t>
    </r>
    <r>
      <rPr>
        <sz val="10"/>
        <color rgb="FF000000"/>
        <rFont val="メイリオ"/>
        <charset val="134"/>
      </rPr>
      <t xml:space="preserve">4 lựa chọn "10 / 頁" "20 / 頁" "50 / 頁" "100 / 頁" được hiển thị, lựa chọn khởi tạo là "20 / 頁"
</t>
    </r>
    <r>
      <rPr>
        <b/>
        <sz val="10"/>
        <color rgb="FF000000"/>
        <rFont val="メイリオ"/>
        <charset val="134"/>
      </rPr>
      <t xml:space="preserve">ステップ3：
</t>
    </r>
    <r>
      <rPr>
        <sz val="10"/>
        <color rgb="FF000000"/>
        <rFont val="メイリオ"/>
        <charset val="134"/>
      </rPr>
      <t xml:space="preserve">GET `/api/v1/kanri-shiten?...&amp;per_page=50&amp;...` được gửi, hiển thị đến 50 record trong list, tổng số trang được tính lại
</t>
    </r>
    <r>
      <rPr>
        <b/>
        <sz val="10"/>
        <color rgb="FF000000"/>
        <rFont val="メイリオ"/>
        <charset val="134"/>
      </rPr>
      <t xml:space="preserve">ステップ4：
</t>
    </r>
    <r>
      <rPr>
        <sz val="10"/>
        <color rgb="FF000000"/>
        <rFont val="メイリオ"/>
        <charset val="134"/>
      </rPr>
      <t xml:space="preserve">GET `/api/v1/kanri-shiten?...&amp;per_page=100&amp;...` được gửi, hiển thị đến 100 record trong list
</t>
    </r>
    <r>
      <rPr>
        <b/>
        <sz val="10"/>
        <color rgb="FF000000"/>
        <rFont val="メイリオ"/>
        <charset val="134"/>
      </rPr>
      <t xml:space="preserve">補足：
</t>
    </r>
    <r>
      <rPr>
        <sz val="10"/>
        <color rgb="FF000000"/>
        <rFont val="メイリオ"/>
        <charset val="134"/>
      </rPr>
      <t>・Giới hạn trên của per_page là 100 record (ràng buộc DTO)</t>
    </r>
  </si>
  <si>
    <t>ACSMS-TC-008-042</t>
  </si>
  <si>
    <t>Pagination — từ chối per_page vượt giới hạn trên</t>
  </si>
  <si>
    <r>
      <rPr>
        <b/>
        <sz val="10"/>
        <color rgb="FF000000"/>
        <rFont val="游ゴシック"/>
        <charset val="134"/>
      </rPr>
      <t xml:space="preserve">ステップ1：
</t>
    </r>
    <r>
      <rPr>
        <sz val="10"/>
        <color rgb="FF000000"/>
        <rFont val="游ゴシック"/>
        <charset val="134"/>
      </rPr>
      <t xml:space="preserve">Dùng DevTools gửi GET `/api/v1/kanri-shiten?page=1&amp;per_page=101`
</t>
    </r>
    <r>
      <rPr>
        <b/>
        <sz val="10"/>
        <color rgb="FF000000"/>
        <rFont val="游ゴシック"/>
        <charset val="134"/>
      </rPr>
      <t xml:space="preserve">ステップ2：
</t>
    </r>
    <r>
      <rPr>
        <sz val="10"/>
        <color rgb="FF000000"/>
        <rFont val="游ゴシック"/>
        <charset val="134"/>
      </rPr>
      <t>Dùng DevTools gửi GET `/api/v1/kanri-shiten?page=1&amp;per_page=0`</t>
    </r>
  </si>
  <si>
    <r>
      <rPr>
        <b/>
        <sz val="10"/>
        <color rgb="FF000000"/>
        <rFont val="メイリオ"/>
        <charset val="134"/>
      </rPr>
      <t xml:space="preserve">ステップ1：
</t>
    </r>
    <r>
      <rPr>
        <sz val="10"/>
        <color rgb="FF000000"/>
        <rFont val="メイリオ"/>
        <charset val="134"/>
      </rPr>
      <t xml:space="preserve">Trả về HTTP 400 (`error_code: VALIDATION_ERROR`, message `per_pageは100以下で指定してください。`)
</t>
    </r>
    <r>
      <rPr>
        <b/>
        <sz val="10"/>
        <color rgb="FF000000"/>
        <rFont val="メイリオ"/>
        <charset val="134"/>
      </rPr>
      <t xml:space="preserve">ステップ2：
</t>
    </r>
    <r>
      <rPr>
        <sz val="10"/>
        <color rgb="FF000000"/>
        <rFont val="メイリオ"/>
        <charset val="134"/>
      </rPr>
      <t xml:space="preserve">Trả về HTTP 400 (message `per_pageは1以上で指定してください。`)
</t>
    </r>
    <r>
      <rPr>
        <b/>
        <sz val="10"/>
        <color rgb="FF000000"/>
        <rFont val="メイリオ"/>
        <charset val="134"/>
      </rPr>
      <t xml:space="preserve">補足：
</t>
    </r>
    <r>
      <rPr>
        <sz val="10"/>
        <color rgb="FF000000"/>
        <rFont val="メイリオ"/>
        <charset val="134"/>
      </rPr>
      <t>・per_page là số nguyên từ 1 đến 100</t>
    </r>
  </si>
  <si>
    <t>ACSMS-TC-008-043</t>
  </si>
  <si>
    <t>Pagination — từ chối page ≤ 0</t>
  </si>
  <si>
    <r>
      <rPr>
        <b/>
        <sz val="10"/>
        <color rgb="FF000000"/>
        <rFont val="メイリオ"/>
        <charset val="134"/>
      </rPr>
      <t xml:space="preserve">ステップ1：
</t>
    </r>
    <r>
      <rPr>
        <sz val="10"/>
        <color rgb="FF000000"/>
        <rFont val="メイリオ"/>
        <charset val="134"/>
      </rPr>
      <t xml:space="preserve">Dùng DevTools gửi GET `/api/v1/kanri-shiten?page=0&amp;per_page=20`
</t>
    </r>
    <r>
      <rPr>
        <b/>
        <sz val="10"/>
        <color rgb="FF000000"/>
        <rFont val="メイリオ"/>
        <charset val="134"/>
      </rPr>
      <t xml:space="preserve">ステップ2：
</t>
    </r>
    <r>
      <rPr>
        <sz val="10"/>
        <color rgb="FF000000"/>
        <rFont val="メイリオ"/>
        <charset val="134"/>
      </rPr>
      <t>Dùng DevTools gửi GET `/api/v1/kanri-shiten?page=-1&amp;per_page=20`</t>
    </r>
  </si>
  <si>
    <r>
      <rPr>
        <b/>
        <sz val="10"/>
        <color rgb="FF000000"/>
        <rFont val="メイリオ"/>
        <charset val="134"/>
      </rPr>
      <t xml:space="preserve">ステップ1：
</t>
    </r>
    <r>
      <rPr>
        <sz val="10"/>
        <color rgb="FF000000"/>
        <rFont val="メイリオ"/>
        <charset val="134"/>
      </rPr>
      <t xml:space="preserve">Trả về HTTP 400 (`error_code: VALIDATION_ERROR`, message `pageは1以上で指定してください。`)
</t>
    </r>
    <r>
      <rPr>
        <b/>
        <sz val="10"/>
        <color rgb="FF000000"/>
        <rFont val="メイリオ"/>
        <charset val="134"/>
      </rPr>
      <t xml:space="preserve">ステップ2：
</t>
    </r>
    <r>
      <rPr>
        <sz val="10"/>
        <color rgb="FF000000"/>
        <rFont val="メイリオ"/>
        <charset val="134"/>
      </rPr>
      <t xml:space="preserve">Trả về HTTP 400 (cùng message)
</t>
    </r>
    <r>
      <rPr>
        <b/>
        <sz val="10"/>
        <color rgb="FF000000"/>
        <rFont val="メイリオ"/>
        <charset val="134"/>
      </rPr>
      <t xml:space="preserve">補足：
</t>
    </r>
    <r>
      <rPr>
        <sz val="10"/>
        <color rgb="FF000000"/>
        <rFont val="メイリオ"/>
        <charset val="134"/>
      </rPr>
      <t>・page là số nguyên ≥ 1</t>
    </r>
  </si>
  <si>
    <t>ACSMS-TC-008-044</t>
  </si>
  <si>
    <t>Giữ điều kiện search / sort khi chuyển trang</t>
  </si>
  <si>
    <t>・role: NICHINO_ADMIN
・Đã đăng ký ≥50 record chi nhánh quản lý</t>
  </si>
  <si>
    <r>
      <rPr>
        <b/>
        <sz val="10"/>
        <color rgb="FF000000"/>
        <rFont val="游ゴシック"/>
        <charset val="134"/>
      </rPr>
      <t xml:space="preserve">ステップ1：
</t>
    </r>
    <r>
      <rPr>
        <sz val="10"/>
        <color rgb="FF000000"/>
        <rFont val="游ゴシック"/>
        <charset val="134"/>
      </rPr>
      <t xml:space="preserve">Nhập `北海道` vào 管理支店名, click "検索"
</t>
    </r>
    <r>
      <rPr>
        <b/>
        <sz val="10"/>
        <color rgb="FF000000"/>
        <rFont val="游ゴシック"/>
        <charset val="134"/>
      </rPr>
      <t xml:space="preserve">ステップ2：
</t>
    </r>
    <r>
      <rPr>
        <sz val="10"/>
        <color rgb="FF000000"/>
        <rFont val="游ゴシック"/>
        <charset val="134"/>
      </rPr>
      <t xml:space="preserve">Click cột "管理支店コード" sort tăng dần
</t>
    </r>
    <r>
      <rPr>
        <b/>
        <sz val="10"/>
        <color rgb="FF000000"/>
        <rFont val="游ゴシック"/>
        <charset val="134"/>
      </rPr>
      <t xml:space="preserve">ステップ3：
</t>
    </r>
    <r>
      <rPr>
        <sz val="10"/>
        <color rgb="FF000000"/>
        <rFont val="游ゴシック"/>
        <charset val="134"/>
      </rPr>
      <t xml:space="preserve">Click button "2" của pagination
</t>
    </r>
    <r>
      <rPr>
        <b/>
        <sz val="10"/>
        <color rgb="FF000000"/>
        <rFont val="游ゴシック"/>
        <charset val="134"/>
      </rPr>
      <t xml:space="preserve">ステップ4：
</t>
    </r>
    <r>
      <rPr>
        <sz val="10"/>
        <color rgb="FF000000"/>
        <rFont val="游ゴシック"/>
        <charset val="134"/>
      </rPr>
      <t>Kiểm tra API request bằng DevTools</t>
    </r>
  </si>
  <si>
    <r>
      <rPr>
        <b/>
        <sz val="10"/>
        <color rgb="FF000000"/>
        <rFont val="メイリオ"/>
        <charset val="134"/>
      </rPr>
      <t xml:space="preserve">ステップ1：
</t>
    </r>
    <r>
      <rPr>
        <sz val="10"/>
        <color rgb="FF000000"/>
        <rFont val="メイリオ"/>
        <charset val="134"/>
      </rPr>
      <t xml:space="preserve">Kết quả đã thu hẹp được hiển thị ở trang 1
</t>
    </r>
    <r>
      <rPr>
        <b/>
        <sz val="10"/>
        <color rgb="FF000000"/>
        <rFont val="メイリオ"/>
        <charset val="134"/>
      </rPr>
      <t xml:space="preserve">ステップ2：
</t>
    </r>
    <r>
      <rPr>
        <sz val="10"/>
        <color rgb="FF000000"/>
        <rFont val="メイリオ"/>
        <charset val="134"/>
      </rPr>
      <t xml:space="preserve">Hiển thị sắp xếp theo 管理支店コード tăng dần
</t>
    </r>
    <r>
      <rPr>
        <b/>
        <sz val="10"/>
        <color rgb="FF000000"/>
        <rFont val="メイリオ"/>
        <charset val="134"/>
      </rPr>
      <t xml:space="preserve">ステップ3：
</t>
    </r>
    <r>
      <rPr>
        <sz val="10"/>
        <color rgb="FF000000"/>
        <rFont val="メイリオ"/>
        <charset val="134"/>
      </rPr>
      <t xml:space="preserve">Chuyển sang trang 2
</t>
    </r>
    <r>
      <rPr>
        <b/>
        <sz val="10"/>
        <color rgb="FF000000"/>
        <rFont val="メイリオ"/>
        <charset val="134"/>
      </rPr>
      <t xml:space="preserve">ステップ4：
</t>
    </r>
    <r>
      <rPr>
        <sz val="10"/>
        <color rgb="FF000000"/>
        <rFont val="メイリオ"/>
        <charset val="134"/>
      </rPr>
      <t xml:space="preserve">GET `/api/v1/kanri-shiten?kanri_shiten_name=北海道&amp;page=2&amp;per_page=20&amp;sort_by=kanri_shiten_code&amp;sort_order=asc` được gửi
</t>
    </r>
    <r>
      <rPr>
        <b/>
        <sz val="10"/>
        <color rgb="FF000000"/>
        <rFont val="メイリオ"/>
        <charset val="134"/>
      </rPr>
      <t xml:space="preserve">補足：
</t>
    </r>
    <r>
      <rPr>
        <sz val="10"/>
        <color rgb="FF000000"/>
        <rFont val="メイリオ"/>
        <charset val="134"/>
      </rPr>
      <t xml:space="preserve">・Điều kiện search được giữ lại
</t>
    </r>
    <r>
      <rPr>
        <sz val="10"/>
        <color rgb="FF000000"/>
        <rFont val="メイリオ"/>
        <charset val="134"/>
      </rPr>
      <t>・Điều kiện sort được giữ lại</t>
    </r>
  </si>
  <si>
    <t>ACSMS-TC-008-045</t>
  </si>
  <si>
    <t>Không hiển thị chi nhánh quản lý đã xóa</t>
  </si>
  <si>
    <t>・role: NICHINO_ADMIN
・Có ≥1 chi nhánh quản lý đã xóa logical (`deleted_at IS NOT NULL`)</t>
  </si>
  <si>
    <r>
      <rPr>
        <b/>
        <sz val="10"/>
        <color rgb="FF000000"/>
        <rFont val="游ゴシック"/>
        <charset val="134"/>
      </rPr>
      <t xml:space="preserve">ステップ1：
</t>
    </r>
    <r>
      <rPr>
        <sz val="10"/>
        <color rgb="FF000000"/>
        <rFont val="游ゴシック"/>
        <charset val="134"/>
      </rPr>
      <t xml:space="preserve">Mở `/kanri-shiten`
</t>
    </r>
    <r>
      <rPr>
        <b/>
        <sz val="10"/>
        <color rgb="FF000000"/>
        <rFont val="游ゴシック"/>
        <charset val="134"/>
      </rPr>
      <t xml:space="preserve">ステップ2：
</t>
    </r>
    <r>
      <rPr>
        <sz val="10"/>
        <color rgb="FF000000"/>
        <rFont val="游ゴシック"/>
        <charset val="134"/>
      </rPr>
      <t xml:space="preserve">Search bằng code của chi nhánh quản lý đã xóa
</t>
    </r>
    <r>
      <rPr>
        <b/>
        <sz val="10"/>
        <color rgb="FF000000"/>
        <rFont val="游ゴシック"/>
        <charset val="134"/>
      </rPr>
      <t xml:space="preserve">ステップ3：
</t>
    </r>
    <r>
      <rPr>
        <sz val="10"/>
        <color rgb="FF000000"/>
        <rFont val="游ゴシック"/>
        <charset val="134"/>
      </rPr>
      <t>Kiểm tra DB: `SELECT kanri_shiten_id, kanri_shiten_code, deleted_at FROM m_kanri_shiten WHERE deleted_at IS NOT NULL`</t>
    </r>
  </si>
  <si>
    <r>
      <rPr>
        <b/>
        <sz val="10"/>
        <color rgb="FF000000"/>
        <rFont val="游ゴシック"/>
        <charset val="134"/>
      </rPr>
      <t xml:space="preserve">ステップ1：
</t>
    </r>
    <r>
      <rPr>
        <sz val="10"/>
        <color rgb="FF000000"/>
        <rFont val="游ゴシック"/>
        <charset val="134"/>
      </rPr>
      <t xml:space="preserve">Data đã xóa không được hiển thị trong list
</t>
    </r>
    <r>
      <rPr>
        <b/>
        <sz val="10"/>
        <color rgb="FF000000"/>
        <rFont val="游ゴシック"/>
        <charset val="134"/>
      </rPr>
      <t xml:space="preserve">ステップ2：
</t>
    </r>
    <r>
      <rPr>
        <sz val="10"/>
        <color rgb="FF000000"/>
        <rFont val="游ゴシック"/>
        <charset val="134"/>
      </rPr>
      <t xml:space="preserve">Dù nhập code của chi nhánh quản lý đã xóa, kết quả search cũng hiển thị 0 record (`検索結果が見つかりませんでした。`)
</t>
    </r>
    <r>
      <rPr>
        <b/>
        <sz val="10"/>
        <color rgb="FF000000"/>
        <rFont val="游ゴシック"/>
        <charset val="134"/>
      </rPr>
      <t xml:space="preserve">ステップ3：
</t>
    </r>
    <r>
      <rPr>
        <sz val="10"/>
        <color rgb="FF000000"/>
        <rFont val="游ゴシック"/>
        <charset val="134"/>
      </rPr>
      <t xml:space="preserve">Record đã xóa vẫn còn trong DB (xóa logical chứ không phải xóa vật lý)
</t>
    </r>
    <r>
      <rPr>
        <b/>
        <sz val="10"/>
        <color rgb="FF000000"/>
        <rFont val="游ゴシック"/>
        <charset val="134"/>
      </rPr>
      <t xml:space="preserve">補足：
</t>
    </r>
    <r>
      <rPr>
        <sz val="10"/>
        <color rgb="FF000000"/>
        <rFont val="游ゴシック"/>
        <charset val="134"/>
      </rPr>
      <t>・Data đã xóa không được hiển thị
・SQL của BE áp dụng điều kiện `WHERE deleted_at IS NULL`</t>
    </r>
  </si>
  <si>
    <t>ACSMS-TC-008-046</t>
  </si>
  <si>
    <t>Performance hiển thị data số lượng lớn</t>
  </si>
  <si>
    <t>・role: NICHINO_ADMIN
・Đã đăng ký ≥5000 record chi nhánh quản lý</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</si>
  <si>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Đo thời gian response GET `/api/v1/kanri-shiten` bằng tab Network của DevTools
</t>
    </r>
    <r>
      <rPr>
        <b/>
        <sz val="10"/>
        <color rgb="FF000000"/>
        <rFont val="メイリオ"/>
        <charset val="134"/>
      </rPr>
      <t xml:space="preserve">ステップ3：
</t>
    </r>
    <r>
      <rPr>
        <sz val="10"/>
        <color rgb="FF000000"/>
        <rFont val="メイリオ"/>
        <charset val="134"/>
      </rPr>
      <t>Chuyển sang trang cuối bằng pagination</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</si>
  <si>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Response dưới 3 giây, `meta.total: 5000` trở lên
</t>
    </r>
    <r>
      <rPr>
        <b/>
        <sz val="10"/>
        <color rgb="FF000000"/>
        <rFont val="メイリオ"/>
        <charset val="134"/>
      </rPr>
      <t xml:space="preserve">ステップ3：
</t>
    </r>
    <r>
      <rPr>
        <sz val="10"/>
        <color rgb="FF000000"/>
        <rFont val="メイリオ"/>
        <charset val="134"/>
      </rPr>
      <t xml:space="preserve">Trang cuối được hiển thị dưới 3 giây
</t>
    </r>
    <r>
      <rPr>
        <b/>
        <sz val="10"/>
        <color rgb="FF000000"/>
        <rFont val="メイリオ"/>
        <charset val="134"/>
      </rPr>
      <t xml:space="preserve">補足：
</t>
    </r>
    <r>
      <rPr>
        <sz val="10"/>
        <color rgb="FF000000"/>
        <rFont val="メイリオ"/>
        <charset val="134"/>
      </rPr>
      <t xml:space="preserve">・Không bị timeout
</t>
    </r>
    <r>
      <rPr>
        <sz val="10"/>
        <color rgb="FF000000"/>
        <rFont val="メイリオ"/>
        <charset val="134"/>
      </rPr>
      <t>・Đảm bảo tính toàn vẹn dữ liệu</t>
    </r>
  </si>
  <si>
    <t>Logic nghiệp vụ (Function — List / Delete)</t>
  </si>
  <si>
    <t>ACSMS-TC-008-047</t>
  </si>
  <si>
    <t>Lấy list — Normal</t>
  </si>
  <si>
    <t>・role: NICHINO_ADMIN
・Đã đăng ký 3 record chi nhánh quản lý (Hokkaido, Tokyo, Osaka)</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</si>
  <si>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Kiểm tra response JSON của `/api/v1/kanri-shiten` bằng tab Network của DevTools
</t>
    </r>
    <r>
      <rPr>
        <b/>
        <sz val="10"/>
        <color rgb="FF000000"/>
        <rFont val="メイリオ"/>
        <charset val="134"/>
      </rPr>
      <t xml:space="preserve">ステップ3：
</t>
    </r>
    <r>
      <rPr>
        <sz val="10"/>
        <color rgb="FF000000"/>
        <rFont val="メイリオ"/>
        <charset val="134"/>
      </rPr>
      <t>Đối chiếu từng item của response JSON với hiển thị màn hình</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</si>
  <si>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Trả về HTTP 200, response body có format `{ data: [...], meta: { total, page, per_page, total_pages } }`
</t>
    </r>
    <r>
      <rPr>
        <b/>
        <sz val="10"/>
        <color rgb="FF000000"/>
        <rFont val="メイリオ"/>
        <charset val="134"/>
      </rPr>
      <t xml:space="preserve">ステップ3：
</t>
    </r>
    <r>
      <rPr>
        <sz val="10"/>
        <color rgb="FF000000"/>
        <rFont val="メイリオ"/>
        <charset val="134"/>
      </rPr>
      <t xml:space="preserve">Mỗi record chứa `kanri_shiten_id` / `ja_id` / `kanri_shiten_code` / `kanri_shiten_name` / `yubin_no` / `todofuken_code` / `todofuken_name` / `address` / `tel` / `fax` / `paper_flg` / `denshi_flg`; `todofuken_name` là giá trị được lấy bằng JOIN từ bảng `m_todofuken`
</t>
    </r>
    <r>
      <rPr>
        <b/>
        <sz val="10"/>
        <color rgb="FF000000"/>
        <rFont val="メイリオ"/>
        <charset val="134"/>
      </rPr>
      <t xml:space="preserve">補足：
</t>
    </r>
    <r>
      <rPr>
        <sz val="10"/>
        <color rgb="FF000000"/>
        <rFont val="メイリオ"/>
        <charset val="134"/>
      </rPr>
      <t xml:space="preserve">・Đảm bảo tính toàn vẹn dữ liệu
</t>
    </r>
    <r>
      <rPr>
        <sz val="10"/>
        <color rgb="FF000000"/>
        <rFont val="メイリオ"/>
        <charset val="134"/>
      </rPr>
      <t>・Output normal log</t>
    </r>
  </si>
  <si>
    <t>ACSMS-TC-008-048</t>
  </si>
  <si>
    <t>Click button 新規登録 — Chuyển sang màn đăng ký</t>
  </si>
  <si>
    <t>・role: NICHINO_ADMIN
・Có quyền `kanri_shiten.create`</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</si>
  <si>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Click button "新規登録"</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</si>
  <si>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Chuyển sang màn đăng ký Master Chi nhánh Quản lý (`/kanri-shiten/create`), form hiển thị với giá trị khởi tạo rỗng
</t>
    </r>
    <r>
      <rPr>
        <b/>
        <sz val="10"/>
        <color rgb="FF000000"/>
        <rFont val="メイリオ"/>
        <charset val="134"/>
      </rPr>
      <t xml:space="preserve">補足：
</t>
    </r>
    <r>
      <rPr>
        <sz val="10"/>
        <color rgb="FF000000"/>
        <rFont val="メイリオ"/>
        <charset val="134"/>
      </rPr>
      <t>・Màn chuyển đến là ACSMS-SCR-009 (Màn đăng ký Master Chi nhánh Quản lý)</t>
    </r>
  </si>
  <si>
    <t>ACSMS-TC-008-049</t>
  </si>
  <si>
    <t>Click link 管理支店コード — Chuyển sang màn edit</t>
  </si>
  <si>
    <t>・role: NICHINO_ADMIN
・Đã đăng ký 管理支店コード `013-3300-001` (kanri_shiten_id = 1)
・Có quyền `kanri_shiten.update`</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</si>
  <si>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Click link của cell 管理支店コード `013-3300-001` trong list</t>
    </r>
  </si>
  <si>
    <r>
      <rPr>
        <b/>
        <sz val="10"/>
        <color rgb="FF000000"/>
        <rFont val="メイリオ"/>
        <charset val="134"/>
      </rPr>
      <t xml:space="preserve">ステップ1：
</t>
    </r>
    <r>
      <rPr>
        <sz val="10"/>
        <color rgb="FF000000"/>
        <rFont val="メイリオ"/>
        <charset val="134"/>
      </rPr>
      <t xml:space="preserve">Màn hình tìm kiếm chi tiết Master Chi nhánh Quản lý được hiển thị
</t>
    </r>
    <r>
      <rPr>
        <b/>
        <sz val="10"/>
        <color rgb="FF000000"/>
        <rFont val="メイリオ"/>
        <charset val="134"/>
      </rPr>
      <t xml:space="preserve">ステップ2：
</t>
    </r>
    <r>
      <rPr>
        <sz val="10"/>
        <color rgb="FF000000"/>
        <rFont val="メイリオ"/>
        <charset val="134"/>
      </rPr>
      <t xml:space="preserve">Chuyển sang màn edit Master Chi nhánh Quản lý (`/kanri-shiten/1/edit`), giá trị hiện tại được hiển thị trong form
</t>
    </r>
    <r>
      <rPr>
        <b/>
        <sz val="10"/>
        <color rgb="FF000000"/>
        <rFont val="メイリオ"/>
        <charset val="134"/>
      </rPr>
      <t xml:space="preserve">補足：
</t>
    </r>
    <r>
      <rPr>
        <sz val="10"/>
        <color rgb="FF000000"/>
        <rFont val="メイリオ"/>
        <charset val="134"/>
      </rPr>
      <t>・Màn chuyển đến là chế độ edit của ACSMS-SCR-009 (Màn đăng ký Master Chi nhánh Quản lý)</t>
    </r>
  </si>
  <si>
    <t>ACSMS-TC-008-050</t>
  </si>
  <si>
    <t>Click button 削除 — Hiển thị dialog confirm</t>
  </si>
  <si>
    <t>・role: NICHINO_ADMIN
・Chi nhánh quản lý đối tượng xóa "JA削除対象管理支店" (kanri_shiten_id = 5) đã đăng ký, không có data liên quan
・Có quyền `kanri_shiten.delete`</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</si>
  <si>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Click link "削除" tại cột thao tác của record đối tượng
</t>
    </r>
    <r>
      <rPr>
        <b/>
        <sz val="10"/>
        <color rgb="FF000000"/>
        <rFont val="メイリオ"/>
        <charset val="134"/>
      </rPr>
      <t xml:space="preserve">ステップ3：
</t>
    </r>
    <r>
      <rPr>
        <sz val="10"/>
        <color rgb="FF000000"/>
        <rFont val="メイリオ"/>
        <charset val="134"/>
      </rPr>
      <t>Kiểm tra nội dung dialog được hiển thị</t>
    </r>
  </si>
  <si>
    <r>
      <rPr>
        <b/>
        <sz val="10"/>
        <color rgb="FF000000"/>
        <rFont val="游ゴシック"/>
        <charset val="134"/>
      </rPr>
      <t xml:space="preserve">ステップ1：
</t>
    </r>
    <r>
      <rPr>
        <sz val="10"/>
        <color rgb="FF000000"/>
        <rFont val="游ゴシック"/>
        <charset val="134"/>
      </rPr>
      <t xml:space="preserve">Màn hình tìm kiếm chi tiết Master Chi nhánh Quản lý được hiển thị
</t>
    </r>
    <r>
      <rPr>
        <b/>
        <sz val="10"/>
        <color rgb="FF000000"/>
        <rFont val="游ゴシック"/>
        <charset val="134"/>
      </rPr>
      <t xml:space="preserve">ステップ2：
</t>
    </r>
    <r>
      <rPr>
        <sz val="10"/>
        <color rgb="FF000000"/>
        <rFont val="游ゴシック"/>
        <charset val="134"/>
      </rPr>
      <t xml:space="preserve">Dialog confirm xóa được hiển thị
</t>
    </r>
    <r>
      <rPr>
        <b/>
        <sz val="10"/>
        <color rgb="FF000000"/>
        <rFont val="游ゴシック"/>
        <charset val="134"/>
      </rPr>
      <t xml:space="preserve">ステップ3：
</t>
    </r>
    <r>
      <rPr>
        <sz val="10"/>
        <color rgb="FF000000"/>
        <rFont val="游ゴシック"/>
        <charset val="134"/>
      </rPr>
      <t xml:space="preserve">Body dialog hiển thị `この管理支店を削除してもよろしいですか？, title dialog "削除確認", button "はい" "いいえ" được hiển thị, button "はい" có dạng danger (màu đỏ)
</t>
    </r>
    <r>
      <rPr>
        <b/>
        <sz val="10"/>
        <color rgb="FF000000"/>
        <rFont val="游ゴシック"/>
        <charset val="134"/>
      </rPr>
      <t xml:space="preserve">補足：
</t>
    </r>
    <r>
      <rPr>
        <sz val="10"/>
        <color rgb="FF000000"/>
        <rFont val="游ゴシック"/>
        <charset val="134"/>
      </rPr>
      <t>・Hiển thị dialog confirm xóa
・Tại thời điểm này không phát sinh API request</t>
    </r>
  </si>
  <si>
    <t>ACSMS-TC-008-051</t>
  </si>
  <si>
    <t>Thực hiện xóa — Click "はい" — Xóa logical + load lại list</t>
  </si>
  <si>
    <t>・role: NICHINO_ADMIN
・Chi nhánh quản lý đối tượng xóa (kanri_shiten_id = 5) đã đăng ký, không có data liên quan
・Có quyền `kanri_shiten.delete`</t>
  </si>
  <si>
    <r>
      <rPr>
        <b/>
        <sz val="10"/>
        <color rgb="FF000000"/>
        <rFont val="游ゴシック"/>
        <charset val="134"/>
      </rPr>
      <t xml:space="preserve">ステップ1：
</t>
    </r>
    <r>
      <rPr>
        <sz val="10"/>
        <color rgb="FF000000"/>
        <rFont val="游ゴシック"/>
        <charset val="134"/>
      </rPr>
      <t xml:space="preserve">Click link "削除", hiển thị dialog confirm
</t>
    </r>
    <r>
      <rPr>
        <b/>
        <sz val="10"/>
        <color rgb="FF000000"/>
        <rFont val="游ゴシック"/>
        <charset val="134"/>
      </rPr>
      <t xml:space="preserve">ステップ2：
</t>
    </r>
    <r>
      <rPr>
        <sz val="10"/>
        <color rgb="FF000000"/>
        <rFont val="游ゴシック"/>
        <charset val="134"/>
      </rPr>
      <t xml:space="preserve">Click button "はい" của dialog
</t>
    </r>
    <r>
      <rPr>
        <b/>
        <sz val="10"/>
        <color rgb="FF000000"/>
        <rFont val="游ゴシック"/>
        <charset val="134"/>
      </rPr>
      <t xml:space="preserve">ステップ3：
</t>
    </r>
    <r>
      <rPr>
        <sz val="10"/>
        <color rgb="FF000000"/>
        <rFont val="游ゴシック"/>
        <charset val="134"/>
      </rPr>
      <t xml:space="preserve">Kiểm tra DB: `SELECT kanri_shiten_id, deleted_at, updated_by FROM m_kanri_shiten WHERE kanri_shiten_id = 5`
</t>
    </r>
    <r>
      <rPr>
        <b/>
        <sz val="10"/>
        <color rgb="FF000000"/>
        <rFont val="游ゴシック"/>
        <charset val="134"/>
      </rPr>
      <t xml:space="preserve">ステップ4：
</t>
    </r>
    <r>
      <rPr>
        <sz val="10"/>
        <color rgb="FF000000"/>
        <rFont val="游ゴシック"/>
        <charset val="134"/>
      </rPr>
      <t>Kiểm tra DB: `SELECT log_type, operation, target_id, target_table, result_status, before_value FROM t_log WHERE target_id = 5 AND target_table = 'm_kanri_shiten' ORDER BY log_datetime DESC LIMIT 1`</t>
    </r>
  </si>
  <si>
    <r>
      <rPr>
        <b/>
        <sz val="10"/>
        <color rgb="FF000000"/>
        <rFont val="游ゴシック"/>
        <charset val="134"/>
      </rPr>
      <t xml:space="preserve">ステップ1：
</t>
    </r>
    <r>
      <rPr>
        <sz val="10"/>
        <color rgb="FF000000"/>
        <rFont val="游ゴシック"/>
        <charset val="134"/>
      </rPr>
      <t xml:space="preserve">Dialog được hiển thị
</t>
    </r>
    <r>
      <rPr>
        <b/>
        <sz val="10"/>
        <color rgb="FF000000"/>
        <rFont val="游ゴシック"/>
        <charset val="134"/>
      </rPr>
      <t xml:space="preserve">ステップ2：
</t>
    </r>
    <r>
      <rPr>
        <sz val="10"/>
        <color rgb="FF000000"/>
        <rFont val="游ゴシック"/>
        <charset val="134"/>
      </rPr>
      <t xml:space="preserve">DELETE `/api/v1/kanri-shiten/5` được gửi, trả về HTTP 200, hiển thị toast `削除しました。` (ACSMS-MSG-008-006), list được lấy lại và record tương ứng không hiển thị nữa
</t>
    </r>
    <r>
      <rPr>
        <b/>
        <sz val="10"/>
        <color rgb="FF000000"/>
        <rFont val="游ゴシック"/>
        <charset val="134"/>
      </rPr>
      <t xml:space="preserve">ステップ3：
</t>
    </r>
    <r>
      <rPr>
        <sz val="10"/>
        <color rgb="FF000000"/>
        <rFont val="游ゴシック"/>
        <charset val="134"/>
      </rPr>
      <t xml:space="preserve">Data bị xóa logical (`deleted_at IS NOT NULL`, `updated_by` là `account_id` của test account)
</t>
    </r>
    <r>
      <rPr>
        <b/>
        <sz val="10"/>
        <color rgb="FF000000"/>
        <rFont val="游ゴシック"/>
        <charset val="134"/>
      </rPr>
      <t xml:space="preserve">ステップ4：
</t>
    </r>
    <r>
      <rPr>
        <sz val="10"/>
        <color rgb="FF000000"/>
        <rFont val="游ゴシック"/>
        <charset val="134"/>
      </rPr>
      <t xml:space="preserve">Audit log được record (`log_type = 1`, `operation = 'DELETE'`, `target_id = 5`, `target_table = 'm_kanri_shiten'`, `result_status = 1`, `before_value` chứa JSON data trước khi xóa)
</t>
    </r>
    <r>
      <rPr>
        <b/>
        <sz val="10"/>
        <color rgb="FF000000"/>
        <rFont val="游ゴシック"/>
        <charset val="134"/>
      </rPr>
      <t xml:space="preserve">補足：
</t>
    </r>
    <r>
      <rPr>
        <sz val="10"/>
        <color rgb="FF000000"/>
        <rFont val="游ゴシック"/>
        <charset val="134"/>
      </rPr>
      <t>・Data bị xóa (xóa logical)
・Transaction được commit
・Xử lý chính + audit log được thực hiện trong cùng một transaction</t>
    </r>
  </si>
  <si>
    <t>ACSMS-TC-008-052</t>
  </si>
  <si>
    <t>Hủy xóa — Click "いいえ"</t>
  </si>
  <si>
    <t>・role: NICHINO_ADMIN
・Chi nhánh quản lý đối tượng xóa (kanri_shiten_id = 5) đã đăng ký</t>
  </si>
  <si>
    <r>
      <rPr>
        <b/>
        <sz val="10"/>
        <color rgb="FF000000"/>
        <rFont val="メイリオ"/>
        <charset val="134"/>
      </rPr>
      <t xml:space="preserve">ステップ1：
</t>
    </r>
    <r>
      <rPr>
        <sz val="10"/>
        <color rgb="FF000000"/>
        <rFont val="メイリオ"/>
        <charset val="134"/>
      </rPr>
      <t xml:space="preserve">Click link "削除", hiển thị dialog confirm
</t>
    </r>
    <r>
      <rPr>
        <b/>
        <sz val="10"/>
        <color rgb="FF000000"/>
        <rFont val="メイリオ"/>
        <charset val="134"/>
      </rPr>
      <t xml:space="preserve">ステップ2：
</t>
    </r>
    <r>
      <rPr>
        <sz val="10"/>
        <color rgb="FF000000"/>
        <rFont val="メイリオ"/>
        <charset val="134"/>
      </rPr>
      <t xml:space="preserve">Click button "いいえ" của dialog
</t>
    </r>
    <r>
      <rPr>
        <b/>
        <sz val="10"/>
        <color rgb="FF000000"/>
        <rFont val="メイリオ"/>
        <charset val="134"/>
      </rPr>
      <t xml:space="preserve">ステップ3：
</t>
    </r>
    <r>
      <rPr>
        <sz val="10"/>
        <color rgb="FF000000"/>
        <rFont val="メイリオ"/>
        <charset val="134"/>
      </rPr>
      <t xml:space="preserve">Kiểm tra có phát sinh API request bằng DevTools
</t>
    </r>
    <r>
      <rPr>
        <b/>
        <sz val="10"/>
        <color rgb="FF000000"/>
        <rFont val="メイリオ"/>
        <charset val="134"/>
      </rPr>
      <t xml:space="preserve">ステップ4：
</t>
    </r>
    <r>
      <rPr>
        <sz val="10"/>
        <color rgb="FF000000"/>
        <rFont val="メイリオ"/>
        <charset val="134"/>
      </rPr>
      <t>Kiểm tra DB: `SELECT deleted_at FROM m_kanri_shiten WHERE kanri_shiten_id = 5`</t>
    </r>
  </si>
  <si>
    <r>
      <rPr>
        <b/>
        <sz val="10"/>
        <color rgb="FF000000"/>
        <rFont val="メイリオ"/>
        <charset val="134"/>
      </rPr>
      <t xml:space="preserve">ステップ1：
</t>
    </r>
    <r>
      <rPr>
        <sz val="10"/>
        <color rgb="FF000000"/>
        <rFont val="メイリオ"/>
        <charset val="134"/>
      </rPr>
      <t xml:space="preserve">Dialog được hiển thị
</t>
    </r>
    <r>
      <rPr>
        <b/>
        <sz val="10"/>
        <color rgb="FF000000"/>
        <rFont val="メイリオ"/>
        <charset val="134"/>
      </rPr>
      <t xml:space="preserve">ステップ2：
</t>
    </r>
    <r>
      <rPr>
        <sz val="10"/>
        <color rgb="FF000000"/>
        <rFont val="メイリオ"/>
        <charset val="134"/>
      </rPr>
      <t xml:space="preserve">Dialog đóng lại, hiển thị list không thay đổi
</t>
    </r>
    <r>
      <rPr>
        <b/>
        <sz val="10"/>
        <color rgb="FF000000"/>
        <rFont val="メイリオ"/>
        <charset val="134"/>
      </rPr>
      <t xml:space="preserve">ステップ3：
</t>
    </r>
    <r>
      <rPr>
        <sz val="10"/>
        <color rgb="FF000000"/>
        <rFont val="メイリオ"/>
        <charset val="134"/>
      </rPr>
      <t xml:space="preserve">DELETE request không phát sinh
</t>
    </r>
    <r>
      <rPr>
        <b/>
        <sz val="10"/>
        <color rgb="FF000000"/>
        <rFont val="メイリオ"/>
        <charset val="134"/>
      </rPr>
      <t xml:space="preserve">ステップ4：
</t>
    </r>
    <r>
      <rPr>
        <sz val="10"/>
        <color rgb="FF000000"/>
        <rFont val="メイリオ"/>
        <charset val="134"/>
      </rPr>
      <t xml:space="preserve">Vẫn ở trạng thái `deleted_at IS NULL` (không bị xóa)
</t>
    </r>
    <r>
      <rPr>
        <b/>
        <sz val="10"/>
        <color rgb="FF000000"/>
        <rFont val="メイリオ"/>
        <charset val="134"/>
      </rPr>
      <t xml:space="preserve">補足：
</t>
    </r>
    <r>
      <rPr>
        <sz val="10"/>
        <color rgb="FF000000"/>
        <rFont val="メイリオ"/>
        <charset val="134"/>
      </rPr>
      <t xml:space="preserve">・Xử lý không được thực hiện
</t>
    </r>
    <r>
      <rPr>
        <sz val="10"/>
        <color rgb="FF000000"/>
        <rFont val="メイリオ"/>
        <charset val="134"/>
      </rPr>
      <t>・Không ảnh hưởng item khác</t>
    </r>
  </si>
  <si>
    <t>ACSMS-TC-008-053</t>
  </si>
  <si>
    <t>Xóa — lỗi 409 khi có data liên quan (master chi nhánh)</t>
  </si>
  <si>
    <t>・role: NICHINO_ADMIN
・Tồn tại ≥1 record chi nhánh liên quan (`m_shiten.kanri_shiten_id = 5`) đến chi nhánh quản lý đối tượng xóa (kanri_shiten_id = 5)</t>
  </si>
  <si>
    <r>
      <rPr>
        <b/>
        <sz val="10"/>
        <color rgb="FF000000"/>
        <rFont val="メイリオ"/>
        <charset val="134"/>
      </rPr>
      <t xml:space="preserve">ステップ1：
</t>
    </r>
    <r>
      <rPr>
        <sz val="10"/>
        <color rgb="FF000000"/>
        <rFont val="メイリオ"/>
        <charset val="134"/>
      </rPr>
      <t xml:space="preserve">Click link "削除", click "はい" trên dialog confirm
</t>
    </r>
    <r>
      <rPr>
        <b/>
        <sz val="10"/>
        <color rgb="FF000000"/>
        <rFont val="メイリオ"/>
        <charset val="134"/>
      </rPr>
      <t xml:space="preserve">ステップ2：
</t>
    </r>
    <r>
      <rPr>
        <sz val="10"/>
        <color rgb="FF000000"/>
        <rFont val="メイリオ"/>
        <charset val="134"/>
      </rPr>
      <t>Kiểm tra response và trạng thái DB</t>
    </r>
  </si>
  <si>
    <r>
      <rPr>
        <b/>
        <sz val="10"/>
        <color rgb="FF000000"/>
        <rFont val="游ゴシック"/>
        <charset val="134"/>
      </rPr>
      <t xml:space="preserve">ステップ1：
</t>
    </r>
    <r>
      <rPr>
        <sz val="10"/>
        <color rgb="FF000000"/>
        <rFont val="游ゴシック"/>
        <charset val="134"/>
      </rPr>
      <t xml:space="preserve">DELETE `/api/v1/kanri-shiten/5` được gửi
</t>
    </r>
    <r>
      <rPr>
        <b/>
        <sz val="10"/>
        <color rgb="FF000000"/>
        <rFont val="游ゴシック"/>
        <charset val="134"/>
      </rPr>
      <t xml:space="preserve">ステップ2：
</t>
    </r>
    <r>
      <rPr>
        <sz val="10"/>
        <color rgb="FF000000"/>
        <rFont val="游ゴシック"/>
        <charset val="134"/>
      </rPr>
      <t xml:space="preserve">Trả về HTTP 409 (`error_code: CONFLICT`, message `この管理支店は関連オブジェクトに紐づいているため削除できません。 hoặc `関連データが存在するため削除できません。`), sau khi toast hiển thị record đối tượng trong `m_kanri_shiten` vẫn ở `deleted_at IS NULL`
</t>
    </r>
    <r>
      <rPr>
        <b/>
        <sz val="10"/>
        <color rgb="FF000000"/>
        <rFont val="游ゴシック"/>
        <charset val="134"/>
      </rPr>
      <t xml:space="preserve">補足：
</t>
    </r>
    <r>
      <rPr>
        <sz val="10"/>
        <color rgb="FF000000"/>
        <rFont val="游ゴシック"/>
        <charset val="134"/>
      </rPr>
      <t>・Data liên quan không bị xóa
・Xử lý xóa được rollback</t>
    </r>
  </si>
  <si>
    <t>Trong danh sách error api.md (common) là `関連データが存在するため削除できません。`, message màn hình ACSMS-MSG-008-004 là `この管理支店は関連オブジェクトに紐づいているため削除できません。`. Phía implement trả về văn bản của api.md như canonical.</t>
  </si>
  <si>
    <t>ACSMS-TC-008-054</t>
  </si>
  <si>
    <t>Xóa — lỗi 409 khi có data liên quan (purchaser)</t>
  </si>
  <si>
    <t>・role: NICHINO_ADMIN
・Tồn tại ≥1 record purchaser liên quan (`t_dokusya.kanri_shiten_id = 6`) đến chi nhánh quản lý đối tượng xóa (kanri_shiten_id = 6)</t>
  </si>
  <si>
    <r>
      <rPr>
        <b/>
        <sz val="10"/>
        <color rgb="FF000000"/>
        <rFont val="メイリオ"/>
        <charset val="134"/>
      </rPr>
      <t xml:space="preserve">ステップ1：
</t>
    </r>
    <r>
      <rPr>
        <sz val="10"/>
        <color rgb="FF000000"/>
        <rFont val="メイリオ"/>
        <charset val="134"/>
      </rPr>
      <t xml:space="preserve">Click link "削除", click "はい" trên dialog confirm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</si>
  <si>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DELETE `/api/v1/kanri-shiten/6` được gửi
</t>
    </r>
    <r>
      <rPr>
        <b/>
        <sz val="10"/>
        <color rgb="FF000000"/>
        <rFont val="メイリオ"/>
        <charset val="134"/>
      </rPr>
      <t xml:space="preserve">ステップ2：
</t>
    </r>
    <r>
      <rPr>
        <sz val="10"/>
        <color rgb="FF000000"/>
        <rFont val="メイリオ"/>
        <charset val="134"/>
      </rPr>
      <t xml:space="preserve">Trả về HTTP 409 (`error_code: CONFLICT`, message `関連データが存在するため削除できません。`), không bị xóa logical
</t>
    </r>
    <r>
      <rPr>
        <b/>
        <sz val="10"/>
        <color rgb="FF000000"/>
        <rFont val="メイリオ"/>
        <charset val="134"/>
      </rPr>
      <t xml:space="preserve">補足：
</t>
    </r>
    <r>
      <rPr>
        <sz val="10"/>
        <color rgb="FF000000"/>
        <rFont val="メイリオ"/>
        <charset val="134"/>
      </rPr>
      <t xml:space="preserve">・Data liên quan không bị xóa
</t>
    </r>
    <r>
      <rPr>
        <sz val="10"/>
        <color rgb="FF000000"/>
        <rFont val="メイリオ"/>
        <charset val="134"/>
      </rPr>
      <t>・Tham chiếu purchaser cũng là yếu tố cản trở xóa tương đương m_shiten</t>
    </r>
  </si>
  <si>
    <t>ACSMS-TC-008-055</t>
  </si>
  <si>
    <t>Xóa — lỗi 409 khi có data liên quan (account)</t>
  </si>
  <si>
    <t>・role: NICHINO_ADMIN
・Tồn tại ≥1 record account liên quan (`m_account.kanri_shiten_id = 7`) đến chi nhánh quản lý đối tượng xóa (kanri_shiten_id = 7)</t>
  </si>
  <si>
    <r>
      <rPr>
        <b/>
        <sz val="10"/>
        <color rgb="FF000000"/>
        <rFont val="メイリオ"/>
        <charset val="134"/>
      </rPr>
      <t xml:space="preserve">ステップ1：
</t>
    </r>
    <r>
      <rPr>
        <sz val="10"/>
        <color rgb="FF000000"/>
        <rFont val="メイリオ"/>
        <charset val="134"/>
      </rPr>
      <t xml:space="preserve">DELETE `/api/v1/kanri-shiten/7` được gửi
</t>
    </r>
    <r>
      <rPr>
        <b/>
        <sz val="10"/>
        <color rgb="FF000000"/>
        <rFont val="メイリオ"/>
        <charset val="134"/>
      </rPr>
      <t xml:space="preserve">ステップ2：
</t>
    </r>
    <r>
      <rPr>
        <sz val="10"/>
        <color rgb="FF000000"/>
        <rFont val="メイリオ"/>
        <charset val="134"/>
      </rPr>
      <t xml:space="preserve">Trả về HTTP 409 (`error_code: CONFLICT`, message `関連データが存在するため削除できません。`)
</t>
    </r>
    <r>
      <rPr>
        <b/>
        <sz val="10"/>
        <color rgb="FF000000"/>
        <rFont val="メイリオ"/>
        <charset val="134"/>
      </rPr>
      <t xml:space="preserve">補足：
</t>
    </r>
    <r>
      <rPr>
        <sz val="10"/>
        <color rgb="FF000000"/>
        <rFont val="メイリオ"/>
        <charset val="134"/>
      </rPr>
      <t xml:space="preserve">・Data liên quan không bị xóa
</t>
    </r>
    <r>
      <rPr>
        <sz val="10"/>
        <color rgb="FF000000"/>
        <rFont val="メイリオ"/>
        <charset val="134"/>
      </rPr>
      <t>・Trả về 409 khi 1 trong 3 bảng liên quan (m_shiten, t_dokusya, m_account) tương ứng</t>
    </r>
  </si>
  <si>
    <t>ACSMS-TC-008-056</t>
  </si>
  <si>
    <t>Xóa — lỗi 404 khi ID không tồn tại</t>
  </si>
  <si>
    <r>
      <rPr>
        <b/>
        <sz val="10"/>
        <color rgb="FF000000"/>
        <rFont val="メイリオ"/>
        <charset val="134"/>
      </rPr>
      <t xml:space="preserve">ステップ1：
</t>
    </r>
    <r>
      <rPr>
        <sz val="10"/>
        <color rgb="FF000000"/>
        <rFont val="メイリオ"/>
        <charset val="134"/>
      </rPr>
      <t xml:space="preserve">Dùng DevTools gửi trực tiếp DELETE `/api/v1/kanri-shiten/99999` (ID không tồn tại)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</si>
  <si>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Request được gửi
</t>
    </r>
    <r>
      <rPr>
        <b/>
        <sz val="10"/>
        <color rgb="FF000000"/>
        <rFont val="メイリオ"/>
        <charset val="134"/>
      </rPr>
      <t xml:space="preserve">ステップ2：
</t>
    </r>
    <r>
      <rPr>
        <sz val="10"/>
        <color rgb="FF000000"/>
        <rFont val="メイリオ"/>
        <charset val="134"/>
      </rPr>
      <t xml:space="preserve">Trả về HTTP 404 (`error_code: NOT_FOUND`, message `指定された管理支店が見つかりません。`)
</t>
    </r>
    <r>
      <rPr>
        <b/>
        <sz val="10"/>
        <color rgb="FF000000"/>
        <rFont val="メイリオ"/>
        <charset val="134"/>
      </rPr>
      <t xml:space="preserve">補足：
</t>
    </r>
    <r>
      <rPr>
        <sz val="10"/>
        <color rgb="FF000000"/>
        <rFont val="メイリオ"/>
        <charset val="134"/>
      </rPr>
      <t>・Data đối tượng không tồn tại</t>
    </r>
  </si>
  <si>
    <t>ACSMS-TC-008-057</t>
  </si>
  <si>
    <t>Xóa — lỗi 404 khi ID đã bị xóa (race xóa đồng thời)</t>
  </si>
  <si>
    <t>・role: NICHINO_ADMIN
・Chi nhánh quản lý (kanri_shiten_id = 8) đã đăng ký</t>
  </si>
  <si>
    <r>
      <rPr>
        <b/>
        <sz val="10"/>
        <color rgb="FF000000"/>
        <rFont val="游ゴシック"/>
        <charset val="134"/>
      </rPr>
      <t xml:space="preserve">ステップ1：
</t>
    </r>
    <r>
      <rPr>
        <sz val="10"/>
        <color rgb="FF000000"/>
        <rFont val="游ゴシック"/>
        <charset val="134"/>
      </rPr>
      <t xml:space="preserve">Mở màn list ở browser A
</t>
    </r>
    <r>
      <rPr>
        <b/>
        <sz val="10"/>
        <color rgb="FF000000"/>
        <rFont val="游ゴシック"/>
        <charset val="134"/>
      </rPr>
      <t xml:space="preserve">ステップ2：
</t>
    </r>
    <r>
      <rPr>
        <sz val="10"/>
        <color rgb="FF000000"/>
        <rFont val="游ゴシック"/>
        <charset val="134"/>
      </rPr>
      <t xml:space="preserve">Xóa cùng chi nhánh quản lý (kanri_shiten_id = 8) ở browser B
</t>
    </r>
    <r>
      <rPr>
        <b/>
        <sz val="10"/>
        <color rgb="FF000000"/>
        <rFont val="游ゴシック"/>
        <charset val="134"/>
      </rPr>
      <t xml:space="preserve">ステップ3：
</t>
    </r>
    <r>
      <rPr>
        <sz val="10"/>
        <color rgb="FF000000"/>
        <rFont val="游ゴシック"/>
        <charset val="134"/>
      </rPr>
      <t>Click link "削除" của cùng chi nhánh quản lý ở browser A, click "はい"</t>
    </r>
  </si>
  <si>
    <r>
      <rPr>
        <b/>
        <sz val="10"/>
        <color rgb="FF000000"/>
        <rFont val="メイリオ"/>
        <charset val="134"/>
      </rPr>
      <t xml:space="preserve">ステップ1：
</t>
    </r>
    <r>
      <rPr>
        <sz val="10"/>
        <color rgb="FF000000"/>
        <rFont val="メイリオ"/>
        <charset val="134"/>
      </rPr>
      <t xml:space="preserve">List được hiển thị
</t>
    </r>
    <r>
      <rPr>
        <b/>
        <sz val="10"/>
        <color rgb="FF000000"/>
        <rFont val="メイリオ"/>
        <charset val="134"/>
      </rPr>
      <t xml:space="preserve">ステップ2：
</t>
    </r>
    <r>
      <rPr>
        <sz val="10"/>
        <color rgb="FF000000"/>
        <rFont val="メイリオ"/>
        <charset val="134"/>
      </rPr>
      <t xml:space="preserve">Xóa thành công ở browser B
</t>
    </r>
    <r>
      <rPr>
        <b/>
        <sz val="10"/>
        <color rgb="FF000000"/>
        <rFont val="メイリオ"/>
        <charset val="134"/>
      </rPr>
      <t xml:space="preserve">ステップ3：
</t>
    </r>
    <r>
      <rPr>
        <sz val="10"/>
        <color rgb="FF000000"/>
        <rFont val="メイリオ"/>
        <charset val="134"/>
      </rPr>
      <t xml:space="preserve">DELETE `/api/v1/kanri-shiten/8` được gửi từ browser A trả về HTTP 404 (`error_code: NOT_FOUND`, message `指定された管理支店が見つかりません。`)
</t>
    </r>
    <r>
      <rPr>
        <b/>
        <sz val="10"/>
        <color rgb="FF000000"/>
        <rFont val="メイリオ"/>
        <charset val="134"/>
      </rPr>
      <t xml:space="preserve">補足：
</t>
    </r>
    <r>
      <rPr>
        <sz val="10"/>
        <color rgb="FF000000"/>
        <rFont val="メイリオ"/>
        <charset val="134"/>
      </rPr>
      <t xml:space="preserve">・Không phát sinh bất đồng bộ dữ liệu
</t>
    </r>
    <r>
      <rPr>
        <sz val="10"/>
        <color rgb="FF000000"/>
        <rFont val="メイリオ"/>
        <charset val="134"/>
      </rPr>
      <t>・Khi race xóa đồng thời, request đến sau cùng sẽ là 404</t>
    </r>
  </si>
  <si>
    <t>ACSMS-TC-008-058</t>
  </si>
  <si>
    <t>Record audit log khi lỗi xóa</t>
  </si>
  <si>
    <t>・role: NICHINO_ADMIN
・Chi nhánh quản lý đối tượng xóa (kanri_shiten_id = 9) có data liên quan</t>
  </si>
  <si>
    <r>
      <rPr>
        <b/>
        <sz val="10"/>
        <color rgb="FF000000"/>
        <rFont val="游ゴシック"/>
        <charset val="134"/>
      </rPr>
      <t xml:space="preserve">ステップ1：
</t>
    </r>
    <r>
      <rPr>
        <sz val="10"/>
        <color rgb="FF000000"/>
        <rFont val="游ゴシック"/>
        <charset val="134"/>
      </rPr>
      <t xml:space="preserve">Click link "削除", click "はい"
</t>
    </r>
    <r>
      <rPr>
        <b/>
        <sz val="10"/>
        <color rgb="FF000000"/>
        <rFont val="游ゴシック"/>
        <charset val="134"/>
      </rPr>
      <t xml:space="preserve">ステップ2：
</t>
    </r>
    <r>
      <rPr>
        <sz val="10"/>
        <color rgb="FF000000"/>
        <rFont val="游ゴシック"/>
        <charset val="134"/>
      </rPr>
      <t>Kiểm tra DB: `SELECT log_type, operation, result_status, error_message FROM t_log WHERE target_id = 9 AND target_table = 'm_kanri_shiten' ORDER BY log_datetime DESC LIMIT 1`</t>
    </r>
  </si>
  <si>
    <r>
      <rPr>
        <b/>
        <sz val="10"/>
        <color rgb="FF000000"/>
        <rFont val="メイリオ"/>
        <charset val="134"/>
      </rPr>
      <t xml:space="preserve">ステップ1：
</t>
    </r>
    <r>
      <rPr>
        <sz val="10"/>
        <color rgb="FF000000"/>
        <rFont val="メイリオ"/>
        <charset val="134"/>
      </rPr>
      <t xml:space="preserve">Trả về HTTP 409
</t>
    </r>
    <r>
      <rPr>
        <b/>
        <sz val="10"/>
        <color rgb="FF000000"/>
        <rFont val="メイリオ"/>
        <charset val="134"/>
      </rPr>
      <t xml:space="preserve">ステップ2：
</t>
    </r>
    <r>
      <rPr>
        <sz val="10"/>
        <color rgb="FF000000"/>
        <rFont val="メイリオ"/>
        <charset val="134"/>
      </rPr>
      <t xml:space="preserve">Error log được record (`log_type = 3`, `operation = 'DELETE'`, `result_status = 2`, `error_message` chứa chi tiết lỗi)
</t>
    </r>
    <r>
      <rPr>
        <b/>
        <sz val="10"/>
        <color rgb="FF000000"/>
        <rFont val="メイリオ"/>
        <charset val="134"/>
      </rPr>
      <t xml:space="preserve">補足：
</t>
    </r>
    <r>
      <rPr>
        <sz val="10"/>
        <color rgb="FF000000"/>
        <rFont val="メイリオ"/>
        <charset val="134"/>
      </rPr>
      <t xml:space="preserve">・Output error log
</t>
    </r>
    <r>
      <rPr>
        <sz val="10"/>
        <color rgb="FF000000"/>
        <rFont val="メイリオ"/>
        <charset val="134"/>
      </rPr>
      <t>・Error log được record ngoài transaction, nên vẫn còn sau khi xử lý nghiệp vụ rollback</t>
    </r>
  </si>
  <si>
    <t>Xử lý lỗi chung (Common Error Handling)</t>
  </si>
  <si>
    <t>ACSMS-TC-008-059</t>
  </si>
  <si>
    <t>Xử lý 401 khi session hết hạn</t>
  </si>
  <si>
    <t>・role: NICHINO_ADMIN
・Đã login, tồn tại session
・Có thể cưỡng chế hết hạn Redis session bằng công cụ admin, hoặc test sau khi quá 24 giờ</t>
  </si>
  <si>
    <r>
      <rPr>
        <b/>
        <sz val="10"/>
        <color rgb="FF000000"/>
        <rFont val="メイリオ"/>
        <charset val="134"/>
      </rPr>
      <t xml:space="preserve">ステップ1：
</t>
    </r>
    <r>
      <rPr>
        <sz val="10"/>
        <color rgb="FF000000"/>
        <rFont val="メイリオ"/>
        <charset val="134"/>
      </rPr>
      <t xml:space="preserve">Trong khi đang mở `/kanri-shiten`, cưỡng chế hết hạn session
</t>
    </r>
    <r>
      <rPr>
        <b/>
        <sz val="10"/>
        <color rgb="FF000000"/>
        <rFont val="メイリオ"/>
        <charset val="134"/>
      </rPr>
      <t xml:space="preserve">ステップ2：
</t>
    </r>
    <r>
      <rPr>
        <sz val="10"/>
        <color rgb="FF000000"/>
        <rFont val="メイリオ"/>
        <charset val="134"/>
      </rPr>
      <t xml:space="preserve">Click button "検索"
</t>
    </r>
    <r>
      <rPr>
        <b/>
        <sz val="10"/>
        <color rgb="FF000000"/>
        <rFont val="メイリオ"/>
        <charset val="134"/>
      </rPr>
      <t xml:space="preserve">ステップ3：
</t>
    </r>
    <r>
      <rPr>
        <sz val="10"/>
        <color rgb="FF000000"/>
        <rFont val="メイリオ"/>
        <charset val="134"/>
      </rPr>
      <t>Kiểm tra chuyển màn và hành vi sau khi đăng nhập lại</t>
    </r>
  </si>
  <si>
    <r>
      <rPr>
        <b/>
        <sz val="10"/>
        <color rgb="FF000000"/>
        <rFont val="メイリオ"/>
        <charset val="134"/>
      </rPr>
      <t xml:space="preserve">ステップ1：
</t>
    </r>
    <r>
      <rPr>
        <sz val="10"/>
        <color rgb="FF000000"/>
        <rFont val="メイリオ"/>
        <charset val="134"/>
      </rPr>
      <t xml:space="preserve">Màn hình vẫn được hiển thị nguyên trạng
</t>
    </r>
    <r>
      <rPr>
        <b/>
        <sz val="10"/>
        <color rgb="FF000000"/>
        <rFont val="メイリオ"/>
        <charset val="134"/>
      </rPr>
      <t xml:space="preserve">ステップ2：
</t>
    </r>
    <r>
      <rPr>
        <sz val="10"/>
        <color rgb="FF000000"/>
        <rFont val="メイリオ"/>
        <charset val="134"/>
      </rPr>
      <t xml:space="preserve">GET `/api/v1/kanri-shiten` trả về HTTP 401 (`error_code: UNAUTHORIZED`, message `セッションが切れました。再度ログインしてください。`)
</t>
    </r>
    <r>
      <rPr>
        <b/>
        <sz val="10"/>
        <color rgb="FF000000"/>
        <rFont val="メイリオ"/>
        <charset val="134"/>
      </rPr>
      <t xml:space="preserve">ステップ3：
</t>
    </r>
    <r>
      <rPr>
        <sz val="10"/>
        <color rgb="FF000000"/>
        <rFont val="メイリオ"/>
        <charset val="134"/>
      </rPr>
      <t xml:space="preserve">Chuyển về `/login?redirect=/kanri-shiten`, sau khi đăng nhập lại quay về URL ban đầu `/kanri-shiten`
</t>
    </r>
    <r>
      <rPr>
        <b/>
        <sz val="10"/>
        <color rgb="FF000000"/>
        <rFont val="メイリオ"/>
        <charset val="134"/>
      </rPr>
      <t xml:space="preserve">補足：
</t>
    </r>
    <r>
      <rPr>
        <sz val="10"/>
        <color rgb="FF000000"/>
        <rFont val="メイリオ"/>
        <charset val="134"/>
      </rPr>
      <t xml:space="preserve">・Khi session hết hạn, chuyển về màn login
</t>
    </r>
    <r>
      <rPr>
        <sz val="10"/>
        <color rgb="FF000000"/>
        <rFont val="メイリオ"/>
        <charset val="134"/>
      </rPr>
      <t>・`user` của Pinia store được khởi tạo về null</t>
    </r>
  </si>
  <si>
    <t>ACSMS-TC-008-060</t>
  </si>
  <si>
    <t>Request parameter không hợp lệ — BAD_REQUEST</t>
  </si>
  <si>
    <r>
      <rPr>
        <b/>
        <sz val="10"/>
        <color rgb="FF000000"/>
        <rFont val="メイリオ"/>
        <charset val="134"/>
      </rPr>
      <t xml:space="preserve">ステップ1：
</t>
    </r>
    <r>
      <rPr>
        <sz val="10"/>
        <color rgb="FF000000"/>
        <rFont val="メイリオ"/>
        <charset val="134"/>
      </rPr>
      <t xml:space="preserve">Dùng DevTools gửi GET `/api/v1/kanri-shiten?page=abc&amp;per_page=xyz`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</si>
  <si>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Request được gửi
</t>
    </r>
    <r>
      <rPr>
        <b/>
        <sz val="10"/>
        <color rgb="FF000000"/>
        <rFont val="メイリオ"/>
        <charset val="134"/>
      </rPr>
      <t xml:space="preserve">ステップ2：
</t>
    </r>
    <r>
      <rPr>
        <sz val="10"/>
        <color rgb="FF000000"/>
        <rFont val="メイリオ"/>
        <charset val="134"/>
      </rPr>
      <t xml:space="preserve">Trả về HTTP 400 (`error_code: VALIDATION_ERROR` hoặc `BAD_REQUEST`, message `リクエストパラメータが不正です。`, hoặc message chi tiết `pageは整数で指定してください。` / `per_pageは整数で指定してください。`)
</t>
    </r>
    <r>
      <rPr>
        <b/>
        <sz val="10"/>
        <color rgb="FF000000"/>
        <rFont val="メイリオ"/>
        <charset val="134"/>
      </rPr>
      <t xml:space="preserve">補足：
</t>
    </r>
    <r>
      <rPr>
        <sz val="10"/>
        <color rgb="FF000000"/>
        <rFont val="メイリオ"/>
        <charset val="134"/>
      </rPr>
      <t xml:space="preserve">・Báo lỗi với parameter không hợp lệ
</t>
    </r>
    <r>
      <rPr>
        <sz val="10"/>
        <color rgb="FF000000"/>
        <rFont val="メイリオ"/>
        <charset val="134"/>
      </rPr>
      <t>・Trong trường hợp validation error, mỗi error item được lưu trong mảng `errors`</t>
    </r>
  </si>
  <si>
    <t>ACSMS-TC-008-061</t>
  </si>
  <si>
    <t>Validation error — Cấu trúc mảng VALIDATION_ERROR</t>
  </si>
  <si>
    <r>
      <rPr>
        <b/>
        <sz val="10"/>
        <color rgb="FF000000"/>
        <rFont val="メイリオ"/>
        <charset val="134"/>
      </rPr>
      <t xml:space="preserve">ステップ1：
</t>
    </r>
    <r>
      <rPr>
        <sz val="10"/>
        <color rgb="FF000000"/>
        <rFont val="メイリオ"/>
        <charset val="134"/>
      </rPr>
      <t xml:space="preserve">Dùng DevTools gửi GET `/api/v1/kanri-shiten?kanri_shiten_code=(16 ký tự)&amp;kanri_shiten_name=(101 ký tự)` (vi phạm nhiều item đồng thời)
</t>
    </r>
    <r>
      <rPr>
        <b/>
        <sz val="10"/>
        <color rgb="FF000000"/>
        <rFont val="メイリオ"/>
        <charset val="134"/>
      </rPr>
      <t xml:space="preserve">ステップ2：
</t>
    </r>
    <r>
      <rPr>
        <sz val="10"/>
        <color rgb="FF000000"/>
        <rFont val="メイリオ"/>
        <charset val="134"/>
      </rPr>
      <t>Kiểm tra response JSON</t>
    </r>
  </si>
  <si>
    <r>
      <rPr>
        <b/>
        <sz val="10"/>
        <color rgb="FF000000"/>
        <rFont val="メイリオ"/>
        <charset val="134"/>
      </rPr>
      <t xml:space="preserve">ステップ1：
</t>
    </r>
    <r>
      <rPr>
        <sz val="10"/>
        <color rgb="FF000000"/>
        <rFont val="メイリオ"/>
        <charset val="134"/>
      </rPr>
      <t xml:space="preserve">Request được gửi
</t>
    </r>
    <r>
      <rPr>
        <b/>
        <sz val="10"/>
        <color rgb="FF000000"/>
        <rFont val="メイリオ"/>
        <charset val="134"/>
      </rPr>
      <t xml:space="preserve">ステップ2：
</t>
    </r>
    <r>
      <rPr>
        <sz val="10"/>
        <color rgb="FF000000"/>
        <rFont val="メイリオ"/>
        <charset val="134"/>
      </rPr>
      <t xml:space="preserve">Trả về HTTP 400, response body có format `{ error_code: 'VALIDATION_ERROR', message: '入力値が不正です。詳細はerrorsフィールドを確認してください。', errors: [{ field, message }, ...] }`, mảng `errors` chứa cả message vi phạm của `kanri_shiten_code` và `kanri_shiten_name`
</t>
    </r>
    <r>
      <rPr>
        <b/>
        <sz val="10"/>
        <color rgb="FF000000"/>
        <rFont val="メイリオ"/>
        <charset val="134"/>
      </rPr>
      <t xml:space="preserve">補足：
</t>
    </r>
    <r>
      <rPr>
        <sz val="10"/>
        <color rgb="FF000000"/>
        <rFont val="メイリオ"/>
        <charset val="134"/>
      </rPr>
      <t xml:space="preserve">・Response dạng JSON
</t>
    </r>
    <r>
      <rPr>
        <sz val="10"/>
        <color rgb="FF000000"/>
        <rFont val="メイリオ"/>
        <charset val="134"/>
      </rPr>
      <t>・Message được trả về theo từng item vi phạm validation</t>
    </r>
  </si>
  <si>
    <t>ACSMS-TC-008-062</t>
  </si>
  <si>
    <t>Vượt rate limit — TOO_MANY_REQUESTS</t>
  </si>
  <si>
    <t>・role: NICHINO_ADMIN
・Rate limit: 429 khi vượt 100 request trong 60 giây</t>
  </si>
  <si>
    <r>
      <rPr>
        <b/>
        <sz val="10"/>
        <color rgb="FF000000"/>
        <rFont val="メイリオ"/>
        <charset val="134"/>
      </rPr>
      <t xml:space="preserve">ステップ1：
</t>
    </r>
    <r>
      <rPr>
        <sz val="10"/>
        <color rgb="FF000000"/>
        <rFont val="メイリオ"/>
        <charset val="134"/>
      </rPr>
      <t xml:space="preserve">Bằng DevTools hoặc script, gửi &gt;100 request đến `/api/v1/kanri-shiten` trong 60 giây
</t>
    </r>
    <r>
      <rPr>
        <b/>
        <sz val="10"/>
        <color rgb="FF000000"/>
        <rFont val="メイリオ"/>
        <charset val="134"/>
      </rPr>
      <t xml:space="preserve">ステップ2：
</t>
    </r>
    <r>
      <rPr>
        <sz val="10"/>
        <color rgb="FF000000"/>
        <rFont val="メイリオ"/>
        <charset val="134"/>
      </rPr>
      <t>Kiểm tra response</t>
    </r>
  </si>
  <si>
    <r>
      <rPr>
        <b/>
        <sz val="10"/>
        <color rgb="FF000000"/>
        <rFont val="メイリオ"/>
        <charset val="134"/>
      </rPr>
      <t xml:space="preserve">ステップ1：
</t>
    </r>
    <r>
      <rPr>
        <sz val="10"/>
        <color rgb="FF000000"/>
        <rFont val="メイリオ"/>
        <charset val="134"/>
      </rPr>
      <t xml:space="preserve">Request liên tục được gửi
</t>
    </r>
    <r>
      <rPr>
        <b/>
        <sz val="10"/>
        <color rgb="FF000000"/>
        <rFont val="メイリオ"/>
        <charset val="134"/>
      </rPr>
      <t xml:space="preserve">ステップ2：
</t>
    </r>
    <r>
      <rPr>
        <sz val="10"/>
        <color rgb="FF000000"/>
        <rFont val="メイリオ"/>
        <charset val="134"/>
      </rPr>
      <t xml:space="preserve">Trả về HTTP 429 (`error_code: TOO_MANY_REQUESTS`, message `リクエスト回数が上限を超えました。しばらくしてから再度お試しください。`)
</t>
    </r>
    <r>
      <rPr>
        <b/>
        <sz val="10"/>
        <color rgb="FF000000"/>
        <rFont val="メイリオ"/>
        <charset val="134"/>
      </rPr>
      <t xml:space="preserve">補足：
</t>
    </r>
    <r>
      <rPr>
        <sz val="10"/>
        <color rgb="FF000000"/>
        <rFont val="メイリオ"/>
        <charset val="134"/>
      </rPr>
      <t xml:space="preserve">・Rate limit hoạt động
</t>
    </r>
    <r>
      <rPr>
        <sz val="10"/>
        <color rgb="FF000000"/>
        <rFont val="メイリオ"/>
        <charset val="134"/>
      </rPr>
      <t>・Frontend hiển thị message bằng toast</t>
    </r>
  </si>
  <si>
    <t>ACSMS-TC-008-063</t>
  </si>
  <si>
    <t>Lỗi server — INTERNAL_SERVER_ERROR</t>
  </si>
  <si>
    <t>・role: NICHINO_ADMIN
・Mô phỏng phát sinh sự cố kết nối DB phía server (dừng DB / ngắt network)</t>
  </si>
  <si>
    <r>
      <rPr>
        <b/>
        <sz val="10"/>
        <color rgb="FF000000"/>
        <rFont val="メイリオ"/>
        <charset val="134"/>
      </rPr>
      <t xml:space="preserve">ステップ1：
</t>
    </r>
    <r>
      <rPr>
        <sz val="10"/>
        <color rgb="FF000000"/>
        <rFont val="メイリオ"/>
        <charset val="134"/>
      </rPr>
      <t xml:space="preserve">Mô phỏng phát sinh sự cố kết nối DB
</t>
    </r>
    <r>
      <rPr>
        <b/>
        <sz val="10"/>
        <color rgb="FF000000"/>
        <rFont val="メイリオ"/>
        <charset val="134"/>
      </rPr>
      <t xml:space="preserve">ステップ2：
</t>
    </r>
    <r>
      <rPr>
        <sz val="10"/>
        <color rgb="FF000000"/>
        <rFont val="メイリオ"/>
        <charset val="134"/>
      </rPr>
      <t xml:space="preserve">Mở `/kanri-shiten` hoặc click button "検索"
</t>
    </r>
    <r>
      <rPr>
        <b/>
        <sz val="10"/>
        <color rgb="FF000000"/>
        <rFont val="メイリオ"/>
        <charset val="134"/>
      </rPr>
      <t xml:space="preserve">ステップ3：
</t>
    </r>
    <r>
      <rPr>
        <sz val="10"/>
        <color rgb="FF000000"/>
        <rFont val="メイリオ"/>
        <charset val="134"/>
      </rPr>
      <t>Kiểm tra response và hiển thị toast</t>
    </r>
  </si>
  <si>
    <r>
      <rPr>
        <b/>
        <sz val="10"/>
        <color rgb="FF000000"/>
        <rFont val="メイリオ"/>
        <charset val="134"/>
      </rPr>
      <t xml:space="preserve">ステップ1：
</t>
    </r>
    <r>
      <rPr>
        <sz val="10"/>
        <color rgb="FF000000"/>
        <rFont val="メイリオ"/>
        <charset val="134"/>
      </rPr>
      <t xml:space="preserve">Vào trạng thái sự cố kết nối DB
</t>
    </r>
    <r>
      <rPr>
        <b/>
        <sz val="10"/>
        <color rgb="FF000000"/>
        <rFont val="メイリオ"/>
        <charset val="134"/>
      </rPr>
      <t xml:space="preserve">ステップ2：
</t>
    </r>
    <r>
      <rPr>
        <sz val="10"/>
        <color rgb="FF000000"/>
        <rFont val="メイリオ"/>
        <charset val="134"/>
      </rPr>
      <t xml:space="preserve">GET `/api/v1/kanri-shiten` trả về HTTP 500 (`error_code: INTERNAL_SERVER_ERROR`, message `システムエラーが発生しました。しばらくしてから再度お試しください。`, ACSMS-MSG-008-003)
</t>
    </r>
    <r>
      <rPr>
        <b/>
        <sz val="10"/>
        <color rgb="FF000000"/>
        <rFont val="メイリオ"/>
        <charset val="134"/>
      </rPr>
      <t xml:space="preserve">ステップ3：
</t>
    </r>
    <r>
      <rPr>
        <sz val="10"/>
        <color rgb="FF000000"/>
        <rFont val="メイリオ"/>
        <charset val="134"/>
      </rPr>
      <t xml:space="preserve">Hiển thị toast `システムエラーが発生しました。しばらくしてから再度お試しください。`, list hiển thị trống
</t>
    </r>
    <r>
      <rPr>
        <b/>
        <sz val="10"/>
        <color rgb="FF000000"/>
        <rFont val="メイリオ"/>
        <charset val="134"/>
      </rPr>
      <t xml:space="preserve">補足：
</t>
    </r>
    <r>
      <rPr>
        <sz val="10"/>
        <color rgb="FF000000"/>
        <rFont val="メイリオ"/>
        <charset val="134"/>
      </rPr>
      <t xml:space="preserve">・Không phát sinh lỗi ngoài dự kiến
</t>
    </r>
    <r>
      <rPr>
        <sz val="10"/>
        <color rgb="FF000000"/>
        <rFont val="メイリオ"/>
        <charset val="134"/>
      </rPr>
      <t xml:space="preserve">・Không bị terminate bất thường
</t>
    </r>
    <r>
      <rPr>
        <sz val="10"/>
        <color rgb="FF000000"/>
        <rFont val="メイリオ"/>
        <charset val="134"/>
      </rPr>
      <t>・Output error log</t>
    </r>
  </si>
  <si>
    <t>ACSMS-TC-008-064</t>
  </si>
  <si>
    <t>Xử lý khi mất kết nối network</t>
  </si>
  <si>
    <r>
      <rPr>
        <b/>
        <sz val="10"/>
        <color rgb="FF000000"/>
        <rFont val="メイリオ"/>
        <charset val="134"/>
      </rPr>
      <t xml:space="preserve">ステップ1：
</t>
    </r>
    <r>
      <rPr>
        <sz val="10"/>
        <color rgb="FF000000"/>
        <rFont val="メイリオ"/>
        <charset val="134"/>
      </rPr>
      <t xml:space="preserve">Mở `/kanri-shiten`
</t>
    </r>
    <r>
      <rPr>
        <b/>
        <sz val="10"/>
        <color rgb="FF000000"/>
        <rFont val="メイリオ"/>
        <charset val="134"/>
      </rPr>
      <t xml:space="preserve">ステップ2：
</t>
    </r>
    <r>
      <rPr>
        <sz val="10"/>
        <color rgb="FF000000"/>
        <rFont val="メイリオ"/>
        <charset val="134"/>
      </rPr>
      <t xml:space="preserve">Chọn "Offline" trên tab Network của DevTools (ngắt network)
</t>
    </r>
    <r>
      <rPr>
        <b/>
        <sz val="10"/>
        <color rgb="FF000000"/>
        <rFont val="メイリオ"/>
        <charset val="134"/>
      </rPr>
      <t xml:space="preserve">ステップ3：
</t>
    </r>
    <r>
      <rPr>
        <sz val="10"/>
        <color rgb="FF000000"/>
        <rFont val="メイリオ"/>
        <charset val="134"/>
      </rPr>
      <t xml:space="preserve">Click button "検索"
</t>
    </r>
    <r>
      <rPr>
        <b/>
        <sz val="10"/>
        <color rgb="FF000000"/>
        <rFont val="メイリオ"/>
        <charset val="134"/>
      </rPr>
      <t xml:space="preserve">ステップ4：
</t>
    </r>
    <r>
      <rPr>
        <sz val="10"/>
        <color rgb="FF000000"/>
        <rFont val="メイリオ"/>
        <charset val="134"/>
      </rPr>
      <t>Kiểm tra trạng thái request trên tab network của DevTools</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</si>
  <si>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Vào trạng thái ngắt network
</t>
    </r>
    <r>
      <rPr>
        <b/>
        <sz val="10"/>
        <color rgb="FF000000"/>
        <rFont val="メイリオ"/>
        <charset val="134"/>
      </rPr>
      <t xml:space="preserve">ステップ3：
</t>
    </r>
    <r>
      <rPr>
        <sz val="10"/>
        <color rgb="FF000000"/>
        <rFont val="メイリオ"/>
        <charset val="134"/>
      </rPr>
      <t xml:space="preserve">Request thất bại, hiển thị toast `ネットワークエラーが発生しました。しばらくしてから再度お試しください。` hoặc message tương đương
</t>
    </r>
    <r>
      <rPr>
        <b/>
        <sz val="10"/>
        <color rgb="FF000000"/>
        <rFont val="メイリオ"/>
        <charset val="134"/>
      </rPr>
      <t xml:space="preserve">ステップ4：
</t>
    </r>
    <r>
      <rPr>
        <sz val="10"/>
        <color rgb="FF000000"/>
        <rFont val="メイリオ"/>
        <charset val="134"/>
      </rPr>
      <t xml:space="preserve">Sau khi kết nối lại network, search lại thì lấy được bình thường
</t>
    </r>
    <r>
      <rPr>
        <b/>
        <sz val="10"/>
        <color rgb="FF000000"/>
        <rFont val="メイリオ"/>
        <charset val="134"/>
      </rPr>
      <t xml:space="preserve">補足：
</t>
    </r>
    <r>
      <rPr>
        <sz val="10"/>
        <color rgb="FF000000"/>
        <rFont val="メイリオ"/>
        <charset val="134"/>
      </rPr>
      <t xml:space="preserve">・Không phát sinh lỗi ngoài dự kiến
</t>
    </r>
    <r>
      <rPr>
        <sz val="10"/>
        <color rgb="FF000000"/>
        <rFont val="メイリオ"/>
        <charset val="134"/>
      </rPr>
      <t>・Không ảnh hưởng chức năng cũ</t>
    </r>
  </si>
  <si>
    <t>Văn bản toast khi mất kết nối network là default của axios interceptor (lỗi network). Vì chưa được spec hóa rõ ràng nên ghi nhận TBD.</t>
  </si>
  <si>
    <t>ACSMS-TC-008-065</t>
  </si>
  <si>
    <t>Kiểm tra security flag của Cookie</t>
  </si>
  <si>
    <t>・role: NICHINO_ADMIN
・Môi trường production / staging (HTTPS)</t>
  </si>
  <si>
    <r>
      <rPr>
        <b/>
        <sz val="10"/>
        <color rgb="FF000000"/>
        <rFont val="游ゴシック"/>
        <charset val="134"/>
      </rPr>
      <t xml:space="preserve">ステップ1：
</t>
    </r>
    <r>
      <rPr>
        <sz val="10"/>
        <color rgb="FF000000"/>
        <rFont val="游ゴシック"/>
        <charset val="134"/>
      </rPr>
      <t xml:space="preserve">Truy cập `/kanri-shiten`
</t>
    </r>
    <r>
      <rPr>
        <b/>
        <sz val="10"/>
        <color rgb="FF000000"/>
        <rFont val="游ゴシック"/>
        <charset val="134"/>
      </rPr>
      <t xml:space="preserve">ステップ2：
</t>
    </r>
    <r>
      <rPr>
        <sz val="10"/>
        <color rgb="FF000000"/>
        <rFont val="游ゴシック"/>
        <charset val="134"/>
      </rPr>
      <t xml:space="preserve">Kiểm tra Cookie `session_id` tại DevTools → Application → Cookies
</t>
    </r>
    <r>
      <rPr>
        <b/>
        <sz val="10"/>
        <color rgb="FF000000"/>
        <rFont val="游ゴシック"/>
        <charset val="134"/>
      </rPr>
      <t xml:space="preserve">ステップ3：
</t>
    </r>
    <r>
      <rPr>
        <sz val="10"/>
        <color rgb="FF000000"/>
        <rFont val="游ゴシック"/>
        <charset val="134"/>
      </rPr>
      <t>Thực thi `document.cookie` trên JavaScript console</t>
    </r>
  </si>
  <si>
    <r>
      <rPr>
        <b/>
        <sz val="10"/>
        <color rgb="FF000000"/>
        <rFont val="メイリオ"/>
        <charset val="134"/>
      </rPr>
      <t xml:space="preserve">ステップ1：
</t>
    </r>
    <r>
      <rPr>
        <sz val="10"/>
        <color rgb="FF000000"/>
        <rFont val="メイリオ"/>
        <charset val="134"/>
      </rPr>
      <t xml:space="preserve">Màn hình được hiển thị
</t>
    </r>
    <r>
      <rPr>
        <b/>
        <sz val="10"/>
        <color rgb="FF000000"/>
        <rFont val="メイリオ"/>
        <charset val="134"/>
      </rPr>
      <t xml:space="preserve">ステップ2：
</t>
    </r>
    <r>
      <rPr>
        <sz val="10"/>
        <color rgb="FF000000"/>
        <rFont val="メイリオ"/>
        <charset val="134"/>
      </rPr>
      <t xml:space="preserve">Cookie `session_id` được set đầy đủ `HttpOnly` / `Secure` / `SameSite=Strict` / `Path=/` / `Max-Age=86400`
</t>
    </r>
    <r>
      <rPr>
        <b/>
        <sz val="10"/>
        <color rgb="FF000000"/>
        <rFont val="メイリオ"/>
        <charset val="134"/>
      </rPr>
      <t xml:space="preserve">ステップ3：
</t>
    </r>
    <r>
      <rPr>
        <sz val="10"/>
        <color rgb="FF000000"/>
        <rFont val="メイリオ"/>
        <charset val="134"/>
      </rPr>
      <t xml:space="preserve">`session_id` không được hiển thị trong `document.cookie` (do HttpOnly)
</t>
    </r>
    <r>
      <rPr>
        <b/>
        <sz val="10"/>
        <color rgb="FF000000"/>
        <rFont val="メイリオ"/>
        <charset val="134"/>
      </rPr>
      <t xml:space="preserve">補足：
</t>
    </r>
    <r>
      <rPr>
        <sz val="10"/>
        <color rgb="FF000000"/>
        <rFont val="メイリオ"/>
        <charset val="134"/>
      </rPr>
      <t xml:space="preserve">・Bắt buộc token auth
</t>
    </r>
    <r>
      <rPr>
        <sz val="10"/>
        <color rgb="FF000000"/>
        <rFont val="メイリオ"/>
        <charset val="134"/>
      </rPr>
      <t>・Flag tiêu chuẩn ngăn rò rỉ session ID được set</t>
    </r>
  </si>
  <si>
    <t>ACSMS-TC-008-066</t>
  </si>
  <si>
    <t>Gọi API trực tiếp khi không có auth</t>
  </si>
  <si>
    <t>・Trạng thái chưa login (Cookie đã xóa)</t>
  </si>
  <si>
    <r>
      <rPr>
        <b/>
        <sz val="10"/>
        <color rgb="FF000000"/>
        <rFont val="メイリオ"/>
        <charset val="134"/>
      </rPr>
      <t xml:space="preserve">ステップ1：
</t>
    </r>
    <r>
      <rPr>
        <sz val="10"/>
        <color rgb="FF000000"/>
        <rFont val="メイリオ"/>
        <charset val="134"/>
      </rPr>
      <t xml:space="preserve">Xóa toàn bộ Cookie của trình duyệt
</t>
    </r>
    <r>
      <rPr>
        <b/>
        <sz val="10"/>
        <color rgb="FF000000"/>
        <rFont val="メイリオ"/>
        <charset val="134"/>
      </rPr>
      <t xml:space="preserve">ステップ2：
</t>
    </r>
    <r>
      <rPr>
        <sz val="10"/>
        <color rgb="FF000000"/>
        <rFont val="メイリオ"/>
        <charset val="134"/>
      </rPr>
      <t xml:space="preserve">Bằng DevTools hoặc curl gửi trực tiếp GET `/api/v1/kanri-shiten`
</t>
    </r>
    <r>
      <rPr>
        <b/>
        <sz val="10"/>
        <color rgb="FF000000"/>
        <rFont val="メイリオ"/>
        <charset val="134"/>
      </rPr>
      <t xml:space="preserve">ステップ3：
</t>
    </r>
    <r>
      <rPr>
        <sz val="10"/>
        <color rgb="FF000000"/>
        <rFont val="メイリオ"/>
        <charset val="134"/>
      </rPr>
      <t>Gửi trực tiếp DELETE `/api/v1/kanri-shiten/1`</t>
    </r>
  </si>
  <si>
    <r>
      <rPr>
        <b/>
        <sz val="10"/>
        <color rgb="FF000000"/>
        <rFont val="游ゴシック"/>
        <charset val="134"/>
      </rPr>
      <t xml:space="preserve">ステップ1：
</t>
    </r>
    <r>
      <rPr>
        <sz val="10"/>
        <color rgb="FF000000"/>
        <rFont val="游ゴシック"/>
        <charset val="134"/>
      </rPr>
      <t xml:space="preserve">Cookie bị xóa
</t>
    </r>
    <r>
      <rPr>
        <b/>
        <sz val="10"/>
        <color rgb="FF000000"/>
        <rFont val="游ゴシック"/>
        <charset val="134"/>
      </rPr>
      <t xml:space="preserve">ステップ2：
</t>
    </r>
    <r>
      <rPr>
        <sz val="10"/>
        <color rgb="FF000000"/>
        <rFont val="游ゴシック"/>
        <charset val="134"/>
      </rPr>
      <t xml:space="preserve">Trả về HTTP 401 (`error_code: UNAUTHORIZED`, message `セッションが切れました。再度ログインしてください。`)
</t>
    </r>
    <r>
      <rPr>
        <b/>
        <sz val="10"/>
        <color rgb="FF000000"/>
        <rFont val="游ゴシック"/>
        <charset val="134"/>
      </rPr>
      <t xml:space="preserve">ステップ3：
</t>
    </r>
    <r>
      <rPr>
        <sz val="10"/>
        <color rgb="FF000000"/>
        <rFont val="游ゴシック"/>
        <charset val="134"/>
      </rPr>
      <t xml:space="preserve">Trả về HTTP 401 (cùng trên)
</t>
    </r>
    <r>
      <rPr>
        <b/>
        <sz val="10"/>
        <color rgb="FF000000"/>
        <rFont val="游ゴシック"/>
        <charset val="134"/>
      </rPr>
      <t xml:space="preserve">補足：
</t>
    </r>
    <r>
      <rPr>
        <sz val="10"/>
        <color rgb="FF000000"/>
        <rFont val="游ゴシック"/>
        <charset val="134"/>
      </rPr>
      <t>・Access trực tiếp URL thì lỗi
・Bắt buộc token auth</t>
    </r>
  </si>
  <si>
    <t>ACSMS-TC-008-067</t>
  </si>
  <si>
    <t>Vi phạm DataScope — Thử xóa record của JA khác</t>
  </si>
  <si>
    <t>・role: NICHINO_ADMIN (theo seed hiện tại, master chi nhánh quản lý chỉ NICHINO_ADMIN access được, giả định khi mở rộng cho role khác trong tương lai)
・Giả định JA_HONTEN (ja-001) tương lai được cấp quyền view</t>
  </si>
  <si>
    <r>
      <rPr>
        <b/>
        <sz val="10"/>
        <color rgb="FF000000"/>
        <rFont val="メイリオ"/>
        <charset val="134"/>
      </rPr>
      <t xml:space="preserve">ステップ1：
</t>
    </r>
    <r>
      <rPr>
        <sz val="10"/>
        <color rgb="FF000000"/>
        <rFont val="メイリオ"/>
        <charset val="134"/>
      </rPr>
      <t xml:space="preserve">(Giả định tương lai) Login bằng JA_HONTEN (thuộc ja-001)
</t>
    </r>
    <r>
      <rPr>
        <b/>
        <sz val="10"/>
        <color rgb="FF000000"/>
        <rFont val="メイリオ"/>
        <charset val="134"/>
      </rPr>
      <t xml:space="preserve">ステップ2：
</t>
    </r>
    <r>
      <rPr>
        <sz val="10"/>
        <color rgb="FF000000"/>
        <rFont val="メイリオ"/>
        <charset val="134"/>
      </rPr>
      <t>Dùng DevTools gửi trực tiếp DELETE `/api/v1/kanri-shiten/{ID của JA khác}`</t>
    </r>
  </si>
  <si>
    <r>
      <rPr>
        <b/>
        <sz val="10"/>
        <color rgb="FF000000"/>
        <rFont val="メイリオ"/>
        <charset val="134"/>
      </rPr>
      <t xml:space="preserve">ステップ1：
</t>
    </r>
    <r>
      <rPr>
        <sz val="10"/>
        <color rgb="FF000000"/>
        <rFont val="メイリオ"/>
        <charset val="134"/>
      </rPr>
      <t xml:space="preserve">Login thành công
</t>
    </r>
    <r>
      <rPr>
        <b/>
        <sz val="10"/>
        <color rgb="FF000000"/>
        <rFont val="メイリオ"/>
        <charset val="134"/>
      </rPr>
      <t xml:space="preserve">ステップ2：
</t>
    </r>
    <r>
      <rPr>
        <sz val="10"/>
        <color rgb="FF000000"/>
        <rFont val="メイリオ"/>
        <charset val="134"/>
      </rPr>
      <t xml:space="preserve">Trả về HTTP 404 (`error_code: NOT_FOUND`, message `指定された管理支店が見つかりません。`, trả về 404 thay vì 403 để che giấu sự tồn tại)
</t>
    </r>
    <r>
      <rPr>
        <b/>
        <sz val="10"/>
        <color rgb="FF000000"/>
        <rFont val="メイリオ"/>
        <charset val="134"/>
      </rPr>
      <t xml:space="preserve">補足：
</t>
    </r>
    <r>
      <rPr>
        <sz val="10"/>
        <color rgb="FF000000"/>
        <rFont val="メイリオ"/>
        <charset val="134"/>
      </rPr>
      <t xml:space="preserve">・Data của JA khác được đối xử như không tồn tại
</t>
    </r>
    <r>
      <rPr>
        <sz val="10"/>
        <color rgb="FF000000"/>
        <rFont val="メイリオ"/>
        <charset val="134"/>
      </rPr>
      <t>・Access trực tiếp URL thì lỗi</t>
    </r>
  </si>
  <si>
    <t>Theo seed quyền hiện tại chỉ NICHINO_ADMIN có kanri_shiten.* và role khác không access được. Case này được định vị là regression test sau khi mở rộng tương lai tại §1.3 của tài liệu thiết kế (cấp quyền view cho CHUOKAI / JA_HONTEN / JA_KANRI_SHITEN) đã được implement.</t>
  </si>
  <si>
    <t>ACSMS-TC-008-068</t>
  </si>
  <si>
    <t>Kiểm tra tính toàn vẹn của audit log</t>
  </si>
  <si>
    <t>・role: NICHINO_ADMIN
・Chi nhánh quản lý đối tượng xóa (kanri_shiten_id = 10) đã đăng ký, không có data liên quan</t>
  </si>
  <si>
    <r>
      <rPr>
        <b/>
        <sz val="10"/>
        <color rgb="FF000000"/>
        <rFont val="游ゴシック"/>
        <charset val="134"/>
      </rPr>
      <t xml:space="preserve">ステップ1：
</t>
    </r>
    <r>
      <rPr>
        <sz val="10"/>
        <color rgb="FF000000"/>
        <rFont val="游ゴシック"/>
        <charset val="134"/>
      </rPr>
      <t xml:space="preserve">Thực hiện xóa (link "削除" → "はい")
</t>
    </r>
    <r>
      <rPr>
        <b/>
        <sz val="10"/>
        <color rgb="FF000000"/>
        <rFont val="游ゴシック"/>
        <charset val="134"/>
      </rPr>
      <t xml:space="preserve">ステップ2：
</t>
    </r>
    <r>
      <rPr>
        <sz val="10"/>
        <color rgb="FF000000"/>
        <rFont val="游ゴシック"/>
        <charset val="134"/>
      </rPr>
      <t>Kiểm tra DB: `SELECT log_type, log_datetime, account_id, gamen_name, operation, result_status, target_id, target_table, before_value, after_value, ip_address, user_agent FROM t_log WHERE target_id = 10 AND target_table = 'm_kanri_shiten' ORDER BY log_datetime DESC LIMIT 1`</t>
    </r>
  </si>
  <si>
    <r>
      <rPr>
        <b/>
        <sz val="10"/>
        <color rgb="FF000000"/>
        <rFont val="メイリオ"/>
        <charset val="134"/>
      </rPr>
      <t xml:space="preserve">ステップ1：
</t>
    </r>
    <r>
      <rPr>
        <sz val="10"/>
        <color rgb="FF000000"/>
        <rFont val="メイリオ"/>
        <charset val="134"/>
      </rPr>
      <t xml:space="preserve">Xử lý xóa thành công
</t>
    </r>
    <r>
      <rPr>
        <b/>
        <sz val="10"/>
        <color rgb="FF000000"/>
        <rFont val="メイリオ"/>
        <charset val="134"/>
      </rPr>
      <t xml:space="preserve">ステップ2：
</t>
    </r>
    <r>
      <rPr>
        <sz val="10"/>
        <color rgb="FF000000"/>
        <rFont val="メイリオ"/>
        <charset val="134"/>
      </rPr>
      <t xml:space="preserve">Audit log được record, mỗi cột có giá trị như sau:
</t>
    </r>
    <r>
      <rPr>
        <sz val="10"/>
        <color rgb="FF000000"/>
        <rFont val="メイリオ"/>
        <charset val="134"/>
      </rPr>
      <t xml:space="preserve">・log_type = 1 (user_operation)
</t>
    </r>
    <r>
      <rPr>
        <sz val="10"/>
        <color rgb="FF000000"/>
        <rFont val="メイリオ"/>
        <charset val="134"/>
      </rPr>
      <t xml:space="preserve">・gamen_name = `管理支店マスタ明細検索画面 (ACSMS-SCR-008)`
</t>
    </r>
    <r>
      <rPr>
        <sz val="10"/>
        <color rgb="FF000000"/>
        <rFont val="メイリオ"/>
        <charset val="134"/>
      </rPr>
      <t xml:space="preserve">・operation = `DELETE`
</t>
    </r>
    <r>
      <rPr>
        <sz val="10"/>
        <color rgb="FF000000"/>
        <rFont val="メイリオ"/>
        <charset val="134"/>
      </rPr>
      <t xml:space="preserve">・result_status = 1 (success)
</t>
    </r>
    <r>
      <rPr>
        <sz val="10"/>
        <color rgb="FF000000"/>
        <rFont val="メイリオ"/>
        <charset val="134"/>
      </rPr>
      <t xml:space="preserve">・target_id = 10
</t>
    </r>
    <r>
      <rPr>
        <sz val="10"/>
        <color rgb="FF000000"/>
        <rFont val="メイリオ"/>
        <charset val="134"/>
      </rPr>
      <t xml:space="preserve">・target_table = `m_kanri_shiten`
</t>
    </r>
    <r>
      <rPr>
        <sz val="10"/>
        <color rgb="FF000000"/>
        <rFont val="メイリオ"/>
        <charset val="134"/>
      </rPr>
      <t xml:space="preserve">・before_value chứa JSON data trước khi xóa (không chứa thông tin nhạy cảm như password)
</t>
    </r>
    <r>
      <rPr>
        <sz val="10"/>
        <color rgb="FF000000"/>
        <rFont val="メイリオ"/>
        <charset val="134"/>
      </rPr>
      <t xml:space="preserve">・after_value là chuỗi rỗng
</t>
    </r>
    <r>
      <rPr>
        <sz val="10"/>
        <color rgb="FF000000"/>
        <rFont val="メイリオ"/>
        <charset val="134"/>
      </rPr>
      <t xml:space="preserve">・ip_address / user_agent được record là giá trị nguồn của request
</t>
    </r>
    <r>
      <rPr>
        <b/>
        <sz val="10"/>
        <color rgb="FF000000"/>
        <rFont val="メイリオ"/>
        <charset val="134"/>
      </rPr>
      <t xml:space="preserve">補足：
</t>
    </r>
    <r>
      <rPr>
        <sz val="10"/>
        <color rgb="FF000000"/>
        <rFont val="メイリオ"/>
        <charset val="134"/>
      </rPr>
      <t xml:space="preserve">・Audit log được record
</t>
    </r>
    <r>
      <rPr>
        <sz val="10"/>
        <color rgb="FF000000"/>
        <rFont val="メイリオ"/>
        <charset val="134"/>
      </rPr>
      <t>・Đảm bảo tính toàn vẹn dữ liệu</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</si>
</sst>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m/yyyy"/>
    <numFmt numFmtId="179" formatCode="0.0%"/>
  </numFmts>
  <fonts count="37">
    <font>
      <sz val="11"/>
      <color theme="1"/>
      <name val="Calibri"/>
      <charset val="134"/>
      <scheme val="minor"/>
    </font>
    <font>
      <b/>
      <sz val="11"/>
      <color rgb="FF000000"/>
      <name val="游ゴシック"/>
      <charset val="134"/>
    </font>
    <font>
      <sz val="11"/>
      <name val="Calibri"/>
      <charset val="134"/>
      <scheme val="minor"/>
    </font>
    <font>
      <sz val="11"/>
      <color rgb="FF000000"/>
      <name val="游ゴシック"/>
      <charset val="134"/>
    </font>
    <font>
      <sz val="11"/>
      <color theme="1"/>
      <name val="Arial"/>
      <charset val="134"/>
    </font>
    <font>
      <sz val="11"/>
      <color theme="1"/>
      <name val="Calibri"/>
      <charset val="134"/>
    </font>
    <font>
      <strike/>
      <sz val="11"/>
      <color rgb="FF000000"/>
      <name val="游ゴシック"/>
      <charset val="134"/>
    </font>
    <font>
      <i/>
      <sz val="11"/>
      <color rgb="FF000000"/>
      <name val="游ゴシック"/>
      <charset val="134"/>
    </font>
    <font>
      <b/>
      <sz val="14"/>
      <color rgb="FF000000"/>
      <name val="游ゴシック"/>
      <charset val="134"/>
    </font>
    <font>
      <sz val="26"/>
      <color rgb="FF1F3864"/>
      <name val="游ゴシック"/>
      <charset val="134"/>
    </font>
    <font>
      <sz val="24"/>
      <color rgb="FF1F3864"/>
      <name val="游ゴシック"/>
      <charset val="134"/>
    </font>
    <font>
      <sz val="15"/>
      <color theme="1"/>
      <name val="游ゴシック"/>
      <charset val="134"/>
    </font>
    <font>
      <sz val="10"/>
      <color rgb="FF000000"/>
      <name val="游ゴシック"/>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游ゴシック"/>
      <charset val="134"/>
    </font>
    <font>
      <b/>
      <sz val="10"/>
      <color rgb="FF000000"/>
      <name val="メイリオ"/>
      <charset val="134"/>
    </font>
    <font>
      <sz val="10"/>
      <color rgb="FF000000"/>
      <name val="メイリオ"/>
      <charset val="134"/>
    </font>
    <font>
      <b/>
      <strike/>
      <sz val="10"/>
      <color rgb="FF000000"/>
      <name val="メイリオ"/>
      <charset val="134"/>
    </font>
    <font>
      <strike/>
      <sz val="10"/>
      <color rgb="FF000000"/>
      <name val="メイリオ"/>
      <charset val="134"/>
    </font>
  </fonts>
  <fills count="42">
    <fill>
      <patternFill patternType="none"/>
    </fill>
    <fill>
      <patternFill patternType="gray125"/>
    </fill>
    <fill>
      <patternFill patternType="solid">
        <fgColor rgb="FFDEEAF6"/>
        <bgColor rgb="FFDEEAF6"/>
      </patternFill>
    </fill>
    <fill>
      <patternFill patternType="solid">
        <fgColor rgb="FFBDD6EE"/>
        <bgColor rgb="FFBDD6EE"/>
      </patternFill>
    </fill>
    <fill>
      <patternFill patternType="solid">
        <fgColor theme="0"/>
        <bgColor theme="0"/>
      </patternFill>
    </fill>
    <fill>
      <patternFill patternType="solid">
        <fgColor rgb="FFB4C6E7"/>
        <bgColor rgb="FFB4C6E7"/>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FF99"/>
        <bgColor rgb="FFFFFF99"/>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11"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12" borderId="18" applyNumberFormat="0" applyAlignment="0" applyProtection="0">
      <alignment vertical="center"/>
    </xf>
    <xf numFmtId="0" fontId="22" fillId="13" borderId="19" applyNumberFormat="0" applyAlignment="0" applyProtection="0">
      <alignment vertical="center"/>
    </xf>
    <xf numFmtId="0" fontId="23" fillId="13" borderId="18" applyNumberFormat="0" applyAlignment="0" applyProtection="0">
      <alignment vertical="center"/>
    </xf>
    <xf numFmtId="0" fontId="24" fillId="14"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31" fillId="39" borderId="0" applyNumberFormat="0" applyBorder="0" applyAlignment="0" applyProtection="0">
      <alignment vertical="center"/>
    </xf>
    <xf numFmtId="0" fontId="31" fillId="40" borderId="0" applyNumberFormat="0" applyBorder="0" applyAlignment="0" applyProtection="0">
      <alignment vertical="center"/>
    </xf>
    <xf numFmtId="0" fontId="30" fillId="41" borderId="0" applyNumberFormat="0" applyBorder="0" applyAlignment="0" applyProtection="0">
      <alignment vertical="center"/>
    </xf>
  </cellStyleXfs>
  <cellXfs count="65">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1" fillId="3" borderId="1" xfId="0" applyFont="1" applyFill="1" applyBorder="1" applyAlignment="1">
      <alignment horizontal="left" vertical="center" wrapText="1"/>
    </xf>
    <xf numFmtId="0" fontId="3" fillId="0" borderId="12"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78" fontId="3"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vertical="top"/>
    </xf>
    <xf numFmtId="178" fontId="4" fillId="0" borderId="1" xfId="0" applyNumberFormat="1" applyFont="1" applyBorder="1" applyAlignment="1">
      <alignment horizontal="center" vertical="top" wrapText="1"/>
    </xf>
    <xf numFmtId="0" fontId="3" fillId="4" borderId="1" xfId="0" applyFont="1" applyFill="1" applyBorder="1" applyAlignment="1">
      <alignment horizontal="left" vertical="top" wrapText="1"/>
    </xf>
    <xf numFmtId="0" fontId="6" fillId="0" borderId="12"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1" fillId="5" borderId="1" xfId="0" applyFont="1" applyFill="1" applyBorder="1" applyAlignment="1">
      <alignment horizontal="center" vertical="center" wrapText="1"/>
    </xf>
    <xf numFmtId="0" fontId="3" fillId="0" borderId="5" xfId="0" applyFont="1" applyBorder="1" applyAlignment="1">
      <alignment horizontal="center" vertical="center" wrapText="1"/>
    </xf>
    <xf numFmtId="49" fontId="3" fillId="0" borderId="5" xfId="0" applyNumberFormat="1" applyFont="1" applyBorder="1" applyAlignment="1">
      <alignment horizontal="center" vertical="center" wrapText="1"/>
    </xf>
    <xf numFmtId="0" fontId="1" fillId="0" borderId="0" xfId="0" applyFont="1" applyAlignment="1">
      <alignment horizontal="left" vertical="center" wrapText="1"/>
    </xf>
    <xf numFmtId="0" fontId="1" fillId="2" borderId="12" xfId="0" applyFont="1" applyFill="1" applyBorder="1" applyAlignment="1">
      <alignment horizontal="center" vertical="center" wrapText="1"/>
    </xf>
    <xf numFmtId="0" fontId="1" fillId="6" borderId="1" xfId="0" applyFont="1" applyFill="1" applyBorder="1" applyAlignment="1">
      <alignment horizontal="center" vertical="top" wrapText="1"/>
    </xf>
    <xf numFmtId="0" fontId="1" fillId="7" borderId="1" xfId="0" applyFont="1" applyFill="1" applyBorder="1" applyAlignment="1">
      <alignment horizontal="center" vertical="top" wrapText="1"/>
    </xf>
    <xf numFmtId="0" fontId="1" fillId="8" borderId="1" xfId="0" applyFont="1" applyFill="1" applyBorder="1" applyAlignment="1">
      <alignment horizontal="center" vertical="top" wrapText="1"/>
    </xf>
    <xf numFmtId="0" fontId="1" fillId="3" borderId="1"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top" wrapText="1"/>
    </xf>
    <xf numFmtId="0" fontId="7" fillId="0" borderId="1" xfId="0" applyFont="1" applyBorder="1" applyAlignment="1">
      <alignment horizontal="left" vertical="top" wrapText="1"/>
    </xf>
    <xf numFmtId="0" fontId="8" fillId="5" borderId="1"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3" fillId="0" borderId="12" xfId="0" applyFont="1" applyBorder="1" applyAlignment="1">
      <alignment horizontal="center" vertical="center" wrapText="1"/>
    </xf>
    <xf numFmtId="179" fontId="3"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0" fontId="3" fillId="0" borderId="0" xfId="0" applyFont="1" applyAlignment="1">
      <alignment horizontal="left" vertical="center" wrapText="1"/>
    </xf>
    <xf numFmtId="0" fontId="1" fillId="9" borderId="0" xfId="0" applyFont="1" applyFill="1" applyBorder="1" applyAlignment="1">
      <alignment horizontal="left" vertical="center" wrapText="1"/>
    </xf>
    <xf numFmtId="0" fontId="2" fillId="0" borderId="0" xfId="0" applyFont="1" applyBorder="1"/>
    <xf numFmtId="0" fontId="1" fillId="5" borderId="12"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0" fontId="5" fillId="0" borderId="13" xfId="0" applyFont="1" applyBorder="1"/>
    <xf numFmtId="0" fontId="5" fillId="0" borderId="14" xfId="0" applyFont="1" applyBorder="1"/>
    <xf numFmtId="0" fontId="9" fillId="0" borderId="13" xfId="0" applyFont="1" applyBorder="1" applyAlignment="1">
      <alignment horizontal="center" vertical="center" wrapText="1"/>
    </xf>
    <xf numFmtId="0" fontId="2" fillId="0" borderId="14" xfId="0" applyFont="1" applyBorder="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10" borderId="1" xfId="0" applyFont="1" applyFill="1" applyBorder="1" applyAlignment="1">
      <alignment horizontal="center" vertical="center" wrapText="1"/>
    </xf>
    <xf numFmtId="49" fontId="12" fillId="10" borderId="1" xfId="0" applyNumberFormat="1" applyFont="1" applyFill="1" applyBorder="1" applyAlignment="1">
      <alignment horizontal="center" vertical="center" wrapText="1"/>
    </xf>
    <xf numFmtId="0" fontId="5" fillId="0" borderId="9" xfId="0" applyFont="1" applyBorder="1"/>
    <xf numFmtId="0" fontId="5" fillId="0" borderId="10" xfId="0" applyFont="1" applyBorder="1"/>
    <xf numFmtId="0" fontId="5" fillId="0" borderId="1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0</xdr:colOff>
      <xdr:row>2</xdr:row>
      <xdr:rowOff>0</xdr:rowOff>
    </xdr:from>
    <xdr:ext cx="1333500" cy="514350"/>
    <xdr:pic>
      <xdr:nvPicPr>
        <xdr:cNvPr id="2" name="image1.png" descr="Picture"/>
        <xdr:cNvPicPr preferRelativeResize="0"/>
      </xdr:nvPicPr>
      <xdr:blipFill>
        <a:blip r:embed="rId1" cstate="print"/>
        <a:stretch>
          <a:fillRect/>
        </a:stretch>
      </xdr:blipFill>
      <xdr:spPr>
        <a:xfrm>
          <a:off x="3314700" y="409575"/>
          <a:ext cx="13335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K1000"/>
  <sheetViews>
    <sheetView showGridLines="0" workbookViewId="0">
      <selection activeCell="A1" sqref="A1"/>
    </sheetView>
  </sheetViews>
  <sheetFormatPr defaultColWidth="14.4285714285714" defaultRowHeight="15" customHeight="1"/>
  <cols>
    <col min="1" max="1" width="3.71428571428571" customWidth="1"/>
    <col min="2" max="37" width="3.28571428571429" customWidth="1"/>
  </cols>
  <sheetData>
    <row r="1" ht="19.5" customHeight="1"/>
    <row r="2" ht="12.75" customHeight="1" spans="2:37">
      <c r="B2" s="51"/>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3"/>
    </row>
    <row r="3" ht="12.75" customHeight="1" spans="2:37">
      <c r="B3" s="54"/>
      <c r="AK3" s="55"/>
    </row>
    <row r="4" ht="12.75" customHeight="1" spans="2:37">
      <c r="B4" s="54"/>
      <c r="AK4" s="55"/>
    </row>
    <row r="5" ht="12.75" customHeight="1" spans="2:37">
      <c r="B5" s="54"/>
      <c r="AK5" s="55"/>
    </row>
    <row r="6" ht="12.75" customHeight="1" spans="2:37">
      <c r="B6" s="54"/>
      <c r="AK6" s="55"/>
    </row>
    <row r="7" ht="12.75" customHeight="1" spans="2:37">
      <c r="B7" s="54"/>
      <c r="AK7" s="55"/>
    </row>
    <row r="8" ht="12.75" customHeight="1" spans="2:37">
      <c r="B8" s="54"/>
      <c r="AK8" s="55"/>
    </row>
    <row r="9" ht="12.75" customHeight="1" spans="2:37">
      <c r="B9" s="54"/>
      <c r="AK9" s="55"/>
    </row>
    <row r="10" ht="29.25" customHeight="1" spans="2:37">
      <c r="B10" s="56" t="s">
        <v>0</v>
      </c>
      <c r="AK10" s="57"/>
    </row>
    <row r="11" ht="12.75" customHeight="1" spans="2:37">
      <c r="B11" s="54"/>
      <c r="AK11" s="55"/>
    </row>
    <row r="12" ht="39" customHeight="1" spans="2:37">
      <c r="B12" s="58" t="s">
        <v>1</v>
      </c>
      <c r="AK12" s="57"/>
    </row>
    <row r="13" ht="12.75" customHeight="1" spans="2:37">
      <c r="B13" s="54"/>
      <c r="AK13" s="55"/>
    </row>
    <row r="14" ht="12.75" customHeight="1" spans="2:37">
      <c r="B14" s="54"/>
      <c r="AK14" s="55"/>
    </row>
    <row r="15" ht="12.75" customHeight="1" spans="2:37">
      <c r="B15" s="59" t="s">
        <v>2</v>
      </c>
      <c r="AK15" s="57"/>
    </row>
    <row r="16" ht="12.75" customHeight="1" spans="2:37">
      <c r="B16" s="54"/>
      <c r="AK16" s="55"/>
    </row>
    <row r="17" ht="12.75" customHeight="1" spans="2:37">
      <c r="B17" s="54"/>
      <c r="AK17" s="55"/>
    </row>
    <row r="18" ht="12.75" customHeight="1" spans="2:37">
      <c r="B18" s="54"/>
      <c r="N18" s="60" t="s">
        <v>3</v>
      </c>
      <c r="O18" s="2"/>
      <c r="P18" s="2"/>
      <c r="Q18" s="2"/>
      <c r="R18" s="3"/>
      <c r="S18" s="60" t="s">
        <v>4</v>
      </c>
      <c r="T18" s="2"/>
      <c r="U18" s="2"/>
      <c r="V18" s="2"/>
      <c r="W18" s="3"/>
      <c r="AK18" s="55"/>
    </row>
    <row r="19" ht="12.75" customHeight="1" spans="2:37">
      <c r="B19" s="54"/>
      <c r="N19" s="60" t="s">
        <v>5</v>
      </c>
      <c r="O19" s="2"/>
      <c r="P19" s="2"/>
      <c r="Q19" s="2"/>
      <c r="R19" s="3"/>
      <c r="S19" s="60" t="s">
        <v>6</v>
      </c>
      <c r="T19" s="2"/>
      <c r="U19" s="2"/>
      <c r="V19" s="2"/>
      <c r="W19" s="3"/>
      <c r="AK19" s="55"/>
    </row>
    <row r="20" ht="12.75" customHeight="1" spans="2:37">
      <c r="B20" s="54"/>
      <c r="N20" s="60" t="s">
        <v>7</v>
      </c>
      <c r="O20" s="2"/>
      <c r="P20" s="2"/>
      <c r="Q20" s="2"/>
      <c r="R20" s="3"/>
      <c r="S20" s="61" t="s">
        <v>8</v>
      </c>
      <c r="T20" s="2"/>
      <c r="U20" s="2"/>
      <c r="V20" s="2"/>
      <c r="W20" s="3"/>
      <c r="AK20" s="55"/>
    </row>
    <row r="21" ht="12.75" customHeight="1" spans="2:37">
      <c r="B21" s="54"/>
      <c r="AK21" s="55"/>
    </row>
    <row r="22" ht="12.75" customHeight="1" spans="2:37">
      <c r="B22" s="54"/>
      <c r="AK22" s="55"/>
    </row>
    <row r="23" ht="12.75" customHeight="1" spans="2:37">
      <c r="B23" s="54"/>
      <c r="AK23" s="55"/>
    </row>
    <row r="24" ht="12.75" customHeight="1" spans="2:37">
      <c r="B24" s="54"/>
      <c r="AK24" s="55"/>
    </row>
    <row r="25" ht="12.75" customHeight="1" spans="2:37">
      <c r="B25" s="54"/>
      <c r="AK25" s="55"/>
    </row>
    <row r="26" ht="12.75" customHeight="1" spans="2:37">
      <c r="B26" s="54"/>
      <c r="AK26" s="55"/>
    </row>
    <row r="27" ht="12.75" customHeight="1" spans="2:37">
      <c r="B27" s="54"/>
      <c r="AK27" s="55"/>
    </row>
    <row r="28" ht="12.75" customHeight="1" spans="2:37">
      <c r="B28" s="54"/>
      <c r="AK28" s="55"/>
    </row>
    <row r="29" ht="12.75" customHeight="1" spans="2:37">
      <c r="B29" s="54"/>
      <c r="AK29" s="55"/>
    </row>
    <row r="30" ht="12.75" customHeight="1" spans="2:37">
      <c r="B30" s="54"/>
      <c r="AK30" s="55"/>
    </row>
    <row r="31" ht="12.75" customHeight="1" spans="2:37">
      <c r="B31" s="54"/>
      <c r="AK31" s="55"/>
    </row>
    <row r="32" ht="12.75" customHeight="1" spans="2:37">
      <c r="B32" s="54"/>
      <c r="AK32" s="55"/>
    </row>
    <row r="33" ht="12.75" customHeight="1" spans="2:37">
      <c r="B33" s="54"/>
      <c r="AK33" s="55"/>
    </row>
    <row r="34" ht="12.75" customHeight="1" spans="2:37">
      <c r="B34" s="62"/>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4"/>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B10:AK10"/>
    <mergeCell ref="B12:AK12"/>
    <mergeCell ref="B15:AK15"/>
    <mergeCell ref="N18:R18"/>
    <mergeCell ref="S18:W18"/>
    <mergeCell ref="N19:R19"/>
    <mergeCell ref="S19:W19"/>
    <mergeCell ref="N20:R20"/>
    <mergeCell ref="S20:W20"/>
  </mergeCells>
  <pageMargins left="0.75" right="0.75" top="1" bottom="1"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
    </sheetView>
  </sheetViews>
  <sheetFormatPr defaultColWidth="14.4285714285714" defaultRowHeight="15" customHeight="1"/>
  <cols>
    <col min="1" max="1" width="8" customWidth="1"/>
    <col min="2" max="34" width="3.28571428571429" customWidth="1"/>
  </cols>
  <sheetData>
    <row r="1" ht="22.5" customHeight="1" spans="1:34">
      <c r="A1" s="50" t="s">
        <v>9</v>
      </c>
      <c r="B1" s="28" t="s">
        <v>7</v>
      </c>
      <c r="C1" s="2"/>
      <c r="D1" s="2"/>
      <c r="E1" s="3"/>
      <c r="F1" s="28" t="s">
        <v>10</v>
      </c>
      <c r="G1" s="2"/>
      <c r="H1" s="3"/>
      <c r="I1" s="28" t="s">
        <v>11</v>
      </c>
      <c r="J1" s="2"/>
      <c r="K1" s="2"/>
      <c r="L1" s="2"/>
      <c r="M1" s="2"/>
      <c r="N1" s="3"/>
      <c r="O1" s="28" t="s">
        <v>12</v>
      </c>
      <c r="P1" s="2"/>
      <c r="Q1" s="2"/>
      <c r="R1" s="2"/>
      <c r="S1" s="2"/>
      <c r="T1" s="2"/>
      <c r="U1" s="2"/>
      <c r="V1" s="3"/>
      <c r="W1" s="28" t="s">
        <v>13</v>
      </c>
      <c r="X1" s="2"/>
      <c r="Y1" s="2"/>
      <c r="Z1" s="2"/>
      <c r="AA1" s="2"/>
      <c r="AB1" s="3"/>
      <c r="AC1" s="28" t="s">
        <v>14</v>
      </c>
      <c r="AD1" s="2"/>
      <c r="AE1" s="2"/>
      <c r="AF1" s="2"/>
      <c r="AG1" s="2"/>
      <c r="AH1" s="3"/>
    </row>
    <row r="2" ht="22.5" customHeight="1" spans="1:34">
      <c r="A2" s="44">
        <v>1</v>
      </c>
      <c r="B2" s="6" t="s">
        <v>15</v>
      </c>
      <c r="C2" s="2"/>
      <c r="D2" s="2"/>
      <c r="E2" s="3"/>
      <c r="F2" s="6" t="s">
        <v>6</v>
      </c>
      <c r="G2" s="2"/>
      <c r="H2" s="3"/>
      <c r="I2" s="6" t="s">
        <v>16</v>
      </c>
      <c r="J2" s="2"/>
      <c r="K2" s="2"/>
      <c r="L2" s="2"/>
      <c r="M2" s="2"/>
      <c r="N2" s="3"/>
      <c r="O2" s="4" t="s">
        <v>17</v>
      </c>
      <c r="P2" s="2"/>
      <c r="Q2" s="2"/>
      <c r="R2" s="2"/>
      <c r="S2" s="2"/>
      <c r="T2" s="2"/>
      <c r="U2" s="2"/>
      <c r="V2" s="3"/>
      <c r="W2" s="6" t="s">
        <v>18</v>
      </c>
      <c r="X2" s="2"/>
      <c r="Y2" s="2"/>
      <c r="Z2" s="2"/>
      <c r="AA2" s="2"/>
      <c r="AB2" s="3"/>
      <c r="AC2" s="6"/>
      <c r="AD2" s="2"/>
      <c r="AE2" s="2"/>
      <c r="AF2" s="2"/>
      <c r="AG2" s="2"/>
      <c r="AH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E1"/>
    <mergeCell ref="F1:H1"/>
    <mergeCell ref="I1:N1"/>
    <mergeCell ref="O1:V1"/>
    <mergeCell ref="W1:AB1"/>
    <mergeCell ref="AC1:AH1"/>
    <mergeCell ref="B2:E2"/>
    <mergeCell ref="F2:H2"/>
    <mergeCell ref="I2:N2"/>
    <mergeCell ref="O2:V2"/>
    <mergeCell ref="W2:AB2"/>
    <mergeCell ref="AC2:AH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8" t="s">
        <v>19</v>
      </c>
      <c r="B1" s="2"/>
      <c r="C1" s="2"/>
      <c r="D1" s="2"/>
      <c r="E1" s="2"/>
      <c r="F1" s="2"/>
      <c r="G1" s="2"/>
      <c r="H1" s="2"/>
      <c r="I1" s="3"/>
      <c r="J1" s="28" t="s">
        <v>20</v>
      </c>
      <c r="K1" s="2"/>
      <c r="L1" s="2"/>
      <c r="M1" s="2"/>
      <c r="N1" s="2"/>
      <c r="O1" s="2"/>
      <c r="P1" s="3"/>
      <c r="Q1" s="28" t="s">
        <v>21</v>
      </c>
      <c r="R1" s="2"/>
      <c r="S1" s="2"/>
      <c r="T1" s="2"/>
      <c r="U1" s="3"/>
      <c r="V1" s="28" t="s">
        <v>22</v>
      </c>
      <c r="W1" s="2"/>
      <c r="X1" s="2"/>
      <c r="Y1" s="3"/>
      <c r="Z1" s="28" t="s">
        <v>23</v>
      </c>
      <c r="AA1" s="2"/>
      <c r="AB1" s="2"/>
      <c r="AC1" s="3"/>
      <c r="AD1" s="28" t="s">
        <v>24</v>
      </c>
      <c r="AE1" s="2"/>
      <c r="AF1" s="2"/>
      <c r="AG1" s="3"/>
      <c r="AH1" s="28" t="s">
        <v>25</v>
      </c>
      <c r="AI1" s="2"/>
      <c r="AJ1" s="2"/>
      <c r="AK1" s="3"/>
    </row>
    <row r="2" ht="19.5" customHeight="1" spans="1:37">
      <c r="A2" s="29" t="s">
        <v>0</v>
      </c>
      <c r="B2" s="10"/>
      <c r="C2" s="10"/>
      <c r="D2" s="10"/>
      <c r="E2" s="10"/>
      <c r="F2" s="10"/>
      <c r="G2" s="10"/>
      <c r="H2" s="10"/>
      <c r="I2" s="11"/>
      <c r="J2" s="29" t="s">
        <v>26</v>
      </c>
      <c r="K2" s="10"/>
      <c r="L2" s="10"/>
      <c r="M2" s="10"/>
      <c r="N2" s="10"/>
      <c r="O2" s="10"/>
      <c r="P2" s="11"/>
      <c r="Q2" s="29" t="s">
        <v>27</v>
      </c>
      <c r="R2" s="10"/>
      <c r="S2" s="10"/>
      <c r="T2" s="10"/>
      <c r="U2" s="11"/>
      <c r="V2" s="30" t="s">
        <v>8</v>
      </c>
      <c r="W2" s="10"/>
      <c r="X2" s="10"/>
      <c r="Y2" s="11"/>
      <c r="Z2" s="29" t="s">
        <v>16</v>
      </c>
      <c r="AA2" s="10"/>
      <c r="AB2" s="10"/>
      <c r="AC2" s="11"/>
      <c r="AD2" s="30" t="s">
        <v>8</v>
      </c>
      <c r="AE2" s="10"/>
      <c r="AF2" s="10"/>
      <c r="AG2" s="11"/>
      <c r="AH2" s="29"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1" t="s">
        <v>28</v>
      </c>
    </row>
    <row r="6" ht="19.5" customHeight="1" spans="1:37">
      <c r="C6" s="47" t="s">
        <v>29</v>
      </c>
    </row>
    <row r="7" ht="19.5" customHeight="1" spans="1:37">
      <c r="C7" s="47" t="s">
        <v>30</v>
      </c>
    </row>
    <row r="8" ht="19.5" customHeight="1" spans="1:37">
      <c r="C8" s="47" t="s">
        <v>31</v>
      </c>
    </row>
    <row r="9" ht="19.5" customHeight="1" spans="1:37">
      <c r="C9" s="47" t="s">
        <v>32</v>
      </c>
    </row>
    <row r="10" ht="19.5" customHeight="1" spans="1:37">
      <c r="C10" s="47" t="s">
        <v>33</v>
      </c>
    </row>
    <row r="11" ht="19.5" customHeight="1" spans="1:37">
      <c r="C11" s="47" t="s">
        <v>34</v>
      </c>
    </row>
    <row r="12" ht="19.5" customHeight="1" spans="1:37">
      <c r="C12" s="47" t="s">
        <v>35</v>
      </c>
    </row>
    <row r="14" ht="19.5" customHeight="1" spans="1:37">
      <c r="B14" s="31" t="s">
        <v>36</v>
      </c>
    </row>
    <row r="15" ht="19.5" customHeight="1" spans="1:37">
      <c r="C15" s="48" t="s">
        <v>37</v>
      </c>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row>
    <row r="16" ht="19.5" customHeight="1" spans="1:37">
      <c r="C16" s="48" t="s">
        <v>38</v>
      </c>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row>
    <row r="17" ht="19.5" customHeight="1" spans="2:37">
      <c r="C17" s="48" t="s">
        <v>39</v>
      </c>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row>
    <row r="18" ht="19.5" customHeight="1" spans="2:37">
      <c r="C18" s="48" t="s">
        <v>40</v>
      </c>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row>
    <row r="19" ht="19.5" customHeight="1" spans="2:37">
      <c r="C19" s="48" t="s">
        <v>41</v>
      </c>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row>
    <row r="21" ht="19.5" customHeight="1" spans="2:37">
      <c r="B21" s="31" t="s">
        <v>42</v>
      </c>
    </row>
    <row r="23" ht="22.5" customHeight="1" spans="2:37">
      <c r="C23" s="50" t="s">
        <v>43</v>
      </c>
      <c r="D23" s="28" t="s">
        <v>44</v>
      </c>
      <c r="E23" s="2"/>
      <c r="F23" s="2"/>
      <c r="G23" s="2"/>
      <c r="H23" s="2"/>
      <c r="I23" s="2"/>
      <c r="J23" s="2"/>
      <c r="K23" s="2"/>
      <c r="L23" s="2"/>
      <c r="M23" s="2"/>
      <c r="N23" s="3"/>
      <c r="O23" s="28" t="s">
        <v>45</v>
      </c>
      <c r="P23" s="2"/>
      <c r="Q23" s="2"/>
      <c r="R23" s="2"/>
      <c r="S23" s="2"/>
      <c r="T23" s="2"/>
      <c r="U23" s="2"/>
      <c r="V23" s="2"/>
      <c r="W23" s="2"/>
      <c r="X23" s="2"/>
      <c r="Y23" s="2"/>
      <c r="Z23" s="2"/>
      <c r="AA23" s="2"/>
      <c r="AB23" s="2"/>
      <c r="AC23" s="2"/>
      <c r="AD23" s="2"/>
      <c r="AE23" s="2"/>
      <c r="AF23" s="2"/>
      <c r="AG23" s="3"/>
    </row>
    <row r="24" ht="22.5" customHeight="1" spans="2:37">
      <c r="C24" s="44">
        <v>1</v>
      </c>
      <c r="D24" s="4" t="s">
        <v>46</v>
      </c>
      <c r="E24" s="2"/>
      <c r="F24" s="2"/>
      <c r="G24" s="2"/>
      <c r="H24" s="2"/>
      <c r="I24" s="2"/>
      <c r="J24" s="2"/>
      <c r="K24" s="2"/>
      <c r="L24" s="2"/>
      <c r="M24" s="2"/>
      <c r="N24" s="3"/>
      <c r="O24" s="4" t="s">
        <v>47</v>
      </c>
      <c r="P24" s="2"/>
      <c r="Q24" s="2"/>
      <c r="R24" s="2"/>
      <c r="S24" s="2"/>
      <c r="T24" s="2"/>
      <c r="U24" s="2"/>
      <c r="V24" s="2"/>
      <c r="W24" s="2"/>
      <c r="X24" s="2"/>
      <c r="Y24" s="2"/>
      <c r="Z24" s="2"/>
      <c r="AA24" s="2"/>
      <c r="AB24" s="2"/>
      <c r="AC24" s="2"/>
      <c r="AD24" s="2"/>
      <c r="AE24" s="2"/>
      <c r="AF24" s="2"/>
      <c r="AG24" s="3"/>
    </row>
    <row r="25" ht="22.5" customHeight="1" spans="2:37">
      <c r="C25" s="44">
        <v>2</v>
      </c>
      <c r="D25" s="4" t="s">
        <v>48</v>
      </c>
      <c r="E25" s="2"/>
      <c r="F25" s="2"/>
      <c r="G25" s="2"/>
      <c r="H25" s="2"/>
      <c r="I25" s="2"/>
      <c r="J25" s="2"/>
      <c r="K25" s="2"/>
      <c r="L25" s="2"/>
      <c r="M25" s="2"/>
      <c r="N25" s="3"/>
      <c r="O25" s="4" t="s">
        <v>49</v>
      </c>
      <c r="P25" s="2"/>
      <c r="Q25" s="2"/>
      <c r="R25" s="2"/>
      <c r="S25" s="2"/>
      <c r="T25" s="2"/>
      <c r="U25" s="2"/>
      <c r="V25" s="2"/>
      <c r="W25" s="2"/>
      <c r="X25" s="2"/>
      <c r="Y25" s="2"/>
      <c r="Z25" s="2"/>
      <c r="AA25" s="2"/>
      <c r="AB25" s="2"/>
      <c r="AC25" s="2"/>
      <c r="AD25" s="2"/>
      <c r="AE25" s="2"/>
      <c r="AF25" s="2"/>
      <c r="AG25" s="3"/>
    </row>
    <row r="26" ht="22.5" customHeight="1" spans="2:37">
      <c r="C26" s="44">
        <v>3</v>
      </c>
      <c r="D26" s="4" t="s">
        <v>50</v>
      </c>
      <c r="E26" s="2"/>
      <c r="F26" s="2"/>
      <c r="G26" s="2"/>
      <c r="H26" s="2"/>
      <c r="I26" s="2"/>
      <c r="J26" s="2"/>
      <c r="K26" s="2"/>
      <c r="L26" s="2"/>
      <c r="M26" s="2"/>
      <c r="N26" s="3"/>
      <c r="O26" s="4" t="s">
        <v>51</v>
      </c>
      <c r="P26" s="2"/>
      <c r="Q26" s="2"/>
      <c r="R26" s="2"/>
      <c r="S26" s="2"/>
      <c r="T26" s="2"/>
      <c r="U26" s="2"/>
      <c r="V26" s="2"/>
      <c r="W26" s="2"/>
      <c r="X26" s="2"/>
      <c r="Y26" s="2"/>
      <c r="Z26" s="2"/>
      <c r="AA26" s="2"/>
      <c r="AB26" s="2"/>
      <c r="AC26" s="2"/>
      <c r="AD26" s="2"/>
      <c r="AE26" s="2"/>
      <c r="AF26" s="2"/>
      <c r="AG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B21:AK21"/>
    <mergeCell ref="D23:N23"/>
    <mergeCell ref="O23:AG23"/>
    <mergeCell ref="D24:N24"/>
    <mergeCell ref="O24:AG24"/>
    <mergeCell ref="D25:N25"/>
    <mergeCell ref="O25:AG25"/>
    <mergeCell ref="D26:N26"/>
    <mergeCell ref="O26:AG26"/>
    <mergeCell ref="A2:I3"/>
    <mergeCell ref="J2:P3"/>
    <mergeCell ref="Q2:U3"/>
    <mergeCell ref="V2:Y3"/>
    <mergeCell ref="Z2:AC3"/>
    <mergeCell ref="AD2:AG3"/>
    <mergeCell ref="AH2:AK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000"/>
  <sheetViews>
    <sheetView showGridLines="0" workbookViewId="0">
      <selection activeCell="A1" sqref="A1:AH1"/>
    </sheetView>
  </sheetViews>
  <sheetFormatPr defaultColWidth="14.4285714285714" defaultRowHeight="15" customHeight="1"/>
  <cols>
    <col min="1" max="1" width="13" customWidth="1"/>
    <col min="2" max="34" width="5" customWidth="1"/>
  </cols>
  <sheetData>
    <row r="1" ht="28.5" customHeight="1" spans="1:34">
      <c r="A1" s="40" t="s">
        <v>52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3" ht="22.5" customHeight="1" spans="1:34">
      <c r="A3" s="16" t="s">
        <v>53</v>
      </c>
      <c r="B3" s="2"/>
      <c r="C3" s="2"/>
      <c r="D3" s="2"/>
      <c r="E3" s="2"/>
      <c r="F3" s="3"/>
      <c r="G3" s="4" t="s">
        <v>0</v>
      </c>
      <c r="H3" s="2"/>
      <c r="I3" s="2"/>
      <c r="J3" s="2"/>
      <c r="K3" s="2"/>
      <c r="L3" s="2"/>
      <c r="M3" s="2"/>
      <c r="N3" s="2"/>
      <c r="O3" s="3"/>
      <c r="P3" s="16" t="s">
        <v>54</v>
      </c>
      <c r="Q3" s="2"/>
      <c r="R3" s="2"/>
      <c r="S3" s="2"/>
      <c r="T3" s="2"/>
      <c r="U3" s="2"/>
      <c r="V3" s="2"/>
      <c r="W3" s="3"/>
      <c r="X3" s="4" t="s">
        <v>18</v>
      </c>
      <c r="Y3" s="2"/>
      <c r="Z3" s="2"/>
      <c r="AA3" s="2"/>
      <c r="AB3" s="2"/>
      <c r="AC3" s="2"/>
      <c r="AD3" s="2"/>
      <c r="AE3" s="2"/>
      <c r="AF3" s="2"/>
      <c r="AG3" s="2"/>
      <c r="AH3" s="3"/>
    </row>
    <row r="4" ht="22.5" customHeight="1" spans="1:34">
      <c r="A4" s="16" t="s">
        <v>11</v>
      </c>
      <c r="B4" s="2"/>
      <c r="C4" s="2"/>
      <c r="D4" s="2"/>
      <c r="E4" s="2"/>
      <c r="F4" s="3"/>
      <c r="G4" s="4" t="s">
        <v>16</v>
      </c>
      <c r="H4" s="2"/>
      <c r="I4" s="2"/>
      <c r="J4" s="2"/>
      <c r="K4" s="2"/>
      <c r="L4" s="2"/>
      <c r="M4" s="2"/>
      <c r="N4" s="2"/>
      <c r="O4" s="3"/>
      <c r="P4" s="16" t="s">
        <v>22</v>
      </c>
      <c r="Q4" s="2"/>
      <c r="R4" s="2"/>
      <c r="S4" s="2"/>
      <c r="T4" s="2"/>
      <c r="U4" s="2"/>
      <c r="V4" s="2"/>
      <c r="W4" s="3"/>
      <c r="X4" s="5" t="s">
        <v>8</v>
      </c>
      <c r="Y4" s="2"/>
      <c r="Z4" s="2"/>
      <c r="AA4" s="2"/>
      <c r="AB4" s="2"/>
      <c r="AC4" s="2"/>
      <c r="AD4" s="2"/>
      <c r="AE4" s="2"/>
      <c r="AF4" s="2"/>
      <c r="AG4" s="2"/>
      <c r="AH4" s="3"/>
    </row>
    <row r="6" ht="22.5" customHeight="1" spans="1:34">
      <c r="A6" s="41" t="s">
        <v>55</v>
      </c>
      <c r="B6" s="42" t="s">
        <v>56</v>
      </c>
      <c r="C6" s="10"/>
      <c r="D6" s="10"/>
      <c r="E6" s="10"/>
      <c r="F6" s="10"/>
      <c r="G6" s="11"/>
      <c r="H6" s="37" t="s">
        <v>57</v>
      </c>
      <c r="I6" s="2"/>
      <c r="J6" s="2"/>
      <c r="K6" s="2"/>
      <c r="L6" s="2"/>
      <c r="M6" s="2"/>
      <c r="N6" s="2"/>
      <c r="O6" s="2"/>
      <c r="P6" s="3"/>
      <c r="Q6" s="42" t="s">
        <v>58</v>
      </c>
      <c r="R6" s="10"/>
      <c r="S6" s="11"/>
      <c r="T6" s="37" t="s">
        <v>59</v>
      </c>
      <c r="U6" s="2"/>
      <c r="V6" s="2"/>
      <c r="W6" s="2"/>
      <c r="X6" s="2"/>
      <c r="Y6" s="2"/>
      <c r="Z6" s="2"/>
      <c r="AA6" s="2"/>
      <c r="AB6" s="2"/>
      <c r="AC6" s="2"/>
      <c r="AD6" s="2"/>
      <c r="AE6" s="2"/>
      <c r="AF6" s="2"/>
      <c r="AG6" s="2"/>
      <c r="AH6" s="3"/>
    </row>
    <row r="7" ht="22.5" customHeight="1" spans="1:34">
      <c r="A7" s="12"/>
      <c r="B7" s="13"/>
      <c r="C7" s="14"/>
      <c r="D7" s="14"/>
      <c r="E7" s="14"/>
      <c r="F7" s="14"/>
      <c r="G7" s="15"/>
      <c r="H7" s="37" t="s">
        <v>60</v>
      </c>
      <c r="I7" s="2"/>
      <c r="J7" s="3"/>
      <c r="K7" s="37" t="s">
        <v>61</v>
      </c>
      <c r="L7" s="2"/>
      <c r="M7" s="3"/>
      <c r="N7" s="37" t="s">
        <v>62</v>
      </c>
      <c r="O7" s="2"/>
      <c r="P7" s="3"/>
      <c r="Q7" s="13"/>
      <c r="R7" s="14"/>
      <c r="S7" s="15"/>
      <c r="T7" s="37" t="s">
        <v>63</v>
      </c>
      <c r="U7" s="2"/>
      <c r="V7" s="3"/>
      <c r="W7" s="37" t="s">
        <v>64</v>
      </c>
      <c r="X7" s="2"/>
      <c r="Y7" s="3"/>
      <c r="Z7" s="37" t="s">
        <v>65</v>
      </c>
      <c r="AA7" s="2"/>
      <c r="AB7" s="3"/>
      <c r="AC7" s="37" t="s">
        <v>66</v>
      </c>
      <c r="AD7" s="2"/>
      <c r="AE7" s="3"/>
      <c r="AF7" s="37" t="s">
        <v>67</v>
      </c>
      <c r="AG7" s="2"/>
      <c r="AH7" s="3"/>
    </row>
    <row r="8" ht="22.5" customHeight="1" spans="1:34">
      <c r="A8" s="43" t="s">
        <v>68</v>
      </c>
    </row>
    <row r="9" ht="22.5" customHeight="1" spans="1:34">
      <c r="A9" s="44">
        <v>1</v>
      </c>
      <c r="B9" s="4" t="s">
        <v>69</v>
      </c>
      <c r="C9" s="2"/>
      <c r="D9" s="2"/>
      <c r="E9" s="2"/>
      <c r="F9" s="2"/>
      <c r="G9" s="3"/>
      <c r="H9" s="6">
        <f ca="1" t="array" ref="H9">INDIRECT("'"&amp;$B9&amp;"'!H7",TRUE)</f>
        <v>40</v>
      </c>
      <c r="I9" s="2"/>
      <c r="J9" s="3"/>
      <c r="K9" s="6">
        <f ca="1" t="array" ref="K9">INDIRECT("'"&amp;$B9&amp;"'!K7",TRUE)</f>
        <v>24</v>
      </c>
      <c r="L9" s="2"/>
      <c r="M9" s="3"/>
      <c r="N9" s="6">
        <f ca="1" t="array" ref="N9">INDIRECT("'"&amp;$B9&amp;"'!N7",TRUE)</f>
        <v>4</v>
      </c>
      <c r="O9" s="2"/>
      <c r="P9" s="3"/>
      <c r="Q9" s="6">
        <f ca="1" t="array" ref="Q9">INDIRECT("'"&amp;$B9&amp;"'!Q7",TRUE)</f>
        <v>68</v>
      </c>
      <c r="R9" s="2"/>
      <c r="S9" s="3"/>
      <c r="T9" s="6">
        <f ca="1" t="array" ref="T9">INDIRECT("'"&amp;$B9&amp;"'!T7",TRUE)</f>
        <v>57</v>
      </c>
      <c r="U9" s="2"/>
      <c r="V9" s="3"/>
      <c r="W9" s="6">
        <f ca="1" t="array" ref="W9">INDIRECT("'"&amp;$B9&amp;"'!W7",TRUE)</f>
        <v>0</v>
      </c>
      <c r="X9" s="2"/>
      <c r="Y9" s="3"/>
      <c r="Z9" s="6">
        <f ca="1" t="array" ref="Z9">INDIRECT("'"&amp;$B9&amp;"'!Z7",TRUE)</f>
        <v>6</v>
      </c>
      <c r="AA9" s="2"/>
      <c r="AB9" s="3"/>
      <c r="AC9" s="6">
        <f ca="1" t="array" ref="AC9">INDIRECT("'"&amp;$B9&amp;"'!AC7",TRUE)</f>
        <v>4</v>
      </c>
      <c r="AD9" s="2"/>
      <c r="AE9" s="3"/>
      <c r="AF9" s="45">
        <f ca="1">IFERROR((T9+W9+AC9)/Q9,0)</f>
        <v>0.897058823529412</v>
      </c>
      <c r="AG9" s="2"/>
      <c r="AH9" s="3"/>
    </row>
    <row r="10" ht="22.5" customHeight="1" spans="1:34">
      <c r="A10" s="44">
        <v>2</v>
      </c>
      <c r="B10" s="4"/>
      <c r="C10" s="2"/>
      <c r="D10" s="2"/>
      <c r="E10" s="2"/>
      <c r="F10" s="2"/>
      <c r="G10" s="3"/>
      <c r="H10" s="6"/>
      <c r="I10" s="2"/>
      <c r="J10" s="3"/>
      <c r="K10" s="6"/>
      <c r="L10" s="2"/>
      <c r="M10" s="3"/>
      <c r="N10" s="6"/>
      <c r="O10" s="2"/>
      <c r="P10" s="3"/>
      <c r="Q10" s="6"/>
      <c r="R10" s="2"/>
      <c r="S10" s="3"/>
      <c r="T10" s="6"/>
      <c r="U10" s="2"/>
      <c r="V10" s="3"/>
      <c r="W10" s="6"/>
      <c r="X10" s="2"/>
      <c r="Y10" s="3"/>
      <c r="Z10" s="6"/>
      <c r="AA10" s="2"/>
      <c r="AB10" s="3"/>
      <c r="AC10" s="6"/>
      <c r="AD10" s="2"/>
      <c r="AE10" s="3"/>
      <c r="AF10" s="45"/>
      <c r="AG10" s="2"/>
      <c r="AH10" s="3"/>
    </row>
    <row r="11" ht="22.5" customHeight="1" spans="1:34">
      <c r="A11" s="44"/>
      <c r="B11" s="37" t="s">
        <v>58</v>
      </c>
      <c r="C11" s="2"/>
      <c r="D11" s="2"/>
      <c r="E11" s="2"/>
      <c r="F11" s="2"/>
      <c r="G11" s="3"/>
      <c r="H11" s="7">
        <f ca="1">SUM(H9:J10)</f>
        <v>40</v>
      </c>
      <c r="I11" s="2"/>
      <c r="J11" s="3"/>
      <c r="K11" s="7">
        <f ca="1">SUM(K9:M10)</f>
        <v>24</v>
      </c>
      <c r="L11" s="2"/>
      <c r="M11" s="3"/>
      <c r="N11" s="7">
        <f ca="1">SUM(N9:P10)</f>
        <v>4</v>
      </c>
      <c r="O11" s="2"/>
      <c r="P11" s="3"/>
      <c r="Q11" s="7">
        <f ca="1">SUM(Q9:S10)</f>
        <v>68</v>
      </c>
      <c r="R11" s="2"/>
      <c r="S11" s="3"/>
      <c r="T11" s="7">
        <f ca="1">SUM(T9:V10)</f>
        <v>57</v>
      </c>
      <c r="U11" s="2"/>
      <c r="V11" s="3"/>
      <c r="W11" s="7">
        <f ca="1">SUM(W9:Y10)</f>
        <v>0</v>
      </c>
      <c r="X11" s="2"/>
      <c r="Y11" s="3"/>
      <c r="Z11" s="7">
        <f ca="1">SUM(Z9:AB10)</f>
        <v>6</v>
      </c>
      <c r="AA11" s="2"/>
      <c r="AB11" s="3"/>
      <c r="AC11" s="7">
        <f ca="1">SUM(AC9:AE10)</f>
        <v>4</v>
      </c>
      <c r="AD11" s="2"/>
      <c r="AE11" s="3"/>
      <c r="AF11" s="46">
        <f ca="1">IFERROR((T11+W11+AC11)/Q11,0)</f>
        <v>0.897058823529412</v>
      </c>
      <c r="AG11" s="2"/>
      <c r="AH11" s="3"/>
    </row>
    <row r="12" ht="22.5" customHeight="1" spans="1:34">
      <c r="A12" s="43" t="s">
        <v>70</v>
      </c>
    </row>
    <row r="13" ht="22.5" customHeight="1" spans="1:34">
      <c r="A13" s="44">
        <v>1</v>
      </c>
      <c r="B13" s="4" t="s">
        <v>69</v>
      </c>
      <c r="C13" s="2"/>
      <c r="D13" s="2"/>
      <c r="E13" s="2"/>
      <c r="F13" s="2"/>
      <c r="G13" s="3"/>
      <c r="H13" s="6">
        <f ca="1" t="array" ref="H13">INDIRECT("'"&amp;$B13&amp;"'!H8",TRUE)</f>
        <v>40</v>
      </c>
      <c r="I13" s="2"/>
      <c r="J13" s="3"/>
      <c r="K13" s="6">
        <f ca="1" t="array" ref="K13">INDIRECT("'"&amp;$B13&amp;"'!K8",TRUE)</f>
        <v>24</v>
      </c>
      <c r="L13" s="2"/>
      <c r="M13" s="3"/>
      <c r="N13" s="6">
        <f ca="1" t="array" ref="N13">INDIRECT("'"&amp;$B13&amp;"'!N8",TRUE)</f>
        <v>4</v>
      </c>
      <c r="O13" s="2"/>
      <c r="P13" s="3"/>
      <c r="Q13" s="6">
        <f ca="1" t="array" ref="Q13">INDIRECT("'"&amp;$B13&amp;"'!Q8",TRUE)</f>
        <v>68</v>
      </c>
      <c r="R13" s="2"/>
      <c r="S13" s="3"/>
      <c r="T13" s="6">
        <f ca="1" t="array" ref="T13">INDIRECT("'"&amp;$B13&amp;"'!T8",TRUE)</f>
        <v>64</v>
      </c>
      <c r="U13" s="2"/>
      <c r="V13" s="3"/>
      <c r="W13" s="6">
        <f ca="1" t="array" ref="W13">INDIRECT("'"&amp;$B13&amp;"'!W8",TRUE)</f>
        <v>0</v>
      </c>
      <c r="X13" s="2"/>
      <c r="Y13" s="3"/>
      <c r="Z13" s="6">
        <f ca="1" t="array" ref="Z13">INDIRECT("'"&amp;$B13&amp;"'!Z8",TRUE)</f>
        <v>0</v>
      </c>
      <c r="AA13" s="2"/>
      <c r="AB13" s="3"/>
      <c r="AC13" s="6">
        <f ca="1" t="array" ref="AC13">INDIRECT("'"&amp;$B13&amp;"'!AC8",TRUE)</f>
        <v>4</v>
      </c>
      <c r="AD13" s="2"/>
      <c r="AE13" s="3"/>
      <c r="AF13" s="45">
        <f ca="1">IFERROR((T13+W13+AC13)/Q13,0)</f>
        <v>1</v>
      </c>
      <c r="AG13" s="2"/>
      <c r="AH13" s="3"/>
    </row>
    <row r="14" ht="22.5" customHeight="1" spans="1:34">
      <c r="A14" s="44">
        <v>2</v>
      </c>
      <c r="B14" s="4"/>
      <c r="C14" s="2"/>
      <c r="D14" s="2"/>
      <c r="E14" s="2"/>
      <c r="F14" s="2"/>
      <c r="G14" s="3"/>
      <c r="H14" s="6"/>
      <c r="I14" s="2"/>
      <c r="J14" s="3"/>
      <c r="K14" s="6"/>
      <c r="L14" s="2"/>
      <c r="M14" s="3"/>
      <c r="N14" s="6"/>
      <c r="O14" s="2"/>
      <c r="P14" s="3"/>
      <c r="Q14" s="6"/>
      <c r="R14" s="2"/>
      <c r="S14" s="3"/>
      <c r="T14" s="6"/>
      <c r="U14" s="2"/>
      <c r="V14" s="3"/>
      <c r="W14" s="6"/>
      <c r="X14" s="2"/>
      <c r="Y14" s="3"/>
      <c r="Z14" s="6"/>
      <c r="AA14" s="2"/>
      <c r="AB14" s="3"/>
      <c r="AC14" s="6"/>
      <c r="AD14" s="2"/>
      <c r="AE14" s="3"/>
      <c r="AF14" s="45"/>
      <c r="AG14" s="2"/>
      <c r="AH14" s="3"/>
    </row>
    <row r="15" ht="22.5" customHeight="1" spans="1:34">
      <c r="A15" s="44"/>
      <c r="B15" s="37" t="s">
        <v>58</v>
      </c>
      <c r="C15" s="2"/>
      <c r="D15" s="2"/>
      <c r="E15" s="2"/>
      <c r="F15" s="2"/>
      <c r="G15" s="3"/>
      <c r="H15" s="7">
        <f ca="1">SUM(H13:J14)</f>
        <v>40</v>
      </c>
      <c r="I15" s="2"/>
      <c r="J15" s="3"/>
      <c r="K15" s="7">
        <f ca="1">SUM(K13:M14)</f>
        <v>24</v>
      </c>
      <c r="L15" s="2"/>
      <c r="M15" s="3"/>
      <c r="N15" s="7">
        <f ca="1">SUM(N13:P14)</f>
        <v>4</v>
      </c>
      <c r="O15" s="2"/>
      <c r="P15" s="3"/>
      <c r="Q15" s="7">
        <f ca="1">SUM(Q13:S14)</f>
        <v>68</v>
      </c>
      <c r="R15" s="2"/>
      <c r="S15" s="3"/>
      <c r="T15" s="7">
        <f ca="1">SUM(T13:V14)</f>
        <v>64</v>
      </c>
      <c r="U15" s="2"/>
      <c r="V15" s="3"/>
      <c r="W15" s="7">
        <f ca="1">SUM(W13:Y14)</f>
        <v>0</v>
      </c>
      <c r="X15" s="2"/>
      <c r="Y15" s="3"/>
      <c r="Z15" s="7">
        <f ca="1">SUM(Z13:AB14)</f>
        <v>0</v>
      </c>
      <c r="AA15" s="2"/>
      <c r="AB15" s="3"/>
      <c r="AC15" s="7">
        <f ca="1">SUM(AC13:AE14)</f>
        <v>4</v>
      </c>
      <c r="AD15" s="2"/>
      <c r="AE15" s="3"/>
      <c r="AF15" s="46">
        <f ca="1">IFERROR((T15+W15+AC15)/Q15,0)</f>
        <v>1</v>
      </c>
      <c r="AG15" s="2"/>
      <c r="AH15"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A1:AH1"/>
    <mergeCell ref="A3:F3"/>
    <mergeCell ref="G3:O3"/>
    <mergeCell ref="P3:W3"/>
    <mergeCell ref="X3:AH3"/>
    <mergeCell ref="A4:F4"/>
    <mergeCell ref="G4:O4"/>
    <mergeCell ref="P4:W4"/>
    <mergeCell ref="X4:AH4"/>
    <mergeCell ref="H6:P6"/>
    <mergeCell ref="T6:AH6"/>
    <mergeCell ref="H7:J7"/>
    <mergeCell ref="K7:M7"/>
    <mergeCell ref="N7:P7"/>
    <mergeCell ref="T7:V7"/>
    <mergeCell ref="W7:Y7"/>
    <mergeCell ref="Z7:AB7"/>
    <mergeCell ref="AC7:AE7"/>
    <mergeCell ref="AF7:AH7"/>
    <mergeCell ref="B9:G9"/>
    <mergeCell ref="H9:J9"/>
    <mergeCell ref="K9:M9"/>
    <mergeCell ref="N9:P9"/>
    <mergeCell ref="Q9:S9"/>
    <mergeCell ref="T9:V9"/>
    <mergeCell ref="W9:Y9"/>
    <mergeCell ref="Z9:AB9"/>
    <mergeCell ref="AC9:AE9"/>
    <mergeCell ref="AF9:AH9"/>
    <mergeCell ref="B10:G10"/>
    <mergeCell ref="H10:J10"/>
    <mergeCell ref="K10:M10"/>
    <mergeCell ref="N10:P10"/>
    <mergeCell ref="Q10:S10"/>
    <mergeCell ref="T10:V10"/>
    <mergeCell ref="W10:Y10"/>
    <mergeCell ref="Z10:AB10"/>
    <mergeCell ref="AC10:AE10"/>
    <mergeCell ref="AF10:AH10"/>
    <mergeCell ref="B11:G11"/>
    <mergeCell ref="H11:J11"/>
    <mergeCell ref="K11:M11"/>
    <mergeCell ref="N11:P11"/>
    <mergeCell ref="Q11:S11"/>
    <mergeCell ref="T11:V11"/>
    <mergeCell ref="W11:Y11"/>
    <mergeCell ref="Z11:AB11"/>
    <mergeCell ref="AC11:AE11"/>
    <mergeCell ref="AF11:AH11"/>
    <mergeCell ref="B13:G13"/>
    <mergeCell ref="H13:J13"/>
    <mergeCell ref="K13:M13"/>
    <mergeCell ref="N13:P13"/>
    <mergeCell ref="Q13:S13"/>
    <mergeCell ref="T13:V13"/>
    <mergeCell ref="W13:Y13"/>
    <mergeCell ref="Z13:AB13"/>
    <mergeCell ref="AC13:AE13"/>
    <mergeCell ref="AF13:AH13"/>
    <mergeCell ref="B14:G14"/>
    <mergeCell ref="H14:J14"/>
    <mergeCell ref="K14:M14"/>
    <mergeCell ref="N14:P14"/>
    <mergeCell ref="Q14:S14"/>
    <mergeCell ref="T14:V14"/>
    <mergeCell ref="W14:Y14"/>
    <mergeCell ref="Z14:AB14"/>
    <mergeCell ref="AC14:AE14"/>
    <mergeCell ref="AF14:AH14"/>
    <mergeCell ref="B15:G15"/>
    <mergeCell ref="H15:J15"/>
    <mergeCell ref="K15:M15"/>
    <mergeCell ref="N15:P15"/>
    <mergeCell ref="Q15:S15"/>
    <mergeCell ref="T15:V15"/>
    <mergeCell ref="W15:Y15"/>
    <mergeCell ref="Z15:AB15"/>
    <mergeCell ref="AC15:AE15"/>
    <mergeCell ref="AF15:AH15"/>
    <mergeCell ref="A6:A7"/>
    <mergeCell ref="B6:G7"/>
    <mergeCell ref="Q6:S7"/>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28571428571429" customWidth="1"/>
  </cols>
  <sheetData>
    <row r="1" ht="19.5" customHeight="1" spans="1:37">
      <c r="A1" s="28" t="s">
        <v>19</v>
      </c>
      <c r="B1" s="2"/>
      <c r="C1" s="2"/>
      <c r="D1" s="2"/>
      <c r="E1" s="2"/>
      <c r="F1" s="2"/>
      <c r="G1" s="2"/>
      <c r="H1" s="2"/>
      <c r="I1" s="3"/>
      <c r="J1" s="28" t="s">
        <v>20</v>
      </c>
      <c r="K1" s="2"/>
      <c r="L1" s="2"/>
      <c r="M1" s="2"/>
      <c r="N1" s="2"/>
      <c r="O1" s="2"/>
      <c r="P1" s="3"/>
      <c r="Q1" s="28" t="s">
        <v>21</v>
      </c>
      <c r="R1" s="2"/>
      <c r="S1" s="2"/>
      <c r="T1" s="2"/>
      <c r="U1" s="3"/>
      <c r="V1" s="28" t="s">
        <v>22</v>
      </c>
      <c r="W1" s="2"/>
      <c r="X1" s="2"/>
      <c r="Y1" s="3"/>
      <c r="Z1" s="28" t="s">
        <v>23</v>
      </c>
      <c r="AA1" s="2"/>
      <c r="AB1" s="2"/>
      <c r="AC1" s="3"/>
      <c r="AD1" s="28" t="s">
        <v>24</v>
      </c>
      <c r="AE1" s="2"/>
      <c r="AF1" s="2"/>
      <c r="AG1" s="3"/>
      <c r="AH1" s="28" t="s">
        <v>25</v>
      </c>
      <c r="AI1" s="2"/>
      <c r="AJ1" s="2"/>
      <c r="AK1" s="3"/>
    </row>
    <row r="2" ht="19.5" customHeight="1" spans="1:37">
      <c r="A2" s="29" t="s">
        <v>0</v>
      </c>
      <c r="B2" s="10"/>
      <c r="C2" s="10"/>
      <c r="D2" s="10"/>
      <c r="E2" s="10"/>
      <c r="F2" s="10"/>
      <c r="G2" s="10"/>
      <c r="H2" s="10"/>
      <c r="I2" s="11"/>
      <c r="J2" s="29" t="s">
        <v>26</v>
      </c>
      <c r="K2" s="10"/>
      <c r="L2" s="10"/>
      <c r="M2" s="10"/>
      <c r="N2" s="10"/>
      <c r="O2" s="10"/>
      <c r="P2" s="11"/>
      <c r="Q2" s="29" t="s">
        <v>71</v>
      </c>
      <c r="R2" s="10"/>
      <c r="S2" s="10"/>
      <c r="T2" s="10"/>
      <c r="U2" s="11"/>
      <c r="V2" s="30" t="s">
        <v>8</v>
      </c>
      <c r="W2" s="10"/>
      <c r="X2" s="10"/>
      <c r="Y2" s="11"/>
      <c r="Z2" s="29" t="s">
        <v>16</v>
      </c>
      <c r="AA2" s="10"/>
      <c r="AB2" s="10"/>
      <c r="AC2" s="11"/>
      <c r="AD2" s="30" t="s">
        <v>8</v>
      </c>
      <c r="AE2" s="10"/>
      <c r="AF2" s="10"/>
      <c r="AG2" s="11"/>
      <c r="AH2" s="29" t="s">
        <v>16</v>
      </c>
      <c r="AI2" s="10"/>
      <c r="AJ2" s="10"/>
      <c r="AK2" s="11"/>
    </row>
    <row r="3" ht="19.5" customHeight="1" spans="1:37">
      <c r="A3" s="13"/>
      <c r="B3" s="14"/>
      <c r="C3" s="14"/>
      <c r="D3" s="14"/>
      <c r="E3" s="14"/>
      <c r="F3" s="14"/>
      <c r="G3" s="14"/>
      <c r="H3" s="14"/>
      <c r="I3" s="15"/>
      <c r="J3" s="13"/>
      <c r="K3" s="14"/>
      <c r="L3" s="14"/>
      <c r="M3" s="14"/>
      <c r="N3" s="14"/>
      <c r="O3" s="14"/>
      <c r="P3" s="15"/>
      <c r="Q3" s="13"/>
      <c r="R3" s="14"/>
      <c r="S3" s="14"/>
      <c r="T3" s="14"/>
      <c r="U3" s="15"/>
      <c r="V3" s="13"/>
      <c r="W3" s="14"/>
      <c r="X3" s="14"/>
      <c r="Y3" s="15"/>
      <c r="Z3" s="13"/>
      <c r="AA3" s="14"/>
      <c r="AB3" s="14"/>
      <c r="AC3" s="15"/>
      <c r="AD3" s="13"/>
      <c r="AE3" s="14"/>
      <c r="AF3" s="14"/>
      <c r="AG3" s="15"/>
      <c r="AH3" s="13"/>
      <c r="AI3" s="14"/>
      <c r="AJ3" s="14"/>
      <c r="AK3" s="15"/>
    </row>
    <row r="5" ht="19.5" customHeight="1" spans="1:37">
      <c r="B5" s="31" t="s">
        <v>72</v>
      </c>
    </row>
    <row r="7" ht="28.5" customHeight="1" spans="1:37">
      <c r="B7" s="32" t="s">
        <v>55</v>
      </c>
      <c r="C7" s="1" t="s">
        <v>73</v>
      </c>
      <c r="D7" s="2"/>
      <c r="E7" s="3"/>
      <c r="F7" s="1" t="s">
        <v>74</v>
      </c>
      <c r="G7" s="2"/>
      <c r="H7" s="2"/>
      <c r="I7" s="2"/>
      <c r="J7" s="2"/>
      <c r="K7" s="2"/>
      <c r="L7" s="3"/>
      <c r="M7" s="1" t="s">
        <v>75</v>
      </c>
      <c r="N7" s="2"/>
      <c r="O7" s="2"/>
      <c r="P7" s="2"/>
      <c r="Q7" s="2"/>
      <c r="R7" s="2"/>
      <c r="S7" s="2"/>
      <c r="T7" s="3"/>
      <c r="U7" s="1" t="s">
        <v>76</v>
      </c>
      <c r="V7" s="3"/>
      <c r="W7" s="1" t="s">
        <v>77</v>
      </c>
      <c r="X7" s="2"/>
      <c r="Y7" s="2"/>
      <c r="Z7" s="2"/>
      <c r="AA7" s="2"/>
      <c r="AB7" s="2"/>
      <c r="AC7" s="3"/>
      <c r="AD7" s="1" t="s">
        <v>78</v>
      </c>
      <c r="AE7" s="2"/>
      <c r="AF7" s="3"/>
    </row>
    <row r="8" ht="30" customHeight="1" spans="1:37">
      <c r="B8" s="17">
        <v>1</v>
      </c>
      <c r="C8" s="19" t="s">
        <v>79</v>
      </c>
      <c r="D8" s="2"/>
      <c r="E8" s="3"/>
      <c r="F8" s="18" t="s">
        <v>80</v>
      </c>
      <c r="G8" s="2"/>
      <c r="H8" s="2"/>
      <c r="I8" s="2"/>
      <c r="J8" s="2"/>
      <c r="K8" s="2"/>
      <c r="L8" s="3"/>
      <c r="M8" s="18" t="s">
        <v>81</v>
      </c>
      <c r="N8" s="2"/>
      <c r="O8" s="2"/>
      <c r="P8" s="2"/>
      <c r="Q8" s="2"/>
      <c r="R8" s="2"/>
      <c r="S8" s="2"/>
      <c r="T8" s="3"/>
      <c r="U8" s="33" t="s">
        <v>82</v>
      </c>
      <c r="V8" s="3"/>
      <c r="W8" s="18" t="s">
        <v>83</v>
      </c>
      <c r="X8" s="2"/>
      <c r="Y8" s="2"/>
      <c r="Z8" s="2"/>
      <c r="AA8" s="2"/>
      <c r="AB8" s="2"/>
      <c r="AC8" s="3"/>
      <c r="AD8" s="19">
        <v>265</v>
      </c>
      <c r="AE8" s="2"/>
      <c r="AF8" s="3"/>
    </row>
    <row r="9" ht="30" customHeight="1" spans="1:37">
      <c r="B9" s="17">
        <v>2</v>
      </c>
      <c r="C9" s="19" t="s">
        <v>84</v>
      </c>
      <c r="D9" s="2"/>
      <c r="E9" s="3"/>
      <c r="F9" s="18" t="s">
        <v>80</v>
      </c>
      <c r="G9" s="2"/>
      <c r="H9" s="2"/>
      <c r="I9" s="2"/>
      <c r="J9" s="2"/>
      <c r="K9" s="2"/>
      <c r="L9" s="3"/>
      <c r="M9" s="18" t="s">
        <v>85</v>
      </c>
      <c r="N9" s="2"/>
      <c r="O9" s="2"/>
      <c r="P9" s="2"/>
      <c r="Q9" s="2"/>
      <c r="R9" s="2"/>
      <c r="S9" s="2"/>
      <c r="T9" s="3"/>
      <c r="U9" s="33" t="s">
        <v>82</v>
      </c>
      <c r="V9" s="3"/>
      <c r="W9" s="18" t="s">
        <v>86</v>
      </c>
      <c r="X9" s="2"/>
      <c r="Y9" s="2"/>
      <c r="Z9" s="2"/>
      <c r="AA9" s="2"/>
      <c r="AB9" s="2"/>
      <c r="AC9" s="3"/>
      <c r="AD9" s="19">
        <v>200</v>
      </c>
      <c r="AE9" s="2"/>
      <c r="AF9" s="3"/>
    </row>
    <row r="10" ht="36" customHeight="1" spans="1:37">
      <c r="B10" s="17">
        <v>3</v>
      </c>
      <c r="C10" s="19" t="s">
        <v>87</v>
      </c>
      <c r="D10" s="2"/>
      <c r="E10" s="3"/>
      <c r="F10" s="18" t="s">
        <v>80</v>
      </c>
      <c r="G10" s="2"/>
      <c r="H10" s="2"/>
      <c r="I10" s="2"/>
      <c r="J10" s="2"/>
      <c r="K10" s="2"/>
      <c r="L10" s="3"/>
      <c r="M10" s="18" t="s">
        <v>88</v>
      </c>
      <c r="N10" s="2"/>
      <c r="O10" s="2"/>
      <c r="P10" s="2"/>
      <c r="Q10" s="2"/>
      <c r="R10" s="2"/>
      <c r="S10" s="2"/>
      <c r="T10" s="3"/>
      <c r="U10" s="33" t="s">
        <v>82</v>
      </c>
      <c r="V10" s="3"/>
      <c r="W10" s="18" t="s">
        <v>89</v>
      </c>
      <c r="X10" s="2"/>
      <c r="Y10" s="2"/>
      <c r="Z10" s="2"/>
      <c r="AA10" s="2"/>
      <c r="AB10" s="2"/>
      <c r="AC10" s="3"/>
      <c r="AD10" s="19">
        <v>50</v>
      </c>
      <c r="AE10" s="2"/>
      <c r="AF10" s="3"/>
    </row>
    <row r="11" ht="30" customHeight="1" spans="1:37">
      <c r="B11" s="17">
        <v>4</v>
      </c>
      <c r="C11" s="19" t="s">
        <v>90</v>
      </c>
      <c r="D11" s="2"/>
      <c r="E11" s="3"/>
      <c r="F11" s="18" t="s">
        <v>80</v>
      </c>
      <c r="G11" s="2"/>
      <c r="H11" s="2"/>
      <c r="I11" s="2"/>
      <c r="J11" s="2"/>
      <c r="K11" s="2"/>
      <c r="L11" s="3"/>
      <c r="M11" s="18" t="s">
        <v>91</v>
      </c>
      <c r="N11" s="2"/>
      <c r="O11" s="2"/>
      <c r="P11" s="2"/>
      <c r="Q11" s="2"/>
      <c r="R11" s="2"/>
      <c r="S11" s="2"/>
      <c r="T11" s="3"/>
      <c r="U11" s="33" t="s">
        <v>82</v>
      </c>
      <c r="V11" s="3"/>
      <c r="W11" s="18" t="s">
        <v>83</v>
      </c>
      <c r="X11" s="2"/>
      <c r="Y11" s="2"/>
      <c r="Z11" s="2"/>
      <c r="AA11" s="2"/>
      <c r="AB11" s="2"/>
      <c r="AC11" s="3"/>
      <c r="AD11" s="19">
        <v>75</v>
      </c>
      <c r="AE11" s="2"/>
      <c r="AF11" s="3"/>
    </row>
    <row r="12" ht="30" customHeight="1" spans="1:37">
      <c r="B12" s="17">
        <v>5</v>
      </c>
      <c r="C12" s="19" t="s">
        <v>92</v>
      </c>
      <c r="D12" s="2"/>
      <c r="E12" s="3"/>
      <c r="F12" s="18" t="s">
        <v>80</v>
      </c>
      <c r="G12" s="2"/>
      <c r="H12" s="2"/>
      <c r="I12" s="2"/>
      <c r="J12" s="2"/>
      <c r="K12" s="2"/>
      <c r="L12" s="3"/>
      <c r="M12" s="18" t="s">
        <v>93</v>
      </c>
      <c r="N12" s="2"/>
      <c r="O12" s="2"/>
      <c r="P12" s="2"/>
      <c r="Q12" s="2"/>
      <c r="R12" s="2"/>
      <c r="S12" s="2"/>
      <c r="T12" s="3"/>
      <c r="U12" s="33" t="s">
        <v>82</v>
      </c>
      <c r="V12" s="3"/>
      <c r="W12" s="18" t="s">
        <v>94</v>
      </c>
      <c r="X12" s="2"/>
      <c r="Y12" s="2"/>
      <c r="Z12" s="2"/>
      <c r="AA12" s="2"/>
      <c r="AB12" s="2"/>
      <c r="AC12" s="3"/>
      <c r="AD12" s="19">
        <v>30</v>
      </c>
      <c r="AE12" s="2"/>
      <c r="AF12" s="3"/>
    </row>
    <row r="13" ht="30" customHeight="1" spans="1:37">
      <c r="B13" s="17">
        <v>6</v>
      </c>
      <c r="C13" s="19" t="s">
        <v>95</v>
      </c>
      <c r="D13" s="2"/>
      <c r="E13" s="3"/>
      <c r="F13" s="18" t="s">
        <v>80</v>
      </c>
      <c r="G13" s="2"/>
      <c r="H13" s="2"/>
      <c r="I13" s="2"/>
      <c r="J13" s="2"/>
      <c r="K13" s="2"/>
      <c r="L13" s="3"/>
      <c r="M13" s="18" t="s">
        <v>96</v>
      </c>
      <c r="N13" s="2"/>
      <c r="O13" s="2"/>
      <c r="P13" s="2"/>
      <c r="Q13" s="2"/>
      <c r="R13" s="2"/>
      <c r="S13" s="2"/>
      <c r="T13" s="3"/>
      <c r="U13" s="33" t="s">
        <v>82</v>
      </c>
      <c r="V13" s="3"/>
      <c r="W13" s="18" t="s">
        <v>97</v>
      </c>
      <c r="X13" s="2"/>
      <c r="Y13" s="2"/>
      <c r="Z13" s="2"/>
      <c r="AA13" s="2"/>
      <c r="AB13" s="2"/>
      <c r="AC13" s="3"/>
      <c r="AD13" s="19">
        <v>50</v>
      </c>
      <c r="AE13" s="2"/>
      <c r="AF13" s="3"/>
    </row>
    <row r="14" ht="30" customHeight="1" spans="1:37">
      <c r="B14" s="17">
        <v>7</v>
      </c>
      <c r="C14" s="19" t="s">
        <v>98</v>
      </c>
      <c r="D14" s="2"/>
      <c r="E14" s="3"/>
      <c r="F14" s="18" t="s">
        <v>80</v>
      </c>
      <c r="G14" s="2"/>
      <c r="H14" s="2"/>
      <c r="I14" s="2"/>
      <c r="J14" s="2"/>
      <c r="K14" s="2"/>
      <c r="L14" s="3"/>
      <c r="M14" s="18" t="s">
        <v>99</v>
      </c>
      <c r="N14" s="2"/>
      <c r="O14" s="2"/>
      <c r="P14" s="2"/>
      <c r="Q14" s="2"/>
      <c r="R14" s="2"/>
      <c r="S14" s="2"/>
      <c r="T14" s="3"/>
      <c r="U14" s="33" t="s">
        <v>82</v>
      </c>
      <c r="V14" s="3"/>
      <c r="W14" s="18" t="s">
        <v>94</v>
      </c>
      <c r="X14" s="2"/>
      <c r="Y14" s="2"/>
      <c r="Z14" s="2"/>
      <c r="AA14" s="2"/>
      <c r="AB14" s="2"/>
      <c r="AC14" s="3"/>
      <c r="AD14" s="19">
        <v>10</v>
      </c>
      <c r="AE14" s="2"/>
      <c r="AF14" s="3"/>
    </row>
    <row r="15" ht="30" customHeight="1" spans="1:37">
      <c r="B15" s="17">
        <v>8</v>
      </c>
      <c r="C15" s="19" t="s">
        <v>100</v>
      </c>
      <c r="D15" s="2"/>
      <c r="E15" s="3"/>
      <c r="F15" s="18" t="s">
        <v>80</v>
      </c>
      <c r="G15" s="2"/>
      <c r="H15" s="2"/>
      <c r="I15" s="2"/>
      <c r="J15" s="2"/>
      <c r="K15" s="2"/>
      <c r="L15" s="3"/>
      <c r="M15" s="18" t="s">
        <v>101</v>
      </c>
      <c r="N15" s="2"/>
      <c r="O15" s="2"/>
      <c r="P15" s="2"/>
      <c r="Q15" s="2"/>
      <c r="R15" s="2"/>
      <c r="S15" s="2"/>
      <c r="T15" s="3"/>
      <c r="U15" s="34" t="s">
        <v>102</v>
      </c>
      <c r="V15" s="3"/>
      <c r="W15" s="18" t="s">
        <v>103</v>
      </c>
      <c r="X15" s="2"/>
      <c r="Y15" s="2"/>
      <c r="Z15" s="2"/>
      <c r="AA15" s="2"/>
      <c r="AB15" s="2"/>
      <c r="AC15" s="3"/>
      <c r="AD15" s="19">
        <v>20</v>
      </c>
      <c r="AE15" s="2"/>
      <c r="AF15" s="3"/>
    </row>
    <row r="16" ht="30" customHeight="1" spans="1:37">
      <c r="B16" s="17">
        <v>9</v>
      </c>
      <c r="C16" s="19" t="s">
        <v>104</v>
      </c>
      <c r="D16" s="2"/>
      <c r="E16" s="3"/>
      <c r="F16" s="18" t="s">
        <v>80</v>
      </c>
      <c r="G16" s="2"/>
      <c r="H16" s="2"/>
      <c r="I16" s="2"/>
      <c r="J16" s="2"/>
      <c r="K16" s="2"/>
      <c r="L16" s="3"/>
      <c r="M16" s="18" t="s">
        <v>105</v>
      </c>
      <c r="N16" s="2"/>
      <c r="O16" s="2"/>
      <c r="P16" s="2"/>
      <c r="Q16" s="2"/>
      <c r="R16" s="2"/>
      <c r="S16" s="2"/>
      <c r="T16" s="3"/>
      <c r="U16" s="33" t="s">
        <v>82</v>
      </c>
      <c r="V16" s="3"/>
      <c r="W16" s="18" t="s">
        <v>106</v>
      </c>
      <c r="X16" s="2"/>
      <c r="Y16" s="2"/>
      <c r="Z16" s="2"/>
      <c r="AA16" s="2"/>
      <c r="AB16" s="2"/>
      <c r="AC16" s="3"/>
      <c r="AD16" s="19">
        <v>8</v>
      </c>
      <c r="AE16" s="2"/>
      <c r="AF16" s="3"/>
    </row>
    <row r="17" ht="30" customHeight="1" spans="2:32">
      <c r="B17" s="17">
        <v>10</v>
      </c>
      <c r="C17" s="19" t="s">
        <v>107</v>
      </c>
      <c r="D17" s="2"/>
      <c r="E17" s="3"/>
      <c r="F17" s="18" t="s">
        <v>80</v>
      </c>
      <c r="G17" s="2"/>
      <c r="H17" s="2"/>
      <c r="I17" s="2"/>
      <c r="J17" s="2"/>
      <c r="K17" s="2"/>
      <c r="L17" s="3"/>
      <c r="M17" s="18" t="s">
        <v>108</v>
      </c>
      <c r="N17" s="2"/>
      <c r="O17" s="2"/>
      <c r="P17" s="2"/>
      <c r="Q17" s="2"/>
      <c r="R17" s="2"/>
      <c r="S17" s="2"/>
      <c r="T17" s="3"/>
      <c r="U17" s="33" t="s">
        <v>82</v>
      </c>
      <c r="V17" s="3"/>
      <c r="W17" s="18" t="s">
        <v>109</v>
      </c>
      <c r="X17" s="2"/>
      <c r="Y17" s="2"/>
      <c r="Z17" s="2"/>
      <c r="AA17" s="2"/>
      <c r="AB17" s="2"/>
      <c r="AC17" s="3"/>
      <c r="AD17" s="19">
        <v>30</v>
      </c>
      <c r="AE17" s="2"/>
      <c r="AF17" s="3"/>
    </row>
    <row r="18" ht="30" customHeight="1" spans="2:32">
      <c r="B18" s="17">
        <v>11</v>
      </c>
      <c r="C18" s="19" t="s">
        <v>110</v>
      </c>
      <c r="D18" s="2"/>
      <c r="E18" s="3"/>
      <c r="F18" s="18" t="s">
        <v>111</v>
      </c>
      <c r="G18" s="2"/>
      <c r="H18" s="2"/>
      <c r="I18" s="2"/>
      <c r="J18" s="2"/>
      <c r="K18" s="2"/>
      <c r="L18" s="3"/>
      <c r="M18" s="18" t="s">
        <v>112</v>
      </c>
      <c r="N18" s="2"/>
      <c r="O18" s="2"/>
      <c r="P18" s="2"/>
      <c r="Q18" s="2"/>
      <c r="R18" s="2"/>
      <c r="S18" s="2"/>
      <c r="T18" s="3"/>
      <c r="U18" s="34" t="s">
        <v>102</v>
      </c>
      <c r="V18" s="3"/>
      <c r="W18" s="18" t="s">
        <v>113</v>
      </c>
      <c r="X18" s="2"/>
      <c r="Y18" s="2"/>
      <c r="Z18" s="2"/>
      <c r="AA18" s="2"/>
      <c r="AB18" s="2"/>
      <c r="AC18" s="3"/>
      <c r="AD18" s="19">
        <v>100</v>
      </c>
      <c r="AE18" s="2"/>
      <c r="AF18" s="3"/>
    </row>
    <row r="19" ht="30" customHeight="1" spans="2:32">
      <c r="B19" s="17">
        <v>12</v>
      </c>
      <c r="C19" s="19" t="s">
        <v>114</v>
      </c>
      <c r="D19" s="2"/>
      <c r="E19" s="3"/>
      <c r="F19" s="18" t="s">
        <v>111</v>
      </c>
      <c r="G19" s="2"/>
      <c r="H19" s="2"/>
      <c r="I19" s="2"/>
      <c r="J19" s="2"/>
      <c r="K19" s="2"/>
      <c r="L19" s="3"/>
      <c r="M19" s="18" t="s">
        <v>115</v>
      </c>
      <c r="N19" s="2"/>
      <c r="O19" s="2"/>
      <c r="P19" s="2"/>
      <c r="Q19" s="2"/>
      <c r="R19" s="2"/>
      <c r="S19" s="2"/>
      <c r="T19" s="3"/>
      <c r="U19" s="34" t="s">
        <v>102</v>
      </c>
      <c r="V19" s="3"/>
      <c r="W19" s="18" t="s">
        <v>113</v>
      </c>
      <c r="X19" s="2"/>
      <c r="Y19" s="2"/>
      <c r="Z19" s="2"/>
      <c r="AA19" s="2"/>
      <c r="AB19" s="2"/>
      <c r="AC19" s="3"/>
      <c r="AD19" s="19">
        <v>80</v>
      </c>
      <c r="AE19" s="2"/>
      <c r="AF19" s="3"/>
    </row>
    <row r="20" ht="30" customHeight="1" spans="2:32">
      <c r="B20" s="17">
        <v>13</v>
      </c>
      <c r="C20" s="19" t="s">
        <v>116</v>
      </c>
      <c r="D20" s="2"/>
      <c r="E20" s="3"/>
      <c r="F20" s="18" t="s">
        <v>111</v>
      </c>
      <c r="G20" s="2"/>
      <c r="H20" s="2"/>
      <c r="I20" s="2"/>
      <c r="J20" s="2"/>
      <c r="K20" s="2"/>
      <c r="L20" s="3"/>
      <c r="M20" s="18" t="s">
        <v>117</v>
      </c>
      <c r="N20" s="2"/>
      <c r="O20" s="2"/>
      <c r="P20" s="2"/>
      <c r="Q20" s="2"/>
      <c r="R20" s="2"/>
      <c r="S20" s="2"/>
      <c r="T20" s="3"/>
      <c r="U20" s="34" t="s">
        <v>102</v>
      </c>
      <c r="V20" s="3"/>
      <c r="W20" s="18" t="s">
        <v>97</v>
      </c>
      <c r="X20" s="2"/>
      <c r="Y20" s="2"/>
      <c r="Z20" s="2"/>
      <c r="AA20" s="2"/>
      <c r="AB20" s="2"/>
      <c r="AC20" s="3"/>
      <c r="AD20" s="19">
        <v>60</v>
      </c>
      <c r="AE20" s="2"/>
      <c r="AF20" s="3"/>
    </row>
    <row r="21" ht="30" customHeight="1" spans="2:32">
      <c r="B21" s="17">
        <v>14</v>
      </c>
      <c r="C21" s="19" t="s">
        <v>118</v>
      </c>
      <c r="D21" s="2"/>
      <c r="E21" s="3"/>
      <c r="F21" s="18" t="s">
        <v>111</v>
      </c>
      <c r="G21" s="2"/>
      <c r="H21" s="2"/>
      <c r="I21" s="2"/>
      <c r="J21" s="2"/>
      <c r="K21" s="2"/>
      <c r="L21" s="3"/>
      <c r="M21" s="18" t="s">
        <v>119</v>
      </c>
      <c r="N21" s="2"/>
      <c r="O21" s="2"/>
      <c r="P21" s="2"/>
      <c r="Q21" s="2"/>
      <c r="R21" s="2"/>
      <c r="S21" s="2"/>
      <c r="T21" s="3"/>
      <c r="U21" s="34" t="s">
        <v>102</v>
      </c>
      <c r="V21" s="3"/>
      <c r="W21" s="18" t="s">
        <v>113</v>
      </c>
      <c r="X21" s="2"/>
      <c r="Y21" s="2"/>
      <c r="Z21" s="2"/>
      <c r="AA21" s="2"/>
      <c r="AB21" s="2"/>
      <c r="AC21" s="3"/>
      <c r="AD21" s="19">
        <v>50</v>
      </c>
      <c r="AE21" s="2"/>
      <c r="AF21" s="3"/>
    </row>
    <row r="22" ht="30" customHeight="1" spans="2:32">
      <c r="B22" s="17">
        <v>15</v>
      </c>
      <c r="C22" s="19" t="s">
        <v>120</v>
      </c>
      <c r="D22" s="2"/>
      <c r="E22" s="3"/>
      <c r="F22" s="18" t="s">
        <v>111</v>
      </c>
      <c r="G22" s="2"/>
      <c r="H22" s="2"/>
      <c r="I22" s="2"/>
      <c r="J22" s="2"/>
      <c r="K22" s="2"/>
      <c r="L22" s="3"/>
      <c r="M22" s="18" t="s">
        <v>121</v>
      </c>
      <c r="N22" s="2"/>
      <c r="O22" s="2"/>
      <c r="P22" s="2"/>
      <c r="Q22" s="2"/>
      <c r="R22" s="2"/>
      <c r="S22" s="2"/>
      <c r="T22" s="3"/>
      <c r="U22" s="34" t="s">
        <v>102</v>
      </c>
      <c r="V22" s="3"/>
      <c r="W22" s="18" t="s">
        <v>122</v>
      </c>
      <c r="X22" s="2"/>
      <c r="Y22" s="2"/>
      <c r="Z22" s="2"/>
      <c r="AA22" s="2"/>
      <c r="AB22" s="2"/>
      <c r="AC22" s="3"/>
      <c r="AD22" s="19">
        <v>30</v>
      </c>
      <c r="AE22" s="2"/>
      <c r="AF22" s="3"/>
    </row>
    <row r="23" ht="30" customHeight="1" spans="2:32">
      <c r="B23" s="17">
        <v>16</v>
      </c>
      <c r="C23" s="19" t="s">
        <v>123</v>
      </c>
      <c r="D23" s="2"/>
      <c r="E23" s="3"/>
      <c r="F23" s="18" t="s">
        <v>111</v>
      </c>
      <c r="G23" s="2"/>
      <c r="H23" s="2"/>
      <c r="I23" s="2"/>
      <c r="J23" s="2"/>
      <c r="K23" s="2"/>
      <c r="L23" s="3"/>
      <c r="M23" s="18" t="s">
        <v>124</v>
      </c>
      <c r="N23" s="2"/>
      <c r="O23" s="2"/>
      <c r="P23" s="2"/>
      <c r="Q23" s="2"/>
      <c r="R23" s="2"/>
      <c r="S23" s="2"/>
      <c r="T23" s="3"/>
      <c r="U23" s="33" t="s">
        <v>82</v>
      </c>
      <c r="V23" s="3"/>
      <c r="W23" s="18" t="s">
        <v>125</v>
      </c>
      <c r="X23" s="2"/>
      <c r="Y23" s="2"/>
      <c r="Z23" s="2"/>
      <c r="AA23" s="2"/>
      <c r="AB23" s="2"/>
      <c r="AC23" s="3"/>
      <c r="AD23" s="19">
        <v>15</v>
      </c>
      <c r="AE23" s="2"/>
      <c r="AF23" s="3"/>
    </row>
    <row r="24" ht="36" customHeight="1" spans="2:32">
      <c r="B24" s="17">
        <v>17</v>
      </c>
      <c r="C24" s="19" t="s">
        <v>126</v>
      </c>
      <c r="D24" s="2"/>
      <c r="E24" s="3"/>
      <c r="F24" s="18" t="s">
        <v>111</v>
      </c>
      <c r="G24" s="2"/>
      <c r="H24" s="2"/>
      <c r="I24" s="2"/>
      <c r="J24" s="2"/>
      <c r="K24" s="2"/>
      <c r="L24" s="3"/>
      <c r="M24" s="18" t="s">
        <v>127</v>
      </c>
      <c r="N24" s="2"/>
      <c r="O24" s="2"/>
      <c r="P24" s="2"/>
      <c r="Q24" s="2"/>
      <c r="R24" s="2"/>
      <c r="S24" s="2"/>
      <c r="T24" s="3"/>
      <c r="U24" s="34" t="s">
        <v>102</v>
      </c>
      <c r="V24" s="3"/>
      <c r="W24" s="18" t="s">
        <v>128</v>
      </c>
      <c r="X24" s="2"/>
      <c r="Y24" s="2"/>
      <c r="Z24" s="2"/>
      <c r="AA24" s="2"/>
      <c r="AB24" s="2"/>
      <c r="AC24" s="3"/>
      <c r="AD24" s="19">
        <v>45</v>
      </c>
      <c r="AE24" s="2"/>
      <c r="AF24" s="3"/>
    </row>
    <row r="25" ht="30" customHeight="1" spans="2:32">
      <c r="B25" s="17">
        <v>18</v>
      </c>
      <c r="C25" s="19" t="s">
        <v>129</v>
      </c>
      <c r="D25" s="2"/>
      <c r="E25" s="3"/>
      <c r="F25" s="18" t="s">
        <v>111</v>
      </c>
      <c r="G25" s="2"/>
      <c r="H25" s="2"/>
      <c r="I25" s="2"/>
      <c r="J25" s="2"/>
      <c r="K25" s="2"/>
      <c r="L25" s="3"/>
      <c r="M25" s="18" t="s">
        <v>130</v>
      </c>
      <c r="N25" s="2"/>
      <c r="O25" s="2"/>
      <c r="P25" s="2"/>
      <c r="Q25" s="2"/>
      <c r="R25" s="2"/>
      <c r="S25" s="2"/>
      <c r="T25" s="3"/>
      <c r="U25" s="34" t="s">
        <v>102</v>
      </c>
      <c r="V25" s="3"/>
      <c r="W25" s="18" t="s">
        <v>131</v>
      </c>
      <c r="X25" s="2"/>
      <c r="Y25" s="2"/>
      <c r="Z25" s="2"/>
      <c r="AA25" s="2"/>
      <c r="AB25" s="2"/>
      <c r="AC25" s="3"/>
      <c r="AD25" s="19">
        <v>30</v>
      </c>
      <c r="AE25" s="2"/>
      <c r="AF25" s="3"/>
    </row>
    <row r="26" ht="36" customHeight="1" spans="2:32">
      <c r="B26" s="17">
        <v>19</v>
      </c>
      <c r="C26" s="19" t="s">
        <v>132</v>
      </c>
      <c r="D26" s="2"/>
      <c r="E26" s="3"/>
      <c r="F26" s="18" t="s">
        <v>111</v>
      </c>
      <c r="G26" s="2"/>
      <c r="H26" s="2"/>
      <c r="I26" s="2"/>
      <c r="J26" s="2"/>
      <c r="K26" s="2"/>
      <c r="L26" s="3"/>
      <c r="M26" s="18" t="s">
        <v>133</v>
      </c>
      <c r="N26" s="2"/>
      <c r="O26" s="2"/>
      <c r="P26" s="2"/>
      <c r="Q26" s="2"/>
      <c r="R26" s="2"/>
      <c r="S26" s="2"/>
      <c r="T26" s="3"/>
      <c r="U26" s="34" t="s">
        <v>102</v>
      </c>
      <c r="V26" s="3"/>
      <c r="W26" s="18" t="s">
        <v>134</v>
      </c>
      <c r="X26" s="2"/>
      <c r="Y26" s="2"/>
      <c r="Z26" s="2"/>
      <c r="AA26" s="2"/>
      <c r="AB26" s="2"/>
      <c r="AC26" s="3"/>
      <c r="AD26" s="19">
        <v>25</v>
      </c>
      <c r="AE26" s="2"/>
      <c r="AF26" s="3"/>
    </row>
    <row r="27" ht="30" customHeight="1" spans="2:32">
      <c r="B27" s="17">
        <v>20</v>
      </c>
      <c r="C27" s="19" t="s">
        <v>135</v>
      </c>
      <c r="D27" s="2"/>
      <c r="E27" s="3"/>
      <c r="F27" s="18" t="s">
        <v>136</v>
      </c>
      <c r="G27" s="2"/>
      <c r="H27" s="2"/>
      <c r="I27" s="2"/>
      <c r="J27" s="2"/>
      <c r="K27" s="2"/>
      <c r="L27" s="3"/>
      <c r="M27" s="18" t="s">
        <v>137</v>
      </c>
      <c r="N27" s="2"/>
      <c r="O27" s="2"/>
      <c r="P27" s="2"/>
      <c r="Q27" s="2"/>
      <c r="R27" s="2"/>
      <c r="S27" s="2"/>
      <c r="T27" s="3"/>
      <c r="U27" s="33" t="s">
        <v>82</v>
      </c>
      <c r="V27" s="3"/>
      <c r="W27" s="18" t="s">
        <v>131</v>
      </c>
      <c r="X27" s="2"/>
      <c r="Y27" s="2"/>
      <c r="Z27" s="2"/>
      <c r="AA27" s="2"/>
      <c r="AB27" s="2"/>
      <c r="AC27" s="3"/>
      <c r="AD27" s="19">
        <v>60</v>
      </c>
      <c r="AE27" s="2"/>
      <c r="AF27" s="3"/>
    </row>
    <row r="28" ht="30" customHeight="1" spans="2:32">
      <c r="B28" s="17">
        <v>21</v>
      </c>
      <c r="C28" s="19" t="s">
        <v>138</v>
      </c>
      <c r="D28" s="2"/>
      <c r="E28" s="3"/>
      <c r="F28" s="18" t="s">
        <v>136</v>
      </c>
      <c r="G28" s="2"/>
      <c r="H28" s="2"/>
      <c r="I28" s="2"/>
      <c r="J28" s="2"/>
      <c r="K28" s="2"/>
      <c r="L28" s="3"/>
      <c r="M28" s="18" t="s">
        <v>139</v>
      </c>
      <c r="N28" s="2"/>
      <c r="O28" s="2"/>
      <c r="P28" s="2"/>
      <c r="Q28" s="2"/>
      <c r="R28" s="2"/>
      <c r="S28" s="2"/>
      <c r="T28" s="3"/>
      <c r="U28" s="34" t="s">
        <v>102</v>
      </c>
      <c r="V28" s="3"/>
      <c r="W28" s="18" t="s">
        <v>140</v>
      </c>
      <c r="X28" s="2"/>
      <c r="Y28" s="2"/>
      <c r="Z28" s="2"/>
      <c r="AA28" s="2"/>
      <c r="AB28" s="2"/>
      <c r="AC28" s="3"/>
      <c r="AD28" s="19">
        <v>16</v>
      </c>
      <c r="AE28" s="2"/>
      <c r="AF28" s="3"/>
    </row>
    <row r="29" ht="30" customHeight="1" spans="2:32">
      <c r="B29" s="17">
        <v>22</v>
      </c>
      <c r="C29" s="19" t="s">
        <v>141</v>
      </c>
      <c r="D29" s="2"/>
      <c r="E29" s="3"/>
      <c r="F29" s="18" t="s">
        <v>136</v>
      </c>
      <c r="G29" s="2"/>
      <c r="H29" s="2"/>
      <c r="I29" s="2"/>
      <c r="J29" s="2"/>
      <c r="K29" s="2"/>
      <c r="L29" s="3"/>
      <c r="M29" s="18" t="s">
        <v>142</v>
      </c>
      <c r="N29" s="2"/>
      <c r="O29" s="2"/>
      <c r="P29" s="2"/>
      <c r="Q29" s="2"/>
      <c r="R29" s="2"/>
      <c r="S29" s="2"/>
      <c r="T29" s="3"/>
      <c r="U29" s="33" t="s">
        <v>82</v>
      </c>
      <c r="V29" s="3"/>
      <c r="W29" s="18" t="s">
        <v>143</v>
      </c>
      <c r="X29" s="2"/>
      <c r="Y29" s="2"/>
      <c r="Z29" s="2"/>
      <c r="AA29" s="2"/>
      <c r="AB29" s="2"/>
      <c r="AC29" s="3"/>
      <c r="AD29" s="19">
        <v>18</v>
      </c>
      <c r="AE29" s="2"/>
      <c r="AF29" s="3"/>
    </row>
    <row r="30" ht="30" customHeight="1" spans="2:32">
      <c r="B30" s="17">
        <v>23</v>
      </c>
      <c r="C30" s="19" t="s">
        <v>144</v>
      </c>
      <c r="D30" s="2"/>
      <c r="E30" s="3"/>
      <c r="F30" s="18" t="s">
        <v>136</v>
      </c>
      <c r="G30" s="2"/>
      <c r="H30" s="2"/>
      <c r="I30" s="2"/>
      <c r="J30" s="2"/>
      <c r="K30" s="2"/>
      <c r="L30" s="3"/>
      <c r="M30" s="18" t="s">
        <v>145</v>
      </c>
      <c r="N30" s="2"/>
      <c r="O30" s="2"/>
      <c r="P30" s="2"/>
      <c r="Q30" s="2"/>
      <c r="R30" s="2"/>
      <c r="S30" s="2"/>
      <c r="T30" s="3"/>
      <c r="U30" s="34" t="s">
        <v>102</v>
      </c>
      <c r="V30" s="3"/>
      <c r="W30" s="18" t="s">
        <v>146</v>
      </c>
      <c r="X30" s="2"/>
      <c r="Y30" s="2"/>
      <c r="Z30" s="2"/>
      <c r="AA30" s="2"/>
      <c r="AB30" s="2"/>
      <c r="AC30" s="3"/>
      <c r="AD30" s="19">
        <v>8</v>
      </c>
      <c r="AE30" s="2"/>
      <c r="AF30" s="3"/>
    </row>
    <row r="31" ht="30" customHeight="1" spans="2:32">
      <c r="B31" s="17">
        <v>24</v>
      </c>
      <c r="C31" s="19" t="s">
        <v>147</v>
      </c>
      <c r="D31" s="2"/>
      <c r="E31" s="3"/>
      <c r="F31" s="18" t="s">
        <v>136</v>
      </c>
      <c r="G31" s="2"/>
      <c r="H31" s="2"/>
      <c r="I31" s="2"/>
      <c r="J31" s="2"/>
      <c r="K31" s="2"/>
      <c r="L31" s="3"/>
      <c r="M31" s="18" t="s">
        <v>148</v>
      </c>
      <c r="N31" s="2"/>
      <c r="O31" s="2"/>
      <c r="P31" s="2"/>
      <c r="Q31" s="2"/>
      <c r="R31" s="2"/>
      <c r="S31" s="2"/>
      <c r="T31" s="3"/>
      <c r="U31" s="33" t="s">
        <v>82</v>
      </c>
      <c r="V31" s="3"/>
      <c r="W31" s="18" t="s">
        <v>149</v>
      </c>
      <c r="X31" s="2"/>
      <c r="Y31" s="2"/>
      <c r="Z31" s="2"/>
      <c r="AA31" s="2"/>
      <c r="AB31" s="2"/>
      <c r="AC31" s="3"/>
      <c r="AD31" s="19">
        <v>10</v>
      </c>
      <c r="AE31" s="2"/>
      <c r="AF31" s="3"/>
    </row>
    <row r="32" ht="30" customHeight="1" spans="2:32">
      <c r="B32" s="17">
        <v>25</v>
      </c>
      <c r="C32" s="19" t="s">
        <v>150</v>
      </c>
      <c r="D32" s="2"/>
      <c r="E32" s="3"/>
      <c r="F32" s="18" t="s">
        <v>136</v>
      </c>
      <c r="G32" s="2"/>
      <c r="H32" s="2"/>
      <c r="I32" s="2"/>
      <c r="J32" s="2"/>
      <c r="K32" s="2"/>
      <c r="L32" s="3"/>
      <c r="M32" s="18" t="s">
        <v>151</v>
      </c>
      <c r="N32" s="2"/>
      <c r="O32" s="2"/>
      <c r="P32" s="2"/>
      <c r="Q32" s="2"/>
      <c r="R32" s="2"/>
      <c r="S32" s="2"/>
      <c r="T32" s="3"/>
      <c r="U32" s="34" t="s">
        <v>102</v>
      </c>
      <c r="V32" s="3"/>
      <c r="W32" s="18" t="s">
        <v>152</v>
      </c>
      <c r="X32" s="2"/>
      <c r="Y32" s="2"/>
      <c r="Z32" s="2"/>
      <c r="AA32" s="2"/>
      <c r="AB32" s="2"/>
      <c r="AC32" s="3"/>
      <c r="AD32" s="19">
        <v>30</v>
      </c>
      <c r="AE32" s="2"/>
      <c r="AF32" s="3"/>
    </row>
    <row r="33" ht="30" customHeight="1" spans="2:32">
      <c r="B33" s="17">
        <v>26</v>
      </c>
      <c r="C33" s="19" t="s">
        <v>153</v>
      </c>
      <c r="D33" s="2"/>
      <c r="E33" s="3"/>
      <c r="F33" s="18" t="s">
        <v>136</v>
      </c>
      <c r="G33" s="2"/>
      <c r="H33" s="2"/>
      <c r="I33" s="2"/>
      <c r="J33" s="2"/>
      <c r="K33" s="2"/>
      <c r="L33" s="3"/>
      <c r="M33" s="18" t="s">
        <v>154</v>
      </c>
      <c r="N33" s="2"/>
      <c r="O33" s="2"/>
      <c r="P33" s="2"/>
      <c r="Q33" s="2"/>
      <c r="R33" s="2"/>
      <c r="S33" s="2"/>
      <c r="T33" s="3"/>
      <c r="U33" s="33" t="s">
        <v>82</v>
      </c>
      <c r="V33" s="3"/>
      <c r="W33" s="18" t="s">
        <v>155</v>
      </c>
      <c r="X33" s="2"/>
      <c r="Y33" s="2"/>
      <c r="Z33" s="2"/>
      <c r="AA33" s="2"/>
      <c r="AB33" s="2"/>
      <c r="AC33" s="3"/>
      <c r="AD33" s="19">
        <v>15</v>
      </c>
      <c r="AE33" s="2"/>
      <c r="AF33" s="3"/>
    </row>
    <row r="34" ht="30" customHeight="1" spans="2:32">
      <c r="B34" s="17">
        <v>27</v>
      </c>
      <c r="C34" s="19" t="s">
        <v>156</v>
      </c>
      <c r="D34" s="2"/>
      <c r="E34" s="3"/>
      <c r="F34" s="18" t="s">
        <v>136</v>
      </c>
      <c r="G34" s="2"/>
      <c r="H34" s="2"/>
      <c r="I34" s="2"/>
      <c r="J34" s="2"/>
      <c r="K34" s="2"/>
      <c r="L34" s="3"/>
      <c r="M34" s="18" t="s">
        <v>157</v>
      </c>
      <c r="N34" s="2"/>
      <c r="O34" s="2"/>
      <c r="P34" s="2"/>
      <c r="Q34" s="2"/>
      <c r="R34" s="2"/>
      <c r="S34" s="2"/>
      <c r="T34" s="3"/>
      <c r="U34" s="33" t="s">
        <v>82</v>
      </c>
      <c r="V34" s="3"/>
      <c r="W34" s="18" t="s">
        <v>158</v>
      </c>
      <c r="X34" s="2"/>
      <c r="Y34" s="2"/>
      <c r="Z34" s="2"/>
      <c r="AA34" s="2"/>
      <c r="AB34" s="2"/>
      <c r="AC34" s="3"/>
      <c r="AD34" s="19">
        <v>18</v>
      </c>
      <c r="AE34" s="2"/>
      <c r="AF34" s="3"/>
    </row>
    <row r="35" ht="30" customHeight="1" spans="2:32">
      <c r="B35" s="17">
        <v>28</v>
      </c>
      <c r="C35" s="19" t="s">
        <v>159</v>
      </c>
      <c r="D35" s="2"/>
      <c r="E35" s="3"/>
      <c r="F35" s="18" t="s">
        <v>160</v>
      </c>
      <c r="G35" s="2"/>
      <c r="H35" s="2"/>
      <c r="I35" s="2"/>
      <c r="J35" s="2"/>
      <c r="K35" s="2"/>
      <c r="L35" s="3"/>
      <c r="M35" s="18" t="s">
        <v>161</v>
      </c>
      <c r="N35" s="2"/>
      <c r="O35" s="2"/>
      <c r="P35" s="2"/>
      <c r="Q35" s="2"/>
      <c r="R35" s="2"/>
      <c r="S35" s="2"/>
      <c r="T35" s="3"/>
      <c r="U35" s="33" t="s">
        <v>82</v>
      </c>
      <c r="V35" s="3"/>
      <c r="W35" s="18" t="s">
        <v>162</v>
      </c>
      <c r="X35" s="2"/>
      <c r="Y35" s="2"/>
      <c r="Z35" s="2"/>
      <c r="AA35" s="2"/>
      <c r="AB35" s="2"/>
      <c r="AC35" s="3"/>
      <c r="AD35" s="19">
        <v>25</v>
      </c>
      <c r="AE35" s="2"/>
      <c r="AF35" s="3"/>
    </row>
    <row r="36" ht="30" customHeight="1" spans="2:32">
      <c r="B36" s="17">
        <v>29</v>
      </c>
      <c r="C36" s="19" t="s">
        <v>163</v>
      </c>
      <c r="D36" s="2"/>
      <c r="E36" s="3"/>
      <c r="F36" s="18" t="s">
        <v>160</v>
      </c>
      <c r="G36" s="2"/>
      <c r="H36" s="2"/>
      <c r="I36" s="2"/>
      <c r="J36" s="2"/>
      <c r="K36" s="2"/>
      <c r="L36" s="3"/>
      <c r="M36" s="18" t="s">
        <v>164</v>
      </c>
      <c r="N36" s="2"/>
      <c r="O36" s="2"/>
      <c r="P36" s="2"/>
      <c r="Q36" s="2"/>
      <c r="R36" s="2"/>
      <c r="S36" s="2"/>
      <c r="T36" s="3"/>
      <c r="U36" s="33" t="s">
        <v>82</v>
      </c>
      <c r="V36" s="3"/>
      <c r="W36" s="18" t="s">
        <v>94</v>
      </c>
      <c r="X36" s="2"/>
      <c r="Y36" s="2"/>
      <c r="Z36" s="2"/>
      <c r="AA36" s="2"/>
      <c r="AB36" s="2"/>
      <c r="AC36" s="3"/>
      <c r="AD36" s="19">
        <v>8</v>
      </c>
      <c r="AE36" s="2"/>
      <c r="AF36" s="3"/>
    </row>
    <row r="37" ht="30" customHeight="1" spans="2:32">
      <c r="B37" s="17">
        <v>30</v>
      </c>
      <c r="C37" s="19" t="s">
        <v>165</v>
      </c>
      <c r="D37" s="2"/>
      <c r="E37" s="3"/>
      <c r="F37" s="18" t="s">
        <v>160</v>
      </c>
      <c r="G37" s="2"/>
      <c r="H37" s="2"/>
      <c r="I37" s="2"/>
      <c r="J37" s="2"/>
      <c r="K37" s="2"/>
      <c r="L37" s="3"/>
      <c r="M37" s="18" t="s">
        <v>166</v>
      </c>
      <c r="N37" s="2"/>
      <c r="O37" s="2"/>
      <c r="P37" s="2"/>
      <c r="Q37" s="2"/>
      <c r="R37" s="2"/>
      <c r="S37" s="2"/>
      <c r="T37" s="3"/>
      <c r="U37" s="33" t="s">
        <v>82</v>
      </c>
      <c r="V37" s="3"/>
      <c r="W37" s="18" t="s">
        <v>167</v>
      </c>
      <c r="X37" s="2"/>
      <c r="Y37" s="2"/>
      <c r="Z37" s="2"/>
      <c r="AA37" s="2"/>
      <c r="AB37" s="2"/>
      <c r="AC37" s="3"/>
      <c r="AD37" s="19">
        <v>15</v>
      </c>
      <c r="AE37" s="2"/>
      <c r="AF37" s="3"/>
    </row>
    <row r="38" ht="30" customHeight="1" spans="2:32">
      <c r="B38" s="17">
        <v>31</v>
      </c>
      <c r="C38" s="19" t="s">
        <v>168</v>
      </c>
      <c r="D38" s="2"/>
      <c r="E38" s="3"/>
      <c r="F38" s="18" t="s">
        <v>160</v>
      </c>
      <c r="G38" s="2"/>
      <c r="H38" s="2"/>
      <c r="I38" s="2"/>
      <c r="J38" s="2"/>
      <c r="K38" s="2"/>
      <c r="L38" s="3"/>
      <c r="M38" s="18" t="s">
        <v>169</v>
      </c>
      <c r="N38" s="2"/>
      <c r="O38" s="2"/>
      <c r="P38" s="2"/>
      <c r="Q38" s="2"/>
      <c r="R38" s="2"/>
      <c r="S38" s="2"/>
      <c r="T38" s="3"/>
      <c r="U38" s="33" t="s">
        <v>82</v>
      </c>
      <c r="V38" s="3"/>
      <c r="W38" s="18" t="s">
        <v>94</v>
      </c>
      <c r="X38" s="2"/>
      <c r="Y38" s="2"/>
      <c r="Z38" s="2"/>
      <c r="AA38" s="2"/>
      <c r="AB38" s="2"/>
      <c r="AC38" s="3"/>
      <c r="AD38" s="19">
        <v>40</v>
      </c>
      <c r="AE38" s="2"/>
      <c r="AF38" s="3"/>
    </row>
    <row r="39" ht="30" customHeight="1" spans="2:32">
      <c r="B39" s="17">
        <v>32</v>
      </c>
      <c r="C39" s="19" t="s">
        <v>170</v>
      </c>
      <c r="D39" s="2"/>
      <c r="E39" s="3"/>
      <c r="F39" s="18" t="s">
        <v>160</v>
      </c>
      <c r="G39" s="2"/>
      <c r="H39" s="2"/>
      <c r="I39" s="2"/>
      <c r="J39" s="2"/>
      <c r="K39" s="2"/>
      <c r="L39" s="3"/>
      <c r="M39" s="18" t="s">
        <v>171</v>
      </c>
      <c r="N39" s="2"/>
      <c r="O39" s="2"/>
      <c r="P39" s="2"/>
      <c r="Q39" s="2"/>
      <c r="R39" s="2"/>
      <c r="S39" s="2"/>
      <c r="T39" s="3"/>
      <c r="U39" s="34" t="s">
        <v>102</v>
      </c>
      <c r="V39" s="3"/>
      <c r="W39" s="18" t="s">
        <v>172</v>
      </c>
      <c r="X39" s="2"/>
      <c r="Y39" s="2"/>
      <c r="Z39" s="2"/>
      <c r="AA39" s="2"/>
      <c r="AB39" s="2"/>
      <c r="AC39" s="3"/>
      <c r="AD39" s="19">
        <v>20</v>
      </c>
      <c r="AE39" s="2"/>
      <c r="AF39" s="3"/>
    </row>
    <row r="40" ht="30" customHeight="1" spans="2:32">
      <c r="B40" s="17">
        <v>33</v>
      </c>
      <c r="C40" s="19" t="s">
        <v>173</v>
      </c>
      <c r="D40" s="2"/>
      <c r="E40" s="3"/>
      <c r="F40" s="18" t="s">
        <v>160</v>
      </c>
      <c r="G40" s="2"/>
      <c r="H40" s="2"/>
      <c r="I40" s="2"/>
      <c r="J40" s="2"/>
      <c r="K40" s="2"/>
      <c r="L40" s="3"/>
      <c r="M40" s="18" t="s">
        <v>174</v>
      </c>
      <c r="N40" s="2"/>
      <c r="O40" s="2"/>
      <c r="P40" s="2"/>
      <c r="Q40" s="2"/>
      <c r="R40" s="2"/>
      <c r="S40" s="2"/>
      <c r="T40" s="3"/>
      <c r="U40" s="34" t="s">
        <v>102</v>
      </c>
      <c r="V40" s="3"/>
      <c r="W40" s="18" t="s">
        <v>175</v>
      </c>
      <c r="X40" s="2"/>
      <c r="Y40" s="2"/>
      <c r="Z40" s="2"/>
      <c r="AA40" s="2"/>
      <c r="AB40" s="2"/>
      <c r="AC40" s="3"/>
      <c r="AD40" s="19">
        <v>12</v>
      </c>
      <c r="AE40" s="2"/>
      <c r="AF40" s="3"/>
    </row>
    <row r="41" ht="30" customHeight="1" spans="2:32">
      <c r="B41" s="17">
        <v>34</v>
      </c>
      <c r="C41" s="19" t="s">
        <v>176</v>
      </c>
      <c r="D41" s="2"/>
      <c r="E41" s="3"/>
      <c r="F41" s="18" t="s">
        <v>160</v>
      </c>
      <c r="G41" s="2"/>
      <c r="H41" s="2"/>
      <c r="I41" s="2"/>
      <c r="J41" s="2"/>
      <c r="K41" s="2"/>
      <c r="L41" s="3"/>
      <c r="M41" s="18" t="s">
        <v>177</v>
      </c>
      <c r="N41" s="2"/>
      <c r="O41" s="2"/>
      <c r="P41" s="2"/>
      <c r="Q41" s="2"/>
      <c r="R41" s="2"/>
      <c r="S41" s="2"/>
      <c r="T41" s="3"/>
      <c r="U41" s="33" t="s">
        <v>82</v>
      </c>
      <c r="V41" s="3"/>
      <c r="W41" s="18" t="s">
        <v>178</v>
      </c>
      <c r="X41" s="2"/>
      <c r="Y41" s="2"/>
      <c r="Z41" s="2"/>
      <c r="AA41" s="2"/>
      <c r="AB41" s="2"/>
      <c r="AC41" s="3"/>
      <c r="AD41" s="19">
        <v>15</v>
      </c>
      <c r="AE41" s="2"/>
      <c r="AF41" s="3"/>
    </row>
    <row r="42" ht="30" customHeight="1" spans="2:32">
      <c r="B42" s="17">
        <v>35</v>
      </c>
      <c r="C42" s="19" t="s">
        <v>179</v>
      </c>
      <c r="D42" s="2"/>
      <c r="E42" s="3"/>
      <c r="F42" s="18" t="s">
        <v>160</v>
      </c>
      <c r="G42" s="2"/>
      <c r="H42" s="2"/>
      <c r="I42" s="2"/>
      <c r="J42" s="2"/>
      <c r="K42" s="2"/>
      <c r="L42" s="3"/>
      <c r="M42" s="18" t="s">
        <v>180</v>
      </c>
      <c r="N42" s="2"/>
      <c r="O42" s="2"/>
      <c r="P42" s="2"/>
      <c r="Q42" s="2"/>
      <c r="R42" s="2"/>
      <c r="S42" s="2"/>
      <c r="T42" s="3"/>
      <c r="U42" s="34" t="s">
        <v>102</v>
      </c>
      <c r="V42" s="3"/>
      <c r="W42" s="18" t="s">
        <v>94</v>
      </c>
      <c r="X42" s="2"/>
      <c r="Y42" s="2"/>
      <c r="Z42" s="2"/>
      <c r="AA42" s="2"/>
      <c r="AB42" s="2"/>
      <c r="AC42" s="3"/>
      <c r="AD42" s="19">
        <v>30</v>
      </c>
      <c r="AE42" s="2"/>
      <c r="AF42" s="3"/>
    </row>
    <row r="43" ht="36" customHeight="1" spans="2:32">
      <c r="B43" s="17">
        <v>36</v>
      </c>
      <c r="C43" s="19" t="s">
        <v>181</v>
      </c>
      <c r="D43" s="2"/>
      <c r="E43" s="3"/>
      <c r="F43" s="18" t="s">
        <v>160</v>
      </c>
      <c r="G43" s="2"/>
      <c r="H43" s="2"/>
      <c r="I43" s="2"/>
      <c r="J43" s="2"/>
      <c r="K43" s="2"/>
      <c r="L43" s="3"/>
      <c r="M43" s="18" t="s">
        <v>182</v>
      </c>
      <c r="N43" s="2"/>
      <c r="O43" s="2"/>
      <c r="P43" s="2"/>
      <c r="Q43" s="2"/>
      <c r="R43" s="2"/>
      <c r="S43" s="2"/>
      <c r="T43" s="3"/>
      <c r="U43" s="33" t="s">
        <v>82</v>
      </c>
      <c r="V43" s="3"/>
      <c r="W43" s="18" t="s">
        <v>167</v>
      </c>
      <c r="X43" s="2"/>
      <c r="Y43" s="2"/>
      <c r="Z43" s="2"/>
      <c r="AA43" s="2"/>
      <c r="AB43" s="2"/>
      <c r="AC43" s="3"/>
      <c r="AD43" s="19">
        <v>6</v>
      </c>
      <c r="AE43" s="2"/>
      <c r="AF43" s="3"/>
    </row>
    <row r="44" ht="30" customHeight="1" spans="2:32">
      <c r="B44" s="17">
        <v>37</v>
      </c>
      <c r="C44" s="19" t="s">
        <v>183</v>
      </c>
      <c r="D44" s="2"/>
      <c r="E44" s="3"/>
      <c r="F44" s="18" t="s">
        <v>184</v>
      </c>
      <c r="G44" s="2"/>
      <c r="H44" s="2"/>
      <c r="I44" s="2"/>
      <c r="J44" s="2"/>
      <c r="K44" s="2"/>
      <c r="L44" s="3"/>
      <c r="M44" s="18" t="s">
        <v>185</v>
      </c>
      <c r="N44" s="2"/>
      <c r="O44" s="2"/>
      <c r="P44" s="2"/>
      <c r="Q44" s="2"/>
      <c r="R44" s="2"/>
      <c r="S44" s="2"/>
      <c r="T44" s="3"/>
      <c r="U44" s="35" t="s">
        <v>186</v>
      </c>
      <c r="V44" s="3"/>
      <c r="W44" s="18" t="s">
        <v>187</v>
      </c>
      <c r="X44" s="2"/>
      <c r="Y44" s="2"/>
      <c r="Z44" s="2"/>
      <c r="AA44" s="2"/>
      <c r="AB44" s="2"/>
      <c r="AC44" s="3"/>
      <c r="AD44" s="19">
        <v>60</v>
      </c>
      <c r="AE44" s="2"/>
      <c r="AF44" s="3"/>
    </row>
    <row r="45" ht="36" customHeight="1" spans="2:32">
      <c r="B45" s="17">
        <v>38</v>
      </c>
      <c r="C45" s="19" t="s">
        <v>188</v>
      </c>
      <c r="D45" s="2"/>
      <c r="E45" s="3"/>
      <c r="F45" s="18" t="s">
        <v>184</v>
      </c>
      <c r="G45" s="2"/>
      <c r="H45" s="2"/>
      <c r="I45" s="2"/>
      <c r="J45" s="2"/>
      <c r="K45" s="2"/>
      <c r="L45" s="3"/>
      <c r="M45" s="18" t="s">
        <v>189</v>
      </c>
      <c r="N45" s="2"/>
      <c r="O45" s="2"/>
      <c r="P45" s="2"/>
      <c r="Q45" s="2"/>
      <c r="R45" s="2"/>
      <c r="S45" s="2"/>
      <c r="T45" s="3"/>
      <c r="U45" s="35" t="s">
        <v>186</v>
      </c>
      <c r="V45" s="3"/>
      <c r="W45" s="18" t="s">
        <v>187</v>
      </c>
      <c r="X45" s="2"/>
      <c r="Y45" s="2"/>
      <c r="Z45" s="2"/>
      <c r="AA45" s="2"/>
      <c r="AB45" s="2"/>
      <c r="AC45" s="3"/>
      <c r="AD45" s="19">
        <v>40</v>
      </c>
      <c r="AE45" s="2"/>
      <c r="AF45" s="3"/>
    </row>
    <row r="46" ht="30" customHeight="1" spans="2:32">
      <c r="B46" s="17">
        <v>39</v>
      </c>
      <c r="C46" s="19" t="s">
        <v>190</v>
      </c>
      <c r="D46" s="2"/>
      <c r="E46" s="3"/>
      <c r="F46" s="18" t="s">
        <v>184</v>
      </c>
      <c r="G46" s="2"/>
      <c r="H46" s="2"/>
      <c r="I46" s="2"/>
      <c r="J46" s="2"/>
      <c r="K46" s="2"/>
      <c r="L46" s="3"/>
      <c r="M46" s="18" t="s">
        <v>191</v>
      </c>
      <c r="N46" s="2"/>
      <c r="O46" s="2"/>
      <c r="P46" s="2"/>
      <c r="Q46" s="2"/>
      <c r="R46" s="2"/>
      <c r="S46" s="2"/>
      <c r="T46" s="3"/>
      <c r="U46" s="35" t="s">
        <v>186</v>
      </c>
      <c r="V46" s="3"/>
      <c r="W46" s="18" t="s">
        <v>113</v>
      </c>
      <c r="X46" s="2"/>
      <c r="Y46" s="2"/>
      <c r="Z46" s="2"/>
      <c r="AA46" s="2"/>
      <c r="AB46" s="2"/>
      <c r="AC46" s="3"/>
      <c r="AD46" s="19">
        <v>25</v>
      </c>
      <c r="AE46" s="2"/>
      <c r="AF46" s="3"/>
    </row>
    <row r="47" ht="30" customHeight="1" spans="2:32">
      <c r="B47" s="17">
        <v>40</v>
      </c>
      <c r="C47" s="19" t="s">
        <v>192</v>
      </c>
      <c r="D47" s="2"/>
      <c r="E47" s="3"/>
      <c r="F47" s="18" t="s">
        <v>184</v>
      </c>
      <c r="G47" s="2"/>
      <c r="H47" s="2"/>
      <c r="I47" s="2"/>
      <c r="J47" s="2"/>
      <c r="K47" s="2"/>
      <c r="L47" s="3"/>
      <c r="M47" s="18" t="s">
        <v>193</v>
      </c>
      <c r="N47" s="2"/>
      <c r="O47" s="2"/>
      <c r="P47" s="2"/>
      <c r="Q47" s="2"/>
      <c r="R47" s="2"/>
      <c r="S47" s="2"/>
      <c r="T47" s="3"/>
      <c r="U47" s="35" t="s">
        <v>186</v>
      </c>
      <c r="V47" s="3"/>
      <c r="W47" s="18" t="s">
        <v>94</v>
      </c>
      <c r="X47" s="2"/>
      <c r="Y47" s="2"/>
      <c r="Z47" s="2"/>
      <c r="AA47" s="2"/>
      <c r="AB47" s="2"/>
      <c r="AC47" s="3"/>
      <c r="AD47" s="19">
        <v>5</v>
      </c>
      <c r="AE47" s="2"/>
      <c r="AF47" s="3"/>
    </row>
    <row r="48" ht="30" customHeight="1" spans="2:32">
      <c r="B48" s="17">
        <v>41</v>
      </c>
      <c r="C48" s="19" t="s">
        <v>194</v>
      </c>
      <c r="D48" s="2"/>
      <c r="E48" s="3"/>
      <c r="F48" s="18" t="s">
        <v>184</v>
      </c>
      <c r="G48" s="2"/>
      <c r="H48" s="2"/>
      <c r="I48" s="2"/>
      <c r="J48" s="2"/>
      <c r="K48" s="2"/>
      <c r="L48" s="3"/>
      <c r="M48" s="18" t="s">
        <v>195</v>
      </c>
      <c r="N48" s="2"/>
      <c r="O48" s="2"/>
      <c r="P48" s="2"/>
      <c r="Q48" s="2"/>
      <c r="R48" s="2"/>
      <c r="S48" s="2"/>
      <c r="T48" s="3"/>
      <c r="U48" s="33" t="s">
        <v>82</v>
      </c>
      <c r="V48" s="3"/>
      <c r="W48" s="18" t="s">
        <v>94</v>
      </c>
      <c r="X48" s="2"/>
      <c r="Y48" s="2"/>
      <c r="Z48" s="2"/>
      <c r="AA48" s="2"/>
      <c r="AB48" s="2"/>
      <c r="AC48" s="3"/>
      <c r="AD48" s="19">
        <v>5</v>
      </c>
      <c r="AE48" s="2"/>
      <c r="AF48" s="3"/>
    </row>
    <row r="49" ht="30" customHeight="1" spans="2:37">
      <c r="B49" s="17">
        <v>42</v>
      </c>
      <c r="C49" s="19" t="s">
        <v>196</v>
      </c>
      <c r="D49" s="2"/>
      <c r="E49" s="3"/>
      <c r="F49" s="18" t="s">
        <v>184</v>
      </c>
      <c r="G49" s="2"/>
      <c r="H49" s="2"/>
      <c r="I49" s="2"/>
      <c r="J49" s="2"/>
      <c r="K49" s="2"/>
      <c r="L49" s="3"/>
      <c r="M49" s="18" t="s">
        <v>197</v>
      </c>
      <c r="N49" s="2"/>
      <c r="O49" s="2"/>
      <c r="P49" s="2"/>
      <c r="Q49" s="2"/>
      <c r="R49" s="2"/>
      <c r="S49" s="2"/>
      <c r="T49" s="3"/>
      <c r="U49" s="34" t="s">
        <v>102</v>
      </c>
      <c r="V49" s="3"/>
      <c r="W49" s="18" t="s">
        <v>198</v>
      </c>
      <c r="X49" s="2"/>
      <c r="Y49" s="2"/>
      <c r="Z49" s="2"/>
      <c r="AA49" s="2"/>
      <c r="AB49" s="2"/>
      <c r="AC49" s="3"/>
      <c r="AD49" s="19">
        <v>8</v>
      </c>
      <c r="AE49" s="2"/>
      <c r="AF49" s="3"/>
    </row>
    <row r="50" ht="30" customHeight="1" spans="2:37">
      <c r="B50" s="17">
        <v>43</v>
      </c>
      <c r="C50" s="19" t="s">
        <v>199</v>
      </c>
      <c r="D50" s="2"/>
      <c r="E50" s="3"/>
      <c r="F50" s="18" t="s">
        <v>200</v>
      </c>
      <c r="G50" s="2"/>
      <c r="H50" s="2"/>
      <c r="I50" s="2"/>
      <c r="J50" s="2"/>
      <c r="K50" s="2"/>
      <c r="L50" s="3"/>
      <c r="M50" s="18" t="s">
        <v>201</v>
      </c>
      <c r="N50" s="2"/>
      <c r="O50" s="2"/>
      <c r="P50" s="2"/>
      <c r="Q50" s="2"/>
      <c r="R50" s="2"/>
      <c r="S50" s="2"/>
      <c r="T50" s="3"/>
      <c r="U50" s="34" t="s">
        <v>102</v>
      </c>
      <c r="V50" s="3"/>
      <c r="W50" s="18" t="s">
        <v>202</v>
      </c>
      <c r="X50" s="2"/>
      <c r="Y50" s="2"/>
      <c r="Z50" s="2"/>
      <c r="AA50" s="2"/>
      <c r="AB50" s="2"/>
      <c r="AC50" s="3"/>
      <c r="AD50" s="19">
        <v>12</v>
      </c>
      <c r="AE50" s="2"/>
      <c r="AF50" s="3"/>
    </row>
    <row r="51" ht="30" customHeight="1" spans="2:37">
      <c r="B51" s="17">
        <v>44</v>
      </c>
      <c r="C51" s="19" t="s">
        <v>203</v>
      </c>
      <c r="D51" s="2"/>
      <c r="E51" s="3"/>
      <c r="F51" s="18" t="s">
        <v>200</v>
      </c>
      <c r="G51" s="2"/>
      <c r="H51" s="2"/>
      <c r="I51" s="2"/>
      <c r="J51" s="2"/>
      <c r="K51" s="2"/>
      <c r="L51" s="3"/>
      <c r="M51" s="18" t="s">
        <v>204</v>
      </c>
      <c r="N51" s="2"/>
      <c r="O51" s="2"/>
      <c r="P51" s="2"/>
      <c r="Q51" s="2"/>
      <c r="R51" s="2"/>
      <c r="S51" s="2"/>
      <c r="T51" s="3"/>
      <c r="U51" s="34" t="s">
        <v>102</v>
      </c>
      <c r="V51" s="3"/>
      <c r="W51" s="18" t="s">
        <v>205</v>
      </c>
      <c r="X51" s="2"/>
      <c r="Y51" s="2"/>
      <c r="Z51" s="2"/>
      <c r="AA51" s="2"/>
      <c r="AB51" s="2"/>
      <c r="AC51" s="3"/>
      <c r="AD51" s="19">
        <v>8</v>
      </c>
      <c r="AE51" s="2"/>
      <c r="AF51" s="3"/>
    </row>
    <row r="52" ht="22.5" customHeight="1" spans="2:37">
      <c r="B52" s="36" t="s">
        <v>58</v>
      </c>
      <c r="C52" s="2"/>
      <c r="D52" s="2"/>
      <c r="E52" s="2"/>
      <c r="F52" s="2"/>
      <c r="G52" s="2"/>
      <c r="H52" s="2"/>
      <c r="I52" s="2"/>
      <c r="J52" s="2"/>
      <c r="K52" s="2"/>
      <c r="L52" s="2"/>
      <c r="M52" s="2"/>
      <c r="N52" s="2"/>
      <c r="O52" s="2"/>
      <c r="P52" s="2"/>
      <c r="Q52" s="2"/>
      <c r="R52" s="2"/>
      <c r="S52" s="2"/>
      <c r="T52" s="3"/>
      <c r="U52" s="37"/>
      <c r="V52" s="3"/>
      <c r="W52" s="37"/>
      <c r="X52" s="2"/>
      <c r="Y52" s="2"/>
      <c r="Z52" s="2"/>
      <c r="AA52" s="2"/>
      <c r="AB52" s="2"/>
      <c r="AC52" s="3"/>
      <c r="AD52" s="37">
        <f>SUM(AD8:AD51)</f>
        <v>1682</v>
      </c>
      <c r="AE52" s="2"/>
      <c r="AF52" s="3"/>
    </row>
    <row r="53" ht="15.75" customHeight="1"/>
    <row r="54" ht="19.5" customHeight="1" spans="2:37">
      <c r="B54" s="31" t="s">
        <v>206</v>
      </c>
    </row>
    <row r="55" ht="15.75" customHeight="1"/>
    <row r="56" ht="28.5" customHeight="1" spans="2:37">
      <c r="B56" s="1" t="s">
        <v>207</v>
      </c>
      <c r="C56" s="3"/>
      <c r="D56" s="1" t="s">
        <v>208</v>
      </c>
      <c r="E56" s="2"/>
      <c r="F56" s="3"/>
      <c r="G56" s="1" t="s">
        <v>209</v>
      </c>
      <c r="H56" s="2"/>
      <c r="I56" s="2"/>
      <c r="J56" s="2"/>
      <c r="K56" s="2"/>
      <c r="L56" s="3"/>
      <c r="M56" s="1" t="s">
        <v>210</v>
      </c>
      <c r="N56" s="3"/>
      <c r="O56" s="1" t="s">
        <v>211</v>
      </c>
      <c r="P56" s="2"/>
      <c r="Q56" s="3"/>
      <c r="R56" s="1" t="s">
        <v>212</v>
      </c>
      <c r="S56" s="2"/>
      <c r="T56" s="2"/>
      <c r="U56" s="2"/>
      <c r="V56" s="2"/>
      <c r="W56" s="2"/>
      <c r="X56" s="2"/>
      <c r="Y56" s="2"/>
      <c r="Z56" s="2"/>
      <c r="AA56" s="2"/>
      <c r="AB56" s="2"/>
      <c r="AC56" s="2"/>
      <c r="AD56" s="2"/>
      <c r="AE56" s="2"/>
      <c r="AF56" s="2"/>
      <c r="AG56" s="2"/>
      <c r="AH56" s="2"/>
      <c r="AI56" s="2"/>
      <c r="AJ56" s="2"/>
      <c r="AK56" s="3"/>
    </row>
    <row r="57" ht="36" customHeight="1" spans="2:37">
      <c r="B57" s="38" t="s">
        <v>213</v>
      </c>
      <c r="C57" s="3"/>
      <c r="D57" s="19" t="s">
        <v>214</v>
      </c>
      <c r="E57" s="2"/>
      <c r="F57" s="3"/>
      <c r="G57" s="18" t="s">
        <v>215</v>
      </c>
      <c r="H57" s="2"/>
      <c r="I57" s="2"/>
      <c r="J57" s="2"/>
      <c r="K57" s="2"/>
      <c r="L57" s="3"/>
      <c r="M57" s="19">
        <v>10</v>
      </c>
      <c r="N57" s="3"/>
      <c r="O57" s="19" t="s">
        <v>82</v>
      </c>
      <c r="P57" s="2"/>
      <c r="Q57" s="3"/>
      <c r="R57" s="18" t="s">
        <v>216</v>
      </c>
      <c r="S57" s="2"/>
      <c r="T57" s="2"/>
      <c r="U57" s="2"/>
      <c r="V57" s="2"/>
      <c r="W57" s="2"/>
      <c r="X57" s="2"/>
      <c r="Y57" s="2"/>
      <c r="Z57" s="2"/>
      <c r="AA57" s="2"/>
      <c r="AB57" s="2"/>
      <c r="AC57" s="2"/>
      <c r="AD57" s="2"/>
      <c r="AE57" s="2"/>
      <c r="AF57" s="2"/>
      <c r="AG57" s="2"/>
      <c r="AH57" s="2"/>
      <c r="AI57" s="2"/>
      <c r="AJ57" s="2"/>
      <c r="AK57" s="3"/>
    </row>
    <row r="58" ht="30" customHeight="1" spans="2:37">
      <c r="B58" s="38" t="s">
        <v>217</v>
      </c>
      <c r="C58" s="3"/>
      <c r="D58" s="19" t="s">
        <v>218</v>
      </c>
      <c r="E58" s="2"/>
      <c r="F58" s="3"/>
      <c r="G58" s="18" t="s">
        <v>219</v>
      </c>
      <c r="H58" s="2"/>
      <c r="I58" s="2"/>
      <c r="J58" s="2"/>
      <c r="K58" s="2"/>
      <c r="L58" s="3"/>
      <c r="M58" s="19">
        <v>9</v>
      </c>
      <c r="N58" s="3"/>
      <c r="O58" s="19" t="s">
        <v>102</v>
      </c>
      <c r="P58" s="2"/>
      <c r="Q58" s="3"/>
      <c r="R58" s="18" t="s">
        <v>220</v>
      </c>
      <c r="S58" s="2"/>
      <c r="T58" s="2"/>
      <c r="U58" s="2"/>
      <c r="V58" s="2"/>
      <c r="W58" s="2"/>
      <c r="X58" s="2"/>
      <c r="Y58" s="2"/>
      <c r="Z58" s="2"/>
      <c r="AA58" s="2"/>
      <c r="AB58" s="2"/>
      <c r="AC58" s="2"/>
      <c r="AD58" s="2"/>
      <c r="AE58" s="2"/>
      <c r="AF58" s="2"/>
      <c r="AG58" s="2"/>
      <c r="AH58" s="2"/>
      <c r="AI58" s="2"/>
      <c r="AJ58" s="2"/>
      <c r="AK58" s="3"/>
    </row>
    <row r="59" ht="36" customHeight="1" spans="2:37">
      <c r="B59" s="38" t="s">
        <v>221</v>
      </c>
      <c r="C59" s="3"/>
      <c r="D59" s="19" t="s">
        <v>222</v>
      </c>
      <c r="E59" s="2"/>
      <c r="F59" s="3"/>
      <c r="G59" s="18" t="s">
        <v>223</v>
      </c>
      <c r="H59" s="2"/>
      <c r="I59" s="2"/>
      <c r="J59" s="2"/>
      <c r="K59" s="2"/>
      <c r="L59" s="3"/>
      <c r="M59" s="19">
        <v>8</v>
      </c>
      <c r="N59" s="3"/>
      <c r="O59" s="19" t="s">
        <v>82</v>
      </c>
      <c r="P59" s="2"/>
      <c r="Q59" s="3"/>
      <c r="R59" s="18" t="s">
        <v>224</v>
      </c>
      <c r="S59" s="2"/>
      <c r="T59" s="2"/>
      <c r="U59" s="2"/>
      <c r="V59" s="2"/>
      <c r="W59" s="2"/>
      <c r="X59" s="2"/>
      <c r="Y59" s="2"/>
      <c r="Z59" s="2"/>
      <c r="AA59" s="2"/>
      <c r="AB59" s="2"/>
      <c r="AC59" s="2"/>
      <c r="AD59" s="2"/>
      <c r="AE59" s="2"/>
      <c r="AF59" s="2"/>
      <c r="AG59" s="2"/>
      <c r="AH59" s="2"/>
      <c r="AI59" s="2"/>
      <c r="AJ59" s="2"/>
      <c r="AK59" s="3"/>
    </row>
    <row r="60" ht="36" customHeight="1" spans="2:37">
      <c r="B60" s="38" t="s">
        <v>225</v>
      </c>
      <c r="C60" s="3"/>
      <c r="D60" s="19" t="s">
        <v>226</v>
      </c>
      <c r="E60" s="2"/>
      <c r="F60" s="3"/>
      <c r="G60" s="18" t="s">
        <v>227</v>
      </c>
      <c r="H60" s="2"/>
      <c r="I60" s="2"/>
      <c r="J60" s="2"/>
      <c r="K60" s="2"/>
      <c r="L60" s="3"/>
      <c r="M60" s="19">
        <v>9</v>
      </c>
      <c r="N60" s="3"/>
      <c r="O60" s="19" t="s">
        <v>82</v>
      </c>
      <c r="P60" s="2"/>
      <c r="Q60" s="3"/>
      <c r="R60" s="18" t="s">
        <v>228</v>
      </c>
      <c r="S60" s="2"/>
      <c r="T60" s="2"/>
      <c r="U60" s="2"/>
      <c r="V60" s="2"/>
      <c r="W60" s="2"/>
      <c r="X60" s="2"/>
      <c r="Y60" s="2"/>
      <c r="Z60" s="2"/>
      <c r="AA60" s="2"/>
      <c r="AB60" s="2"/>
      <c r="AC60" s="2"/>
      <c r="AD60" s="2"/>
      <c r="AE60" s="2"/>
      <c r="AF60" s="2"/>
      <c r="AG60" s="2"/>
      <c r="AH60" s="2"/>
      <c r="AI60" s="2"/>
      <c r="AJ60" s="2"/>
      <c r="AK60" s="3"/>
    </row>
    <row r="61" ht="36" customHeight="1" spans="2:37">
      <c r="B61" s="38" t="s">
        <v>229</v>
      </c>
      <c r="C61" s="3"/>
      <c r="D61" s="19" t="s">
        <v>230</v>
      </c>
      <c r="E61" s="2"/>
      <c r="F61" s="3"/>
      <c r="G61" s="18" t="s">
        <v>231</v>
      </c>
      <c r="H61" s="2"/>
      <c r="I61" s="2"/>
      <c r="J61" s="2"/>
      <c r="K61" s="2"/>
      <c r="L61" s="3"/>
      <c r="M61" s="19">
        <v>6</v>
      </c>
      <c r="N61" s="3"/>
      <c r="O61" s="19" t="s">
        <v>232</v>
      </c>
      <c r="P61" s="2"/>
      <c r="Q61" s="3"/>
      <c r="R61" s="18" t="s">
        <v>233</v>
      </c>
      <c r="S61" s="2"/>
      <c r="T61" s="2"/>
      <c r="U61" s="2"/>
      <c r="V61" s="2"/>
      <c r="W61" s="2"/>
      <c r="X61" s="2"/>
      <c r="Y61" s="2"/>
      <c r="Z61" s="2"/>
      <c r="AA61" s="2"/>
      <c r="AB61" s="2"/>
      <c r="AC61" s="2"/>
      <c r="AD61" s="2"/>
      <c r="AE61" s="2"/>
      <c r="AF61" s="2"/>
      <c r="AG61" s="2"/>
      <c r="AH61" s="2"/>
      <c r="AI61" s="2"/>
      <c r="AJ61" s="2"/>
      <c r="AK61" s="3"/>
    </row>
    <row r="62" ht="30" customHeight="1" spans="2:37">
      <c r="B62" s="38" t="s">
        <v>234</v>
      </c>
      <c r="C62" s="3"/>
      <c r="D62" s="19" t="s">
        <v>235</v>
      </c>
      <c r="E62" s="2"/>
      <c r="F62" s="3"/>
      <c r="G62" s="18" t="s">
        <v>236</v>
      </c>
      <c r="H62" s="2"/>
      <c r="I62" s="2"/>
      <c r="J62" s="2"/>
      <c r="K62" s="2"/>
      <c r="L62" s="3"/>
      <c r="M62" s="19">
        <v>2</v>
      </c>
      <c r="N62" s="3"/>
      <c r="O62" s="19" t="s">
        <v>102</v>
      </c>
      <c r="P62" s="2"/>
      <c r="Q62" s="3"/>
      <c r="R62" s="18" t="s">
        <v>237</v>
      </c>
      <c r="S62" s="2"/>
      <c r="T62" s="2"/>
      <c r="U62" s="2"/>
      <c r="V62" s="2"/>
      <c r="W62" s="2"/>
      <c r="X62" s="2"/>
      <c r="Y62" s="2"/>
      <c r="Z62" s="2"/>
      <c r="AA62" s="2"/>
      <c r="AB62" s="2"/>
      <c r="AC62" s="2"/>
      <c r="AD62" s="2"/>
      <c r="AE62" s="2"/>
      <c r="AF62" s="2"/>
      <c r="AG62" s="2"/>
      <c r="AH62" s="2"/>
      <c r="AI62" s="2"/>
      <c r="AJ62" s="2"/>
      <c r="AK62" s="3"/>
    </row>
    <row r="63" ht="15.75" customHeight="1"/>
    <row r="64" ht="30" customHeight="1" spans="2:37">
      <c r="B64" s="39" t="s">
        <v>238</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A1:I1"/>
    <mergeCell ref="J1:P1"/>
    <mergeCell ref="Q1:U1"/>
    <mergeCell ref="V1:Y1"/>
    <mergeCell ref="Z1:AC1"/>
    <mergeCell ref="AD1:AG1"/>
    <mergeCell ref="AH1:AK1"/>
    <mergeCell ref="B5:AK5"/>
    <mergeCell ref="C7:E7"/>
    <mergeCell ref="F7:L7"/>
    <mergeCell ref="M7:T7"/>
    <mergeCell ref="U7:V7"/>
    <mergeCell ref="W7:AC7"/>
    <mergeCell ref="AD7:AF7"/>
    <mergeCell ref="C8:E8"/>
    <mergeCell ref="F8:L8"/>
    <mergeCell ref="M8:T8"/>
    <mergeCell ref="U8:V8"/>
    <mergeCell ref="W8:AC8"/>
    <mergeCell ref="AD8:AF8"/>
    <mergeCell ref="C9:E9"/>
    <mergeCell ref="F9:L9"/>
    <mergeCell ref="M9:T9"/>
    <mergeCell ref="U9:V9"/>
    <mergeCell ref="W9:AC9"/>
    <mergeCell ref="AD9:AF9"/>
    <mergeCell ref="C10:E10"/>
    <mergeCell ref="F10:L10"/>
    <mergeCell ref="M10:T10"/>
    <mergeCell ref="U10:V10"/>
    <mergeCell ref="W10:AC10"/>
    <mergeCell ref="AD10:AF10"/>
    <mergeCell ref="C11:E11"/>
    <mergeCell ref="F11:L11"/>
    <mergeCell ref="M11:T11"/>
    <mergeCell ref="U11:V11"/>
    <mergeCell ref="W11:AC11"/>
    <mergeCell ref="AD11:AF11"/>
    <mergeCell ref="C12:E12"/>
    <mergeCell ref="F12:L12"/>
    <mergeCell ref="M12:T12"/>
    <mergeCell ref="U12:V12"/>
    <mergeCell ref="W12:AC12"/>
    <mergeCell ref="AD12:AF12"/>
    <mergeCell ref="C13:E13"/>
    <mergeCell ref="F13:L13"/>
    <mergeCell ref="M13:T13"/>
    <mergeCell ref="U13:V13"/>
    <mergeCell ref="W13:AC13"/>
    <mergeCell ref="AD13:AF13"/>
    <mergeCell ref="C14:E14"/>
    <mergeCell ref="F14:L14"/>
    <mergeCell ref="M14:T14"/>
    <mergeCell ref="U14:V14"/>
    <mergeCell ref="W14:AC14"/>
    <mergeCell ref="AD14:AF14"/>
    <mergeCell ref="C15:E15"/>
    <mergeCell ref="F15:L15"/>
    <mergeCell ref="M15:T15"/>
    <mergeCell ref="U15:V15"/>
    <mergeCell ref="W15:AC15"/>
    <mergeCell ref="AD15:AF15"/>
    <mergeCell ref="C16:E16"/>
    <mergeCell ref="F16:L16"/>
    <mergeCell ref="M16:T16"/>
    <mergeCell ref="U16:V16"/>
    <mergeCell ref="W16:AC16"/>
    <mergeCell ref="AD16:AF16"/>
    <mergeCell ref="C17:E17"/>
    <mergeCell ref="F17:L17"/>
    <mergeCell ref="M17:T17"/>
    <mergeCell ref="U17:V17"/>
    <mergeCell ref="W17:AC17"/>
    <mergeCell ref="AD17:AF17"/>
    <mergeCell ref="C18:E18"/>
    <mergeCell ref="F18:L18"/>
    <mergeCell ref="M18:T18"/>
    <mergeCell ref="U18:V18"/>
    <mergeCell ref="W18:AC18"/>
    <mergeCell ref="AD18:AF18"/>
    <mergeCell ref="C19:E19"/>
    <mergeCell ref="F19:L19"/>
    <mergeCell ref="M19:T19"/>
    <mergeCell ref="U19:V19"/>
    <mergeCell ref="W19:AC19"/>
    <mergeCell ref="AD19:AF19"/>
    <mergeCell ref="C20:E20"/>
    <mergeCell ref="F20:L20"/>
    <mergeCell ref="M20:T20"/>
    <mergeCell ref="U20:V20"/>
    <mergeCell ref="W20:AC20"/>
    <mergeCell ref="AD20:AF20"/>
    <mergeCell ref="C21:E21"/>
    <mergeCell ref="F21:L21"/>
    <mergeCell ref="M21:T21"/>
    <mergeCell ref="U21:V21"/>
    <mergeCell ref="W21:AC21"/>
    <mergeCell ref="AD21:AF21"/>
    <mergeCell ref="C22:E22"/>
    <mergeCell ref="F22:L22"/>
    <mergeCell ref="M22:T22"/>
    <mergeCell ref="U22:V22"/>
    <mergeCell ref="W22:AC22"/>
    <mergeCell ref="AD22:AF22"/>
    <mergeCell ref="C23:E23"/>
    <mergeCell ref="F23:L23"/>
    <mergeCell ref="M23:T23"/>
    <mergeCell ref="U23:V23"/>
    <mergeCell ref="W23:AC23"/>
    <mergeCell ref="AD23:AF23"/>
    <mergeCell ref="C24:E24"/>
    <mergeCell ref="F24:L24"/>
    <mergeCell ref="M24:T24"/>
    <mergeCell ref="U24:V24"/>
    <mergeCell ref="W24:AC24"/>
    <mergeCell ref="AD24:AF24"/>
    <mergeCell ref="C25:E25"/>
    <mergeCell ref="F25:L25"/>
    <mergeCell ref="M25:T25"/>
    <mergeCell ref="U25:V25"/>
    <mergeCell ref="W25:AC25"/>
    <mergeCell ref="AD25:AF25"/>
    <mergeCell ref="C26:E26"/>
    <mergeCell ref="F26:L26"/>
    <mergeCell ref="M26:T26"/>
    <mergeCell ref="U26:V26"/>
    <mergeCell ref="W26:AC26"/>
    <mergeCell ref="AD26:AF26"/>
    <mergeCell ref="C27:E27"/>
    <mergeCell ref="F27:L27"/>
    <mergeCell ref="M27:T27"/>
    <mergeCell ref="U27:V27"/>
    <mergeCell ref="W27:AC27"/>
    <mergeCell ref="AD27:AF27"/>
    <mergeCell ref="C28:E28"/>
    <mergeCell ref="F28:L28"/>
    <mergeCell ref="M28:T28"/>
    <mergeCell ref="U28:V28"/>
    <mergeCell ref="W28:AC28"/>
    <mergeCell ref="AD28:AF28"/>
    <mergeCell ref="C29:E29"/>
    <mergeCell ref="F29:L29"/>
    <mergeCell ref="M29:T29"/>
    <mergeCell ref="U29:V29"/>
    <mergeCell ref="W29:AC29"/>
    <mergeCell ref="AD29:AF29"/>
    <mergeCell ref="C30:E30"/>
    <mergeCell ref="F30:L30"/>
    <mergeCell ref="M30:T30"/>
    <mergeCell ref="U30:V30"/>
    <mergeCell ref="W30:AC30"/>
    <mergeCell ref="AD30:AF30"/>
    <mergeCell ref="C31:E31"/>
    <mergeCell ref="F31:L31"/>
    <mergeCell ref="M31:T31"/>
    <mergeCell ref="U31:V31"/>
    <mergeCell ref="W31:AC31"/>
    <mergeCell ref="AD31:AF31"/>
    <mergeCell ref="C32:E32"/>
    <mergeCell ref="F32:L32"/>
    <mergeCell ref="M32:T32"/>
    <mergeCell ref="U32:V32"/>
    <mergeCell ref="W32:AC32"/>
    <mergeCell ref="AD32:AF32"/>
    <mergeCell ref="C33:E33"/>
    <mergeCell ref="F33:L33"/>
    <mergeCell ref="M33:T33"/>
    <mergeCell ref="U33:V33"/>
    <mergeCell ref="W33:AC33"/>
    <mergeCell ref="AD33:AF33"/>
    <mergeCell ref="C34:E34"/>
    <mergeCell ref="F34:L34"/>
    <mergeCell ref="M34:T34"/>
    <mergeCell ref="U34:V34"/>
    <mergeCell ref="W34:AC34"/>
    <mergeCell ref="AD34:AF34"/>
    <mergeCell ref="C35:E35"/>
    <mergeCell ref="F35:L35"/>
    <mergeCell ref="M35:T35"/>
    <mergeCell ref="U35:V35"/>
    <mergeCell ref="W35:AC35"/>
    <mergeCell ref="AD35:AF35"/>
    <mergeCell ref="C36:E36"/>
    <mergeCell ref="F36:L36"/>
    <mergeCell ref="M36:T36"/>
    <mergeCell ref="U36:V36"/>
    <mergeCell ref="W36:AC36"/>
    <mergeCell ref="AD36:AF36"/>
    <mergeCell ref="C37:E37"/>
    <mergeCell ref="F37:L37"/>
    <mergeCell ref="M37:T37"/>
    <mergeCell ref="U37:V37"/>
    <mergeCell ref="W37:AC37"/>
    <mergeCell ref="AD37:AF37"/>
    <mergeCell ref="C38:E38"/>
    <mergeCell ref="F38:L38"/>
    <mergeCell ref="M38:T38"/>
    <mergeCell ref="U38:V38"/>
    <mergeCell ref="W38:AC38"/>
    <mergeCell ref="AD38:AF38"/>
    <mergeCell ref="C39:E39"/>
    <mergeCell ref="F39:L39"/>
    <mergeCell ref="M39:T39"/>
    <mergeCell ref="U39:V39"/>
    <mergeCell ref="W39:AC39"/>
    <mergeCell ref="AD39:AF39"/>
    <mergeCell ref="C40:E40"/>
    <mergeCell ref="F40:L40"/>
    <mergeCell ref="M40:T40"/>
    <mergeCell ref="U40:V40"/>
    <mergeCell ref="W40:AC40"/>
    <mergeCell ref="AD40:AF40"/>
    <mergeCell ref="C41:E41"/>
    <mergeCell ref="F41:L41"/>
    <mergeCell ref="M41:T41"/>
    <mergeCell ref="U41:V41"/>
    <mergeCell ref="W41:AC41"/>
    <mergeCell ref="AD41:AF41"/>
    <mergeCell ref="C42:E42"/>
    <mergeCell ref="F42:L42"/>
    <mergeCell ref="M42:T42"/>
    <mergeCell ref="U42:V42"/>
    <mergeCell ref="W42:AC42"/>
    <mergeCell ref="AD42:AF42"/>
    <mergeCell ref="C43:E43"/>
    <mergeCell ref="F43:L43"/>
    <mergeCell ref="M43:T43"/>
    <mergeCell ref="U43:V43"/>
    <mergeCell ref="W43:AC43"/>
    <mergeCell ref="AD43:AF43"/>
    <mergeCell ref="C44:E44"/>
    <mergeCell ref="F44:L44"/>
    <mergeCell ref="M44:T44"/>
    <mergeCell ref="U44:V44"/>
    <mergeCell ref="W44:AC44"/>
    <mergeCell ref="AD44:AF44"/>
    <mergeCell ref="C45:E45"/>
    <mergeCell ref="F45:L45"/>
    <mergeCell ref="M45:T45"/>
    <mergeCell ref="U45:V45"/>
    <mergeCell ref="W45:AC45"/>
    <mergeCell ref="AD45:AF45"/>
    <mergeCell ref="C46:E46"/>
    <mergeCell ref="F46:L46"/>
    <mergeCell ref="M46:T46"/>
    <mergeCell ref="U46:V46"/>
    <mergeCell ref="W46:AC46"/>
    <mergeCell ref="AD46:AF46"/>
    <mergeCell ref="C47:E47"/>
    <mergeCell ref="F47:L47"/>
    <mergeCell ref="M47:T47"/>
    <mergeCell ref="U47:V47"/>
    <mergeCell ref="W47:AC47"/>
    <mergeCell ref="AD47:AF47"/>
    <mergeCell ref="C48:E48"/>
    <mergeCell ref="F48:L48"/>
    <mergeCell ref="M48:T48"/>
    <mergeCell ref="U48:V48"/>
    <mergeCell ref="W48:AC48"/>
    <mergeCell ref="AD48:AF48"/>
    <mergeCell ref="C49:E49"/>
    <mergeCell ref="F49:L49"/>
    <mergeCell ref="M49:T49"/>
    <mergeCell ref="U49:V49"/>
    <mergeCell ref="W49:AC49"/>
    <mergeCell ref="AD49:AF49"/>
    <mergeCell ref="C50:E50"/>
    <mergeCell ref="F50:L50"/>
    <mergeCell ref="M50:T50"/>
    <mergeCell ref="U50:V50"/>
    <mergeCell ref="W50:AC50"/>
    <mergeCell ref="AD50:AF50"/>
    <mergeCell ref="C51:E51"/>
    <mergeCell ref="F51:L51"/>
    <mergeCell ref="M51:T51"/>
    <mergeCell ref="U51:V51"/>
    <mergeCell ref="W51:AC51"/>
    <mergeCell ref="AD51:AF51"/>
    <mergeCell ref="B52:T52"/>
    <mergeCell ref="U52:V52"/>
    <mergeCell ref="W52:AC52"/>
    <mergeCell ref="AD52:AF52"/>
    <mergeCell ref="B54:AK54"/>
    <mergeCell ref="B56:C56"/>
    <mergeCell ref="D56:F56"/>
    <mergeCell ref="G56:L56"/>
    <mergeCell ref="M56:N56"/>
    <mergeCell ref="O56:Q56"/>
    <mergeCell ref="R56:AK56"/>
    <mergeCell ref="B57:C57"/>
    <mergeCell ref="D57:F57"/>
    <mergeCell ref="G57:L57"/>
    <mergeCell ref="M57:N57"/>
    <mergeCell ref="O57:Q57"/>
    <mergeCell ref="R57:AK57"/>
    <mergeCell ref="B58:C58"/>
    <mergeCell ref="D58:F58"/>
    <mergeCell ref="G58:L58"/>
    <mergeCell ref="M58:N58"/>
    <mergeCell ref="O58:Q58"/>
    <mergeCell ref="R58:AK58"/>
    <mergeCell ref="B59:C59"/>
    <mergeCell ref="D59:F59"/>
    <mergeCell ref="G59:L59"/>
    <mergeCell ref="M59:N59"/>
    <mergeCell ref="O59:Q59"/>
    <mergeCell ref="R59:AK59"/>
    <mergeCell ref="B60:C60"/>
    <mergeCell ref="D60:F60"/>
    <mergeCell ref="G60:L60"/>
    <mergeCell ref="M60:N60"/>
    <mergeCell ref="O60:Q60"/>
    <mergeCell ref="R60:AK60"/>
    <mergeCell ref="B61:C61"/>
    <mergeCell ref="D61:F61"/>
    <mergeCell ref="G61:L61"/>
    <mergeCell ref="M61:N61"/>
    <mergeCell ref="O61:Q61"/>
    <mergeCell ref="R61:AK61"/>
    <mergeCell ref="B62:C62"/>
    <mergeCell ref="D62:F62"/>
    <mergeCell ref="G62:L62"/>
    <mergeCell ref="M62:N62"/>
    <mergeCell ref="O62:Q62"/>
    <mergeCell ref="R62:AK62"/>
    <mergeCell ref="B64:AK64"/>
    <mergeCell ref="J2:P3"/>
    <mergeCell ref="Q2:U3"/>
    <mergeCell ref="V2:Y3"/>
    <mergeCell ref="Z2:AC3"/>
    <mergeCell ref="AD2:AG3"/>
    <mergeCell ref="AH2:AK3"/>
    <mergeCell ref="A2:I3"/>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000"/>
  <sheetViews>
    <sheetView showGridLines="0" tabSelected="1" topLeftCell="A81" workbookViewId="0">
      <selection activeCell="AY82" sqref="AY82:BA82"/>
    </sheetView>
  </sheetViews>
  <sheetFormatPr defaultColWidth="14.4285714285714" defaultRowHeight="15" customHeight="1"/>
  <cols>
    <col min="1" max="69" width="4" customWidth="1"/>
  </cols>
  <sheetData>
    <row r="1" ht="22.5" customHeight="1" spans="1:69">
      <c r="A1" s="1" t="s">
        <v>239</v>
      </c>
      <c r="B1" s="2"/>
      <c r="C1" s="2"/>
      <c r="D1" s="2"/>
      <c r="E1" s="3"/>
      <c r="F1" s="4" t="s">
        <v>240</v>
      </c>
      <c r="G1" s="2"/>
      <c r="H1" s="2"/>
      <c r="I1" s="2"/>
      <c r="J1" s="2"/>
      <c r="K1" s="2"/>
      <c r="L1" s="2"/>
      <c r="M1" s="2"/>
      <c r="N1" s="2"/>
      <c r="O1" s="2"/>
      <c r="P1" s="2"/>
      <c r="Q1" s="3"/>
      <c r="R1" s="1" t="s">
        <v>241</v>
      </c>
      <c r="S1" s="2"/>
      <c r="T1" s="2"/>
      <c r="U1" s="2"/>
      <c r="V1" s="3"/>
      <c r="W1" s="4" t="s">
        <v>242</v>
      </c>
      <c r="X1" s="2"/>
      <c r="Y1" s="2"/>
      <c r="Z1" s="2"/>
      <c r="AA1" s="2"/>
      <c r="AB1" s="2"/>
      <c r="AC1" s="2"/>
      <c r="AD1" s="2"/>
      <c r="AE1" s="2"/>
      <c r="AF1" s="2"/>
      <c r="AG1" s="2"/>
      <c r="AH1" s="3"/>
    </row>
    <row r="2" ht="22.5" customHeight="1" spans="1:69">
      <c r="A2" s="1" t="s">
        <v>23</v>
      </c>
      <c r="B2" s="2"/>
      <c r="C2" s="2"/>
      <c r="D2" s="2"/>
      <c r="E2" s="3"/>
      <c r="F2" s="4" t="s">
        <v>16</v>
      </c>
      <c r="G2" s="2"/>
      <c r="H2" s="2"/>
      <c r="I2" s="2"/>
      <c r="J2" s="2"/>
      <c r="K2" s="2"/>
      <c r="L2" s="2"/>
      <c r="M2" s="2"/>
      <c r="N2" s="2"/>
      <c r="O2" s="2"/>
      <c r="P2" s="2"/>
      <c r="Q2" s="3"/>
      <c r="R2" s="1" t="s">
        <v>22</v>
      </c>
      <c r="S2" s="2"/>
      <c r="T2" s="2"/>
      <c r="U2" s="2"/>
      <c r="V2" s="3"/>
      <c r="W2" s="5" t="s">
        <v>8</v>
      </c>
      <c r="X2" s="2"/>
      <c r="Y2" s="2"/>
      <c r="Z2" s="2"/>
      <c r="AA2" s="2"/>
      <c r="AB2" s="2"/>
      <c r="AC2" s="2"/>
      <c r="AD2" s="2"/>
      <c r="AE2" s="2"/>
      <c r="AF2" s="2"/>
      <c r="AG2" s="2"/>
      <c r="AH2" s="3"/>
    </row>
    <row r="3" ht="22.5" customHeight="1" spans="1:69">
      <c r="A3" s="1" t="s">
        <v>13</v>
      </c>
      <c r="B3" s="2"/>
      <c r="C3" s="2"/>
      <c r="D3" s="2"/>
      <c r="E3" s="3"/>
      <c r="F3" s="4" t="s">
        <v>18</v>
      </c>
      <c r="G3" s="2"/>
      <c r="H3" s="2"/>
      <c r="I3" s="2"/>
      <c r="J3" s="2"/>
      <c r="K3" s="2"/>
      <c r="L3" s="2"/>
      <c r="M3" s="2"/>
      <c r="N3" s="2"/>
      <c r="O3" s="2"/>
      <c r="P3" s="2"/>
      <c r="Q3" s="3"/>
      <c r="R3" s="1" t="s">
        <v>243</v>
      </c>
      <c r="S3" s="2"/>
      <c r="T3" s="2"/>
      <c r="U3" s="2"/>
      <c r="V3" s="3"/>
      <c r="W3" s="5"/>
      <c r="X3" s="2"/>
      <c r="Y3" s="2"/>
      <c r="Z3" s="2"/>
      <c r="AA3" s="2"/>
      <c r="AB3" s="2"/>
      <c r="AC3" s="2"/>
      <c r="AD3" s="2"/>
      <c r="AE3" s="2"/>
      <c r="AF3" s="2"/>
      <c r="AG3" s="2"/>
      <c r="AH3" s="3"/>
    </row>
    <row r="4" ht="22.5" customHeight="1" spans="1:69">
      <c r="A4" s="1" t="s">
        <v>244</v>
      </c>
      <c r="B4" s="2"/>
      <c r="C4" s="2"/>
      <c r="D4" s="2"/>
      <c r="E4" s="3"/>
      <c r="F4" s="4" t="s">
        <v>245</v>
      </c>
      <c r="G4" s="2"/>
      <c r="H4" s="2"/>
      <c r="I4" s="2"/>
      <c r="J4" s="2"/>
      <c r="K4" s="2"/>
      <c r="L4" s="2"/>
      <c r="M4" s="2"/>
      <c r="N4" s="2"/>
      <c r="O4" s="2"/>
      <c r="P4" s="2"/>
      <c r="Q4" s="2"/>
      <c r="R4" s="2"/>
      <c r="S4" s="2"/>
      <c r="T4" s="2"/>
      <c r="U4" s="2"/>
      <c r="V4" s="2"/>
      <c r="W4" s="2"/>
      <c r="X4" s="2"/>
      <c r="Y4" s="2"/>
      <c r="Z4" s="2"/>
      <c r="AA4" s="2"/>
      <c r="AB4" s="2"/>
      <c r="AC4" s="2"/>
      <c r="AD4" s="2"/>
      <c r="AE4" s="2"/>
      <c r="AF4" s="2"/>
      <c r="AG4" s="2"/>
      <c r="AH4" s="3"/>
    </row>
    <row r="5" ht="22.5" customHeight="1" spans="1:69">
      <c r="A5" s="1" t="s">
        <v>246</v>
      </c>
      <c r="B5" s="2"/>
      <c r="C5" s="2"/>
      <c r="D5" s="2"/>
      <c r="E5" s="2"/>
      <c r="F5" s="2"/>
      <c r="G5" s="2"/>
      <c r="H5" s="2"/>
      <c r="I5" s="2"/>
      <c r="J5" s="2"/>
      <c r="K5" s="2"/>
      <c r="L5" s="2"/>
      <c r="M5" s="2"/>
      <c r="N5" s="2"/>
      <c r="O5" s="2"/>
      <c r="P5" s="2"/>
      <c r="Q5" s="2"/>
      <c r="R5" s="2"/>
      <c r="S5" s="3"/>
      <c r="T5" s="1" t="s">
        <v>59</v>
      </c>
      <c r="U5" s="2"/>
      <c r="V5" s="2"/>
      <c r="W5" s="2"/>
      <c r="X5" s="2"/>
      <c r="Y5" s="2"/>
      <c r="Z5" s="2"/>
      <c r="AA5" s="2"/>
      <c r="AB5" s="2"/>
      <c r="AC5" s="2"/>
      <c r="AD5" s="2"/>
      <c r="AE5" s="2"/>
      <c r="AF5" s="2"/>
      <c r="AG5" s="2"/>
      <c r="AH5" s="3"/>
    </row>
    <row r="6" ht="22.5" customHeight="1" spans="1:69">
      <c r="A6" s="1" t="s">
        <v>247</v>
      </c>
      <c r="B6" s="2"/>
      <c r="C6" s="2"/>
      <c r="D6" s="2"/>
      <c r="E6" s="2"/>
      <c r="F6" s="2"/>
      <c r="G6" s="3"/>
      <c r="H6" s="1" t="s">
        <v>60</v>
      </c>
      <c r="I6" s="2"/>
      <c r="J6" s="3"/>
      <c r="K6" s="1" t="s">
        <v>61</v>
      </c>
      <c r="L6" s="2"/>
      <c r="M6" s="3"/>
      <c r="N6" s="1" t="s">
        <v>248</v>
      </c>
      <c r="O6" s="2"/>
      <c r="P6" s="3"/>
      <c r="Q6" s="1" t="s">
        <v>58</v>
      </c>
      <c r="R6" s="2"/>
      <c r="S6" s="3"/>
      <c r="T6" s="1" t="s">
        <v>63</v>
      </c>
      <c r="U6" s="2"/>
      <c r="V6" s="3"/>
      <c r="W6" s="1" t="s">
        <v>64</v>
      </c>
      <c r="X6" s="2"/>
      <c r="Y6" s="3"/>
      <c r="Z6" s="1" t="s">
        <v>65</v>
      </c>
      <c r="AA6" s="2"/>
      <c r="AB6" s="3"/>
      <c r="AC6" s="1" t="s">
        <v>66</v>
      </c>
      <c r="AD6" s="2"/>
      <c r="AE6" s="3"/>
      <c r="AF6" s="1" t="s">
        <v>58</v>
      </c>
      <c r="AG6" s="2"/>
      <c r="AH6" s="3"/>
    </row>
    <row r="7" ht="22.5" customHeight="1" spans="1:69">
      <c r="A7" s="1" t="s">
        <v>249</v>
      </c>
      <c r="B7" s="2"/>
      <c r="C7" s="2"/>
      <c r="D7" s="2"/>
      <c r="E7" s="2"/>
      <c r="F7" s="2"/>
      <c r="G7" s="3"/>
      <c r="H7" s="6">
        <f t="shared" ref="H7:H8" si="0">COUNTIF($AE$12:$AF$1049,"N")</f>
        <v>40</v>
      </c>
      <c r="I7" s="2"/>
      <c r="J7" s="3"/>
      <c r="K7" s="6">
        <f t="shared" ref="K7:K8" si="1">COUNTIF($AE$12:$AF$1049,"A")</f>
        <v>24</v>
      </c>
      <c r="L7" s="2"/>
      <c r="M7" s="3"/>
      <c r="N7" s="6">
        <f t="shared" ref="N7:N8" si="2">COUNTIF($AE$12:$AF$1049,"B")</f>
        <v>4</v>
      </c>
      <c r="O7" s="2"/>
      <c r="P7" s="3"/>
      <c r="Q7" s="7">
        <f t="shared" ref="Q7:Q8" si="3">SUM(H7:P7)</f>
        <v>68</v>
      </c>
      <c r="R7" s="2"/>
      <c r="S7" s="3"/>
      <c r="T7" s="6">
        <f>COUNTIF($AG$12:$AI$1049,T$6)</f>
        <v>57</v>
      </c>
      <c r="U7" s="2"/>
      <c r="V7" s="3"/>
      <c r="W7" s="6">
        <f>COUNTIF($AG$12:$AI$1049,W$6)</f>
        <v>0</v>
      </c>
      <c r="X7" s="2"/>
      <c r="Y7" s="3"/>
      <c r="Z7" s="6">
        <f>COUNTIF($AG$12:$AI$1049,Z$6)</f>
        <v>6</v>
      </c>
      <c r="AA7" s="2"/>
      <c r="AB7" s="3"/>
      <c r="AC7" s="6">
        <f>COUNTIF($AG$12:$AI$1049,AC$6)</f>
        <v>4</v>
      </c>
      <c r="AD7" s="2"/>
      <c r="AE7" s="3"/>
      <c r="AF7" s="7">
        <f t="shared" ref="AF7:AF8" si="4">SUM(T7:AE7)</f>
        <v>67</v>
      </c>
      <c r="AG7" s="2"/>
      <c r="AH7" s="3"/>
    </row>
    <row r="8" ht="22.5" customHeight="1" spans="1:69">
      <c r="A8" s="1" t="s">
        <v>250</v>
      </c>
      <c r="B8" s="2"/>
      <c r="C8" s="2"/>
      <c r="D8" s="2"/>
      <c r="E8" s="2"/>
      <c r="F8" s="2"/>
      <c r="G8" s="3"/>
      <c r="H8" s="6">
        <f t="shared" si="0"/>
        <v>40</v>
      </c>
      <c r="I8" s="2"/>
      <c r="J8" s="3"/>
      <c r="K8" s="6">
        <f t="shared" si="1"/>
        <v>24</v>
      </c>
      <c r="L8" s="2"/>
      <c r="M8" s="3"/>
      <c r="N8" s="6">
        <f t="shared" si="2"/>
        <v>4</v>
      </c>
      <c r="O8" s="2"/>
      <c r="P8" s="3"/>
      <c r="Q8" s="7">
        <f t="shared" si="3"/>
        <v>68</v>
      </c>
      <c r="R8" s="2"/>
      <c r="S8" s="3"/>
      <c r="T8" s="6">
        <f>COUNTIF($AV$12:$AX$1049,T$6)</f>
        <v>64</v>
      </c>
      <c r="U8" s="2"/>
      <c r="V8" s="3"/>
      <c r="W8" s="6">
        <f>COUNTIF($AV$12:$AX$1049,W$6)</f>
        <v>0</v>
      </c>
      <c r="X8" s="2"/>
      <c r="Y8" s="3"/>
      <c r="Z8" s="6">
        <f>COUNTIF($AV$12:$AX$1049,Z$6)</f>
        <v>0</v>
      </c>
      <c r="AA8" s="2"/>
      <c r="AB8" s="3"/>
      <c r="AC8" s="6">
        <f>COUNTIF($AV$12:$AX$1049,AC$6)</f>
        <v>4</v>
      </c>
      <c r="AD8" s="2"/>
      <c r="AE8" s="3"/>
      <c r="AF8" s="7">
        <f t="shared" si="4"/>
        <v>68</v>
      </c>
      <c r="AG8" s="2"/>
      <c r="AH8" s="3"/>
    </row>
    <row r="9" ht="12.75" customHeight="1"/>
    <row r="10" ht="36" customHeight="1" spans="1:69">
      <c r="A10" s="8" t="s">
        <v>55</v>
      </c>
      <c r="B10" s="9" t="s">
        <v>251</v>
      </c>
      <c r="C10" s="10"/>
      <c r="D10" s="11"/>
      <c r="E10" s="9" t="s">
        <v>252</v>
      </c>
      <c r="F10" s="10"/>
      <c r="G10" s="10"/>
      <c r="H10" s="10"/>
      <c r="I10" s="11"/>
      <c r="J10" s="9" t="s">
        <v>253</v>
      </c>
      <c r="K10" s="10"/>
      <c r="L10" s="10"/>
      <c r="M10" s="10"/>
      <c r="N10" s="10"/>
      <c r="O10" s="10"/>
      <c r="P10" s="11"/>
      <c r="Q10" s="9" t="s">
        <v>254</v>
      </c>
      <c r="R10" s="10"/>
      <c r="S10" s="10"/>
      <c r="T10" s="10"/>
      <c r="U10" s="10"/>
      <c r="V10" s="10"/>
      <c r="W10" s="11"/>
      <c r="X10" s="9" t="s">
        <v>255</v>
      </c>
      <c r="Y10" s="10"/>
      <c r="Z10" s="10"/>
      <c r="AA10" s="10"/>
      <c r="AB10" s="10"/>
      <c r="AC10" s="10"/>
      <c r="AD10" s="11"/>
      <c r="AE10" s="9" t="s">
        <v>256</v>
      </c>
      <c r="AF10" s="11"/>
      <c r="AG10" s="1" t="s">
        <v>257</v>
      </c>
      <c r="AH10" s="2"/>
      <c r="AI10" s="2"/>
      <c r="AJ10" s="2"/>
      <c r="AK10" s="2"/>
      <c r="AL10" s="2"/>
      <c r="AM10" s="2"/>
      <c r="AN10" s="2"/>
      <c r="AO10" s="2"/>
      <c r="AP10" s="2"/>
      <c r="AQ10" s="2"/>
      <c r="AR10" s="2"/>
      <c r="AS10" s="2"/>
      <c r="AT10" s="2"/>
      <c r="AU10" s="3"/>
      <c r="AV10" s="1" t="s">
        <v>258</v>
      </c>
      <c r="AW10" s="2"/>
      <c r="AX10" s="2"/>
      <c r="AY10" s="2"/>
      <c r="AZ10" s="2"/>
      <c r="BA10" s="2"/>
      <c r="BB10" s="2"/>
      <c r="BC10" s="2"/>
      <c r="BD10" s="2"/>
      <c r="BE10" s="2"/>
      <c r="BF10" s="2"/>
      <c r="BG10" s="2"/>
      <c r="BH10" s="2"/>
      <c r="BI10" s="2"/>
      <c r="BJ10" s="3"/>
      <c r="BK10" s="9" t="s">
        <v>259</v>
      </c>
      <c r="BL10" s="10"/>
      <c r="BM10" s="10"/>
      <c r="BN10" s="10"/>
      <c r="BO10" s="10"/>
      <c r="BP10" s="10"/>
      <c r="BQ10" s="11"/>
    </row>
    <row r="11" ht="36" customHeight="1" spans="1:69">
      <c r="A11" s="12"/>
      <c r="B11" s="13"/>
      <c r="C11" s="14"/>
      <c r="D11" s="15"/>
      <c r="E11" s="13"/>
      <c r="F11" s="14"/>
      <c r="G11" s="14"/>
      <c r="H11" s="14"/>
      <c r="I11" s="15"/>
      <c r="J11" s="13"/>
      <c r="K11" s="14"/>
      <c r="L11" s="14"/>
      <c r="M11" s="14"/>
      <c r="N11" s="14"/>
      <c r="O11" s="14"/>
      <c r="P11" s="15"/>
      <c r="Q11" s="13"/>
      <c r="R11" s="14"/>
      <c r="S11" s="14"/>
      <c r="T11" s="14"/>
      <c r="U11" s="14"/>
      <c r="V11" s="14"/>
      <c r="W11" s="15"/>
      <c r="X11" s="13"/>
      <c r="Y11" s="14"/>
      <c r="Z11" s="14"/>
      <c r="AA11" s="14"/>
      <c r="AB11" s="14"/>
      <c r="AC11" s="14"/>
      <c r="AD11" s="15"/>
      <c r="AE11" s="13"/>
      <c r="AF11" s="15"/>
      <c r="AG11" s="1" t="s">
        <v>260</v>
      </c>
      <c r="AH11" s="2"/>
      <c r="AI11" s="3"/>
      <c r="AJ11" s="1" t="s">
        <v>261</v>
      </c>
      <c r="AK11" s="2"/>
      <c r="AL11" s="3"/>
      <c r="AM11" s="1" t="s">
        <v>11</v>
      </c>
      <c r="AN11" s="2"/>
      <c r="AO11" s="3"/>
      <c r="AP11" s="1" t="s">
        <v>262</v>
      </c>
      <c r="AQ11" s="2"/>
      <c r="AR11" s="3"/>
      <c r="AS11" s="1" t="s">
        <v>263</v>
      </c>
      <c r="AT11" s="2"/>
      <c r="AU11" s="3"/>
      <c r="AV11" s="1" t="s">
        <v>260</v>
      </c>
      <c r="AW11" s="2"/>
      <c r="AX11" s="3"/>
      <c r="AY11" s="1" t="s">
        <v>261</v>
      </c>
      <c r="AZ11" s="2"/>
      <c r="BA11" s="3"/>
      <c r="BB11" s="1" t="s">
        <v>11</v>
      </c>
      <c r="BC11" s="2"/>
      <c r="BD11" s="3"/>
      <c r="BE11" s="1" t="s">
        <v>262</v>
      </c>
      <c r="BF11" s="2"/>
      <c r="BG11" s="3"/>
      <c r="BH11" s="1" t="s">
        <v>263</v>
      </c>
      <c r="BI11" s="2"/>
      <c r="BJ11" s="3"/>
      <c r="BK11" s="13"/>
      <c r="BL11" s="14"/>
      <c r="BM11" s="14"/>
      <c r="BN11" s="14"/>
      <c r="BO11" s="14"/>
      <c r="BP11" s="14"/>
      <c r="BQ11" s="15"/>
    </row>
    <row r="12" ht="22.5" customHeight="1" spans="1:69">
      <c r="A12" s="16" t="s">
        <v>264</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3"/>
    </row>
    <row r="13" ht="409.5" customHeight="1" spans="1:69">
      <c r="A13" s="17">
        <v>1</v>
      </c>
      <c r="B13" s="18" t="s">
        <v>265</v>
      </c>
      <c r="C13" s="2"/>
      <c r="D13" s="3"/>
      <c r="E13" s="18" t="s">
        <v>266</v>
      </c>
      <c r="F13" s="2"/>
      <c r="G13" s="2"/>
      <c r="H13" s="2"/>
      <c r="I13" s="3"/>
      <c r="J13" s="18" t="s">
        <v>267</v>
      </c>
      <c r="K13" s="2"/>
      <c r="L13" s="2"/>
      <c r="M13" s="2"/>
      <c r="N13" s="2"/>
      <c r="O13" s="2"/>
      <c r="P13" s="3"/>
      <c r="Q13" s="18" t="s">
        <v>268</v>
      </c>
      <c r="R13" s="2"/>
      <c r="S13" s="2"/>
      <c r="T13" s="2"/>
      <c r="U13" s="2"/>
      <c r="V13" s="2"/>
      <c r="W13" s="3"/>
      <c r="X13" s="18" t="s">
        <v>269</v>
      </c>
      <c r="Y13" s="2"/>
      <c r="Z13" s="2"/>
      <c r="AA13" s="2"/>
      <c r="AB13" s="2"/>
      <c r="AC13" s="2"/>
      <c r="AD13" s="3"/>
      <c r="AE13" s="19" t="s">
        <v>270</v>
      </c>
      <c r="AF13" s="3"/>
      <c r="AG13" s="19" t="s">
        <v>63</v>
      </c>
      <c r="AH13" s="2"/>
      <c r="AI13" s="3"/>
      <c r="AJ13" s="19"/>
      <c r="AK13" s="2"/>
      <c r="AL13" s="3"/>
      <c r="AM13" s="19" t="s">
        <v>271</v>
      </c>
      <c r="AN13" s="2"/>
      <c r="AO13" s="3"/>
      <c r="AP13" s="20">
        <v>46163</v>
      </c>
      <c r="AQ13" s="2"/>
      <c r="AR13" s="3"/>
      <c r="AS13" s="19"/>
      <c r="AT13" s="2"/>
      <c r="AU13" s="3"/>
      <c r="AV13" s="19" t="s">
        <v>63</v>
      </c>
      <c r="AW13" s="2"/>
      <c r="AX13" s="3"/>
      <c r="AY13" s="19"/>
      <c r="AZ13" s="2"/>
      <c r="BA13" s="3"/>
      <c r="BB13" s="19" t="s">
        <v>272</v>
      </c>
      <c r="BC13" s="2"/>
      <c r="BD13" s="3"/>
      <c r="BE13" s="20">
        <v>46241</v>
      </c>
      <c r="BF13" s="2"/>
      <c r="BG13" s="3"/>
      <c r="BH13" s="19"/>
      <c r="BI13" s="2"/>
      <c r="BJ13" s="3"/>
      <c r="BK13" s="18"/>
      <c r="BL13" s="2"/>
      <c r="BM13" s="2"/>
      <c r="BN13" s="2"/>
      <c r="BO13" s="2"/>
      <c r="BP13" s="2"/>
      <c r="BQ13" s="3"/>
    </row>
    <row r="14" ht="409.5" customHeight="1" spans="1:69">
      <c r="A14" s="17">
        <v>2</v>
      </c>
      <c r="B14" s="18" t="s">
        <v>273</v>
      </c>
      <c r="C14" s="2"/>
      <c r="D14" s="3"/>
      <c r="E14" s="18" t="s">
        <v>274</v>
      </c>
      <c r="F14" s="2"/>
      <c r="G14" s="2"/>
      <c r="H14" s="2"/>
      <c r="I14" s="3"/>
      <c r="J14" s="18" t="s">
        <v>275</v>
      </c>
      <c r="K14" s="2"/>
      <c r="L14" s="2"/>
      <c r="M14" s="2"/>
      <c r="N14" s="2"/>
      <c r="O14" s="2"/>
      <c r="P14" s="3"/>
      <c r="Q14" s="18" t="s">
        <v>276</v>
      </c>
      <c r="R14" s="2"/>
      <c r="S14" s="2"/>
      <c r="T14" s="2"/>
      <c r="U14" s="2"/>
      <c r="V14" s="2"/>
      <c r="W14" s="3"/>
      <c r="X14" s="18" t="s">
        <v>277</v>
      </c>
      <c r="Y14" s="2"/>
      <c r="Z14" s="2"/>
      <c r="AA14" s="2"/>
      <c r="AB14" s="2"/>
      <c r="AC14" s="2"/>
      <c r="AD14" s="3"/>
      <c r="AE14" s="19" t="s">
        <v>213</v>
      </c>
      <c r="AF14" s="3"/>
      <c r="AG14" s="19" t="s">
        <v>63</v>
      </c>
      <c r="AH14" s="2"/>
      <c r="AI14" s="3"/>
      <c r="AJ14" s="19"/>
      <c r="AK14" s="2"/>
      <c r="AL14" s="3"/>
      <c r="AM14" s="19" t="s">
        <v>271</v>
      </c>
      <c r="AN14" s="2"/>
      <c r="AO14" s="3"/>
      <c r="AP14" s="20">
        <v>46163</v>
      </c>
      <c r="AQ14" s="2"/>
      <c r="AR14" s="3"/>
      <c r="AS14" s="19"/>
      <c r="AT14" s="2"/>
      <c r="AU14" s="3"/>
      <c r="AV14" s="19" t="s">
        <v>63</v>
      </c>
      <c r="AW14" s="2"/>
      <c r="AX14" s="3"/>
      <c r="AY14" s="19"/>
      <c r="AZ14" s="2"/>
      <c r="BA14" s="3"/>
      <c r="BB14" s="19" t="s">
        <v>272</v>
      </c>
      <c r="BC14" s="2"/>
      <c r="BD14" s="3"/>
      <c r="BE14" s="20">
        <v>46241</v>
      </c>
      <c r="BF14" s="2"/>
      <c r="BG14" s="3"/>
      <c r="BH14" s="19"/>
      <c r="BI14" s="2"/>
      <c r="BJ14" s="3"/>
      <c r="BK14" s="18" t="s">
        <v>278</v>
      </c>
      <c r="BL14" s="2"/>
      <c r="BM14" s="2"/>
      <c r="BN14" s="2"/>
      <c r="BO14" s="2"/>
      <c r="BP14" s="2"/>
      <c r="BQ14" s="3"/>
    </row>
    <row r="15" ht="384" customHeight="1" spans="1:69">
      <c r="A15" s="17">
        <v>3</v>
      </c>
      <c r="B15" s="18" t="s">
        <v>279</v>
      </c>
      <c r="C15" s="2"/>
      <c r="D15" s="3"/>
      <c r="E15" s="18" t="s">
        <v>280</v>
      </c>
      <c r="F15" s="2"/>
      <c r="G15" s="2"/>
      <c r="H15" s="2"/>
      <c r="I15" s="3"/>
      <c r="J15" s="18" t="s">
        <v>281</v>
      </c>
      <c r="K15" s="2"/>
      <c r="L15" s="2"/>
      <c r="M15" s="2"/>
      <c r="N15" s="2"/>
      <c r="O15" s="2"/>
      <c r="P15" s="3"/>
      <c r="Q15" s="18" t="s">
        <v>268</v>
      </c>
      <c r="R15" s="2"/>
      <c r="S15" s="2"/>
      <c r="T15" s="2"/>
      <c r="U15" s="2"/>
      <c r="V15" s="2"/>
      <c r="W15" s="3"/>
      <c r="X15" s="18" t="s">
        <v>282</v>
      </c>
      <c r="Y15" s="2"/>
      <c r="Z15" s="2"/>
      <c r="AA15" s="2"/>
      <c r="AB15" s="2"/>
      <c r="AC15" s="2"/>
      <c r="AD15" s="3"/>
      <c r="AE15" s="19" t="s">
        <v>213</v>
      </c>
      <c r="AF15" s="3"/>
      <c r="AG15" s="19" t="s">
        <v>63</v>
      </c>
      <c r="AH15" s="2"/>
      <c r="AI15" s="3"/>
      <c r="AJ15" s="19"/>
      <c r="AK15" s="2"/>
      <c r="AL15" s="3"/>
      <c r="AM15" s="19" t="s">
        <v>271</v>
      </c>
      <c r="AN15" s="2"/>
      <c r="AO15" s="3"/>
      <c r="AP15" s="20">
        <v>46163</v>
      </c>
      <c r="AQ15" s="2"/>
      <c r="AR15" s="3"/>
      <c r="AS15" s="19"/>
      <c r="AT15" s="2"/>
      <c r="AU15" s="3"/>
      <c r="AV15" s="19" t="s">
        <v>63</v>
      </c>
      <c r="AW15" s="2"/>
      <c r="AX15" s="3"/>
      <c r="AY15" s="19"/>
      <c r="AZ15" s="2"/>
      <c r="BA15" s="3"/>
      <c r="BB15" s="19" t="s">
        <v>272</v>
      </c>
      <c r="BC15" s="2"/>
      <c r="BD15" s="3"/>
      <c r="BE15" s="20">
        <v>46241</v>
      </c>
      <c r="BF15" s="2"/>
      <c r="BG15" s="3"/>
      <c r="BH15" s="19"/>
      <c r="BI15" s="2"/>
      <c r="BJ15" s="3"/>
      <c r="BK15" s="18" t="s">
        <v>283</v>
      </c>
      <c r="BL15" s="2"/>
      <c r="BM15" s="2"/>
      <c r="BN15" s="2"/>
      <c r="BO15" s="2"/>
      <c r="BP15" s="2"/>
      <c r="BQ15" s="3"/>
    </row>
    <row r="16" ht="319.5" customHeight="1" spans="1:69">
      <c r="A16" s="17">
        <v>4</v>
      </c>
      <c r="B16" s="18" t="s">
        <v>284</v>
      </c>
      <c r="C16" s="2"/>
      <c r="D16" s="3"/>
      <c r="E16" s="18" t="s">
        <v>285</v>
      </c>
      <c r="F16" s="2"/>
      <c r="G16" s="2"/>
      <c r="H16" s="2"/>
      <c r="I16" s="3"/>
      <c r="J16" s="18" t="s">
        <v>286</v>
      </c>
      <c r="K16" s="2"/>
      <c r="L16" s="2"/>
      <c r="M16" s="2"/>
      <c r="N16" s="2"/>
      <c r="O16" s="2"/>
      <c r="P16" s="3"/>
      <c r="Q16" s="18" t="s">
        <v>287</v>
      </c>
      <c r="R16" s="2"/>
      <c r="S16" s="2"/>
      <c r="T16" s="2"/>
      <c r="U16" s="2"/>
      <c r="V16" s="2"/>
      <c r="W16" s="3"/>
      <c r="X16" s="18" t="s">
        <v>282</v>
      </c>
      <c r="Y16" s="2"/>
      <c r="Z16" s="2"/>
      <c r="AA16" s="2"/>
      <c r="AB16" s="2"/>
      <c r="AC16" s="2"/>
      <c r="AD16" s="3"/>
      <c r="AE16" s="19" t="s">
        <v>213</v>
      </c>
      <c r="AF16" s="3"/>
      <c r="AG16" s="21" t="s">
        <v>63</v>
      </c>
      <c r="AH16" s="2"/>
      <c r="AI16" s="3"/>
      <c r="AJ16" s="22"/>
      <c r="AK16" s="2"/>
      <c r="AL16" s="3"/>
      <c r="AM16" s="21" t="s">
        <v>271</v>
      </c>
      <c r="AN16" s="2"/>
      <c r="AO16" s="3"/>
      <c r="AP16" s="23">
        <v>46163</v>
      </c>
      <c r="AQ16" s="2"/>
      <c r="AR16" s="3"/>
      <c r="AS16" s="19"/>
      <c r="AT16" s="2"/>
      <c r="AU16" s="3"/>
      <c r="AV16" s="19" t="s">
        <v>63</v>
      </c>
      <c r="AW16" s="2"/>
      <c r="AX16" s="3"/>
      <c r="AY16" s="19"/>
      <c r="AZ16" s="2"/>
      <c r="BA16" s="3"/>
      <c r="BB16" s="19" t="s">
        <v>272</v>
      </c>
      <c r="BC16" s="2"/>
      <c r="BD16" s="3"/>
      <c r="BE16" s="20">
        <v>46241</v>
      </c>
      <c r="BF16" s="2"/>
      <c r="BG16" s="3"/>
      <c r="BH16" s="19"/>
      <c r="BI16" s="2"/>
      <c r="BJ16" s="3"/>
      <c r="BK16" s="18"/>
      <c r="BL16" s="2"/>
      <c r="BM16" s="2"/>
      <c r="BN16" s="2"/>
      <c r="BO16" s="2"/>
      <c r="BP16" s="2"/>
      <c r="BQ16" s="3"/>
    </row>
    <row r="17" ht="409.5" customHeight="1" spans="1:69">
      <c r="A17" s="17">
        <v>5</v>
      </c>
      <c r="B17" s="18" t="s">
        <v>288</v>
      </c>
      <c r="C17" s="2"/>
      <c r="D17" s="3"/>
      <c r="E17" s="18" t="s">
        <v>289</v>
      </c>
      <c r="F17" s="2"/>
      <c r="G17" s="2"/>
      <c r="H17" s="2"/>
      <c r="I17" s="3"/>
      <c r="J17" s="18" t="s">
        <v>290</v>
      </c>
      <c r="K17" s="2"/>
      <c r="L17" s="2"/>
      <c r="M17" s="2"/>
      <c r="N17" s="2"/>
      <c r="O17" s="2"/>
      <c r="P17" s="3"/>
      <c r="Q17" s="18" t="s">
        <v>268</v>
      </c>
      <c r="R17" s="2"/>
      <c r="S17" s="2"/>
      <c r="T17" s="2"/>
      <c r="U17" s="2"/>
      <c r="V17" s="2"/>
      <c r="W17" s="3"/>
      <c r="X17" s="18" t="s">
        <v>282</v>
      </c>
      <c r="Y17" s="2"/>
      <c r="Z17" s="2"/>
      <c r="AA17" s="2"/>
      <c r="AB17" s="2"/>
      <c r="AC17" s="2"/>
      <c r="AD17" s="3"/>
      <c r="AE17" s="19" t="s">
        <v>213</v>
      </c>
      <c r="AF17" s="3"/>
      <c r="AG17" s="21" t="s">
        <v>63</v>
      </c>
      <c r="AH17" s="2"/>
      <c r="AI17" s="3"/>
      <c r="AJ17" s="22"/>
      <c r="AK17" s="2"/>
      <c r="AL17" s="3"/>
      <c r="AM17" s="21" t="s">
        <v>271</v>
      </c>
      <c r="AN17" s="2"/>
      <c r="AO17" s="3"/>
      <c r="AP17" s="23">
        <v>46163</v>
      </c>
      <c r="AQ17" s="2"/>
      <c r="AR17" s="3"/>
      <c r="AS17" s="19"/>
      <c r="AT17" s="2"/>
      <c r="AU17" s="3"/>
      <c r="AV17" s="19" t="s">
        <v>63</v>
      </c>
      <c r="AW17" s="2"/>
      <c r="AX17" s="3"/>
      <c r="AY17" s="19"/>
      <c r="AZ17" s="2"/>
      <c r="BA17" s="3"/>
      <c r="BB17" s="19" t="s">
        <v>272</v>
      </c>
      <c r="BC17" s="2"/>
      <c r="BD17" s="3"/>
      <c r="BE17" s="20">
        <v>46241</v>
      </c>
      <c r="BF17" s="2"/>
      <c r="BG17" s="3"/>
      <c r="BH17" s="19"/>
      <c r="BI17" s="2"/>
      <c r="BJ17" s="3"/>
      <c r="BK17" s="18" t="s">
        <v>291</v>
      </c>
      <c r="BL17" s="2"/>
      <c r="BM17" s="2"/>
      <c r="BN17" s="2"/>
      <c r="BO17" s="2"/>
      <c r="BP17" s="2"/>
      <c r="BQ17" s="3"/>
    </row>
    <row r="18" ht="22.5" customHeight="1" spans="1:69">
      <c r="A18" s="16" t="s">
        <v>292</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3"/>
    </row>
    <row r="19" ht="351.75" customHeight="1" spans="1:69">
      <c r="A19" s="17">
        <v>6</v>
      </c>
      <c r="B19" s="18" t="s">
        <v>293</v>
      </c>
      <c r="C19" s="2"/>
      <c r="D19" s="3"/>
      <c r="E19" s="18" t="s">
        <v>294</v>
      </c>
      <c r="F19" s="2"/>
      <c r="G19" s="2"/>
      <c r="H19" s="2"/>
      <c r="I19" s="3"/>
      <c r="J19" s="18" t="s">
        <v>295</v>
      </c>
      <c r="K19" s="2"/>
      <c r="L19" s="2"/>
      <c r="M19" s="2"/>
      <c r="N19" s="2"/>
      <c r="O19" s="2"/>
      <c r="P19" s="3"/>
      <c r="Q19" s="18" t="s">
        <v>296</v>
      </c>
      <c r="R19" s="2"/>
      <c r="S19" s="2"/>
      <c r="T19" s="2"/>
      <c r="U19" s="2"/>
      <c r="V19" s="2"/>
      <c r="W19" s="3"/>
      <c r="X19" s="18" t="s">
        <v>297</v>
      </c>
      <c r="Y19" s="2"/>
      <c r="Z19" s="2"/>
      <c r="AA19" s="2"/>
      <c r="AB19" s="2"/>
      <c r="AC19" s="2"/>
      <c r="AD19" s="3"/>
      <c r="AE19" s="19" t="s">
        <v>270</v>
      </c>
      <c r="AF19" s="3"/>
      <c r="AG19" s="21" t="s">
        <v>63</v>
      </c>
      <c r="AH19" s="2"/>
      <c r="AI19" s="3"/>
      <c r="AJ19" s="22"/>
      <c r="AK19" s="2"/>
      <c r="AL19" s="3"/>
      <c r="AM19" s="21" t="s">
        <v>271</v>
      </c>
      <c r="AN19" s="2"/>
      <c r="AO19" s="3"/>
      <c r="AP19" s="23">
        <v>46163</v>
      </c>
      <c r="AQ19" s="2"/>
      <c r="AR19" s="3"/>
      <c r="AS19" s="19"/>
      <c r="AT19" s="2"/>
      <c r="AU19" s="3"/>
      <c r="AV19" s="19" t="s">
        <v>63</v>
      </c>
      <c r="AW19" s="2"/>
      <c r="AX19" s="3"/>
      <c r="AY19" s="19"/>
      <c r="AZ19" s="2"/>
      <c r="BA19" s="3"/>
      <c r="BB19" s="19" t="s">
        <v>272</v>
      </c>
      <c r="BC19" s="2"/>
      <c r="BD19" s="3"/>
      <c r="BE19" s="20">
        <v>46241</v>
      </c>
      <c r="BF19" s="2"/>
      <c r="BG19" s="3"/>
      <c r="BH19" s="19"/>
      <c r="BI19" s="2"/>
      <c r="BJ19" s="3"/>
      <c r="BK19" s="18"/>
      <c r="BL19" s="2"/>
      <c r="BM19" s="2"/>
      <c r="BN19" s="2"/>
      <c r="BO19" s="2"/>
      <c r="BP19" s="2"/>
      <c r="BQ19" s="3"/>
    </row>
    <row r="20" ht="409.5" customHeight="1" spans="1:69">
      <c r="A20" s="17">
        <v>7</v>
      </c>
      <c r="B20" s="18" t="s">
        <v>298</v>
      </c>
      <c r="C20" s="2"/>
      <c r="D20" s="3"/>
      <c r="E20" s="18" t="s">
        <v>299</v>
      </c>
      <c r="F20" s="2"/>
      <c r="G20" s="2"/>
      <c r="H20" s="2"/>
      <c r="I20" s="3"/>
      <c r="J20" s="18" t="s">
        <v>300</v>
      </c>
      <c r="K20" s="2"/>
      <c r="L20" s="2"/>
      <c r="M20" s="2"/>
      <c r="N20" s="2"/>
      <c r="O20" s="2"/>
      <c r="P20" s="3"/>
      <c r="Q20" s="18" t="s">
        <v>301</v>
      </c>
      <c r="R20" s="2"/>
      <c r="S20" s="2"/>
      <c r="T20" s="2"/>
      <c r="U20" s="2"/>
      <c r="V20" s="2"/>
      <c r="W20" s="3"/>
      <c r="X20" s="18" t="s">
        <v>302</v>
      </c>
      <c r="Y20" s="2"/>
      <c r="Z20" s="2"/>
      <c r="AA20" s="2"/>
      <c r="AB20" s="2"/>
      <c r="AC20" s="2"/>
      <c r="AD20" s="3"/>
      <c r="AE20" s="19" t="s">
        <v>270</v>
      </c>
      <c r="AF20" s="3"/>
      <c r="AG20" s="21" t="s">
        <v>63</v>
      </c>
      <c r="AH20" s="2"/>
      <c r="AI20" s="3"/>
      <c r="AJ20" s="22"/>
      <c r="AK20" s="2"/>
      <c r="AL20" s="3"/>
      <c r="AM20" s="21" t="s">
        <v>271</v>
      </c>
      <c r="AN20" s="2"/>
      <c r="AO20" s="3"/>
      <c r="AP20" s="23">
        <v>46163</v>
      </c>
      <c r="AQ20" s="2"/>
      <c r="AR20" s="3"/>
      <c r="AS20" s="19"/>
      <c r="AT20" s="2"/>
      <c r="AU20" s="3"/>
      <c r="AV20" s="19" t="s">
        <v>63</v>
      </c>
      <c r="AW20" s="2"/>
      <c r="AX20" s="3"/>
      <c r="AY20" s="19"/>
      <c r="AZ20" s="2"/>
      <c r="BA20" s="3"/>
      <c r="BB20" s="19" t="s">
        <v>272</v>
      </c>
      <c r="BC20" s="2"/>
      <c r="BD20" s="3"/>
      <c r="BE20" s="20">
        <v>46241</v>
      </c>
      <c r="BF20" s="2"/>
      <c r="BG20" s="3"/>
      <c r="BH20" s="19"/>
      <c r="BI20" s="2"/>
      <c r="BJ20" s="3"/>
      <c r="BK20" s="18"/>
      <c r="BL20" s="2"/>
      <c r="BM20" s="2"/>
      <c r="BN20" s="2"/>
      <c r="BO20" s="2"/>
      <c r="BP20" s="2"/>
      <c r="BQ20" s="3"/>
    </row>
    <row r="21" ht="367.5" customHeight="1" spans="1:69">
      <c r="A21" s="17">
        <v>8</v>
      </c>
      <c r="B21" s="18" t="s">
        <v>303</v>
      </c>
      <c r="C21" s="2"/>
      <c r="D21" s="3"/>
      <c r="E21" s="18" t="s">
        <v>304</v>
      </c>
      <c r="F21" s="2"/>
      <c r="G21" s="2"/>
      <c r="H21" s="2"/>
      <c r="I21" s="3"/>
      <c r="J21" s="18" t="s">
        <v>305</v>
      </c>
      <c r="K21" s="2"/>
      <c r="L21" s="2"/>
      <c r="M21" s="2"/>
      <c r="N21" s="2"/>
      <c r="O21" s="2"/>
      <c r="P21" s="3"/>
      <c r="Q21" s="18" t="s">
        <v>306</v>
      </c>
      <c r="R21" s="2"/>
      <c r="S21" s="2"/>
      <c r="T21" s="2"/>
      <c r="U21" s="2"/>
      <c r="V21" s="2"/>
      <c r="W21" s="3"/>
      <c r="X21" s="18" t="s">
        <v>307</v>
      </c>
      <c r="Y21" s="2"/>
      <c r="Z21" s="2"/>
      <c r="AA21" s="2"/>
      <c r="AB21" s="2"/>
      <c r="AC21" s="2"/>
      <c r="AD21" s="3"/>
      <c r="AE21" s="19" t="s">
        <v>270</v>
      </c>
      <c r="AF21" s="3"/>
      <c r="AG21" s="21" t="s">
        <v>63</v>
      </c>
      <c r="AH21" s="2"/>
      <c r="AI21" s="3"/>
      <c r="AJ21" s="22"/>
      <c r="AK21" s="2"/>
      <c r="AL21" s="3"/>
      <c r="AM21" s="21" t="s">
        <v>271</v>
      </c>
      <c r="AN21" s="2"/>
      <c r="AO21" s="3"/>
      <c r="AP21" s="23">
        <v>46163</v>
      </c>
      <c r="AQ21" s="2"/>
      <c r="AR21" s="3"/>
      <c r="AS21" s="19"/>
      <c r="AT21" s="2"/>
      <c r="AU21" s="3"/>
      <c r="AV21" s="19" t="s">
        <v>63</v>
      </c>
      <c r="AW21" s="2"/>
      <c r="AX21" s="3"/>
      <c r="AY21" s="19"/>
      <c r="AZ21" s="2"/>
      <c r="BA21" s="3"/>
      <c r="BB21" s="19" t="s">
        <v>272</v>
      </c>
      <c r="BC21" s="2"/>
      <c r="BD21" s="3"/>
      <c r="BE21" s="20">
        <v>46241</v>
      </c>
      <c r="BF21" s="2"/>
      <c r="BG21" s="3"/>
      <c r="BH21" s="19"/>
      <c r="BI21" s="2"/>
      <c r="BJ21" s="3"/>
      <c r="BK21" s="18"/>
      <c r="BL21" s="2"/>
      <c r="BM21" s="2"/>
      <c r="BN21" s="2"/>
      <c r="BO21" s="2"/>
      <c r="BP21" s="2"/>
      <c r="BQ21" s="3"/>
    </row>
    <row r="22" ht="319.5" customHeight="1" spans="1:69">
      <c r="A22" s="17">
        <v>9</v>
      </c>
      <c r="B22" s="18" t="s">
        <v>308</v>
      </c>
      <c r="C22" s="2"/>
      <c r="D22" s="3"/>
      <c r="E22" s="18" t="s">
        <v>309</v>
      </c>
      <c r="F22" s="2"/>
      <c r="G22" s="2"/>
      <c r="H22" s="2"/>
      <c r="I22" s="3"/>
      <c r="J22" s="18" t="s">
        <v>310</v>
      </c>
      <c r="K22" s="2"/>
      <c r="L22" s="2"/>
      <c r="M22" s="2"/>
      <c r="N22" s="2"/>
      <c r="O22" s="2"/>
      <c r="P22" s="3"/>
      <c r="Q22" s="18" t="s">
        <v>311</v>
      </c>
      <c r="R22" s="2"/>
      <c r="S22" s="2"/>
      <c r="T22" s="2"/>
      <c r="U22" s="2"/>
      <c r="V22" s="2"/>
      <c r="W22" s="3"/>
      <c r="X22" s="18" t="s">
        <v>312</v>
      </c>
      <c r="Y22" s="2"/>
      <c r="Z22" s="2"/>
      <c r="AA22" s="2"/>
      <c r="AB22" s="2"/>
      <c r="AC22" s="2"/>
      <c r="AD22" s="3"/>
      <c r="AE22" s="19" t="s">
        <v>270</v>
      </c>
      <c r="AF22" s="3"/>
      <c r="AG22" s="21" t="s">
        <v>63</v>
      </c>
      <c r="AH22" s="2"/>
      <c r="AI22" s="3"/>
      <c r="AJ22" s="22"/>
      <c r="AK22" s="2"/>
      <c r="AL22" s="3"/>
      <c r="AM22" s="21" t="s">
        <v>271</v>
      </c>
      <c r="AN22" s="2"/>
      <c r="AO22" s="3"/>
      <c r="AP22" s="23">
        <v>46163</v>
      </c>
      <c r="AQ22" s="2"/>
      <c r="AR22" s="3"/>
      <c r="AS22" s="19"/>
      <c r="AT22" s="2"/>
      <c r="AU22" s="3"/>
      <c r="AV22" s="19" t="s">
        <v>63</v>
      </c>
      <c r="AW22" s="2"/>
      <c r="AX22" s="3"/>
      <c r="AY22" s="19"/>
      <c r="AZ22" s="2"/>
      <c r="BA22" s="3"/>
      <c r="BB22" s="19" t="s">
        <v>272</v>
      </c>
      <c r="BC22" s="2"/>
      <c r="BD22" s="3"/>
      <c r="BE22" s="20">
        <v>46241</v>
      </c>
      <c r="BF22" s="2"/>
      <c r="BG22" s="3"/>
      <c r="BH22" s="19"/>
      <c r="BI22" s="2"/>
      <c r="BJ22" s="3"/>
      <c r="BK22" s="18"/>
      <c r="BL22" s="2"/>
      <c r="BM22" s="2"/>
      <c r="BN22" s="2"/>
      <c r="BO22" s="2"/>
      <c r="BP22" s="2"/>
      <c r="BQ22" s="3"/>
    </row>
    <row r="23" ht="384" customHeight="1" spans="1:69">
      <c r="A23" s="17">
        <v>10</v>
      </c>
      <c r="B23" s="18" t="s">
        <v>313</v>
      </c>
      <c r="C23" s="2"/>
      <c r="D23" s="3"/>
      <c r="E23" s="18" t="s">
        <v>314</v>
      </c>
      <c r="F23" s="2"/>
      <c r="G23" s="2"/>
      <c r="H23" s="2"/>
      <c r="I23" s="3"/>
      <c r="J23" s="18" t="s">
        <v>315</v>
      </c>
      <c r="K23" s="2"/>
      <c r="L23" s="2"/>
      <c r="M23" s="2"/>
      <c r="N23" s="2"/>
      <c r="O23" s="2"/>
      <c r="P23" s="3"/>
      <c r="Q23" s="18" t="s">
        <v>316</v>
      </c>
      <c r="R23" s="2"/>
      <c r="S23" s="2"/>
      <c r="T23" s="2"/>
      <c r="U23" s="2"/>
      <c r="V23" s="2"/>
      <c r="W23" s="3"/>
      <c r="X23" s="18" t="s">
        <v>317</v>
      </c>
      <c r="Y23" s="2"/>
      <c r="Z23" s="2"/>
      <c r="AA23" s="2"/>
      <c r="AB23" s="2"/>
      <c r="AC23" s="2"/>
      <c r="AD23" s="3"/>
      <c r="AE23" s="19" t="s">
        <v>270</v>
      </c>
      <c r="AF23" s="3"/>
      <c r="AG23" s="21" t="s">
        <v>63</v>
      </c>
      <c r="AH23" s="2"/>
      <c r="AI23" s="3"/>
      <c r="AJ23" s="22"/>
      <c r="AK23" s="2"/>
      <c r="AL23" s="3"/>
      <c r="AM23" s="21" t="s">
        <v>271</v>
      </c>
      <c r="AN23" s="2"/>
      <c r="AO23" s="3"/>
      <c r="AP23" s="23">
        <v>46163</v>
      </c>
      <c r="AQ23" s="2"/>
      <c r="AR23" s="3"/>
      <c r="AS23" s="19"/>
      <c r="AT23" s="2"/>
      <c r="AU23" s="3"/>
      <c r="AV23" s="19" t="s">
        <v>63</v>
      </c>
      <c r="AW23" s="2"/>
      <c r="AX23" s="3"/>
      <c r="AY23" s="19"/>
      <c r="AZ23" s="2"/>
      <c r="BA23" s="3"/>
      <c r="BB23" s="19" t="s">
        <v>272</v>
      </c>
      <c r="BC23" s="2"/>
      <c r="BD23" s="3"/>
      <c r="BE23" s="20">
        <v>46241</v>
      </c>
      <c r="BF23" s="2"/>
      <c r="BG23" s="3"/>
      <c r="BH23" s="19"/>
      <c r="BI23" s="2"/>
      <c r="BJ23" s="3"/>
      <c r="BK23" s="18"/>
      <c r="BL23" s="2"/>
      <c r="BM23" s="2"/>
      <c r="BN23" s="2"/>
      <c r="BO23" s="2"/>
      <c r="BP23" s="2"/>
      <c r="BQ23" s="3"/>
    </row>
    <row r="24" ht="409.5" customHeight="1" spans="1:69">
      <c r="A24" s="17">
        <v>11</v>
      </c>
      <c r="B24" s="18" t="s">
        <v>318</v>
      </c>
      <c r="C24" s="2"/>
      <c r="D24" s="3"/>
      <c r="E24" s="18" t="s">
        <v>319</v>
      </c>
      <c r="F24" s="2"/>
      <c r="G24" s="2"/>
      <c r="H24" s="2"/>
      <c r="I24" s="3"/>
      <c r="J24" s="18" t="s">
        <v>305</v>
      </c>
      <c r="K24" s="2"/>
      <c r="L24" s="2"/>
      <c r="M24" s="2"/>
      <c r="N24" s="2"/>
      <c r="O24" s="2"/>
      <c r="P24" s="3"/>
      <c r="Q24" s="18" t="s">
        <v>320</v>
      </c>
      <c r="R24" s="2"/>
      <c r="S24" s="2"/>
      <c r="T24" s="2"/>
      <c r="U24" s="2"/>
      <c r="V24" s="2"/>
      <c r="W24" s="3"/>
      <c r="X24" s="18" t="s">
        <v>321</v>
      </c>
      <c r="Y24" s="2"/>
      <c r="Z24" s="2"/>
      <c r="AA24" s="2"/>
      <c r="AB24" s="2"/>
      <c r="AC24" s="2"/>
      <c r="AD24" s="3"/>
      <c r="AE24" s="19" t="s">
        <v>270</v>
      </c>
      <c r="AF24" s="3"/>
      <c r="AG24" s="21" t="s">
        <v>63</v>
      </c>
      <c r="AH24" s="2"/>
      <c r="AI24" s="3"/>
      <c r="AJ24" s="22"/>
      <c r="AK24" s="2"/>
      <c r="AL24" s="3"/>
      <c r="AM24" s="21" t="s">
        <v>271</v>
      </c>
      <c r="AN24" s="2"/>
      <c r="AO24" s="3"/>
      <c r="AP24" s="23">
        <v>46163</v>
      </c>
      <c r="AQ24" s="2"/>
      <c r="AR24" s="3"/>
      <c r="AS24" s="19"/>
      <c r="AT24" s="2"/>
      <c r="AU24" s="3"/>
      <c r="AV24" s="19" t="s">
        <v>63</v>
      </c>
      <c r="AW24" s="2"/>
      <c r="AX24" s="3"/>
      <c r="AY24" s="19"/>
      <c r="AZ24" s="2"/>
      <c r="BA24" s="3"/>
      <c r="BB24" s="19" t="s">
        <v>272</v>
      </c>
      <c r="BC24" s="2"/>
      <c r="BD24" s="3"/>
      <c r="BE24" s="20">
        <v>46241</v>
      </c>
      <c r="BF24" s="2"/>
      <c r="BG24" s="3"/>
      <c r="BH24" s="19"/>
      <c r="BI24" s="2"/>
      <c r="BJ24" s="3"/>
      <c r="BK24" s="18"/>
      <c r="BL24" s="2"/>
      <c r="BM24" s="2"/>
      <c r="BN24" s="2"/>
      <c r="BO24" s="2"/>
      <c r="BP24" s="2"/>
      <c r="BQ24" s="3"/>
    </row>
    <row r="25" ht="399.75" customHeight="1" spans="1:69">
      <c r="A25" s="17">
        <v>12</v>
      </c>
      <c r="B25" s="18" t="s">
        <v>322</v>
      </c>
      <c r="C25" s="2"/>
      <c r="D25" s="3"/>
      <c r="E25" s="18" t="s">
        <v>323</v>
      </c>
      <c r="F25" s="2"/>
      <c r="G25" s="2"/>
      <c r="H25" s="2"/>
      <c r="I25" s="3"/>
      <c r="J25" s="18" t="s">
        <v>324</v>
      </c>
      <c r="K25" s="2"/>
      <c r="L25" s="2"/>
      <c r="M25" s="2"/>
      <c r="N25" s="2"/>
      <c r="O25" s="2"/>
      <c r="P25" s="3"/>
      <c r="Q25" s="24" t="s">
        <v>325</v>
      </c>
      <c r="R25" s="2"/>
      <c r="S25" s="2"/>
      <c r="T25" s="2"/>
      <c r="U25" s="2"/>
      <c r="V25" s="2"/>
      <c r="W25" s="3"/>
      <c r="X25" s="18" t="s">
        <v>326</v>
      </c>
      <c r="Y25" s="2"/>
      <c r="Z25" s="2"/>
      <c r="AA25" s="2"/>
      <c r="AB25" s="2"/>
      <c r="AC25" s="2"/>
      <c r="AD25" s="3"/>
      <c r="AE25" s="19" t="s">
        <v>270</v>
      </c>
      <c r="AF25" s="3"/>
      <c r="AG25" s="21" t="s">
        <v>63</v>
      </c>
      <c r="AH25" s="2"/>
      <c r="AI25" s="3"/>
      <c r="AJ25" s="22"/>
      <c r="AK25" s="2"/>
      <c r="AL25" s="3"/>
      <c r="AM25" s="21" t="s">
        <v>271</v>
      </c>
      <c r="AN25" s="2"/>
      <c r="AO25" s="3"/>
      <c r="AP25" s="23">
        <v>46163</v>
      </c>
      <c r="AQ25" s="2"/>
      <c r="AR25" s="3"/>
      <c r="AS25" s="19"/>
      <c r="AT25" s="2"/>
      <c r="AU25" s="3"/>
      <c r="AV25" s="19" t="s">
        <v>63</v>
      </c>
      <c r="AW25" s="2"/>
      <c r="AX25" s="3"/>
      <c r="AY25" s="19"/>
      <c r="AZ25" s="2"/>
      <c r="BA25" s="3"/>
      <c r="BB25" s="19" t="s">
        <v>272</v>
      </c>
      <c r="BC25" s="2"/>
      <c r="BD25" s="3"/>
      <c r="BE25" s="20">
        <v>46241</v>
      </c>
      <c r="BF25" s="2"/>
      <c r="BG25" s="3"/>
      <c r="BH25" s="19"/>
      <c r="BI25" s="2"/>
      <c r="BJ25" s="3"/>
      <c r="BK25" s="18"/>
      <c r="BL25" s="2"/>
      <c r="BM25" s="2"/>
      <c r="BN25" s="2"/>
      <c r="BO25" s="2"/>
      <c r="BP25" s="2"/>
      <c r="BQ25" s="3"/>
    </row>
    <row r="26" ht="22.5" customHeight="1" spans="1:69">
      <c r="A26" s="16" t="s">
        <v>327</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3"/>
    </row>
    <row r="27" ht="207.75" customHeight="1" spans="1:69">
      <c r="A27" s="17">
        <v>13</v>
      </c>
      <c r="B27" s="18" t="s">
        <v>328</v>
      </c>
      <c r="C27" s="2"/>
      <c r="D27" s="3"/>
      <c r="E27" s="18" t="s">
        <v>329</v>
      </c>
      <c r="F27" s="2"/>
      <c r="G27" s="2"/>
      <c r="H27" s="2"/>
      <c r="I27" s="3"/>
      <c r="J27" s="18" t="s">
        <v>330</v>
      </c>
      <c r="K27" s="2"/>
      <c r="L27" s="2"/>
      <c r="M27" s="2"/>
      <c r="N27" s="2"/>
      <c r="O27" s="2"/>
      <c r="P27" s="3"/>
      <c r="Q27" s="18" t="s">
        <v>331</v>
      </c>
      <c r="R27" s="2"/>
      <c r="S27" s="2"/>
      <c r="T27" s="2"/>
      <c r="U27" s="2"/>
      <c r="V27" s="2"/>
      <c r="W27" s="3"/>
      <c r="X27" s="18" t="s">
        <v>332</v>
      </c>
      <c r="Y27" s="2"/>
      <c r="Z27" s="2"/>
      <c r="AA27" s="2"/>
      <c r="AB27" s="2"/>
      <c r="AC27" s="2"/>
      <c r="AD27" s="3"/>
      <c r="AE27" s="19" t="s">
        <v>270</v>
      </c>
      <c r="AF27" s="3"/>
      <c r="AG27" s="21" t="s">
        <v>63</v>
      </c>
      <c r="AH27" s="2"/>
      <c r="AI27" s="3"/>
      <c r="AJ27" s="22"/>
      <c r="AK27" s="2"/>
      <c r="AL27" s="3"/>
      <c r="AM27" s="21" t="s">
        <v>271</v>
      </c>
      <c r="AN27" s="2"/>
      <c r="AO27" s="3"/>
      <c r="AP27" s="23">
        <v>46163</v>
      </c>
      <c r="AQ27" s="2"/>
      <c r="AR27" s="3"/>
      <c r="AS27" s="19"/>
      <c r="AT27" s="2"/>
      <c r="AU27" s="3"/>
      <c r="AV27" s="19" t="s">
        <v>63</v>
      </c>
      <c r="AW27" s="2"/>
      <c r="AX27" s="3"/>
      <c r="AY27" s="19"/>
      <c r="AZ27" s="2"/>
      <c r="BA27" s="3"/>
      <c r="BB27" s="19" t="s">
        <v>272</v>
      </c>
      <c r="BC27" s="2"/>
      <c r="BD27" s="3"/>
      <c r="BE27" s="20">
        <v>46241</v>
      </c>
      <c r="BF27" s="2"/>
      <c r="BG27" s="3"/>
      <c r="BH27" s="19"/>
      <c r="BI27" s="2"/>
      <c r="BJ27" s="3"/>
      <c r="BK27" s="18"/>
      <c r="BL27" s="2"/>
      <c r="BM27" s="2"/>
      <c r="BN27" s="2"/>
      <c r="BO27" s="2"/>
      <c r="BP27" s="2"/>
      <c r="BQ27" s="3"/>
    </row>
    <row r="28" ht="319.5" customHeight="1" spans="1:69">
      <c r="A28" s="17">
        <v>14</v>
      </c>
      <c r="B28" s="18" t="s">
        <v>333</v>
      </c>
      <c r="C28" s="2"/>
      <c r="D28" s="3"/>
      <c r="E28" s="18" t="s">
        <v>334</v>
      </c>
      <c r="F28" s="2"/>
      <c r="G28" s="2"/>
      <c r="H28" s="2"/>
      <c r="I28" s="3"/>
      <c r="J28" s="18" t="s">
        <v>305</v>
      </c>
      <c r="K28" s="2"/>
      <c r="L28" s="2"/>
      <c r="M28" s="2"/>
      <c r="N28" s="2"/>
      <c r="O28" s="2"/>
      <c r="P28" s="3"/>
      <c r="Q28" s="18" t="s">
        <v>335</v>
      </c>
      <c r="R28" s="2"/>
      <c r="S28" s="2"/>
      <c r="T28" s="2"/>
      <c r="U28" s="2"/>
      <c r="V28" s="2"/>
      <c r="W28" s="3"/>
      <c r="X28" s="18" t="s">
        <v>336</v>
      </c>
      <c r="Y28" s="2"/>
      <c r="Z28" s="2"/>
      <c r="AA28" s="2"/>
      <c r="AB28" s="2"/>
      <c r="AC28" s="2"/>
      <c r="AD28" s="3"/>
      <c r="AE28" s="19" t="s">
        <v>270</v>
      </c>
      <c r="AF28" s="3"/>
      <c r="AG28" s="21" t="s">
        <v>63</v>
      </c>
      <c r="AH28" s="2"/>
      <c r="AI28" s="3"/>
      <c r="AJ28" s="22"/>
      <c r="AK28" s="2"/>
      <c r="AL28" s="3"/>
      <c r="AM28" s="21" t="s">
        <v>271</v>
      </c>
      <c r="AN28" s="2"/>
      <c r="AO28" s="3"/>
      <c r="AP28" s="23">
        <v>46163</v>
      </c>
      <c r="AQ28" s="2"/>
      <c r="AR28" s="3"/>
      <c r="AS28" s="19"/>
      <c r="AT28" s="2"/>
      <c r="AU28" s="3"/>
      <c r="AV28" s="19" t="s">
        <v>63</v>
      </c>
      <c r="AW28" s="2"/>
      <c r="AX28" s="3"/>
      <c r="AY28" s="19"/>
      <c r="AZ28" s="2"/>
      <c r="BA28" s="3"/>
      <c r="BB28" s="19" t="s">
        <v>272</v>
      </c>
      <c r="BC28" s="2"/>
      <c r="BD28" s="3"/>
      <c r="BE28" s="20">
        <v>46241</v>
      </c>
      <c r="BF28" s="2"/>
      <c r="BG28" s="3"/>
      <c r="BH28" s="19"/>
      <c r="BI28" s="2"/>
      <c r="BJ28" s="3"/>
      <c r="BK28" s="18"/>
      <c r="BL28" s="2"/>
      <c r="BM28" s="2"/>
      <c r="BN28" s="2"/>
      <c r="BO28" s="2"/>
      <c r="BP28" s="2"/>
      <c r="BQ28" s="3"/>
    </row>
    <row r="29" ht="303.75" customHeight="1" spans="1:69">
      <c r="A29" s="17">
        <v>15</v>
      </c>
      <c r="B29" s="18" t="s">
        <v>337</v>
      </c>
      <c r="C29" s="2"/>
      <c r="D29" s="3"/>
      <c r="E29" s="18" t="s">
        <v>338</v>
      </c>
      <c r="F29" s="2"/>
      <c r="G29" s="2"/>
      <c r="H29" s="2"/>
      <c r="I29" s="3"/>
      <c r="J29" s="18" t="s">
        <v>339</v>
      </c>
      <c r="K29" s="2"/>
      <c r="L29" s="2"/>
      <c r="M29" s="2"/>
      <c r="N29" s="2"/>
      <c r="O29" s="2"/>
      <c r="P29" s="3"/>
      <c r="Q29" s="18" t="s">
        <v>340</v>
      </c>
      <c r="R29" s="2"/>
      <c r="S29" s="2"/>
      <c r="T29" s="2"/>
      <c r="U29" s="2"/>
      <c r="V29" s="2"/>
      <c r="W29" s="3"/>
      <c r="X29" s="18" t="s">
        <v>341</v>
      </c>
      <c r="Y29" s="2"/>
      <c r="Z29" s="2"/>
      <c r="AA29" s="2"/>
      <c r="AB29" s="2"/>
      <c r="AC29" s="2"/>
      <c r="AD29" s="3"/>
      <c r="AE29" s="19" t="s">
        <v>270</v>
      </c>
      <c r="AF29" s="3"/>
      <c r="AG29" s="21" t="s">
        <v>63</v>
      </c>
      <c r="AH29" s="2"/>
      <c r="AI29" s="3"/>
      <c r="AJ29" s="22"/>
      <c r="AK29" s="2"/>
      <c r="AL29" s="3"/>
      <c r="AM29" s="21" t="s">
        <v>271</v>
      </c>
      <c r="AN29" s="2"/>
      <c r="AO29" s="3"/>
      <c r="AP29" s="23">
        <v>46163</v>
      </c>
      <c r="AQ29" s="2"/>
      <c r="AR29" s="3"/>
      <c r="AS29" s="19"/>
      <c r="AT29" s="2"/>
      <c r="AU29" s="3"/>
      <c r="AV29" s="19" t="s">
        <v>63</v>
      </c>
      <c r="AW29" s="2"/>
      <c r="AX29" s="3"/>
      <c r="AY29" s="19"/>
      <c r="AZ29" s="2"/>
      <c r="BA29" s="3"/>
      <c r="BB29" s="19" t="s">
        <v>272</v>
      </c>
      <c r="BC29" s="2"/>
      <c r="BD29" s="3"/>
      <c r="BE29" s="20">
        <v>46241</v>
      </c>
      <c r="BF29" s="2"/>
      <c r="BG29" s="3"/>
      <c r="BH29" s="19"/>
      <c r="BI29" s="2"/>
      <c r="BJ29" s="3"/>
      <c r="BK29" s="18" t="s">
        <v>291</v>
      </c>
      <c r="BL29" s="2"/>
      <c r="BM29" s="2"/>
      <c r="BN29" s="2"/>
      <c r="BO29" s="2"/>
      <c r="BP29" s="2"/>
      <c r="BQ29" s="3"/>
    </row>
    <row r="30" ht="22.5" customHeight="1" spans="1:69">
      <c r="A30" s="16" t="s">
        <v>342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3"/>
    </row>
    <row r="31" ht="288" customHeight="1" spans="1:69">
      <c r="A31" s="17">
        <v>16</v>
      </c>
      <c r="B31" s="18" t="s">
        <v>343</v>
      </c>
      <c r="C31" s="2"/>
      <c r="D31" s="3"/>
      <c r="E31" s="18" t="s">
        <v>344</v>
      </c>
      <c r="F31" s="2"/>
      <c r="G31" s="2"/>
      <c r="H31" s="2"/>
      <c r="I31" s="3"/>
      <c r="J31" s="18" t="s">
        <v>305</v>
      </c>
      <c r="K31" s="2"/>
      <c r="L31" s="2"/>
      <c r="M31" s="2"/>
      <c r="N31" s="2"/>
      <c r="O31" s="2"/>
      <c r="P31" s="3"/>
      <c r="Q31" s="18" t="s">
        <v>345</v>
      </c>
      <c r="R31" s="2"/>
      <c r="S31" s="2"/>
      <c r="T31" s="2"/>
      <c r="U31" s="2"/>
      <c r="V31" s="2"/>
      <c r="W31" s="3"/>
      <c r="X31" s="18" t="s">
        <v>346</v>
      </c>
      <c r="Y31" s="2"/>
      <c r="Z31" s="2"/>
      <c r="AA31" s="2"/>
      <c r="AB31" s="2"/>
      <c r="AC31" s="2"/>
      <c r="AD31" s="3"/>
      <c r="AE31" s="19" t="s">
        <v>270</v>
      </c>
      <c r="AF31" s="3"/>
      <c r="AG31" s="21" t="s">
        <v>63</v>
      </c>
      <c r="AH31" s="2"/>
      <c r="AI31" s="3"/>
      <c r="AJ31" s="22"/>
      <c r="AK31" s="2"/>
      <c r="AL31" s="3"/>
      <c r="AM31" s="21" t="s">
        <v>271</v>
      </c>
      <c r="AN31" s="2"/>
      <c r="AO31" s="3"/>
      <c r="AP31" s="23">
        <v>46163</v>
      </c>
      <c r="AQ31" s="2"/>
      <c r="AR31" s="3"/>
      <c r="AS31" s="19"/>
      <c r="AT31" s="2"/>
      <c r="AU31" s="3"/>
      <c r="AV31" s="19" t="s">
        <v>63</v>
      </c>
      <c r="AW31" s="2"/>
      <c r="AX31" s="3"/>
      <c r="AY31" s="19"/>
      <c r="AZ31" s="2"/>
      <c r="BA31" s="3"/>
      <c r="BB31" s="19" t="s">
        <v>272</v>
      </c>
      <c r="BC31" s="2"/>
      <c r="BD31" s="3"/>
      <c r="BE31" s="20">
        <v>46241</v>
      </c>
      <c r="BF31" s="2"/>
      <c r="BG31" s="3"/>
      <c r="BH31" s="19"/>
      <c r="BI31" s="2"/>
      <c r="BJ31" s="3"/>
      <c r="BK31" s="18"/>
      <c r="BL31" s="2"/>
      <c r="BM31" s="2"/>
      <c r="BN31" s="2"/>
      <c r="BO31" s="2"/>
      <c r="BP31" s="2"/>
      <c r="BQ31" s="3"/>
    </row>
    <row r="32" ht="288" customHeight="1" spans="1:69">
      <c r="A32" s="17">
        <v>17</v>
      </c>
      <c r="B32" s="18" t="s">
        <v>347</v>
      </c>
      <c r="C32" s="2"/>
      <c r="D32" s="3"/>
      <c r="E32" s="18" t="s">
        <v>348</v>
      </c>
      <c r="F32" s="2"/>
      <c r="G32" s="2"/>
      <c r="H32" s="2"/>
      <c r="I32" s="3"/>
      <c r="J32" s="18" t="s">
        <v>349</v>
      </c>
      <c r="K32" s="2"/>
      <c r="L32" s="2"/>
      <c r="M32" s="2"/>
      <c r="N32" s="2"/>
      <c r="O32" s="2"/>
      <c r="P32" s="3"/>
      <c r="Q32" s="18" t="s">
        <v>350</v>
      </c>
      <c r="R32" s="2"/>
      <c r="S32" s="2"/>
      <c r="T32" s="2"/>
      <c r="U32" s="2"/>
      <c r="V32" s="2"/>
      <c r="W32" s="3"/>
      <c r="X32" s="18" t="s">
        <v>351</v>
      </c>
      <c r="Y32" s="2"/>
      <c r="Z32" s="2"/>
      <c r="AA32" s="2"/>
      <c r="AB32" s="2"/>
      <c r="AC32" s="2"/>
      <c r="AD32" s="3"/>
      <c r="AE32" s="19" t="s">
        <v>270</v>
      </c>
      <c r="AF32" s="3"/>
      <c r="AG32" s="21" t="s">
        <v>63</v>
      </c>
      <c r="AH32" s="2"/>
      <c r="AI32" s="3"/>
      <c r="AJ32" s="22"/>
      <c r="AK32" s="2"/>
      <c r="AL32" s="3"/>
      <c r="AM32" s="21" t="s">
        <v>271</v>
      </c>
      <c r="AN32" s="2"/>
      <c r="AO32" s="3"/>
      <c r="AP32" s="23">
        <v>46163</v>
      </c>
      <c r="AQ32" s="2"/>
      <c r="AR32" s="3"/>
      <c r="AS32" s="19"/>
      <c r="AT32" s="2"/>
      <c r="AU32" s="3"/>
      <c r="AV32" s="19" t="s">
        <v>63</v>
      </c>
      <c r="AW32" s="2"/>
      <c r="AX32" s="3"/>
      <c r="AY32" s="19"/>
      <c r="AZ32" s="2"/>
      <c r="BA32" s="3"/>
      <c r="BB32" s="19" t="s">
        <v>272</v>
      </c>
      <c r="BC32" s="2"/>
      <c r="BD32" s="3"/>
      <c r="BE32" s="20">
        <v>46241</v>
      </c>
      <c r="BF32" s="2"/>
      <c r="BG32" s="3"/>
      <c r="BH32" s="19"/>
      <c r="BI32" s="2"/>
      <c r="BJ32" s="3"/>
      <c r="BK32" s="18"/>
      <c r="BL32" s="2"/>
      <c r="BM32" s="2"/>
      <c r="BN32" s="2"/>
      <c r="BO32" s="2"/>
      <c r="BP32" s="2"/>
      <c r="BQ32" s="3"/>
    </row>
    <row r="33" ht="303.75" customHeight="1" spans="1:69">
      <c r="A33" s="25">
        <v>18</v>
      </c>
      <c r="B33" s="26" t="s">
        <v>352</v>
      </c>
      <c r="C33" s="2"/>
      <c r="D33" s="3"/>
      <c r="E33" s="26" t="s">
        <v>353</v>
      </c>
      <c r="F33" s="2"/>
      <c r="G33" s="2"/>
      <c r="H33" s="2"/>
      <c r="I33" s="3"/>
      <c r="J33" s="26" t="s">
        <v>305</v>
      </c>
      <c r="K33" s="2"/>
      <c r="L33" s="2"/>
      <c r="M33" s="2"/>
      <c r="N33" s="2"/>
      <c r="O33" s="2"/>
      <c r="P33" s="3"/>
      <c r="Q33" s="26" t="s">
        <v>354</v>
      </c>
      <c r="R33" s="2"/>
      <c r="S33" s="2"/>
      <c r="T33" s="2"/>
      <c r="U33" s="2"/>
      <c r="V33" s="2"/>
      <c r="W33" s="3"/>
      <c r="X33" s="26" t="s">
        <v>355</v>
      </c>
      <c r="Y33" s="2"/>
      <c r="Z33" s="2"/>
      <c r="AA33" s="2"/>
      <c r="AB33" s="2"/>
      <c r="AC33" s="2"/>
      <c r="AD33" s="3"/>
      <c r="AE33" s="27" t="s">
        <v>217</v>
      </c>
      <c r="AF33" s="3"/>
      <c r="AG33" s="27" t="s">
        <v>66</v>
      </c>
      <c r="AH33" s="2"/>
      <c r="AI33" s="3"/>
      <c r="AJ33" s="27"/>
      <c r="AK33" s="2"/>
      <c r="AL33" s="3"/>
      <c r="AM33" s="27"/>
      <c r="AN33" s="2"/>
      <c r="AO33" s="3"/>
      <c r="AP33" s="27"/>
      <c r="AQ33" s="2"/>
      <c r="AR33" s="3"/>
      <c r="AS33" s="27"/>
      <c r="AT33" s="2"/>
      <c r="AU33" s="3"/>
      <c r="AV33" s="27" t="s">
        <v>66</v>
      </c>
      <c r="AW33" s="2"/>
      <c r="AX33" s="3"/>
      <c r="AY33" s="27"/>
      <c r="AZ33" s="2"/>
      <c r="BA33" s="3"/>
      <c r="BB33" s="27"/>
      <c r="BC33" s="2"/>
      <c r="BD33" s="3"/>
      <c r="BE33" s="27"/>
      <c r="BF33" s="2"/>
      <c r="BG33" s="3"/>
      <c r="BH33" s="27"/>
      <c r="BI33" s="2"/>
      <c r="BJ33" s="3"/>
      <c r="BK33" s="26"/>
      <c r="BL33" s="2"/>
      <c r="BM33" s="2"/>
      <c r="BN33" s="2"/>
      <c r="BO33" s="2"/>
      <c r="BP33" s="2"/>
      <c r="BQ33" s="3"/>
    </row>
    <row r="34" ht="319.5" customHeight="1" spans="1:69">
      <c r="A34" s="17">
        <v>19</v>
      </c>
      <c r="B34" s="18" t="s">
        <v>356</v>
      </c>
      <c r="C34" s="2"/>
      <c r="D34" s="3"/>
      <c r="E34" s="18" t="s">
        <v>357</v>
      </c>
      <c r="F34" s="2"/>
      <c r="G34" s="2"/>
      <c r="H34" s="2"/>
      <c r="I34" s="3"/>
      <c r="J34" s="18" t="s">
        <v>305</v>
      </c>
      <c r="K34" s="2"/>
      <c r="L34" s="2"/>
      <c r="M34" s="2"/>
      <c r="N34" s="2"/>
      <c r="O34" s="2"/>
      <c r="P34" s="3"/>
      <c r="Q34" s="18" t="s">
        <v>358</v>
      </c>
      <c r="R34" s="2"/>
      <c r="S34" s="2"/>
      <c r="T34" s="2"/>
      <c r="U34" s="2"/>
      <c r="V34" s="2"/>
      <c r="W34" s="3"/>
      <c r="X34" s="18" t="s">
        <v>359</v>
      </c>
      <c r="Y34" s="2"/>
      <c r="Z34" s="2"/>
      <c r="AA34" s="2"/>
      <c r="AB34" s="2"/>
      <c r="AC34" s="2"/>
      <c r="AD34" s="3"/>
      <c r="AE34" s="19" t="s">
        <v>270</v>
      </c>
      <c r="AF34" s="3"/>
      <c r="AG34" s="21" t="s">
        <v>63</v>
      </c>
      <c r="AH34" s="2"/>
      <c r="AI34" s="3"/>
      <c r="AJ34" s="22"/>
      <c r="AK34" s="2"/>
      <c r="AL34" s="3"/>
      <c r="AM34" s="21" t="s">
        <v>271</v>
      </c>
      <c r="AN34" s="2"/>
      <c r="AO34" s="3"/>
      <c r="AP34" s="23">
        <v>46163</v>
      </c>
      <c r="AQ34" s="2"/>
      <c r="AR34" s="3"/>
      <c r="AS34" s="19"/>
      <c r="AT34" s="2"/>
      <c r="AU34" s="3"/>
      <c r="AV34" s="19" t="s">
        <v>63</v>
      </c>
      <c r="AW34" s="2"/>
      <c r="AX34" s="3"/>
      <c r="AY34" s="19"/>
      <c r="AZ34" s="2"/>
      <c r="BA34" s="3"/>
      <c r="BB34" s="19" t="s">
        <v>272</v>
      </c>
      <c r="BC34" s="2"/>
      <c r="BD34" s="3"/>
      <c r="BE34" s="20">
        <v>46241</v>
      </c>
      <c r="BF34" s="2"/>
      <c r="BG34" s="3"/>
      <c r="BH34" s="19"/>
      <c r="BI34" s="2"/>
      <c r="BJ34" s="3"/>
      <c r="BK34" s="18"/>
      <c r="BL34" s="2"/>
      <c r="BM34" s="2"/>
      <c r="BN34" s="2"/>
      <c r="BO34" s="2"/>
      <c r="BP34" s="2"/>
      <c r="BQ34" s="3"/>
    </row>
    <row r="35" ht="223.5" customHeight="1" spans="1:69">
      <c r="A35" s="17">
        <v>20</v>
      </c>
      <c r="B35" s="18" t="s">
        <v>360</v>
      </c>
      <c r="C35" s="2"/>
      <c r="D35" s="3"/>
      <c r="E35" s="18" t="s">
        <v>361</v>
      </c>
      <c r="F35" s="2"/>
      <c r="G35" s="2"/>
      <c r="H35" s="2"/>
      <c r="I35" s="3"/>
      <c r="J35" s="18" t="s">
        <v>362</v>
      </c>
      <c r="K35" s="2"/>
      <c r="L35" s="2"/>
      <c r="M35" s="2"/>
      <c r="N35" s="2"/>
      <c r="O35" s="2"/>
      <c r="P35" s="3"/>
      <c r="Q35" s="18" t="s">
        <v>363</v>
      </c>
      <c r="R35" s="2"/>
      <c r="S35" s="2"/>
      <c r="T35" s="2"/>
      <c r="U35" s="2"/>
      <c r="V35" s="2"/>
      <c r="W35" s="3"/>
      <c r="X35" s="18" t="s">
        <v>364</v>
      </c>
      <c r="Y35" s="2"/>
      <c r="Z35" s="2"/>
      <c r="AA35" s="2"/>
      <c r="AB35" s="2"/>
      <c r="AC35" s="2"/>
      <c r="AD35" s="3"/>
      <c r="AE35" s="19" t="s">
        <v>270</v>
      </c>
      <c r="AF35" s="3"/>
      <c r="AG35" s="21" t="s">
        <v>63</v>
      </c>
      <c r="AH35" s="2"/>
      <c r="AI35" s="3"/>
      <c r="AJ35" s="22"/>
      <c r="AK35" s="2"/>
      <c r="AL35" s="3"/>
      <c r="AM35" s="21" t="s">
        <v>271</v>
      </c>
      <c r="AN35" s="2"/>
      <c r="AO35" s="3"/>
      <c r="AP35" s="23">
        <v>46163</v>
      </c>
      <c r="AQ35" s="2"/>
      <c r="AR35" s="3"/>
      <c r="AS35" s="19"/>
      <c r="AT35" s="2"/>
      <c r="AU35" s="3"/>
      <c r="AV35" s="19" t="s">
        <v>63</v>
      </c>
      <c r="AW35" s="2"/>
      <c r="AX35" s="3"/>
      <c r="AY35" s="19"/>
      <c r="AZ35" s="2"/>
      <c r="BA35" s="3"/>
      <c r="BB35" s="19" t="s">
        <v>272</v>
      </c>
      <c r="BC35" s="2"/>
      <c r="BD35" s="3"/>
      <c r="BE35" s="20">
        <v>46241</v>
      </c>
      <c r="BF35" s="2"/>
      <c r="BG35" s="3"/>
      <c r="BH35" s="19"/>
      <c r="BI35" s="2"/>
      <c r="BJ35" s="3"/>
      <c r="BK35" s="18"/>
      <c r="BL35" s="2"/>
      <c r="BM35" s="2"/>
      <c r="BN35" s="2"/>
      <c r="BO35" s="2"/>
      <c r="BP35" s="2"/>
      <c r="BQ35" s="3"/>
    </row>
    <row r="36" ht="240" customHeight="1" spans="1:69">
      <c r="A36" s="25">
        <v>21</v>
      </c>
      <c r="B36" s="26" t="s">
        <v>365</v>
      </c>
      <c r="C36" s="2"/>
      <c r="D36" s="3"/>
      <c r="E36" s="26" t="s">
        <v>366</v>
      </c>
      <c r="F36" s="2"/>
      <c r="G36" s="2"/>
      <c r="H36" s="2"/>
      <c r="I36" s="3"/>
      <c r="J36" s="26" t="s">
        <v>305</v>
      </c>
      <c r="K36" s="2"/>
      <c r="L36" s="2"/>
      <c r="M36" s="2"/>
      <c r="N36" s="2"/>
      <c r="O36" s="2"/>
      <c r="P36" s="3"/>
      <c r="Q36" s="26" t="s">
        <v>367</v>
      </c>
      <c r="R36" s="2"/>
      <c r="S36" s="2"/>
      <c r="T36" s="2"/>
      <c r="U36" s="2"/>
      <c r="V36" s="2"/>
      <c r="W36" s="3"/>
      <c r="X36" s="26" t="s">
        <v>368</v>
      </c>
      <c r="Y36" s="2"/>
      <c r="Z36" s="2"/>
      <c r="AA36" s="2"/>
      <c r="AB36" s="2"/>
      <c r="AC36" s="2"/>
      <c r="AD36" s="3"/>
      <c r="AE36" s="27" t="s">
        <v>217</v>
      </c>
      <c r="AF36" s="3"/>
      <c r="AG36" s="19" t="s">
        <v>66</v>
      </c>
      <c r="AH36" s="2"/>
      <c r="AI36" s="3"/>
      <c r="AJ36" s="19"/>
      <c r="AK36" s="2"/>
      <c r="AL36" s="3"/>
      <c r="AM36" s="19"/>
      <c r="AN36" s="2"/>
      <c r="AO36" s="3"/>
      <c r="AP36" s="19"/>
      <c r="AQ36" s="2"/>
      <c r="AR36" s="3"/>
      <c r="AS36" s="19"/>
      <c r="AT36" s="2"/>
      <c r="AU36" s="3"/>
      <c r="AV36" s="19" t="s">
        <v>66</v>
      </c>
      <c r="AW36" s="2"/>
      <c r="AX36" s="3"/>
      <c r="AY36" s="19"/>
      <c r="AZ36" s="2"/>
      <c r="BA36" s="3"/>
      <c r="BB36" s="19"/>
      <c r="BC36" s="2"/>
      <c r="BD36" s="3"/>
      <c r="BE36" s="19"/>
      <c r="BF36" s="2"/>
      <c r="BG36" s="3"/>
      <c r="BH36" s="19"/>
      <c r="BI36" s="2"/>
      <c r="BJ36" s="3"/>
      <c r="BK36" s="18"/>
      <c r="BL36" s="2"/>
      <c r="BM36" s="2"/>
      <c r="BN36" s="2"/>
      <c r="BO36" s="2"/>
      <c r="BP36" s="2"/>
      <c r="BQ36" s="3"/>
    </row>
    <row r="37" ht="384" customHeight="1" spans="1:69">
      <c r="A37" s="17">
        <v>22</v>
      </c>
      <c r="B37" s="18" t="s">
        <v>369</v>
      </c>
      <c r="C37" s="2"/>
      <c r="D37" s="3"/>
      <c r="E37" s="18" t="s">
        <v>370</v>
      </c>
      <c r="F37" s="2"/>
      <c r="G37" s="2"/>
      <c r="H37" s="2"/>
      <c r="I37" s="3"/>
      <c r="J37" s="18" t="s">
        <v>371</v>
      </c>
      <c r="K37" s="2"/>
      <c r="L37" s="2"/>
      <c r="M37" s="2"/>
      <c r="N37" s="2"/>
      <c r="O37" s="2"/>
      <c r="P37" s="3"/>
      <c r="Q37" s="18" t="s">
        <v>372</v>
      </c>
      <c r="R37" s="2"/>
      <c r="S37" s="2"/>
      <c r="T37" s="2"/>
      <c r="U37" s="2"/>
      <c r="V37" s="2"/>
      <c r="W37" s="3"/>
      <c r="X37" s="18" t="s">
        <v>373</v>
      </c>
      <c r="Y37" s="2"/>
      <c r="Z37" s="2"/>
      <c r="AA37" s="2"/>
      <c r="AB37" s="2"/>
      <c r="AC37" s="2"/>
      <c r="AD37" s="3"/>
      <c r="AE37" s="19" t="s">
        <v>270</v>
      </c>
      <c r="AF37" s="3"/>
      <c r="AG37" s="21" t="s">
        <v>63</v>
      </c>
      <c r="AH37" s="2"/>
      <c r="AI37" s="3"/>
      <c r="AJ37" s="22"/>
      <c r="AK37" s="2"/>
      <c r="AL37" s="3"/>
      <c r="AM37" s="21" t="s">
        <v>271</v>
      </c>
      <c r="AN37" s="2"/>
      <c r="AO37" s="3"/>
      <c r="AP37" s="23">
        <v>46163</v>
      </c>
      <c r="AQ37" s="2"/>
      <c r="AR37" s="3"/>
      <c r="AS37" s="19"/>
      <c r="AT37" s="2"/>
      <c r="AU37" s="3"/>
      <c r="AV37" s="19" t="s">
        <v>63</v>
      </c>
      <c r="AW37" s="2"/>
      <c r="AX37" s="3"/>
      <c r="AY37" s="19"/>
      <c r="AZ37" s="2"/>
      <c r="BA37" s="3"/>
      <c r="BB37" s="19" t="s">
        <v>272</v>
      </c>
      <c r="BC37" s="2"/>
      <c r="BD37" s="3"/>
      <c r="BE37" s="20">
        <v>46241</v>
      </c>
      <c r="BF37" s="2"/>
      <c r="BG37" s="3"/>
      <c r="BH37" s="19"/>
      <c r="BI37" s="2"/>
      <c r="BJ37" s="3"/>
      <c r="BK37" s="18"/>
      <c r="BL37" s="2"/>
      <c r="BM37" s="2"/>
      <c r="BN37" s="2"/>
      <c r="BO37" s="2"/>
      <c r="BP37" s="2"/>
      <c r="BQ37" s="3"/>
    </row>
    <row r="38" ht="255.75" customHeight="1" spans="1:69">
      <c r="A38" s="17">
        <v>23</v>
      </c>
      <c r="B38" s="18" t="s">
        <v>374</v>
      </c>
      <c r="C38" s="2"/>
      <c r="D38" s="3"/>
      <c r="E38" s="18" t="s">
        <v>375</v>
      </c>
      <c r="F38" s="2"/>
      <c r="G38" s="2"/>
      <c r="H38" s="2"/>
      <c r="I38" s="3"/>
      <c r="J38" s="18" t="s">
        <v>305</v>
      </c>
      <c r="K38" s="2"/>
      <c r="L38" s="2"/>
      <c r="M38" s="2"/>
      <c r="N38" s="2"/>
      <c r="O38" s="2"/>
      <c r="P38" s="3"/>
      <c r="Q38" s="18" t="s">
        <v>376</v>
      </c>
      <c r="R38" s="2"/>
      <c r="S38" s="2"/>
      <c r="T38" s="2"/>
      <c r="U38" s="2"/>
      <c r="V38" s="2"/>
      <c r="W38" s="3"/>
      <c r="X38" s="18" t="s">
        <v>377</v>
      </c>
      <c r="Y38" s="2"/>
      <c r="Z38" s="2"/>
      <c r="AA38" s="2"/>
      <c r="AB38" s="2"/>
      <c r="AC38" s="2"/>
      <c r="AD38" s="3"/>
      <c r="AE38" s="19" t="s">
        <v>270</v>
      </c>
      <c r="AF38" s="3"/>
      <c r="AG38" s="21" t="s">
        <v>63</v>
      </c>
      <c r="AH38" s="2"/>
      <c r="AI38" s="3"/>
      <c r="AJ38" s="22"/>
      <c r="AK38" s="2"/>
      <c r="AL38" s="3"/>
      <c r="AM38" s="21" t="s">
        <v>271</v>
      </c>
      <c r="AN38" s="2"/>
      <c r="AO38" s="3"/>
      <c r="AP38" s="23">
        <v>46163</v>
      </c>
      <c r="AQ38" s="2"/>
      <c r="AR38" s="3"/>
      <c r="AS38" s="19"/>
      <c r="AT38" s="2"/>
      <c r="AU38" s="3"/>
      <c r="AV38" s="19" t="s">
        <v>63</v>
      </c>
      <c r="AW38" s="2"/>
      <c r="AX38" s="3"/>
      <c r="AY38" s="19"/>
      <c r="AZ38" s="2"/>
      <c r="BA38" s="3"/>
      <c r="BB38" s="19" t="s">
        <v>272</v>
      </c>
      <c r="BC38" s="2"/>
      <c r="BD38" s="3"/>
      <c r="BE38" s="20">
        <v>46241</v>
      </c>
      <c r="BF38" s="2"/>
      <c r="BG38" s="3"/>
      <c r="BH38" s="19"/>
      <c r="BI38" s="2"/>
      <c r="BJ38" s="3"/>
      <c r="BK38" s="18"/>
      <c r="BL38" s="2"/>
      <c r="BM38" s="2"/>
      <c r="BN38" s="2"/>
      <c r="BO38" s="2"/>
      <c r="BP38" s="2"/>
      <c r="BQ38" s="3"/>
    </row>
    <row r="39" ht="255.75" customHeight="1" spans="1:69">
      <c r="A39" s="17">
        <v>24</v>
      </c>
      <c r="B39" s="18" t="s">
        <v>378</v>
      </c>
      <c r="C39" s="2"/>
      <c r="D39" s="3"/>
      <c r="E39" s="18" t="s">
        <v>379</v>
      </c>
      <c r="F39" s="2"/>
      <c r="G39" s="2"/>
      <c r="H39" s="2"/>
      <c r="I39" s="3"/>
      <c r="J39" s="18" t="s">
        <v>380</v>
      </c>
      <c r="K39" s="2"/>
      <c r="L39" s="2"/>
      <c r="M39" s="2"/>
      <c r="N39" s="2"/>
      <c r="O39" s="2"/>
      <c r="P39" s="3"/>
      <c r="Q39" s="18" t="s">
        <v>381</v>
      </c>
      <c r="R39" s="2"/>
      <c r="S39" s="2"/>
      <c r="T39" s="2"/>
      <c r="U39" s="2"/>
      <c r="V39" s="2"/>
      <c r="W39" s="3"/>
      <c r="X39" s="18" t="s">
        <v>382</v>
      </c>
      <c r="Y39" s="2"/>
      <c r="Z39" s="2"/>
      <c r="AA39" s="2"/>
      <c r="AB39" s="2"/>
      <c r="AC39" s="2"/>
      <c r="AD39" s="3"/>
      <c r="AE39" s="19" t="s">
        <v>270</v>
      </c>
      <c r="AF39" s="3"/>
      <c r="AG39" s="21" t="s">
        <v>63</v>
      </c>
      <c r="AH39" s="2"/>
      <c r="AI39" s="3"/>
      <c r="AJ39" s="22"/>
      <c r="AK39" s="2"/>
      <c r="AL39" s="3"/>
      <c r="AM39" s="21" t="s">
        <v>271</v>
      </c>
      <c r="AN39" s="2"/>
      <c r="AO39" s="3"/>
      <c r="AP39" s="23">
        <v>46163</v>
      </c>
      <c r="AQ39" s="2"/>
      <c r="AR39" s="3"/>
      <c r="AS39" s="19"/>
      <c r="AT39" s="2"/>
      <c r="AU39" s="3"/>
      <c r="AV39" s="19" t="s">
        <v>63</v>
      </c>
      <c r="AW39" s="2"/>
      <c r="AX39" s="3"/>
      <c r="AY39" s="19"/>
      <c r="AZ39" s="2"/>
      <c r="BA39" s="3"/>
      <c r="BB39" s="19" t="s">
        <v>272</v>
      </c>
      <c r="BC39" s="2"/>
      <c r="BD39" s="3"/>
      <c r="BE39" s="20">
        <v>46241</v>
      </c>
      <c r="BF39" s="2"/>
      <c r="BG39" s="3"/>
      <c r="BH39" s="19"/>
      <c r="BI39" s="2"/>
      <c r="BJ39" s="3"/>
      <c r="BK39" s="18"/>
      <c r="BL39" s="2"/>
      <c r="BM39" s="2"/>
      <c r="BN39" s="2"/>
      <c r="BO39" s="2"/>
      <c r="BP39" s="2"/>
      <c r="BQ39" s="3"/>
    </row>
    <row r="40" ht="240" customHeight="1" spans="1:69">
      <c r="A40" s="17">
        <v>25</v>
      </c>
      <c r="B40" s="26" t="s">
        <v>383</v>
      </c>
      <c r="C40" s="2"/>
      <c r="D40" s="3"/>
      <c r="E40" s="26" t="s">
        <v>384</v>
      </c>
      <c r="F40" s="2"/>
      <c r="G40" s="2"/>
      <c r="H40" s="2"/>
      <c r="I40" s="3"/>
      <c r="J40" s="26" t="s">
        <v>305</v>
      </c>
      <c r="K40" s="2"/>
      <c r="L40" s="2"/>
      <c r="M40" s="2"/>
      <c r="N40" s="2"/>
      <c r="O40" s="2"/>
      <c r="P40" s="3"/>
      <c r="Q40" s="26" t="s">
        <v>385</v>
      </c>
      <c r="R40" s="2"/>
      <c r="S40" s="2"/>
      <c r="T40" s="2"/>
      <c r="U40" s="2"/>
      <c r="V40" s="2"/>
      <c r="W40" s="3"/>
      <c r="X40" s="26" t="s">
        <v>386</v>
      </c>
      <c r="Y40" s="2"/>
      <c r="Z40" s="2"/>
      <c r="AA40" s="2"/>
      <c r="AB40" s="2"/>
      <c r="AC40" s="2"/>
      <c r="AD40" s="3"/>
      <c r="AE40" s="19" t="s">
        <v>217</v>
      </c>
      <c r="AF40" s="3"/>
      <c r="AG40" s="19" t="s">
        <v>66</v>
      </c>
      <c r="AH40" s="2"/>
      <c r="AI40" s="3"/>
      <c r="AJ40" s="19"/>
      <c r="AK40" s="2"/>
      <c r="AL40" s="3"/>
      <c r="AM40" s="19"/>
      <c r="AN40" s="2"/>
      <c r="AO40" s="3"/>
      <c r="AP40" s="19"/>
      <c r="AQ40" s="2"/>
      <c r="AR40" s="3"/>
      <c r="AS40" s="19"/>
      <c r="AT40" s="2"/>
      <c r="AU40" s="3"/>
      <c r="AV40" s="19" t="s">
        <v>66</v>
      </c>
      <c r="AW40" s="2"/>
      <c r="AX40" s="3"/>
      <c r="AY40" s="19"/>
      <c r="AZ40" s="2"/>
      <c r="BA40" s="3"/>
      <c r="BB40" s="19"/>
      <c r="BC40" s="2"/>
      <c r="BD40" s="3"/>
      <c r="BE40" s="19"/>
      <c r="BF40" s="2"/>
      <c r="BG40" s="3"/>
      <c r="BH40" s="19"/>
      <c r="BI40" s="2"/>
      <c r="BJ40" s="3"/>
      <c r="BK40" s="18"/>
      <c r="BL40" s="2"/>
      <c r="BM40" s="2"/>
      <c r="BN40" s="2"/>
      <c r="BO40" s="2"/>
      <c r="BP40" s="2"/>
      <c r="BQ40" s="3"/>
    </row>
    <row r="41" ht="175.5" customHeight="1" spans="1:69">
      <c r="A41" s="17">
        <v>26</v>
      </c>
      <c r="B41" s="18" t="s">
        <v>387</v>
      </c>
      <c r="C41" s="2"/>
      <c r="D41" s="3"/>
      <c r="E41" s="18" t="s">
        <v>388</v>
      </c>
      <c r="F41" s="2"/>
      <c r="G41" s="2"/>
      <c r="H41" s="2"/>
      <c r="I41" s="3"/>
      <c r="J41" s="18" t="s">
        <v>389</v>
      </c>
      <c r="K41" s="2"/>
      <c r="L41" s="2"/>
      <c r="M41" s="2"/>
      <c r="N41" s="2"/>
      <c r="O41" s="2"/>
      <c r="P41" s="3"/>
      <c r="Q41" s="18" t="s">
        <v>390</v>
      </c>
      <c r="R41" s="2"/>
      <c r="S41" s="2"/>
      <c r="T41" s="2"/>
      <c r="U41" s="2"/>
      <c r="V41" s="2"/>
      <c r="W41" s="3"/>
      <c r="X41" s="18" t="s">
        <v>391</v>
      </c>
      <c r="Y41" s="2"/>
      <c r="Z41" s="2"/>
      <c r="AA41" s="2"/>
      <c r="AB41" s="2"/>
      <c r="AC41" s="2"/>
      <c r="AD41" s="3"/>
      <c r="AE41" s="19" t="s">
        <v>270</v>
      </c>
      <c r="AF41" s="3"/>
      <c r="AG41" s="21" t="s">
        <v>63</v>
      </c>
      <c r="AH41" s="2"/>
      <c r="AI41" s="3"/>
      <c r="AJ41" s="22"/>
      <c r="AK41" s="2"/>
      <c r="AL41" s="3"/>
      <c r="AM41" s="21" t="s">
        <v>271</v>
      </c>
      <c r="AN41" s="2"/>
      <c r="AO41" s="3"/>
      <c r="AP41" s="23">
        <v>46163</v>
      </c>
      <c r="AQ41" s="2"/>
      <c r="AR41" s="3"/>
      <c r="AS41" s="19"/>
      <c r="AT41" s="2"/>
      <c r="AU41" s="3"/>
      <c r="AV41" s="19" t="s">
        <v>63</v>
      </c>
      <c r="AW41" s="2"/>
      <c r="AX41" s="3"/>
      <c r="AY41" s="19"/>
      <c r="AZ41" s="2"/>
      <c r="BA41" s="3"/>
      <c r="BB41" s="19" t="s">
        <v>272</v>
      </c>
      <c r="BC41" s="2"/>
      <c r="BD41" s="3"/>
      <c r="BE41" s="20">
        <v>46241</v>
      </c>
      <c r="BF41" s="2"/>
      <c r="BG41" s="3"/>
      <c r="BH41" s="19"/>
      <c r="BI41" s="2"/>
      <c r="BJ41" s="3"/>
      <c r="BK41" s="18"/>
      <c r="BL41" s="2"/>
      <c r="BM41" s="2"/>
      <c r="BN41" s="2"/>
      <c r="BO41" s="2"/>
      <c r="BP41" s="2"/>
      <c r="BQ41" s="3"/>
    </row>
    <row r="42" ht="207.75" customHeight="1" spans="1:69">
      <c r="A42" s="17">
        <v>27</v>
      </c>
      <c r="B42" s="26" t="s">
        <v>392</v>
      </c>
      <c r="C42" s="2"/>
      <c r="D42" s="3"/>
      <c r="E42" s="26" t="s">
        <v>393</v>
      </c>
      <c r="F42" s="2"/>
      <c r="G42" s="2"/>
      <c r="H42" s="2"/>
      <c r="I42" s="3"/>
      <c r="J42" s="26" t="s">
        <v>305</v>
      </c>
      <c r="K42" s="2"/>
      <c r="L42" s="2"/>
      <c r="M42" s="2"/>
      <c r="N42" s="2"/>
      <c r="O42" s="2"/>
      <c r="P42" s="3"/>
      <c r="Q42" s="26" t="s">
        <v>394</v>
      </c>
      <c r="R42" s="2"/>
      <c r="S42" s="2"/>
      <c r="T42" s="2"/>
      <c r="U42" s="2"/>
      <c r="V42" s="2"/>
      <c r="W42" s="3"/>
      <c r="X42" s="26" t="s">
        <v>395</v>
      </c>
      <c r="Y42" s="2"/>
      <c r="Z42" s="2"/>
      <c r="AA42" s="2"/>
      <c r="AB42" s="2"/>
      <c r="AC42" s="2"/>
      <c r="AD42" s="3"/>
      <c r="AE42" s="27" t="s">
        <v>217</v>
      </c>
      <c r="AF42" s="3"/>
      <c r="AG42" s="19" t="s">
        <v>66</v>
      </c>
      <c r="AH42" s="2"/>
      <c r="AI42" s="3"/>
      <c r="AJ42" s="19"/>
      <c r="AK42" s="2"/>
      <c r="AL42" s="3"/>
      <c r="AM42" s="19"/>
      <c r="AN42" s="2"/>
      <c r="AO42" s="3"/>
      <c r="AP42" s="19"/>
      <c r="AQ42" s="2"/>
      <c r="AR42" s="3"/>
      <c r="AS42" s="19"/>
      <c r="AT42" s="2"/>
      <c r="AU42" s="3"/>
      <c r="AV42" s="19" t="s">
        <v>66</v>
      </c>
      <c r="AW42" s="2"/>
      <c r="AX42" s="3"/>
      <c r="AY42" s="19"/>
      <c r="AZ42" s="2"/>
      <c r="BA42" s="3"/>
      <c r="BB42" s="19"/>
      <c r="BC42" s="2"/>
      <c r="BD42" s="3"/>
      <c r="BE42" s="19"/>
      <c r="BF42" s="2"/>
      <c r="BG42" s="3"/>
      <c r="BH42" s="19"/>
      <c r="BI42" s="2"/>
      <c r="BJ42" s="3"/>
      <c r="BK42" s="18"/>
      <c r="BL42" s="2"/>
      <c r="BM42" s="2"/>
      <c r="BN42" s="2"/>
      <c r="BO42" s="2"/>
      <c r="BP42" s="2"/>
      <c r="BQ42" s="3"/>
    </row>
    <row r="43" ht="409.5" customHeight="1" spans="1:69">
      <c r="A43" s="17">
        <v>28</v>
      </c>
      <c r="B43" s="18" t="s">
        <v>396</v>
      </c>
      <c r="C43" s="2"/>
      <c r="D43" s="3"/>
      <c r="E43" s="18" t="s">
        <v>397</v>
      </c>
      <c r="F43" s="2"/>
      <c r="G43" s="2"/>
      <c r="H43" s="2"/>
      <c r="I43" s="3"/>
      <c r="J43" s="18" t="s">
        <v>305</v>
      </c>
      <c r="K43" s="2"/>
      <c r="L43" s="2"/>
      <c r="M43" s="2"/>
      <c r="N43" s="2"/>
      <c r="O43" s="2"/>
      <c r="P43" s="3"/>
      <c r="Q43" s="18" t="s">
        <v>398</v>
      </c>
      <c r="R43" s="2"/>
      <c r="S43" s="2"/>
      <c r="T43" s="2"/>
      <c r="U43" s="2"/>
      <c r="V43" s="2"/>
      <c r="W43" s="3"/>
      <c r="X43" s="18" t="s">
        <v>399</v>
      </c>
      <c r="Y43" s="2"/>
      <c r="Z43" s="2"/>
      <c r="AA43" s="2"/>
      <c r="AB43" s="2"/>
      <c r="AC43" s="2"/>
      <c r="AD43" s="3"/>
      <c r="AE43" s="19" t="s">
        <v>213</v>
      </c>
      <c r="AF43" s="3"/>
      <c r="AG43" s="21" t="s">
        <v>63</v>
      </c>
      <c r="AH43" s="2"/>
      <c r="AI43" s="3"/>
      <c r="AJ43" s="22"/>
      <c r="AK43" s="2"/>
      <c r="AL43" s="3"/>
      <c r="AM43" s="21" t="s">
        <v>271</v>
      </c>
      <c r="AN43" s="2"/>
      <c r="AO43" s="3"/>
      <c r="AP43" s="23">
        <v>46163</v>
      </c>
      <c r="AQ43" s="2"/>
      <c r="AR43" s="3"/>
      <c r="AS43" s="19"/>
      <c r="AT43" s="2"/>
      <c r="AU43" s="3"/>
      <c r="AV43" s="19" t="s">
        <v>63</v>
      </c>
      <c r="AW43" s="2"/>
      <c r="AX43" s="3"/>
      <c r="AY43" s="19"/>
      <c r="AZ43" s="2"/>
      <c r="BA43" s="3"/>
      <c r="BB43" s="19" t="s">
        <v>272</v>
      </c>
      <c r="BC43" s="2"/>
      <c r="BD43" s="3"/>
      <c r="BE43" s="20">
        <v>46241</v>
      </c>
      <c r="BF43" s="2"/>
      <c r="BG43" s="3"/>
      <c r="BH43" s="19"/>
      <c r="BI43" s="2"/>
      <c r="BJ43" s="3"/>
      <c r="BK43" s="18"/>
      <c r="BL43" s="2"/>
      <c r="BM43" s="2"/>
      <c r="BN43" s="2"/>
      <c r="BO43" s="2"/>
      <c r="BP43" s="2"/>
      <c r="BQ43" s="3"/>
    </row>
    <row r="44" ht="288" customHeight="1" spans="1:69">
      <c r="A44" s="17">
        <v>29</v>
      </c>
      <c r="B44" s="18" t="s">
        <v>400</v>
      </c>
      <c r="C44" s="2"/>
      <c r="D44" s="3"/>
      <c r="E44" s="18" t="s">
        <v>401</v>
      </c>
      <c r="F44" s="2"/>
      <c r="G44" s="2"/>
      <c r="H44" s="2"/>
      <c r="I44" s="3"/>
      <c r="J44" s="18" t="s">
        <v>305</v>
      </c>
      <c r="K44" s="2"/>
      <c r="L44" s="2"/>
      <c r="M44" s="2"/>
      <c r="N44" s="2"/>
      <c r="O44" s="2"/>
      <c r="P44" s="3"/>
      <c r="Q44" s="18" t="s">
        <v>402</v>
      </c>
      <c r="R44" s="2"/>
      <c r="S44" s="2"/>
      <c r="T44" s="2"/>
      <c r="U44" s="2"/>
      <c r="V44" s="2"/>
      <c r="W44" s="3"/>
      <c r="X44" s="18" t="s">
        <v>403</v>
      </c>
      <c r="Y44" s="2"/>
      <c r="Z44" s="2"/>
      <c r="AA44" s="2"/>
      <c r="AB44" s="2"/>
      <c r="AC44" s="2"/>
      <c r="AD44" s="3"/>
      <c r="AE44" s="19" t="s">
        <v>213</v>
      </c>
      <c r="AF44" s="3"/>
      <c r="AG44" s="21" t="s">
        <v>63</v>
      </c>
      <c r="AH44" s="2"/>
      <c r="AI44" s="3"/>
      <c r="AJ44" s="22"/>
      <c r="AK44" s="2"/>
      <c r="AL44" s="3"/>
      <c r="AM44" s="21" t="s">
        <v>271</v>
      </c>
      <c r="AN44" s="2"/>
      <c r="AO44" s="3"/>
      <c r="AP44" s="23">
        <v>46163</v>
      </c>
      <c r="AQ44" s="2"/>
      <c r="AR44" s="3"/>
      <c r="AS44" s="19"/>
      <c r="AT44" s="2"/>
      <c r="AU44" s="3"/>
      <c r="AV44" s="19" t="s">
        <v>63</v>
      </c>
      <c r="AW44" s="2"/>
      <c r="AX44" s="3"/>
      <c r="AY44" s="19"/>
      <c r="AZ44" s="2"/>
      <c r="BA44" s="3"/>
      <c r="BB44" s="19" t="s">
        <v>272</v>
      </c>
      <c r="BC44" s="2"/>
      <c r="BD44" s="3"/>
      <c r="BE44" s="20">
        <v>46241</v>
      </c>
      <c r="BF44" s="2"/>
      <c r="BG44" s="3"/>
      <c r="BH44" s="19"/>
      <c r="BI44" s="2"/>
      <c r="BJ44" s="3"/>
      <c r="BK44" s="18" t="s">
        <v>291</v>
      </c>
      <c r="BL44" s="2"/>
      <c r="BM44" s="2"/>
      <c r="BN44" s="2"/>
      <c r="BO44" s="2"/>
      <c r="BP44" s="2"/>
      <c r="BQ44" s="3"/>
    </row>
    <row r="45" ht="22.5" customHeight="1" spans="1:69">
      <c r="A45" s="16" t="s">
        <v>404</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3"/>
    </row>
    <row r="46" ht="384" customHeight="1" spans="1:69">
      <c r="A46" s="17">
        <v>30</v>
      </c>
      <c r="B46" s="18" t="s">
        <v>405</v>
      </c>
      <c r="C46" s="2"/>
      <c r="D46" s="3"/>
      <c r="E46" s="18" t="s">
        <v>406</v>
      </c>
      <c r="F46" s="2"/>
      <c r="G46" s="2"/>
      <c r="H46" s="2"/>
      <c r="I46" s="3"/>
      <c r="J46" s="18" t="s">
        <v>407</v>
      </c>
      <c r="K46" s="2"/>
      <c r="L46" s="2"/>
      <c r="M46" s="2"/>
      <c r="N46" s="2"/>
      <c r="O46" s="2"/>
      <c r="P46" s="3"/>
      <c r="Q46" s="18" t="s">
        <v>408</v>
      </c>
      <c r="R46" s="2"/>
      <c r="S46" s="2"/>
      <c r="T46" s="2"/>
      <c r="U46" s="2"/>
      <c r="V46" s="2"/>
      <c r="W46" s="3"/>
      <c r="X46" s="18" t="s">
        <v>409</v>
      </c>
      <c r="Y46" s="2"/>
      <c r="Z46" s="2"/>
      <c r="AA46" s="2"/>
      <c r="AB46" s="2"/>
      <c r="AC46" s="2"/>
      <c r="AD46" s="3"/>
      <c r="AE46" s="19" t="s">
        <v>270</v>
      </c>
      <c r="AF46" s="3"/>
      <c r="AG46" s="21" t="s">
        <v>63</v>
      </c>
      <c r="AH46" s="2"/>
      <c r="AI46" s="3"/>
      <c r="AJ46" s="22"/>
      <c r="AK46" s="2"/>
      <c r="AL46" s="3"/>
      <c r="AM46" s="21" t="s">
        <v>271</v>
      </c>
      <c r="AN46" s="2"/>
      <c r="AO46" s="3"/>
      <c r="AP46" s="23">
        <v>46163</v>
      </c>
      <c r="AQ46" s="2"/>
      <c r="AR46" s="3"/>
      <c r="AS46" s="19"/>
      <c r="AT46" s="2"/>
      <c r="AU46" s="3"/>
      <c r="AV46" s="19" t="s">
        <v>63</v>
      </c>
      <c r="AW46" s="2"/>
      <c r="AX46" s="3"/>
      <c r="AY46" s="19"/>
      <c r="AZ46" s="2"/>
      <c r="BA46" s="3"/>
      <c r="BB46" s="19" t="s">
        <v>272</v>
      </c>
      <c r="BC46" s="2"/>
      <c r="BD46" s="3"/>
      <c r="BE46" s="20">
        <v>46241</v>
      </c>
      <c r="BF46" s="2"/>
      <c r="BG46" s="3"/>
      <c r="BH46" s="19"/>
      <c r="BI46" s="2"/>
      <c r="BJ46" s="3"/>
      <c r="BK46" s="18"/>
      <c r="BL46" s="2"/>
      <c r="BM46" s="2"/>
      <c r="BN46" s="2"/>
      <c r="BO46" s="2"/>
      <c r="BP46" s="2"/>
      <c r="BQ46" s="3"/>
    </row>
    <row r="47" ht="336" customHeight="1" spans="1:69">
      <c r="A47" s="17">
        <v>31</v>
      </c>
      <c r="B47" s="18" t="s">
        <v>410</v>
      </c>
      <c r="C47" s="2"/>
      <c r="D47" s="3"/>
      <c r="E47" s="18" t="s">
        <v>411</v>
      </c>
      <c r="F47" s="2"/>
      <c r="G47" s="2"/>
      <c r="H47" s="2"/>
      <c r="I47" s="3"/>
      <c r="J47" s="18" t="s">
        <v>412</v>
      </c>
      <c r="K47" s="2"/>
      <c r="L47" s="2"/>
      <c r="M47" s="2"/>
      <c r="N47" s="2"/>
      <c r="O47" s="2"/>
      <c r="P47" s="3"/>
      <c r="Q47" s="18" t="s">
        <v>413</v>
      </c>
      <c r="R47" s="2"/>
      <c r="S47" s="2"/>
      <c r="T47" s="2"/>
      <c r="U47" s="2"/>
      <c r="V47" s="2"/>
      <c r="W47" s="3"/>
      <c r="X47" s="18" t="s">
        <v>414</v>
      </c>
      <c r="Y47" s="2"/>
      <c r="Z47" s="2"/>
      <c r="AA47" s="2"/>
      <c r="AB47" s="2"/>
      <c r="AC47" s="2"/>
      <c r="AD47" s="3"/>
      <c r="AE47" s="19" t="s">
        <v>270</v>
      </c>
      <c r="AF47" s="3"/>
      <c r="AG47" s="21" t="s">
        <v>63</v>
      </c>
      <c r="AH47" s="2"/>
      <c r="AI47" s="3"/>
      <c r="AJ47" s="22"/>
      <c r="AK47" s="2"/>
      <c r="AL47" s="3"/>
      <c r="AM47" s="21" t="s">
        <v>271</v>
      </c>
      <c r="AN47" s="2"/>
      <c r="AO47" s="3"/>
      <c r="AP47" s="23">
        <v>46163</v>
      </c>
      <c r="AQ47" s="2"/>
      <c r="AR47" s="3"/>
      <c r="AS47" s="19"/>
      <c r="AT47" s="2"/>
      <c r="AU47" s="3"/>
      <c r="AV47" s="19" t="s">
        <v>63</v>
      </c>
      <c r="AW47" s="2"/>
      <c r="AX47" s="3"/>
      <c r="AY47" s="19"/>
      <c r="AZ47" s="2"/>
      <c r="BA47" s="3"/>
      <c r="BB47" s="19" t="s">
        <v>272</v>
      </c>
      <c r="BC47" s="2"/>
      <c r="BD47" s="3"/>
      <c r="BE47" s="20">
        <v>46241</v>
      </c>
      <c r="BF47" s="2"/>
      <c r="BG47" s="3"/>
      <c r="BH47" s="19"/>
      <c r="BI47" s="2"/>
      <c r="BJ47" s="3"/>
      <c r="BK47" s="18"/>
      <c r="BL47" s="2"/>
      <c r="BM47" s="2"/>
      <c r="BN47" s="2"/>
      <c r="BO47" s="2"/>
      <c r="BP47" s="2"/>
      <c r="BQ47" s="3"/>
    </row>
    <row r="48" ht="367.5" customHeight="1" spans="1:69">
      <c r="A48" s="17">
        <v>32</v>
      </c>
      <c r="B48" s="18" t="s">
        <v>415</v>
      </c>
      <c r="C48" s="2"/>
      <c r="D48" s="3"/>
      <c r="E48" s="18" t="s">
        <v>416</v>
      </c>
      <c r="F48" s="2"/>
      <c r="G48" s="2"/>
      <c r="H48" s="2"/>
      <c r="I48" s="3"/>
      <c r="J48" s="18" t="s">
        <v>305</v>
      </c>
      <c r="K48" s="2"/>
      <c r="L48" s="2"/>
      <c r="M48" s="2"/>
      <c r="N48" s="2"/>
      <c r="O48" s="2"/>
      <c r="P48" s="3"/>
      <c r="Q48" s="18" t="s">
        <v>417</v>
      </c>
      <c r="R48" s="2"/>
      <c r="S48" s="2"/>
      <c r="T48" s="2"/>
      <c r="U48" s="2"/>
      <c r="V48" s="2"/>
      <c r="W48" s="3"/>
      <c r="X48" s="18" t="s">
        <v>418</v>
      </c>
      <c r="Y48" s="2"/>
      <c r="Z48" s="2"/>
      <c r="AA48" s="2"/>
      <c r="AB48" s="2"/>
      <c r="AC48" s="2"/>
      <c r="AD48" s="3"/>
      <c r="AE48" s="19" t="s">
        <v>270</v>
      </c>
      <c r="AF48" s="3"/>
      <c r="AG48" s="21" t="s">
        <v>63</v>
      </c>
      <c r="AH48" s="2"/>
      <c r="AI48" s="3"/>
      <c r="AJ48" s="22"/>
      <c r="AK48" s="2"/>
      <c r="AL48" s="3"/>
      <c r="AM48" s="21" t="s">
        <v>271</v>
      </c>
      <c r="AN48" s="2"/>
      <c r="AO48" s="3"/>
      <c r="AP48" s="23">
        <v>46163</v>
      </c>
      <c r="AQ48" s="2"/>
      <c r="AR48" s="3"/>
      <c r="AS48" s="19"/>
      <c r="AT48" s="2"/>
      <c r="AU48" s="3"/>
      <c r="AV48" s="19" t="s">
        <v>63</v>
      </c>
      <c r="AW48" s="2"/>
      <c r="AX48" s="3"/>
      <c r="AY48" s="19"/>
      <c r="AZ48" s="2"/>
      <c r="BA48" s="3"/>
      <c r="BB48" s="19" t="s">
        <v>272</v>
      </c>
      <c r="BC48" s="2"/>
      <c r="BD48" s="3"/>
      <c r="BE48" s="20">
        <v>46241</v>
      </c>
      <c r="BF48" s="2"/>
      <c r="BG48" s="3"/>
      <c r="BH48" s="19"/>
      <c r="BI48" s="2"/>
      <c r="BJ48" s="3"/>
      <c r="BK48" s="18"/>
      <c r="BL48" s="2"/>
      <c r="BM48" s="2"/>
      <c r="BN48" s="2"/>
      <c r="BO48" s="2"/>
      <c r="BP48" s="2"/>
      <c r="BQ48" s="3"/>
    </row>
    <row r="49" ht="319.5" customHeight="1" spans="1:69">
      <c r="A49" s="17">
        <v>33</v>
      </c>
      <c r="B49" s="18" t="s">
        <v>419</v>
      </c>
      <c r="C49" s="2"/>
      <c r="D49" s="3"/>
      <c r="E49" s="18" t="s">
        <v>420</v>
      </c>
      <c r="F49" s="2"/>
      <c r="G49" s="2"/>
      <c r="H49" s="2"/>
      <c r="I49" s="3"/>
      <c r="J49" s="18" t="s">
        <v>421</v>
      </c>
      <c r="K49" s="2"/>
      <c r="L49" s="2"/>
      <c r="M49" s="2"/>
      <c r="N49" s="2"/>
      <c r="O49" s="2"/>
      <c r="P49" s="3"/>
      <c r="Q49" s="18" t="s">
        <v>422</v>
      </c>
      <c r="R49" s="2"/>
      <c r="S49" s="2"/>
      <c r="T49" s="2"/>
      <c r="U49" s="2"/>
      <c r="V49" s="2"/>
      <c r="W49" s="3"/>
      <c r="X49" s="18" t="s">
        <v>423</v>
      </c>
      <c r="Y49" s="2"/>
      <c r="Z49" s="2"/>
      <c r="AA49" s="2"/>
      <c r="AB49" s="2"/>
      <c r="AC49" s="2"/>
      <c r="AD49" s="3"/>
      <c r="AE49" s="19" t="s">
        <v>270</v>
      </c>
      <c r="AF49" s="3"/>
      <c r="AG49" s="21" t="s">
        <v>63</v>
      </c>
      <c r="AH49" s="2"/>
      <c r="AI49" s="3"/>
      <c r="AJ49" s="22"/>
      <c r="AK49" s="2"/>
      <c r="AL49" s="3"/>
      <c r="AM49" s="21" t="s">
        <v>271</v>
      </c>
      <c r="AN49" s="2"/>
      <c r="AO49" s="3"/>
      <c r="AP49" s="23">
        <v>46163</v>
      </c>
      <c r="AQ49" s="2"/>
      <c r="AR49" s="3"/>
      <c r="AS49" s="19"/>
      <c r="AT49" s="2"/>
      <c r="AU49" s="3"/>
      <c r="AV49" s="19" t="s">
        <v>63</v>
      </c>
      <c r="AW49" s="2"/>
      <c r="AX49" s="3"/>
      <c r="AY49" s="19"/>
      <c r="AZ49" s="2"/>
      <c r="BA49" s="3"/>
      <c r="BB49" s="19" t="s">
        <v>272</v>
      </c>
      <c r="BC49" s="2"/>
      <c r="BD49" s="3"/>
      <c r="BE49" s="20">
        <v>46241</v>
      </c>
      <c r="BF49" s="2"/>
      <c r="BG49" s="3"/>
      <c r="BH49" s="19"/>
      <c r="BI49" s="2"/>
      <c r="BJ49" s="3"/>
      <c r="BK49" s="18"/>
      <c r="BL49" s="2"/>
      <c r="BM49" s="2"/>
      <c r="BN49" s="2"/>
      <c r="BO49" s="2"/>
      <c r="BP49" s="2"/>
      <c r="BQ49" s="3"/>
    </row>
    <row r="50" ht="240" customHeight="1" spans="1:69">
      <c r="A50" s="17">
        <v>34</v>
      </c>
      <c r="B50" s="18" t="s">
        <v>424</v>
      </c>
      <c r="C50" s="2"/>
      <c r="D50" s="3"/>
      <c r="E50" s="18" t="s">
        <v>425</v>
      </c>
      <c r="F50" s="2"/>
      <c r="G50" s="2"/>
      <c r="H50" s="2"/>
      <c r="I50" s="3"/>
      <c r="J50" s="18" t="s">
        <v>421</v>
      </c>
      <c r="K50" s="2"/>
      <c r="L50" s="2"/>
      <c r="M50" s="2"/>
      <c r="N50" s="2"/>
      <c r="O50" s="2"/>
      <c r="P50" s="3"/>
      <c r="Q50" s="18" t="s">
        <v>426</v>
      </c>
      <c r="R50" s="2"/>
      <c r="S50" s="2"/>
      <c r="T50" s="2"/>
      <c r="U50" s="2"/>
      <c r="V50" s="2"/>
      <c r="W50" s="3"/>
      <c r="X50" s="18" t="s">
        <v>427</v>
      </c>
      <c r="Y50" s="2"/>
      <c r="Z50" s="2"/>
      <c r="AA50" s="2"/>
      <c r="AB50" s="2"/>
      <c r="AC50" s="2"/>
      <c r="AD50" s="3"/>
      <c r="AE50" s="19" t="s">
        <v>270</v>
      </c>
      <c r="AF50" s="3"/>
      <c r="AG50" s="21" t="s">
        <v>63</v>
      </c>
      <c r="AH50" s="2"/>
      <c r="AI50" s="3"/>
      <c r="AJ50" s="22"/>
      <c r="AK50" s="2"/>
      <c r="AL50" s="3"/>
      <c r="AM50" s="21" t="s">
        <v>271</v>
      </c>
      <c r="AN50" s="2"/>
      <c r="AO50" s="3"/>
      <c r="AP50" s="23">
        <v>46163</v>
      </c>
      <c r="AQ50" s="2"/>
      <c r="AR50" s="3"/>
      <c r="AS50" s="19"/>
      <c r="AT50" s="2"/>
      <c r="AU50" s="3"/>
      <c r="AV50" s="19" t="s">
        <v>63</v>
      </c>
      <c r="AW50" s="2"/>
      <c r="AX50" s="3"/>
      <c r="AY50" s="19"/>
      <c r="AZ50" s="2"/>
      <c r="BA50" s="3"/>
      <c r="BB50" s="19" t="s">
        <v>272</v>
      </c>
      <c r="BC50" s="2"/>
      <c r="BD50" s="3"/>
      <c r="BE50" s="20">
        <v>46241</v>
      </c>
      <c r="BF50" s="2"/>
      <c r="BG50" s="3"/>
      <c r="BH50" s="19"/>
      <c r="BI50" s="2"/>
      <c r="BJ50" s="3"/>
      <c r="BK50" s="18"/>
      <c r="BL50" s="2"/>
      <c r="BM50" s="2"/>
      <c r="BN50" s="2"/>
      <c r="BO50" s="2"/>
      <c r="BP50" s="2"/>
      <c r="BQ50" s="3"/>
    </row>
    <row r="51" ht="319.5" customHeight="1" spans="1:69">
      <c r="A51" s="17">
        <v>35</v>
      </c>
      <c r="B51" s="18" t="s">
        <v>428</v>
      </c>
      <c r="C51" s="2"/>
      <c r="D51" s="3"/>
      <c r="E51" s="18" t="s">
        <v>429</v>
      </c>
      <c r="F51" s="2"/>
      <c r="G51" s="2"/>
      <c r="H51" s="2"/>
      <c r="I51" s="3"/>
      <c r="J51" s="18" t="s">
        <v>305</v>
      </c>
      <c r="K51" s="2"/>
      <c r="L51" s="2"/>
      <c r="M51" s="2"/>
      <c r="N51" s="2"/>
      <c r="O51" s="2"/>
      <c r="P51" s="3"/>
      <c r="Q51" s="18" t="s">
        <v>430</v>
      </c>
      <c r="R51" s="2"/>
      <c r="S51" s="2"/>
      <c r="T51" s="2"/>
      <c r="U51" s="2"/>
      <c r="V51" s="2"/>
      <c r="W51" s="3"/>
      <c r="X51" s="18" t="s">
        <v>431</v>
      </c>
      <c r="Y51" s="2"/>
      <c r="Z51" s="2"/>
      <c r="AA51" s="2"/>
      <c r="AB51" s="2"/>
      <c r="AC51" s="2"/>
      <c r="AD51" s="3"/>
      <c r="AE51" s="19" t="s">
        <v>270</v>
      </c>
      <c r="AF51" s="3"/>
      <c r="AG51" s="21" t="s">
        <v>63</v>
      </c>
      <c r="AH51" s="2"/>
      <c r="AI51" s="3"/>
      <c r="AJ51" s="22"/>
      <c r="AK51" s="2"/>
      <c r="AL51" s="3"/>
      <c r="AM51" s="21" t="s">
        <v>271</v>
      </c>
      <c r="AN51" s="2"/>
      <c r="AO51" s="3"/>
      <c r="AP51" s="23">
        <v>46163</v>
      </c>
      <c r="AQ51" s="2"/>
      <c r="AR51" s="3"/>
      <c r="AS51" s="19"/>
      <c r="AT51" s="2"/>
      <c r="AU51" s="3"/>
      <c r="AV51" s="19" t="s">
        <v>63</v>
      </c>
      <c r="AW51" s="2"/>
      <c r="AX51" s="3"/>
      <c r="AY51" s="19"/>
      <c r="AZ51" s="2"/>
      <c r="BA51" s="3"/>
      <c r="BB51" s="19" t="s">
        <v>272</v>
      </c>
      <c r="BC51" s="2"/>
      <c r="BD51" s="3"/>
      <c r="BE51" s="20">
        <v>46241</v>
      </c>
      <c r="BF51" s="2"/>
      <c r="BG51" s="3"/>
      <c r="BH51" s="19"/>
      <c r="BI51" s="2"/>
      <c r="BJ51" s="3"/>
      <c r="BK51" s="18"/>
      <c r="BL51" s="2"/>
      <c r="BM51" s="2"/>
      <c r="BN51" s="2"/>
      <c r="BO51" s="2"/>
      <c r="BP51" s="2"/>
      <c r="BQ51" s="3"/>
    </row>
    <row r="52" ht="409.5" customHeight="1" spans="1:69">
      <c r="A52" s="17">
        <v>36</v>
      </c>
      <c r="B52" s="18" t="s">
        <v>432</v>
      </c>
      <c r="C52" s="2"/>
      <c r="D52" s="3"/>
      <c r="E52" s="18" t="s">
        <v>433</v>
      </c>
      <c r="F52" s="2"/>
      <c r="G52" s="2"/>
      <c r="H52" s="2"/>
      <c r="I52" s="3"/>
      <c r="J52" s="18" t="s">
        <v>434</v>
      </c>
      <c r="K52" s="2"/>
      <c r="L52" s="2"/>
      <c r="M52" s="2"/>
      <c r="N52" s="2"/>
      <c r="O52" s="2"/>
      <c r="P52" s="3"/>
      <c r="Q52" s="18" t="s">
        <v>435</v>
      </c>
      <c r="R52" s="2"/>
      <c r="S52" s="2"/>
      <c r="T52" s="2"/>
      <c r="U52" s="2"/>
      <c r="V52" s="2"/>
      <c r="W52" s="3"/>
      <c r="X52" s="18" t="s">
        <v>436</v>
      </c>
      <c r="Y52" s="2"/>
      <c r="Z52" s="2"/>
      <c r="AA52" s="2"/>
      <c r="AB52" s="2"/>
      <c r="AC52" s="2"/>
      <c r="AD52" s="3"/>
      <c r="AE52" s="19" t="s">
        <v>270</v>
      </c>
      <c r="AF52" s="3"/>
      <c r="AG52" s="21" t="s">
        <v>63</v>
      </c>
      <c r="AH52" s="2"/>
      <c r="AI52" s="3"/>
      <c r="AJ52" s="22"/>
      <c r="AK52" s="2"/>
      <c r="AL52" s="3"/>
      <c r="AM52" s="21" t="s">
        <v>271</v>
      </c>
      <c r="AN52" s="2"/>
      <c r="AO52" s="3"/>
      <c r="AP52" s="23">
        <v>46163</v>
      </c>
      <c r="AQ52" s="2"/>
      <c r="AR52" s="3"/>
      <c r="AS52" s="19"/>
      <c r="AT52" s="2"/>
      <c r="AU52" s="3"/>
      <c r="AV52" s="19" t="s">
        <v>63</v>
      </c>
      <c r="AW52" s="2"/>
      <c r="AX52" s="3"/>
      <c r="AY52" s="19"/>
      <c r="AZ52" s="2"/>
      <c r="BA52" s="3"/>
      <c r="BB52" s="19" t="s">
        <v>272</v>
      </c>
      <c r="BC52" s="2"/>
      <c r="BD52" s="3"/>
      <c r="BE52" s="20">
        <v>46241</v>
      </c>
      <c r="BF52" s="2"/>
      <c r="BG52" s="3"/>
      <c r="BH52" s="19"/>
      <c r="BI52" s="2"/>
      <c r="BJ52" s="3"/>
      <c r="BK52" s="18" t="s">
        <v>437</v>
      </c>
      <c r="BL52" s="2"/>
      <c r="BM52" s="2"/>
      <c r="BN52" s="2"/>
      <c r="BO52" s="2"/>
      <c r="BP52" s="2"/>
      <c r="BQ52" s="3"/>
    </row>
    <row r="53" ht="336" customHeight="1" spans="1:69">
      <c r="A53" s="17">
        <v>37</v>
      </c>
      <c r="B53" s="18" t="s">
        <v>438</v>
      </c>
      <c r="C53" s="2"/>
      <c r="D53" s="3"/>
      <c r="E53" s="18" t="s">
        <v>439</v>
      </c>
      <c r="F53" s="2"/>
      <c r="G53" s="2"/>
      <c r="H53" s="2"/>
      <c r="I53" s="3"/>
      <c r="J53" s="18" t="s">
        <v>305</v>
      </c>
      <c r="K53" s="2"/>
      <c r="L53" s="2"/>
      <c r="M53" s="2"/>
      <c r="N53" s="2"/>
      <c r="O53" s="2"/>
      <c r="P53" s="3"/>
      <c r="Q53" s="18" t="s">
        <v>440</v>
      </c>
      <c r="R53" s="2"/>
      <c r="S53" s="2"/>
      <c r="T53" s="2"/>
      <c r="U53" s="2"/>
      <c r="V53" s="2"/>
      <c r="W53" s="3"/>
      <c r="X53" s="18" t="s">
        <v>441</v>
      </c>
      <c r="Y53" s="2"/>
      <c r="Z53" s="2"/>
      <c r="AA53" s="2"/>
      <c r="AB53" s="2"/>
      <c r="AC53" s="2"/>
      <c r="AD53" s="3"/>
      <c r="AE53" s="19" t="s">
        <v>270</v>
      </c>
      <c r="AF53" s="3"/>
      <c r="AG53" s="21" t="s">
        <v>63</v>
      </c>
      <c r="AH53" s="2"/>
      <c r="AI53" s="3"/>
      <c r="AJ53" s="22"/>
      <c r="AK53" s="2"/>
      <c r="AL53" s="3"/>
      <c r="AM53" s="21" t="s">
        <v>271</v>
      </c>
      <c r="AN53" s="2"/>
      <c r="AO53" s="3"/>
      <c r="AP53" s="23">
        <v>46163</v>
      </c>
      <c r="AQ53" s="2"/>
      <c r="AR53" s="3"/>
      <c r="AS53" s="19"/>
      <c r="AT53" s="2"/>
      <c r="AU53" s="3"/>
      <c r="AV53" s="19" t="s">
        <v>63</v>
      </c>
      <c r="AW53" s="2"/>
      <c r="AX53" s="3"/>
      <c r="AY53" s="19"/>
      <c r="AZ53" s="2"/>
      <c r="BA53" s="3"/>
      <c r="BB53" s="19" t="s">
        <v>272</v>
      </c>
      <c r="BC53" s="2"/>
      <c r="BD53" s="3"/>
      <c r="BE53" s="20">
        <v>46241</v>
      </c>
      <c r="BF53" s="2"/>
      <c r="BG53" s="3"/>
      <c r="BH53" s="19"/>
      <c r="BI53" s="2"/>
      <c r="BJ53" s="3"/>
      <c r="BK53" s="18"/>
      <c r="BL53" s="2"/>
      <c r="BM53" s="2"/>
      <c r="BN53" s="2"/>
      <c r="BO53" s="2"/>
      <c r="BP53" s="2"/>
      <c r="BQ53" s="3"/>
    </row>
    <row r="54" ht="336" customHeight="1" spans="1:69">
      <c r="A54" s="17">
        <v>38</v>
      </c>
      <c r="B54" s="18" t="s">
        <v>442</v>
      </c>
      <c r="C54" s="2"/>
      <c r="D54" s="3"/>
      <c r="E54" s="18" t="s">
        <v>443</v>
      </c>
      <c r="F54" s="2"/>
      <c r="G54" s="2"/>
      <c r="H54" s="2"/>
      <c r="I54" s="3"/>
      <c r="J54" s="18" t="s">
        <v>305</v>
      </c>
      <c r="K54" s="2"/>
      <c r="L54" s="2"/>
      <c r="M54" s="2"/>
      <c r="N54" s="2"/>
      <c r="O54" s="2"/>
      <c r="P54" s="3"/>
      <c r="Q54" s="18" t="s">
        <v>444</v>
      </c>
      <c r="R54" s="2"/>
      <c r="S54" s="2"/>
      <c r="T54" s="2"/>
      <c r="U54" s="2"/>
      <c r="V54" s="2"/>
      <c r="W54" s="3"/>
      <c r="X54" s="18" t="s">
        <v>445</v>
      </c>
      <c r="Y54" s="2"/>
      <c r="Z54" s="2"/>
      <c r="AA54" s="2"/>
      <c r="AB54" s="2"/>
      <c r="AC54" s="2"/>
      <c r="AD54" s="3"/>
      <c r="AE54" s="19" t="s">
        <v>213</v>
      </c>
      <c r="AF54" s="3"/>
      <c r="AG54" s="21" t="s">
        <v>63</v>
      </c>
      <c r="AH54" s="2"/>
      <c r="AI54" s="3"/>
      <c r="AJ54" s="22"/>
      <c r="AK54" s="2"/>
      <c r="AL54" s="3"/>
      <c r="AM54" s="21" t="s">
        <v>271</v>
      </c>
      <c r="AN54" s="2"/>
      <c r="AO54" s="3"/>
      <c r="AP54" s="23">
        <v>46163</v>
      </c>
      <c r="AQ54" s="2"/>
      <c r="AR54" s="3"/>
      <c r="AS54" s="19"/>
      <c r="AT54" s="2"/>
      <c r="AU54" s="3"/>
      <c r="AV54" s="19" t="s">
        <v>63</v>
      </c>
      <c r="AW54" s="2"/>
      <c r="AX54" s="3"/>
      <c r="AY54" s="19"/>
      <c r="AZ54" s="2"/>
      <c r="BA54" s="3"/>
      <c r="BB54" s="19" t="s">
        <v>272</v>
      </c>
      <c r="BC54" s="2"/>
      <c r="BD54" s="3"/>
      <c r="BE54" s="20">
        <v>46241</v>
      </c>
      <c r="BF54" s="2"/>
      <c r="BG54" s="3"/>
      <c r="BH54" s="19"/>
      <c r="BI54" s="2"/>
      <c r="BJ54" s="3"/>
      <c r="BK54" s="18"/>
      <c r="BL54" s="2"/>
      <c r="BM54" s="2"/>
      <c r="BN54" s="2"/>
      <c r="BO54" s="2"/>
      <c r="BP54" s="2"/>
      <c r="BQ54" s="3"/>
    </row>
    <row r="55" ht="207.75" customHeight="1" spans="1:69">
      <c r="A55" s="17">
        <v>39</v>
      </c>
      <c r="B55" s="18" t="s">
        <v>446</v>
      </c>
      <c r="C55" s="2"/>
      <c r="D55" s="3"/>
      <c r="E55" s="18" t="s">
        <v>447</v>
      </c>
      <c r="F55" s="2"/>
      <c r="G55" s="2"/>
      <c r="H55" s="2"/>
      <c r="I55" s="3"/>
      <c r="J55" s="18" t="s">
        <v>305</v>
      </c>
      <c r="K55" s="2"/>
      <c r="L55" s="2"/>
      <c r="M55" s="2"/>
      <c r="N55" s="2"/>
      <c r="O55" s="2"/>
      <c r="P55" s="3"/>
      <c r="Q55" s="18" t="s">
        <v>448</v>
      </c>
      <c r="R55" s="2"/>
      <c r="S55" s="2"/>
      <c r="T55" s="2"/>
      <c r="U55" s="2"/>
      <c r="V55" s="2"/>
      <c r="W55" s="3"/>
      <c r="X55" s="18" t="s">
        <v>449</v>
      </c>
      <c r="Y55" s="2"/>
      <c r="Z55" s="2"/>
      <c r="AA55" s="2"/>
      <c r="AB55" s="2"/>
      <c r="AC55" s="2"/>
      <c r="AD55" s="3"/>
      <c r="AE55" s="19" t="s">
        <v>213</v>
      </c>
      <c r="AF55" s="3"/>
      <c r="AG55" s="21" t="s">
        <v>63</v>
      </c>
      <c r="AH55" s="2"/>
      <c r="AI55" s="3"/>
      <c r="AJ55" s="22"/>
      <c r="AK55" s="2"/>
      <c r="AL55" s="3"/>
      <c r="AM55" s="21" t="s">
        <v>271</v>
      </c>
      <c r="AN55" s="2"/>
      <c r="AO55" s="3"/>
      <c r="AP55" s="23">
        <v>46163</v>
      </c>
      <c r="AQ55" s="2"/>
      <c r="AR55" s="3"/>
      <c r="AS55" s="19"/>
      <c r="AT55" s="2"/>
      <c r="AU55" s="3"/>
      <c r="AV55" s="19" t="s">
        <v>63</v>
      </c>
      <c r="AW55" s="2"/>
      <c r="AX55" s="3"/>
      <c r="AY55" s="19"/>
      <c r="AZ55" s="2"/>
      <c r="BA55" s="3"/>
      <c r="BB55" s="19" t="s">
        <v>272</v>
      </c>
      <c r="BC55" s="2"/>
      <c r="BD55" s="3"/>
      <c r="BE55" s="20">
        <v>46241</v>
      </c>
      <c r="BF55" s="2"/>
      <c r="BG55" s="3"/>
      <c r="BH55" s="19"/>
      <c r="BI55" s="2"/>
      <c r="BJ55" s="3"/>
      <c r="BK55" s="18"/>
      <c r="BL55" s="2"/>
      <c r="BM55" s="2"/>
      <c r="BN55" s="2"/>
      <c r="BO55" s="2"/>
      <c r="BP55" s="2"/>
      <c r="BQ55" s="3"/>
    </row>
    <row r="56" ht="367.5" customHeight="1" spans="1:69">
      <c r="A56" s="17">
        <v>40</v>
      </c>
      <c r="B56" s="18" t="s">
        <v>450</v>
      </c>
      <c r="C56" s="2"/>
      <c r="D56" s="3"/>
      <c r="E56" s="18" t="s">
        <v>451</v>
      </c>
      <c r="F56" s="2"/>
      <c r="G56" s="2"/>
      <c r="H56" s="2"/>
      <c r="I56" s="3"/>
      <c r="J56" s="18" t="s">
        <v>452</v>
      </c>
      <c r="K56" s="2"/>
      <c r="L56" s="2"/>
      <c r="M56" s="2"/>
      <c r="N56" s="2"/>
      <c r="O56" s="2"/>
      <c r="P56" s="3"/>
      <c r="Q56" s="18" t="s">
        <v>453</v>
      </c>
      <c r="R56" s="2"/>
      <c r="S56" s="2"/>
      <c r="T56" s="2"/>
      <c r="U56" s="2"/>
      <c r="V56" s="2"/>
      <c r="W56" s="3"/>
      <c r="X56" s="18" t="s">
        <v>454</v>
      </c>
      <c r="Y56" s="2"/>
      <c r="Z56" s="2"/>
      <c r="AA56" s="2"/>
      <c r="AB56" s="2"/>
      <c r="AC56" s="2"/>
      <c r="AD56" s="3"/>
      <c r="AE56" s="19" t="s">
        <v>270</v>
      </c>
      <c r="AF56" s="3"/>
      <c r="AG56" s="21" t="s">
        <v>63</v>
      </c>
      <c r="AH56" s="2"/>
      <c r="AI56" s="3"/>
      <c r="AJ56" s="22"/>
      <c r="AK56" s="2"/>
      <c r="AL56" s="3"/>
      <c r="AM56" s="21" t="s">
        <v>271</v>
      </c>
      <c r="AN56" s="2"/>
      <c r="AO56" s="3"/>
      <c r="AP56" s="23">
        <v>46163</v>
      </c>
      <c r="AQ56" s="2"/>
      <c r="AR56" s="3"/>
      <c r="AS56" s="19"/>
      <c r="AT56" s="2"/>
      <c r="AU56" s="3"/>
      <c r="AV56" s="19" t="s">
        <v>63</v>
      </c>
      <c r="AW56" s="2"/>
      <c r="AX56" s="3"/>
      <c r="AY56" s="19"/>
      <c r="AZ56" s="2"/>
      <c r="BA56" s="3"/>
      <c r="BB56" s="19" t="s">
        <v>272</v>
      </c>
      <c r="BC56" s="2"/>
      <c r="BD56" s="3"/>
      <c r="BE56" s="20">
        <v>46241</v>
      </c>
      <c r="BF56" s="2"/>
      <c r="BG56" s="3"/>
      <c r="BH56" s="19"/>
      <c r="BI56" s="2"/>
      <c r="BJ56" s="3"/>
      <c r="BK56" s="18"/>
      <c r="BL56" s="2"/>
      <c r="BM56" s="2"/>
      <c r="BN56" s="2"/>
      <c r="BO56" s="2"/>
      <c r="BP56" s="2"/>
      <c r="BQ56" s="3"/>
    </row>
    <row r="57" ht="409.5" customHeight="1" spans="1:69">
      <c r="A57" s="17">
        <v>41</v>
      </c>
      <c r="B57" s="18" t="s">
        <v>455</v>
      </c>
      <c r="C57" s="2"/>
      <c r="D57" s="3"/>
      <c r="E57" s="18" t="s">
        <v>456</v>
      </c>
      <c r="F57" s="2"/>
      <c r="G57" s="2"/>
      <c r="H57" s="2"/>
      <c r="I57" s="3"/>
      <c r="J57" s="18" t="s">
        <v>452</v>
      </c>
      <c r="K57" s="2"/>
      <c r="L57" s="2"/>
      <c r="M57" s="2"/>
      <c r="N57" s="2"/>
      <c r="O57" s="2"/>
      <c r="P57" s="3"/>
      <c r="Q57" s="18" t="s">
        <v>457</v>
      </c>
      <c r="R57" s="2"/>
      <c r="S57" s="2"/>
      <c r="T57" s="2"/>
      <c r="U57" s="2"/>
      <c r="V57" s="2"/>
      <c r="W57" s="3"/>
      <c r="X57" s="18" t="s">
        <v>458</v>
      </c>
      <c r="Y57" s="2"/>
      <c r="Z57" s="2"/>
      <c r="AA57" s="2"/>
      <c r="AB57" s="2"/>
      <c r="AC57" s="2"/>
      <c r="AD57" s="3"/>
      <c r="AE57" s="19" t="s">
        <v>270</v>
      </c>
      <c r="AF57" s="3"/>
      <c r="AG57" s="21" t="s">
        <v>63</v>
      </c>
      <c r="AH57" s="2"/>
      <c r="AI57" s="3"/>
      <c r="AJ57" s="22"/>
      <c r="AK57" s="2"/>
      <c r="AL57" s="3"/>
      <c r="AM57" s="21" t="s">
        <v>271</v>
      </c>
      <c r="AN57" s="2"/>
      <c r="AO57" s="3"/>
      <c r="AP57" s="23">
        <v>46163</v>
      </c>
      <c r="AQ57" s="2"/>
      <c r="AR57" s="3"/>
      <c r="AS57" s="19"/>
      <c r="AT57" s="2"/>
      <c r="AU57" s="3"/>
      <c r="AV57" s="19" t="s">
        <v>63</v>
      </c>
      <c r="AW57" s="2"/>
      <c r="AX57" s="3"/>
      <c r="AY57" s="19"/>
      <c r="AZ57" s="2"/>
      <c r="BA57" s="3"/>
      <c r="BB57" s="19" t="s">
        <v>272</v>
      </c>
      <c r="BC57" s="2"/>
      <c r="BD57" s="3"/>
      <c r="BE57" s="20">
        <v>46241</v>
      </c>
      <c r="BF57" s="2"/>
      <c r="BG57" s="3"/>
      <c r="BH57" s="19"/>
      <c r="BI57" s="2"/>
      <c r="BJ57" s="3"/>
      <c r="BK57" s="18"/>
      <c r="BL57" s="2"/>
      <c r="BM57" s="2"/>
      <c r="BN57" s="2"/>
      <c r="BO57" s="2"/>
      <c r="BP57" s="2"/>
      <c r="BQ57" s="3"/>
    </row>
    <row r="58" ht="223.5" customHeight="1" spans="1:69">
      <c r="A58" s="17">
        <v>42</v>
      </c>
      <c r="B58" s="18" t="s">
        <v>459</v>
      </c>
      <c r="C58" s="2"/>
      <c r="D58" s="3"/>
      <c r="E58" s="18" t="s">
        <v>460</v>
      </c>
      <c r="F58" s="2"/>
      <c r="G58" s="2"/>
      <c r="H58" s="2"/>
      <c r="I58" s="3"/>
      <c r="J58" s="18" t="s">
        <v>305</v>
      </c>
      <c r="K58" s="2"/>
      <c r="L58" s="2"/>
      <c r="M58" s="2"/>
      <c r="N58" s="2"/>
      <c r="O58" s="2"/>
      <c r="P58" s="3"/>
      <c r="Q58" s="18" t="s">
        <v>461</v>
      </c>
      <c r="R58" s="2"/>
      <c r="S58" s="2"/>
      <c r="T58" s="2"/>
      <c r="U58" s="2"/>
      <c r="V58" s="2"/>
      <c r="W58" s="3"/>
      <c r="X58" s="18" t="s">
        <v>462</v>
      </c>
      <c r="Y58" s="2"/>
      <c r="Z58" s="2"/>
      <c r="AA58" s="2"/>
      <c r="AB58" s="2"/>
      <c r="AC58" s="2"/>
      <c r="AD58" s="3"/>
      <c r="AE58" s="19" t="s">
        <v>213</v>
      </c>
      <c r="AF58" s="3"/>
      <c r="AG58" s="21" t="s">
        <v>63</v>
      </c>
      <c r="AH58" s="2"/>
      <c r="AI58" s="3"/>
      <c r="AJ58" s="22"/>
      <c r="AK58" s="2"/>
      <c r="AL58" s="3"/>
      <c r="AM58" s="21" t="s">
        <v>271</v>
      </c>
      <c r="AN58" s="2"/>
      <c r="AO58" s="3"/>
      <c r="AP58" s="23">
        <v>46163</v>
      </c>
      <c r="AQ58" s="2"/>
      <c r="AR58" s="3"/>
      <c r="AS58" s="19"/>
      <c r="AT58" s="2"/>
      <c r="AU58" s="3"/>
      <c r="AV58" s="19" t="s">
        <v>63</v>
      </c>
      <c r="AW58" s="2"/>
      <c r="AX58" s="3"/>
      <c r="AY58" s="19"/>
      <c r="AZ58" s="2"/>
      <c r="BA58" s="3"/>
      <c r="BB58" s="19" t="s">
        <v>272</v>
      </c>
      <c r="BC58" s="2"/>
      <c r="BD58" s="3"/>
      <c r="BE58" s="20">
        <v>46241</v>
      </c>
      <c r="BF58" s="2"/>
      <c r="BG58" s="3"/>
      <c r="BH58" s="19"/>
      <c r="BI58" s="2"/>
      <c r="BJ58" s="3"/>
      <c r="BK58" s="18"/>
      <c r="BL58" s="2"/>
      <c r="BM58" s="2"/>
      <c r="BN58" s="2"/>
      <c r="BO58" s="2"/>
      <c r="BP58" s="2"/>
      <c r="BQ58" s="3"/>
    </row>
    <row r="59" ht="192" customHeight="1" spans="1:69">
      <c r="A59" s="17">
        <v>43</v>
      </c>
      <c r="B59" s="18" t="s">
        <v>463</v>
      </c>
      <c r="C59" s="2"/>
      <c r="D59" s="3"/>
      <c r="E59" s="18" t="s">
        <v>464</v>
      </c>
      <c r="F59" s="2"/>
      <c r="G59" s="2"/>
      <c r="H59" s="2"/>
      <c r="I59" s="3"/>
      <c r="J59" s="18" t="s">
        <v>305</v>
      </c>
      <c r="K59" s="2"/>
      <c r="L59" s="2"/>
      <c r="M59" s="2"/>
      <c r="N59" s="2"/>
      <c r="O59" s="2"/>
      <c r="P59" s="3"/>
      <c r="Q59" s="18" t="s">
        <v>465</v>
      </c>
      <c r="R59" s="2"/>
      <c r="S59" s="2"/>
      <c r="T59" s="2"/>
      <c r="U59" s="2"/>
      <c r="V59" s="2"/>
      <c r="W59" s="3"/>
      <c r="X59" s="18" t="s">
        <v>466</v>
      </c>
      <c r="Y59" s="2"/>
      <c r="Z59" s="2"/>
      <c r="AA59" s="2"/>
      <c r="AB59" s="2"/>
      <c r="AC59" s="2"/>
      <c r="AD59" s="3"/>
      <c r="AE59" s="19" t="s">
        <v>213</v>
      </c>
      <c r="AF59" s="3"/>
      <c r="AG59" s="21" t="s">
        <v>63</v>
      </c>
      <c r="AH59" s="2"/>
      <c r="AI59" s="3"/>
      <c r="AJ59" s="22"/>
      <c r="AK59" s="2"/>
      <c r="AL59" s="3"/>
      <c r="AM59" s="21" t="s">
        <v>271</v>
      </c>
      <c r="AN59" s="2"/>
      <c r="AO59" s="3"/>
      <c r="AP59" s="23">
        <v>46163</v>
      </c>
      <c r="AQ59" s="2"/>
      <c r="AR59" s="3"/>
      <c r="AS59" s="19"/>
      <c r="AT59" s="2"/>
      <c r="AU59" s="3"/>
      <c r="AV59" s="19" t="s">
        <v>63</v>
      </c>
      <c r="AW59" s="2"/>
      <c r="AX59" s="3"/>
      <c r="AY59" s="19"/>
      <c r="AZ59" s="2"/>
      <c r="BA59" s="3"/>
      <c r="BB59" s="19" t="s">
        <v>272</v>
      </c>
      <c r="BC59" s="2"/>
      <c r="BD59" s="3"/>
      <c r="BE59" s="20">
        <v>46241</v>
      </c>
      <c r="BF59" s="2"/>
      <c r="BG59" s="3"/>
      <c r="BH59" s="19"/>
      <c r="BI59" s="2"/>
      <c r="BJ59" s="3"/>
      <c r="BK59" s="18"/>
      <c r="BL59" s="2"/>
      <c r="BM59" s="2"/>
      <c r="BN59" s="2"/>
      <c r="BO59" s="2"/>
      <c r="BP59" s="2"/>
      <c r="BQ59" s="3"/>
    </row>
    <row r="60" ht="367.5" customHeight="1" spans="1:69">
      <c r="A60" s="17">
        <v>44</v>
      </c>
      <c r="B60" s="18" t="s">
        <v>467</v>
      </c>
      <c r="C60" s="2"/>
      <c r="D60" s="3"/>
      <c r="E60" s="18" t="s">
        <v>468</v>
      </c>
      <c r="F60" s="2"/>
      <c r="G60" s="2"/>
      <c r="H60" s="2"/>
      <c r="I60" s="3"/>
      <c r="J60" s="18" t="s">
        <v>469</v>
      </c>
      <c r="K60" s="2"/>
      <c r="L60" s="2"/>
      <c r="M60" s="2"/>
      <c r="N60" s="2"/>
      <c r="O60" s="2"/>
      <c r="P60" s="3"/>
      <c r="Q60" s="18" t="s">
        <v>470</v>
      </c>
      <c r="R60" s="2"/>
      <c r="S60" s="2"/>
      <c r="T60" s="2"/>
      <c r="U60" s="2"/>
      <c r="V60" s="2"/>
      <c r="W60" s="3"/>
      <c r="X60" s="18" t="s">
        <v>471</v>
      </c>
      <c r="Y60" s="2"/>
      <c r="Z60" s="2"/>
      <c r="AA60" s="2"/>
      <c r="AB60" s="2"/>
      <c r="AC60" s="2"/>
      <c r="AD60" s="3"/>
      <c r="AE60" s="19" t="s">
        <v>270</v>
      </c>
      <c r="AF60" s="3"/>
      <c r="AG60" s="21" t="s">
        <v>63</v>
      </c>
      <c r="AH60" s="2"/>
      <c r="AI60" s="3"/>
      <c r="AJ60" s="22"/>
      <c r="AK60" s="2"/>
      <c r="AL60" s="3"/>
      <c r="AM60" s="21" t="s">
        <v>271</v>
      </c>
      <c r="AN60" s="2"/>
      <c r="AO60" s="3"/>
      <c r="AP60" s="23">
        <v>46163</v>
      </c>
      <c r="AQ60" s="2"/>
      <c r="AR60" s="3"/>
      <c r="AS60" s="19"/>
      <c r="AT60" s="2"/>
      <c r="AU60" s="3"/>
      <c r="AV60" s="19" t="s">
        <v>63</v>
      </c>
      <c r="AW60" s="2"/>
      <c r="AX60" s="3"/>
      <c r="AY60" s="19"/>
      <c r="AZ60" s="2"/>
      <c r="BA60" s="3"/>
      <c r="BB60" s="19" t="s">
        <v>272</v>
      </c>
      <c r="BC60" s="2"/>
      <c r="BD60" s="3"/>
      <c r="BE60" s="20">
        <v>46241</v>
      </c>
      <c r="BF60" s="2"/>
      <c r="BG60" s="3"/>
      <c r="BH60" s="19"/>
      <c r="BI60" s="2"/>
      <c r="BJ60" s="3"/>
      <c r="BK60" s="18"/>
      <c r="BL60" s="2"/>
      <c r="BM60" s="2"/>
      <c r="BN60" s="2"/>
      <c r="BO60" s="2"/>
      <c r="BP60" s="2"/>
      <c r="BQ60" s="3"/>
    </row>
    <row r="61" ht="351.75" customHeight="1" spans="1:69">
      <c r="A61" s="17">
        <v>45</v>
      </c>
      <c r="B61" s="18" t="s">
        <v>472</v>
      </c>
      <c r="C61" s="2"/>
      <c r="D61" s="3"/>
      <c r="E61" s="18" t="s">
        <v>473</v>
      </c>
      <c r="F61" s="2"/>
      <c r="G61" s="2"/>
      <c r="H61" s="2"/>
      <c r="I61" s="3"/>
      <c r="J61" s="18" t="s">
        <v>474</v>
      </c>
      <c r="K61" s="2"/>
      <c r="L61" s="2"/>
      <c r="M61" s="2"/>
      <c r="N61" s="2"/>
      <c r="O61" s="2"/>
      <c r="P61" s="3"/>
      <c r="Q61" s="18" t="s">
        <v>475</v>
      </c>
      <c r="R61" s="2"/>
      <c r="S61" s="2"/>
      <c r="T61" s="2"/>
      <c r="U61" s="2"/>
      <c r="V61" s="2"/>
      <c r="W61" s="3"/>
      <c r="X61" s="18" t="s">
        <v>476</v>
      </c>
      <c r="Y61" s="2"/>
      <c r="Z61" s="2"/>
      <c r="AA61" s="2"/>
      <c r="AB61" s="2"/>
      <c r="AC61" s="2"/>
      <c r="AD61" s="3"/>
      <c r="AE61" s="19" t="s">
        <v>270</v>
      </c>
      <c r="AF61" s="3"/>
      <c r="AG61" s="21" t="s">
        <v>63</v>
      </c>
      <c r="AH61" s="2"/>
      <c r="AI61" s="3"/>
      <c r="AJ61" s="22"/>
      <c r="AK61" s="2"/>
      <c r="AL61" s="3"/>
      <c r="AM61" s="21" t="s">
        <v>271</v>
      </c>
      <c r="AN61" s="2"/>
      <c r="AO61" s="3"/>
      <c r="AP61" s="23">
        <v>46163</v>
      </c>
      <c r="AQ61" s="2"/>
      <c r="AR61" s="3"/>
      <c r="AS61" s="19"/>
      <c r="AT61" s="2"/>
      <c r="AU61" s="3"/>
      <c r="AV61" s="19" t="s">
        <v>63</v>
      </c>
      <c r="AW61" s="2"/>
      <c r="AX61" s="3"/>
      <c r="AY61" s="19"/>
      <c r="AZ61" s="2"/>
      <c r="BA61" s="3"/>
      <c r="BB61" s="19" t="s">
        <v>272</v>
      </c>
      <c r="BC61" s="2"/>
      <c r="BD61" s="3"/>
      <c r="BE61" s="20">
        <v>46241</v>
      </c>
      <c r="BF61" s="2"/>
      <c r="BG61" s="3"/>
      <c r="BH61" s="19"/>
      <c r="BI61" s="2"/>
      <c r="BJ61" s="3"/>
      <c r="BK61" s="18"/>
      <c r="BL61" s="2"/>
      <c r="BM61" s="2"/>
      <c r="BN61" s="2"/>
      <c r="BO61" s="2"/>
      <c r="BP61" s="2"/>
      <c r="BQ61" s="3"/>
    </row>
    <row r="62" ht="271.5" customHeight="1" spans="1:69">
      <c r="A62" s="17">
        <v>46</v>
      </c>
      <c r="B62" s="18" t="s">
        <v>477</v>
      </c>
      <c r="C62" s="2"/>
      <c r="D62" s="3"/>
      <c r="E62" s="18" t="s">
        <v>478</v>
      </c>
      <c r="F62" s="2"/>
      <c r="G62" s="2"/>
      <c r="H62" s="2"/>
      <c r="I62" s="3"/>
      <c r="J62" s="18" t="s">
        <v>479</v>
      </c>
      <c r="K62" s="2"/>
      <c r="L62" s="2"/>
      <c r="M62" s="2"/>
      <c r="N62" s="2"/>
      <c r="O62" s="2"/>
      <c r="P62" s="3"/>
      <c r="Q62" s="18" t="s">
        <v>480</v>
      </c>
      <c r="R62" s="2"/>
      <c r="S62" s="2"/>
      <c r="T62" s="2"/>
      <c r="U62" s="2"/>
      <c r="V62" s="2"/>
      <c r="W62" s="3"/>
      <c r="X62" s="18" t="s">
        <v>481</v>
      </c>
      <c r="Y62" s="2"/>
      <c r="Z62" s="2"/>
      <c r="AA62" s="2"/>
      <c r="AB62" s="2"/>
      <c r="AC62" s="2"/>
      <c r="AD62" s="3"/>
      <c r="AE62" s="19" t="s">
        <v>270</v>
      </c>
      <c r="AF62" s="3"/>
      <c r="AG62" s="19" t="s">
        <v>65</v>
      </c>
      <c r="AH62" s="2"/>
      <c r="AI62" s="3"/>
      <c r="AJ62" s="19"/>
      <c r="AK62" s="2"/>
      <c r="AL62" s="3"/>
      <c r="AM62" s="19"/>
      <c r="AN62" s="2"/>
      <c r="AO62" s="3"/>
      <c r="AP62" s="19"/>
      <c r="AQ62" s="2"/>
      <c r="AR62" s="3"/>
      <c r="AS62" s="19"/>
      <c r="AT62" s="2"/>
      <c r="AU62" s="3"/>
      <c r="AV62" s="19" t="s">
        <v>63</v>
      </c>
      <c r="AW62" s="2"/>
      <c r="AX62" s="3"/>
      <c r="AY62" s="19"/>
      <c r="AZ62" s="2"/>
      <c r="BA62" s="3"/>
      <c r="BB62" s="19" t="s">
        <v>272</v>
      </c>
      <c r="BC62" s="2"/>
      <c r="BD62" s="3"/>
      <c r="BE62" s="20">
        <v>46241</v>
      </c>
      <c r="BF62" s="2"/>
      <c r="BG62" s="3"/>
      <c r="BH62" s="19"/>
      <c r="BI62" s="2"/>
      <c r="BJ62" s="3"/>
      <c r="BK62" s="18" t="s">
        <v>291</v>
      </c>
      <c r="BL62" s="2"/>
      <c r="BM62" s="2"/>
      <c r="BN62" s="2"/>
      <c r="BO62" s="2"/>
      <c r="BP62" s="2"/>
      <c r="BQ62" s="3"/>
    </row>
    <row r="63" ht="22.5" customHeight="1" spans="1:69">
      <c r="A63" s="16" t="s">
        <v>482</v>
      </c>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3"/>
    </row>
    <row r="64" ht="409.5" customHeight="1" spans="1:69">
      <c r="A64" s="17">
        <v>47</v>
      </c>
      <c r="B64" s="18" t="s">
        <v>483</v>
      </c>
      <c r="C64" s="2"/>
      <c r="D64" s="3"/>
      <c r="E64" s="18" t="s">
        <v>484</v>
      </c>
      <c r="F64" s="2"/>
      <c r="G64" s="2"/>
      <c r="H64" s="2"/>
      <c r="I64" s="3"/>
      <c r="J64" s="18" t="s">
        <v>485</v>
      </c>
      <c r="K64" s="2"/>
      <c r="L64" s="2"/>
      <c r="M64" s="2"/>
      <c r="N64" s="2"/>
      <c r="O64" s="2"/>
      <c r="P64" s="3"/>
      <c r="Q64" s="18" t="s">
        <v>486</v>
      </c>
      <c r="R64" s="2"/>
      <c r="S64" s="2"/>
      <c r="T64" s="2"/>
      <c r="U64" s="2"/>
      <c r="V64" s="2"/>
      <c r="W64" s="3"/>
      <c r="X64" s="18" t="s">
        <v>487</v>
      </c>
      <c r="Y64" s="2"/>
      <c r="Z64" s="2"/>
      <c r="AA64" s="2"/>
      <c r="AB64" s="2"/>
      <c r="AC64" s="2"/>
      <c r="AD64" s="3"/>
      <c r="AE64" s="19" t="s">
        <v>270</v>
      </c>
      <c r="AF64" s="3"/>
      <c r="AG64" s="21" t="s">
        <v>63</v>
      </c>
      <c r="AH64" s="2"/>
      <c r="AI64" s="3"/>
      <c r="AJ64" s="22"/>
      <c r="AK64" s="2"/>
      <c r="AL64" s="3"/>
      <c r="AM64" s="21" t="s">
        <v>271</v>
      </c>
      <c r="AN64" s="2"/>
      <c r="AO64" s="3"/>
      <c r="AP64" s="23">
        <v>46163</v>
      </c>
      <c r="AQ64" s="2"/>
      <c r="AR64" s="3"/>
      <c r="AS64" s="19"/>
      <c r="AT64" s="2"/>
      <c r="AU64" s="3"/>
      <c r="AV64" s="19" t="s">
        <v>63</v>
      </c>
      <c r="AW64" s="2"/>
      <c r="AX64" s="3"/>
      <c r="AY64" s="19"/>
      <c r="AZ64" s="2"/>
      <c r="BA64" s="3"/>
      <c r="BB64" s="19" t="s">
        <v>272</v>
      </c>
      <c r="BC64" s="2"/>
      <c r="BD64" s="3"/>
      <c r="BE64" s="20">
        <v>46241</v>
      </c>
      <c r="BF64" s="2"/>
      <c r="BG64" s="3"/>
      <c r="BH64" s="19"/>
      <c r="BI64" s="2"/>
      <c r="BJ64" s="3"/>
      <c r="BK64" s="18"/>
      <c r="BL64" s="2"/>
      <c r="BM64" s="2"/>
      <c r="BN64" s="2"/>
      <c r="BO64" s="2"/>
      <c r="BP64" s="2"/>
      <c r="BQ64" s="3"/>
    </row>
    <row r="65" ht="255.75" customHeight="1" spans="1:69">
      <c r="A65" s="17">
        <v>48</v>
      </c>
      <c r="B65" s="18" t="s">
        <v>488</v>
      </c>
      <c r="C65" s="2"/>
      <c r="D65" s="3"/>
      <c r="E65" s="18" t="s">
        <v>489</v>
      </c>
      <c r="F65" s="2"/>
      <c r="G65" s="2"/>
      <c r="H65" s="2"/>
      <c r="I65" s="3"/>
      <c r="J65" s="18" t="s">
        <v>490</v>
      </c>
      <c r="K65" s="2"/>
      <c r="L65" s="2"/>
      <c r="M65" s="2"/>
      <c r="N65" s="2"/>
      <c r="O65" s="2"/>
      <c r="P65" s="3"/>
      <c r="Q65" s="18" t="s">
        <v>491</v>
      </c>
      <c r="R65" s="2"/>
      <c r="S65" s="2"/>
      <c r="T65" s="2"/>
      <c r="U65" s="2"/>
      <c r="V65" s="2"/>
      <c r="W65" s="3"/>
      <c r="X65" s="18" t="s">
        <v>492</v>
      </c>
      <c r="Y65" s="2"/>
      <c r="Z65" s="2"/>
      <c r="AA65" s="2"/>
      <c r="AB65" s="2"/>
      <c r="AC65" s="2"/>
      <c r="AD65" s="3"/>
      <c r="AE65" s="19" t="s">
        <v>270</v>
      </c>
      <c r="AF65" s="3"/>
      <c r="AG65" s="21" t="s">
        <v>63</v>
      </c>
      <c r="AH65" s="2"/>
      <c r="AI65" s="3"/>
      <c r="AJ65" s="22"/>
      <c r="AK65" s="2"/>
      <c r="AL65" s="3"/>
      <c r="AM65" s="21" t="s">
        <v>271</v>
      </c>
      <c r="AN65" s="2"/>
      <c r="AO65" s="3"/>
      <c r="AP65" s="23">
        <v>46163</v>
      </c>
      <c r="AQ65" s="2"/>
      <c r="AR65" s="3"/>
      <c r="AS65" s="19"/>
      <c r="AT65" s="2"/>
      <c r="AU65" s="3"/>
      <c r="AV65" s="19" t="s">
        <v>63</v>
      </c>
      <c r="AW65" s="2"/>
      <c r="AX65" s="3"/>
      <c r="AY65" s="19"/>
      <c r="AZ65" s="2"/>
      <c r="BA65" s="3"/>
      <c r="BB65" s="19" t="s">
        <v>272</v>
      </c>
      <c r="BC65" s="2"/>
      <c r="BD65" s="3"/>
      <c r="BE65" s="20">
        <v>46241</v>
      </c>
      <c r="BF65" s="2"/>
      <c r="BG65" s="3"/>
      <c r="BH65" s="19"/>
      <c r="BI65" s="2"/>
      <c r="BJ65" s="3"/>
      <c r="BK65" s="18"/>
      <c r="BL65" s="2"/>
      <c r="BM65" s="2"/>
      <c r="BN65" s="2"/>
      <c r="BO65" s="2"/>
      <c r="BP65" s="2"/>
      <c r="BQ65" s="3"/>
    </row>
    <row r="66" ht="271.5" customHeight="1" spans="1:69">
      <c r="A66" s="17">
        <v>49</v>
      </c>
      <c r="B66" s="18" t="s">
        <v>493</v>
      </c>
      <c r="C66" s="2"/>
      <c r="D66" s="3"/>
      <c r="E66" s="18" t="s">
        <v>494</v>
      </c>
      <c r="F66" s="2"/>
      <c r="G66" s="2"/>
      <c r="H66" s="2"/>
      <c r="I66" s="3"/>
      <c r="J66" s="18" t="s">
        <v>495</v>
      </c>
      <c r="K66" s="2"/>
      <c r="L66" s="2"/>
      <c r="M66" s="2"/>
      <c r="N66" s="2"/>
      <c r="O66" s="2"/>
      <c r="P66" s="3"/>
      <c r="Q66" s="18" t="s">
        <v>496</v>
      </c>
      <c r="R66" s="2"/>
      <c r="S66" s="2"/>
      <c r="T66" s="2"/>
      <c r="U66" s="2"/>
      <c r="V66" s="2"/>
      <c r="W66" s="3"/>
      <c r="X66" s="18" t="s">
        <v>497</v>
      </c>
      <c r="Y66" s="2"/>
      <c r="Z66" s="2"/>
      <c r="AA66" s="2"/>
      <c r="AB66" s="2"/>
      <c r="AC66" s="2"/>
      <c r="AD66" s="3"/>
      <c r="AE66" s="19" t="s">
        <v>270</v>
      </c>
      <c r="AF66" s="3"/>
      <c r="AG66" s="21" t="s">
        <v>63</v>
      </c>
      <c r="AH66" s="2"/>
      <c r="AI66" s="3"/>
      <c r="AJ66" s="22"/>
      <c r="AK66" s="2"/>
      <c r="AL66" s="3"/>
      <c r="AM66" s="21" t="s">
        <v>271</v>
      </c>
      <c r="AN66" s="2"/>
      <c r="AO66" s="3"/>
      <c r="AP66" s="23">
        <v>46163</v>
      </c>
      <c r="AQ66" s="2"/>
      <c r="AR66" s="3"/>
      <c r="AS66" s="19"/>
      <c r="AT66" s="2"/>
      <c r="AU66" s="3"/>
      <c r="AV66" s="19" t="s">
        <v>63</v>
      </c>
      <c r="AW66" s="2"/>
      <c r="AX66" s="3"/>
      <c r="AY66" s="19"/>
      <c r="AZ66" s="2"/>
      <c r="BA66" s="3"/>
      <c r="BB66" s="19" t="s">
        <v>272</v>
      </c>
      <c r="BC66" s="2"/>
      <c r="BD66" s="3"/>
      <c r="BE66" s="20">
        <v>46241</v>
      </c>
      <c r="BF66" s="2"/>
      <c r="BG66" s="3"/>
      <c r="BH66" s="19"/>
      <c r="BI66" s="2"/>
      <c r="BJ66" s="3"/>
      <c r="BK66" s="18"/>
      <c r="BL66" s="2"/>
      <c r="BM66" s="2"/>
      <c r="BN66" s="2"/>
      <c r="BO66" s="2"/>
      <c r="BP66" s="2"/>
      <c r="BQ66" s="3"/>
    </row>
    <row r="67" ht="367.5" customHeight="1" spans="1:69">
      <c r="A67" s="17">
        <v>50</v>
      </c>
      <c r="B67" s="18" t="s">
        <v>498</v>
      </c>
      <c r="C67" s="2"/>
      <c r="D67" s="3"/>
      <c r="E67" s="18" t="s">
        <v>499</v>
      </c>
      <c r="F67" s="2"/>
      <c r="G67" s="2"/>
      <c r="H67" s="2"/>
      <c r="I67" s="3"/>
      <c r="J67" s="18" t="s">
        <v>500</v>
      </c>
      <c r="K67" s="2"/>
      <c r="L67" s="2"/>
      <c r="M67" s="2"/>
      <c r="N67" s="2"/>
      <c r="O67" s="2"/>
      <c r="P67" s="3"/>
      <c r="Q67" s="18" t="s">
        <v>501</v>
      </c>
      <c r="R67" s="2"/>
      <c r="S67" s="2"/>
      <c r="T67" s="2"/>
      <c r="U67" s="2"/>
      <c r="V67" s="2"/>
      <c r="W67" s="3"/>
      <c r="X67" s="18" t="s">
        <v>502</v>
      </c>
      <c r="Y67" s="2"/>
      <c r="Z67" s="2"/>
      <c r="AA67" s="2"/>
      <c r="AB67" s="2"/>
      <c r="AC67" s="2"/>
      <c r="AD67" s="3"/>
      <c r="AE67" s="19" t="s">
        <v>270</v>
      </c>
      <c r="AF67" s="3"/>
      <c r="AG67" s="21" t="s">
        <v>63</v>
      </c>
      <c r="AH67" s="2"/>
      <c r="AI67" s="3"/>
      <c r="AJ67" s="22"/>
      <c r="AK67" s="2"/>
      <c r="AL67" s="3"/>
      <c r="AM67" s="21" t="s">
        <v>271</v>
      </c>
      <c r="AN67" s="2"/>
      <c r="AO67" s="3"/>
      <c r="AP67" s="23">
        <v>46163</v>
      </c>
      <c r="AQ67" s="2"/>
      <c r="AR67" s="3"/>
      <c r="AS67" s="19"/>
      <c r="AT67" s="2"/>
      <c r="AU67" s="3"/>
      <c r="AV67" s="19" t="s">
        <v>63</v>
      </c>
      <c r="AW67" s="2"/>
      <c r="AX67" s="3"/>
      <c r="AY67" s="19"/>
      <c r="AZ67" s="2"/>
      <c r="BA67" s="3"/>
      <c r="BB67" s="19" t="s">
        <v>272</v>
      </c>
      <c r="BC67" s="2"/>
      <c r="BD67" s="3"/>
      <c r="BE67" s="20">
        <v>46241</v>
      </c>
      <c r="BF67" s="2"/>
      <c r="BG67" s="3"/>
      <c r="BH67" s="19"/>
      <c r="BI67" s="2"/>
      <c r="BJ67" s="3"/>
      <c r="BK67" s="18"/>
      <c r="BL67" s="2"/>
      <c r="BM67" s="2"/>
      <c r="BN67" s="2"/>
      <c r="BO67" s="2"/>
      <c r="BP67" s="2"/>
      <c r="BQ67" s="3"/>
    </row>
    <row r="68" ht="409.5" customHeight="1" spans="1:69">
      <c r="A68" s="17">
        <v>51</v>
      </c>
      <c r="B68" s="18" t="s">
        <v>503</v>
      </c>
      <c r="C68" s="2"/>
      <c r="D68" s="3"/>
      <c r="E68" s="18" t="s">
        <v>504</v>
      </c>
      <c r="F68" s="2"/>
      <c r="G68" s="2"/>
      <c r="H68" s="2"/>
      <c r="I68" s="3"/>
      <c r="J68" s="18" t="s">
        <v>505</v>
      </c>
      <c r="K68" s="2"/>
      <c r="L68" s="2"/>
      <c r="M68" s="2"/>
      <c r="N68" s="2"/>
      <c r="O68" s="2"/>
      <c r="P68" s="3"/>
      <c r="Q68" s="18" t="s">
        <v>506</v>
      </c>
      <c r="R68" s="2"/>
      <c r="S68" s="2"/>
      <c r="T68" s="2"/>
      <c r="U68" s="2"/>
      <c r="V68" s="2"/>
      <c r="W68" s="3"/>
      <c r="X68" s="18" t="s">
        <v>507</v>
      </c>
      <c r="Y68" s="2"/>
      <c r="Z68" s="2"/>
      <c r="AA68" s="2"/>
      <c r="AB68" s="2"/>
      <c r="AC68" s="2"/>
      <c r="AD68" s="3"/>
      <c r="AE68" s="19" t="s">
        <v>270</v>
      </c>
      <c r="AF68" s="3"/>
      <c r="AG68" s="21" t="s">
        <v>63</v>
      </c>
      <c r="AH68" s="2"/>
      <c r="AI68" s="3"/>
      <c r="AJ68" s="22"/>
      <c r="AK68" s="2"/>
      <c r="AL68" s="3"/>
      <c r="AM68" s="21" t="s">
        <v>271</v>
      </c>
      <c r="AN68" s="2"/>
      <c r="AO68" s="3"/>
      <c r="AP68" s="23">
        <v>46163</v>
      </c>
      <c r="AQ68" s="2"/>
      <c r="AR68" s="3"/>
      <c r="AS68" s="19"/>
      <c r="AT68" s="2"/>
      <c r="AU68" s="3"/>
      <c r="AV68" s="19" t="s">
        <v>63</v>
      </c>
      <c r="AW68" s="2"/>
      <c r="AX68" s="3"/>
      <c r="AY68" s="19"/>
      <c r="AZ68" s="2"/>
      <c r="BA68" s="3"/>
      <c r="BB68" s="19" t="s">
        <v>272</v>
      </c>
      <c r="BC68" s="2"/>
      <c r="BD68" s="3"/>
      <c r="BE68" s="20">
        <v>46241</v>
      </c>
      <c r="BF68" s="2"/>
      <c r="BG68" s="3"/>
      <c r="BH68" s="19"/>
      <c r="BI68" s="2"/>
      <c r="BJ68" s="3"/>
      <c r="BK68" s="18"/>
      <c r="BL68" s="2"/>
      <c r="BM68" s="2"/>
      <c r="BN68" s="2"/>
      <c r="BO68" s="2"/>
      <c r="BP68" s="2"/>
      <c r="BQ68" s="3"/>
    </row>
    <row r="69" ht="288" customHeight="1" spans="1:69">
      <c r="A69" s="17">
        <v>52</v>
      </c>
      <c r="B69" s="18" t="s">
        <v>508</v>
      </c>
      <c r="C69" s="2"/>
      <c r="D69" s="3"/>
      <c r="E69" s="18" t="s">
        <v>509</v>
      </c>
      <c r="F69" s="2"/>
      <c r="G69" s="2"/>
      <c r="H69" s="2"/>
      <c r="I69" s="3"/>
      <c r="J69" s="18" t="s">
        <v>510</v>
      </c>
      <c r="K69" s="2"/>
      <c r="L69" s="2"/>
      <c r="M69" s="2"/>
      <c r="N69" s="2"/>
      <c r="O69" s="2"/>
      <c r="P69" s="3"/>
      <c r="Q69" s="18" t="s">
        <v>511</v>
      </c>
      <c r="R69" s="2"/>
      <c r="S69" s="2"/>
      <c r="T69" s="2"/>
      <c r="U69" s="2"/>
      <c r="V69" s="2"/>
      <c r="W69" s="3"/>
      <c r="X69" s="18" t="s">
        <v>512</v>
      </c>
      <c r="Y69" s="2"/>
      <c r="Z69" s="2"/>
      <c r="AA69" s="2"/>
      <c r="AB69" s="2"/>
      <c r="AC69" s="2"/>
      <c r="AD69" s="3"/>
      <c r="AE69" s="19" t="s">
        <v>270</v>
      </c>
      <c r="AF69" s="3"/>
      <c r="AG69" s="21" t="s">
        <v>63</v>
      </c>
      <c r="AH69" s="2"/>
      <c r="AI69" s="3"/>
      <c r="AJ69" s="22"/>
      <c r="AK69" s="2"/>
      <c r="AL69" s="3"/>
      <c r="AM69" s="21" t="s">
        <v>271</v>
      </c>
      <c r="AN69" s="2"/>
      <c r="AO69" s="3"/>
      <c r="AP69" s="23">
        <v>46163</v>
      </c>
      <c r="AQ69" s="2"/>
      <c r="AR69" s="3"/>
      <c r="AS69" s="19"/>
      <c r="AT69" s="2"/>
      <c r="AU69" s="3"/>
      <c r="AV69" s="19" t="s">
        <v>63</v>
      </c>
      <c r="AW69" s="2"/>
      <c r="AX69" s="3"/>
      <c r="AY69" s="19"/>
      <c r="AZ69" s="2"/>
      <c r="BA69" s="3"/>
      <c r="BB69" s="19" t="s">
        <v>272</v>
      </c>
      <c r="BC69" s="2"/>
      <c r="BD69" s="3"/>
      <c r="BE69" s="20">
        <v>46241</v>
      </c>
      <c r="BF69" s="2"/>
      <c r="BG69" s="3"/>
      <c r="BH69" s="19"/>
      <c r="BI69" s="2"/>
      <c r="BJ69" s="3"/>
      <c r="BK69" s="18"/>
      <c r="BL69" s="2"/>
      <c r="BM69" s="2"/>
      <c r="BN69" s="2"/>
      <c r="BO69" s="2"/>
      <c r="BP69" s="2"/>
      <c r="BQ69" s="3"/>
    </row>
    <row r="70" ht="319.5" customHeight="1" spans="1:69">
      <c r="A70" s="17">
        <v>53</v>
      </c>
      <c r="B70" s="18" t="s">
        <v>513</v>
      </c>
      <c r="C70" s="2"/>
      <c r="D70" s="3"/>
      <c r="E70" s="18" t="s">
        <v>514</v>
      </c>
      <c r="F70" s="2"/>
      <c r="G70" s="2"/>
      <c r="H70" s="2"/>
      <c r="I70" s="3"/>
      <c r="J70" s="18" t="s">
        <v>515</v>
      </c>
      <c r="K70" s="2"/>
      <c r="L70" s="2"/>
      <c r="M70" s="2"/>
      <c r="N70" s="2"/>
      <c r="O70" s="2"/>
      <c r="P70" s="3"/>
      <c r="Q70" s="18" t="s">
        <v>516</v>
      </c>
      <c r="R70" s="2"/>
      <c r="S70" s="2"/>
      <c r="T70" s="2"/>
      <c r="U70" s="2"/>
      <c r="V70" s="2"/>
      <c r="W70" s="3"/>
      <c r="X70" s="18" t="s">
        <v>517</v>
      </c>
      <c r="Y70" s="2"/>
      <c r="Z70" s="2"/>
      <c r="AA70" s="2"/>
      <c r="AB70" s="2"/>
      <c r="AC70" s="2"/>
      <c r="AD70" s="3"/>
      <c r="AE70" s="19" t="s">
        <v>213</v>
      </c>
      <c r="AF70" s="3"/>
      <c r="AG70" s="19" t="s">
        <v>65</v>
      </c>
      <c r="AH70" s="2"/>
      <c r="AI70" s="3"/>
      <c r="AJ70" s="19"/>
      <c r="AK70" s="2"/>
      <c r="AL70" s="3"/>
      <c r="AM70" s="19"/>
      <c r="AN70" s="2"/>
      <c r="AO70" s="3"/>
      <c r="AP70" s="19"/>
      <c r="AQ70" s="2"/>
      <c r="AR70" s="3"/>
      <c r="AS70" s="19"/>
      <c r="AT70" s="2"/>
      <c r="AU70" s="3"/>
      <c r="AV70" s="19" t="s">
        <v>63</v>
      </c>
      <c r="AW70" s="2"/>
      <c r="AX70" s="3"/>
      <c r="AY70" s="19"/>
      <c r="AZ70" s="2"/>
      <c r="BA70" s="3"/>
      <c r="BB70" s="19" t="s">
        <v>272</v>
      </c>
      <c r="BC70" s="2"/>
      <c r="BD70" s="3"/>
      <c r="BE70" s="20">
        <v>46241</v>
      </c>
      <c r="BF70" s="2"/>
      <c r="BG70" s="3"/>
      <c r="BH70" s="19"/>
      <c r="BI70" s="2"/>
      <c r="BJ70" s="3"/>
      <c r="BK70" s="18" t="s">
        <v>518</v>
      </c>
      <c r="BL70" s="2"/>
      <c r="BM70" s="2"/>
      <c r="BN70" s="2"/>
      <c r="BO70" s="2"/>
      <c r="BP70" s="2"/>
      <c r="BQ70" s="3"/>
    </row>
    <row r="71" ht="271.5" customHeight="1" spans="1:69">
      <c r="A71" s="17">
        <v>54</v>
      </c>
      <c r="B71" s="18" t="s">
        <v>519</v>
      </c>
      <c r="C71" s="2"/>
      <c r="D71" s="3"/>
      <c r="E71" s="18" t="s">
        <v>520</v>
      </c>
      <c r="F71" s="2"/>
      <c r="G71" s="2"/>
      <c r="H71" s="2"/>
      <c r="I71" s="3"/>
      <c r="J71" s="18" t="s">
        <v>521</v>
      </c>
      <c r="K71" s="2"/>
      <c r="L71" s="2"/>
      <c r="M71" s="2"/>
      <c r="N71" s="2"/>
      <c r="O71" s="2"/>
      <c r="P71" s="3"/>
      <c r="Q71" s="18" t="s">
        <v>522</v>
      </c>
      <c r="R71" s="2"/>
      <c r="S71" s="2"/>
      <c r="T71" s="2"/>
      <c r="U71" s="2"/>
      <c r="V71" s="2"/>
      <c r="W71" s="3"/>
      <c r="X71" s="18" t="s">
        <v>523</v>
      </c>
      <c r="Y71" s="2"/>
      <c r="Z71" s="2"/>
      <c r="AA71" s="2"/>
      <c r="AB71" s="2"/>
      <c r="AC71" s="2"/>
      <c r="AD71" s="3"/>
      <c r="AE71" s="19" t="s">
        <v>213</v>
      </c>
      <c r="AF71" s="3"/>
      <c r="AG71" s="19" t="s">
        <v>65</v>
      </c>
      <c r="AH71" s="2"/>
      <c r="AI71" s="3"/>
      <c r="AJ71" s="19"/>
      <c r="AK71" s="2"/>
      <c r="AL71" s="3"/>
      <c r="AM71" s="19"/>
      <c r="AN71" s="2"/>
      <c r="AO71" s="3"/>
      <c r="AP71" s="19"/>
      <c r="AQ71" s="2"/>
      <c r="AR71" s="3"/>
      <c r="AS71" s="19"/>
      <c r="AT71" s="2"/>
      <c r="AU71" s="3"/>
      <c r="AV71" s="19" t="s">
        <v>63</v>
      </c>
      <c r="AW71" s="2"/>
      <c r="AX71" s="3"/>
      <c r="AY71" s="19"/>
      <c r="AZ71" s="2"/>
      <c r="BA71" s="3"/>
      <c r="BB71" s="19" t="s">
        <v>272</v>
      </c>
      <c r="BC71" s="2"/>
      <c r="BD71" s="3"/>
      <c r="BE71" s="20">
        <v>46241</v>
      </c>
      <c r="BF71" s="2"/>
      <c r="BG71" s="3"/>
      <c r="BH71" s="19"/>
      <c r="BI71" s="2"/>
      <c r="BJ71" s="3"/>
      <c r="BK71" s="18"/>
      <c r="BL71" s="2"/>
      <c r="BM71" s="2"/>
      <c r="BN71" s="2"/>
      <c r="BO71" s="2"/>
      <c r="BP71" s="2"/>
      <c r="BQ71" s="3"/>
    </row>
    <row r="72" ht="255.75" customHeight="1" spans="1:69">
      <c r="A72" s="17">
        <v>55</v>
      </c>
      <c r="B72" s="18" t="s">
        <v>524</v>
      </c>
      <c r="C72" s="2"/>
      <c r="D72" s="3"/>
      <c r="E72" s="18" t="s">
        <v>525</v>
      </c>
      <c r="F72" s="2"/>
      <c r="G72" s="2"/>
      <c r="H72" s="2"/>
      <c r="I72" s="3"/>
      <c r="J72" s="18" t="s">
        <v>526</v>
      </c>
      <c r="K72" s="2"/>
      <c r="L72" s="2"/>
      <c r="M72" s="2"/>
      <c r="N72" s="2"/>
      <c r="O72" s="2"/>
      <c r="P72" s="3"/>
      <c r="Q72" s="18" t="s">
        <v>522</v>
      </c>
      <c r="R72" s="2"/>
      <c r="S72" s="2"/>
      <c r="T72" s="2"/>
      <c r="U72" s="2"/>
      <c r="V72" s="2"/>
      <c r="W72" s="3"/>
      <c r="X72" s="18" t="s">
        <v>527</v>
      </c>
      <c r="Y72" s="2"/>
      <c r="Z72" s="2"/>
      <c r="AA72" s="2"/>
      <c r="AB72" s="2"/>
      <c r="AC72" s="2"/>
      <c r="AD72" s="3"/>
      <c r="AE72" s="19" t="s">
        <v>213</v>
      </c>
      <c r="AF72" s="3"/>
      <c r="AG72" s="19" t="s">
        <v>65</v>
      </c>
      <c r="AH72" s="2"/>
      <c r="AI72" s="3"/>
      <c r="AJ72" s="19"/>
      <c r="AK72" s="2"/>
      <c r="AL72" s="3"/>
      <c r="AM72" s="19"/>
      <c r="AN72" s="2"/>
      <c r="AO72" s="3"/>
      <c r="AP72" s="19"/>
      <c r="AQ72" s="2"/>
      <c r="AR72" s="3"/>
      <c r="AS72" s="19"/>
      <c r="AT72" s="2"/>
      <c r="AU72" s="3"/>
      <c r="AV72" s="19" t="s">
        <v>63</v>
      </c>
      <c r="AW72" s="2"/>
      <c r="AX72" s="3"/>
      <c r="AY72" s="19"/>
      <c r="AZ72" s="2"/>
      <c r="BA72" s="3"/>
      <c r="BB72" s="19" t="s">
        <v>272</v>
      </c>
      <c r="BC72" s="2"/>
      <c r="BD72" s="3"/>
      <c r="BE72" s="20">
        <v>46241</v>
      </c>
      <c r="BF72" s="2"/>
      <c r="BG72" s="3"/>
      <c r="BH72" s="19"/>
      <c r="BI72" s="2"/>
      <c r="BJ72" s="3"/>
      <c r="BK72" s="18"/>
      <c r="BL72" s="2"/>
      <c r="BM72" s="2"/>
      <c r="BN72" s="2"/>
      <c r="BO72" s="2"/>
      <c r="BP72" s="2"/>
      <c r="BQ72" s="3"/>
    </row>
    <row r="73" ht="192" customHeight="1" spans="1:69">
      <c r="A73" s="17">
        <v>56</v>
      </c>
      <c r="B73" s="18" t="s">
        <v>528</v>
      </c>
      <c r="C73" s="2"/>
      <c r="D73" s="3"/>
      <c r="E73" s="18" t="s">
        <v>529</v>
      </c>
      <c r="F73" s="2"/>
      <c r="G73" s="2"/>
      <c r="H73" s="2"/>
      <c r="I73" s="3"/>
      <c r="J73" s="18" t="s">
        <v>305</v>
      </c>
      <c r="K73" s="2"/>
      <c r="L73" s="2"/>
      <c r="M73" s="2"/>
      <c r="N73" s="2"/>
      <c r="O73" s="2"/>
      <c r="P73" s="3"/>
      <c r="Q73" s="18" t="s">
        <v>530</v>
      </c>
      <c r="R73" s="2"/>
      <c r="S73" s="2"/>
      <c r="T73" s="2"/>
      <c r="U73" s="2"/>
      <c r="V73" s="2"/>
      <c r="W73" s="3"/>
      <c r="X73" s="18" t="s">
        <v>531</v>
      </c>
      <c r="Y73" s="2"/>
      <c r="Z73" s="2"/>
      <c r="AA73" s="2"/>
      <c r="AB73" s="2"/>
      <c r="AC73" s="2"/>
      <c r="AD73" s="3"/>
      <c r="AE73" s="19" t="s">
        <v>213</v>
      </c>
      <c r="AF73" s="3"/>
      <c r="AG73" s="21" t="s">
        <v>63</v>
      </c>
      <c r="AH73" s="2"/>
      <c r="AI73" s="3"/>
      <c r="AJ73" s="22"/>
      <c r="AK73" s="2"/>
      <c r="AL73" s="3"/>
      <c r="AM73" s="21" t="s">
        <v>271</v>
      </c>
      <c r="AN73" s="2"/>
      <c r="AO73" s="3"/>
      <c r="AP73" s="23">
        <v>46163</v>
      </c>
      <c r="AQ73" s="2"/>
      <c r="AR73" s="3"/>
      <c r="AS73" s="19"/>
      <c r="AT73" s="2"/>
      <c r="AU73" s="3"/>
      <c r="AV73" s="19" t="s">
        <v>63</v>
      </c>
      <c r="AW73" s="2"/>
      <c r="AX73" s="3"/>
      <c r="AY73" s="19"/>
      <c r="AZ73" s="2"/>
      <c r="BA73" s="3"/>
      <c r="BB73" s="19" t="s">
        <v>272</v>
      </c>
      <c r="BC73" s="2"/>
      <c r="BD73" s="3"/>
      <c r="BE73" s="20">
        <v>46241</v>
      </c>
      <c r="BF73" s="2"/>
      <c r="BG73" s="3"/>
      <c r="BH73" s="19"/>
      <c r="BI73" s="2"/>
      <c r="BJ73" s="3"/>
      <c r="BK73" s="18"/>
      <c r="BL73" s="2"/>
      <c r="BM73" s="2"/>
      <c r="BN73" s="2"/>
      <c r="BO73" s="2"/>
      <c r="BP73" s="2"/>
      <c r="BQ73" s="3"/>
    </row>
    <row r="74" ht="303.75" customHeight="1" spans="1:69">
      <c r="A74" s="17">
        <v>57</v>
      </c>
      <c r="B74" s="18" t="s">
        <v>532</v>
      </c>
      <c r="C74" s="2"/>
      <c r="D74" s="3"/>
      <c r="E74" s="18" t="s">
        <v>533</v>
      </c>
      <c r="F74" s="2"/>
      <c r="G74" s="2"/>
      <c r="H74" s="2"/>
      <c r="I74" s="3"/>
      <c r="J74" s="18" t="s">
        <v>534</v>
      </c>
      <c r="K74" s="2"/>
      <c r="L74" s="2"/>
      <c r="M74" s="2"/>
      <c r="N74" s="2"/>
      <c r="O74" s="2"/>
      <c r="P74" s="3"/>
      <c r="Q74" s="18" t="s">
        <v>535</v>
      </c>
      <c r="R74" s="2"/>
      <c r="S74" s="2"/>
      <c r="T74" s="2"/>
      <c r="U74" s="2"/>
      <c r="V74" s="2"/>
      <c r="W74" s="3"/>
      <c r="X74" s="18" t="s">
        <v>536</v>
      </c>
      <c r="Y74" s="2"/>
      <c r="Z74" s="2"/>
      <c r="AA74" s="2"/>
      <c r="AB74" s="2"/>
      <c r="AC74" s="2"/>
      <c r="AD74" s="3"/>
      <c r="AE74" s="19" t="s">
        <v>213</v>
      </c>
      <c r="AF74" s="3"/>
      <c r="AG74" s="21" t="s">
        <v>63</v>
      </c>
      <c r="AH74" s="2"/>
      <c r="AI74" s="3"/>
      <c r="AJ74" s="22"/>
      <c r="AK74" s="2"/>
      <c r="AL74" s="3"/>
      <c r="AM74" s="21" t="s">
        <v>271</v>
      </c>
      <c r="AN74" s="2"/>
      <c r="AO74" s="3"/>
      <c r="AP74" s="23">
        <v>46163</v>
      </c>
      <c r="AQ74" s="2"/>
      <c r="AR74" s="3"/>
      <c r="AS74" s="19"/>
      <c r="AT74" s="2"/>
      <c r="AU74" s="3"/>
      <c r="AV74" s="19" t="s">
        <v>63</v>
      </c>
      <c r="AW74" s="2"/>
      <c r="AX74" s="3"/>
      <c r="AY74" s="19"/>
      <c r="AZ74" s="2"/>
      <c r="BA74" s="3"/>
      <c r="BB74" s="19" t="s">
        <v>272</v>
      </c>
      <c r="BC74" s="2"/>
      <c r="BD74" s="3"/>
      <c r="BE74" s="20">
        <v>46241</v>
      </c>
      <c r="BF74" s="2"/>
      <c r="BG74" s="3"/>
      <c r="BH74" s="19"/>
      <c r="BI74" s="2"/>
      <c r="BJ74" s="3"/>
      <c r="BK74" s="18"/>
      <c r="BL74" s="2"/>
      <c r="BM74" s="2"/>
      <c r="BN74" s="2"/>
      <c r="BO74" s="2"/>
      <c r="BP74" s="2"/>
      <c r="BQ74" s="3"/>
    </row>
    <row r="75" ht="255.75" customHeight="1" spans="1:69">
      <c r="A75" s="17">
        <v>58</v>
      </c>
      <c r="B75" s="18" t="s">
        <v>537</v>
      </c>
      <c r="C75" s="2"/>
      <c r="D75" s="3"/>
      <c r="E75" s="18" t="s">
        <v>538</v>
      </c>
      <c r="F75" s="2"/>
      <c r="G75" s="2"/>
      <c r="H75" s="2"/>
      <c r="I75" s="3"/>
      <c r="J75" s="18" t="s">
        <v>539</v>
      </c>
      <c r="K75" s="2"/>
      <c r="L75" s="2"/>
      <c r="M75" s="2"/>
      <c r="N75" s="2"/>
      <c r="O75" s="2"/>
      <c r="P75" s="3"/>
      <c r="Q75" s="18" t="s">
        <v>540</v>
      </c>
      <c r="R75" s="2"/>
      <c r="S75" s="2"/>
      <c r="T75" s="2"/>
      <c r="U75" s="2"/>
      <c r="V75" s="2"/>
      <c r="W75" s="3"/>
      <c r="X75" s="18" t="s">
        <v>541</v>
      </c>
      <c r="Y75" s="2"/>
      <c r="Z75" s="2"/>
      <c r="AA75" s="2"/>
      <c r="AB75" s="2"/>
      <c r="AC75" s="2"/>
      <c r="AD75" s="3"/>
      <c r="AE75" s="19" t="s">
        <v>213</v>
      </c>
      <c r="AF75" s="3"/>
      <c r="AG75" s="19" t="s">
        <v>65</v>
      </c>
      <c r="AH75" s="2"/>
      <c r="AI75" s="3"/>
      <c r="AJ75" s="19"/>
      <c r="AK75" s="2"/>
      <c r="AL75" s="3"/>
      <c r="AM75" s="19"/>
      <c r="AN75" s="2"/>
      <c r="AO75" s="3"/>
      <c r="AP75" s="19"/>
      <c r="AQ75" s="2"/>
      <c r="AR75" s="3"/>
      <c r="AS75" s="19"/>
      <c r="AT75" s="2"/>
      <c r="AU75" s="3"/>
      <c r="AV75" s="19" t="s">
        <v>63</v>
      </c>
      <c r="AW75" s="2"/>
      <c r="AX75" s="3"/>
      <c r="AY75" s="19"/>
      <c r="AZ75" s="2"/>
      <c r="BA75" s="3"/>
      <c r="BB75" s="19" t="s">
        <v>272</v>
      </c>
      <c r="BC75" s="2"/>
      <c r="BD75" s="3"/>
      <c r="BE75" s="20">
        <v>46241</v>
      </c>
      <c r="BF75" s="2"/>
      <c r="BG75" s="3"/>
      <c r="BH75" s="19"/>
      <c r="BI75" s="2"/>
      <c r="BJ75" s="3"/>
      <c r="BK75" s="18" t="s">
        <v>291</v>
      </c>
      <c r="BL75" s="2"/>
      <c r="BM75" s="2"/>
      <c r="BN75" s="2"/>
      <c r="BO75" s="2"/>
      <c r="BP75" s="2"/>
      <c r="BQ75" s="3"/>
    </row>
    <row r="76" ht="22.5" customHeight="1" spans="1:69">
      <c r="A76" s="16" t="s">
        <v>542</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3"/>
    </row>
    <row r="77" ht="351.75" customHeight="1" spans="1:69">
      <c r="A77" s="17">
        <v>59</v>
      </c>
      <c r="B77" s="18" t="s">
        <v>543</v>
      </c>
      <c r="C77" s="2"/>
      <c r="D77" s="3"/>
      <c r="E77" s="18" t="s">
        <v>544</v>
      </c>
      <c r="F77" s="2"/>
      <c r="G77" s="2"/>
      <c r="H77" s="2"/>
      <c r="I77" s="3"/>
      <c r="J77" s="18" t="s">
        <v>545</v>
      </c>
      <c r="K77" s="2"/>
      <c r="L77" s="2"/>
      <c r="M77" s="2"/>
      <c r="N77" s="2"/>
      <c r="O77" s="2"/>
      <c r="P77" s="3"/>
      <c r="Q77" s="18" t="s">
        <v>546</v>
      </c>
      <c r="R77" s="2"/>
      <c r="S77" s="2"/>
      <c r="T77" s="2"/>
      <c r="U77" s="2"/>
      <c r="V77" s="2"/>
      <c r="W77" s="3"/>
      <c r="X77" s="18" t="s">
        <v>547</v>
      </c>
      <c r="Y77" s="2"/>
      <c r="Z77" s="2"/>
      <c r="AA77" s="2"/>
      <c r="AB77" s="2"/>
      <c r="AC77" s="2"/>
      <c r="AD77" s="3"/>
      <c r="AE77" s="19" t="s">
        <v>213</v>
      </c>
      <c r="AF77" s="3"/>
      <c r="AG77" s="19"/>
      <c r="AH77" s="2"/>
      <c r="AI77" s="3"/>
      <c r="AJ77" s="19"/>
      <c r="AK77" s="2"/>
      <c r="AL77" s="3"/>
      <c r="AM77" s="19"/>
      <c r="AN77" s="2"/>
      <c r="AO77" s="3"/>
      <c r="AP77" s="19"/>
      <c r="AQ77" s="2"/>
      <c r="AR77" s="3"/>
      <c r="AS77" s="19"/>
      <c r="AT77" s="2"/>
      <c r="AU77" s="3"/>
      <c r="AV77" s="19" t="s">
        <v>63</v>
      </c>
      <c r="AW77" s="2"/>
      <c r="AX77" s="3"/>
      <c r="AY77" s="19"/>
      <c r="AZ77" s="2"/>
      <c r="BA77" s="3"/>
      <c r="BB77" s="19" t="s">
        <v>272</v>
      </c>
      <c r="BC77" s="2"/>
      <c r="BD77" s="3"/>
      <c r="BE77" s="20">
        <v>46241</v>
      </c>
      <c r="BF77" s="2"/>
      <c r="BG77" s="3"/>
      <c r="BH77" s="19"/>
      <c r="BI77" s="2"/>
      <c r="BJ77" s="3"/>
      <c r="BK77" s="18"/>
      <c r="BL77" s="2"/>
      <c r="BM77" s="2"/>
      <c r="BN77" s="2"/>
      <c r="BO77" s="2"/>
      <c r="BP77" s="2"/>
      <c r="BQ77" s="3"/>
    </row>
    <row r="78" ht="303.75" customHeight="1" spans="1:69">
      <c r="A78" s="17">
        <v>60</v>
      </c>
      <c r="B78" s="18" t="s">
        <v>548</v>
      </c>
      <c r="C78" s="2"/>
      <c r="D78" s="3"/>
      <c r="E78" s="18" t="s">
        <v>549</v>
      </c>
      <c r="F78" s="2"/>
      <c r="G78" s="2"/>
      <c r="H78" s="2"/>
      <c r="I78" s="3"/>
      <c r="J78" s="18" t="s">
        <v>305</v>
      </c>
      <c r="K78" s="2"/>
      <c r="L78" s="2"/>
      <c r="M78" s="2"/>
      <c r="N78" s="2"/>
      <c r="O78" s="2"/>
      <c r="P78" s="3"/>
      <c r="Q78" s="18" t="s">
        <v>550</v>
      </c>
      <c r="R78" s="2"/>
      <c r="S78" s="2"/>
      <c r="T78" s="2"/>
      <c r="U78" s="2"/>
      <c r="V78" s="2"/>
      <c r="W78" s="3"/>
      <c r="X78" s="18" t="s">
        <v>551</v>
      </c>
      <c r="Y78" s="2"/>
      <c r="Z78" s="2"/>
      <c r="AA78" s="2"/>
      <c r="AB78" s="2"/>
      <c r="AC78" s="2"/>
      <c r="AD78" s="3"/>
      <c r="AE78" s="19" t="s">
        <v>213</v>
      </c>
      <c r="AF78" s="3"/>
      <c r="AG78" s="21" t="s">
        <v>63</v>
      </c>
      <c r="AH78" s="2"/>
      <c r="AI78" s="3"/>
      <c r="AJ78" s="22"/>
      <c r="AK78" s="2"/>
      <c r="AL78" s="3"/>
      <c r="AM78" s="21" t="s">
        <v>271</v>
      </c>
      <c r="AN78" s="2"/>
      <c r="AO78" s="3"/>
      <c r="AP78" s="23">
        <v>46163</v>
      </c>
      <c r="AQ78" s="2"/>
      <c r="AR78" s="3"/>
      <c r="AS78" s="19"/>
      <c r="AT78" s="2"/>
      <c r="AU78" s="3"/>
      <c r="AV78" s="19" t="s">
        <v>63</v>
      </c>
      <c r="AW78" s="2"/>
      <c r="AX78" s="3"/>
      <c r="AY78" s="19"/>
      <c r="AZ78" s="2"/>
      <c r="BA78" s="3"/>
      <c r="BB78" s="19" t="s">
        <v>272</v>
      </c>
      <c r="BC78" s="2"/>
      <c r="BD78" s="3"/>
      <c r="BE78" s="20">
        <v>46241</v>
      </c>
      <c r="BF78" s="2"/>
      <c r="BG78" s="3"/>
      <c r="BH78" s="19"/>
      <c r="BI78" s="2"/>
      <c r="BJ78" s="3"/>
      <c r="BK78" s="18"/>
      <c r="BL78" s="2"/>
      <c r="BM78" s="2"/>
      <c r="BN78" s="2"/>
      <c r="BO78" s="2"/>
      <c r="BP78" s="2"/>
      <c r="BQ78" s="3"/>
    </row>
    <row r="79" ht="303.75" customHeight="1" spans="1:69">
      <c r="A79" s="17">
        <v>61</v>
      </c>
      <c r="B79" s="18" t="s">
        <v>552</v>
      </c>
      <c r="C79" s="2"/>
      <c r="D79" s="3"/>
      <c r="E79" s="18" t="s">
        <v>553</v>
      </c>
      <c r="F79" s="2"/>
      <c r="G79" s="2"/>
      <c r="H79" s="2"/>
      <c r="I79" s="3"/>
      <c r="J79" s="18" t="s">
        <v>305</v>
      </c>
      <c r="K79" s="2"/>
      <c r="L79" s="2"/>
      <c r="M79" s="2"/>
      <c r="N79" s="2"/>
      <c r="O79" s="2"/>
      <c r="P79" s="3"/>
      <c r="Q79" s="18" t="s">
        <v>554</v>
      </c>
      <c r="R79" s="2"/>
      <c r="S79" s="2"/>
      <c r="T79" s="2"/>
      <c r="U79" s="2"/>
      <c r="V79" s="2"/>
      <c r="W79" s="3"/>
      <c r="X79" s="18" t="s">
        <v>555</v>
      </c>
      <c r="Y79" s="2"/>
      <c r="Z79" s="2"/>
      <c r="AA79" s="2"/>
      <c r="AB79" s="2"/>
      <c r="AC79" s="2"/>
      <c r="AD79" s="3"/>
      <c r="AE79" s="19" t="s">
        <v>213</v>
      </c>
      <c r="AF79" s="3"/>
      <c r="AG79" s="21" t="s">
        <v>63</v>
      </c>
      <c r="AH79" s="2"/>
      <c r="AI79" s="3"/>
      <c r="AJ79" s="22"/>
      <c r="AK79" s="2"/>
      <c r="AL79" s="3"/>
      <c r="AM79" s="21" t="s">
        <v>271</v>
      </c>
      <c r="AN79" s="2"/>
      <c r="AO79" s="3"/>
      <c r="AP79" s="23">
        <v>46163</v>
      </c>
      <c r="AQ79" s="2"/>
      <c r="AR79" s="3"/>
      <c r="AS79" s="19"/>
      <c r="AT79" s="2"/>
      <c r="AU79" s="3"/>
      <c r="AV79" s="19" t="s">
        <v>63</v>
      </c>
      <c r="AW79" s="2"/>
      <c r="AX79" s="3"/>
      <c r="AY79" s="19"/>
      <c r="AZ79" s="2"/>
      <c r="BA79" s="3"/>
      <c r="BB79" s="19" t="s">
        <v>272</v>
      </c>
      <c r="BC79" s="2"/>
      <c r="BD79" s="3"/>
      <c r="BE79" s="20">
        <v>46241</v>
      </c>
      <c r="BF79" s="2"/>
      <c r="BG79" s="3"/>
      <c r="BH79" s="19"/>
      <c r="BI79" s="2"/>
      <c r="BJ79" s="3"/>
      <c r="BK79" s="18"/>
      <c r="BL79" s="2"/>
      <c r="BM79" s="2"/>
      <c r="BN79" s="2"/>
      <c r="BO79" s="2"/>
      <c r="BP79" s="2"/>
      <c r="BQ79" s="3"/>
    </row>
    <row r="80" ht="223.5" customHeight="1" spans="1:69">
      <c r="A80" s="17">
        <v>62</v>
      </c>
      <c r="B80" s="18" t="s">
        <v>556</v>
      </c>
      <c r="C80" s="2"/>
      <c r="D80" s="3"/>
      <c r="E80" s="18" t="s">
        <v>557</v>
      </c>
      <c r="F80" s="2"/>
      <c r="G80" s="2"/>
      <c r="H80" s="2"/>
      <c r="I80" s="3"/>
      <c r="J80" s="18" t="s">
        <v>558</v>
      </c>
      <c r="K80" s="2"/>
      <c r="L80" s="2"/>
      <c r="M80" s="2"/>
      <c r="N80" s="2"/>
      <c r="O80" s="2"/>
      <c r="P80" s="3"/>
      <c r="Q80" s="18" t="s">
        <v>559</v>
      </c>
      <c r="R80" s="2"/>
      <c r="S80" s="2"/>
      <c r="T80" s="2"/>
      <c r="U80" s="2"/>
      <c r="V80" s="2"/>
      <c r="W80" s="3"/>
      <c r="X80" s="18" t="s">
        <v>560</v>
      </c>
      <c r="Y80" s="2"/>
      <c r="Z80" s="2"/>
      <c r="AA80" s="2"/>
      <c r="AB80" s="2"/>
      <c r="AC80" s="2"/>
      <c r="AD80" s="3"/>
      <c r="AE80" s="19" t="s">
        <v>213</v>
      </c>
      <c r="AF80" s="3"/>
      <c r="AG80" s="21" t="s">
        <v>63</v>
      </c>
      <c r="AH80" s="2"/>
      <c r="AI80" s="3"/>
      <c r="AJ80" s="22"/>
      <c r="AK80" s="2"/>
      <c r="AL80" s="3"/>
      <c r="AM80" s="21" t="s">
        <v>271</v>
      </c>
      <c r="AN80" s="2"/>
      <c r="AO80" s="3"/>
      <c r="AP80" s="23">
        <v>46163</v>
      </c>
      <c r="AQ80" s="2"/>
      <c r="AR80" s="3"/>
      <c r="AS80" s="19"/>
      <c r="AT80" s="2"/>
      <c r="AU80" s="3"/>
      <c r="AV80" s="19" t="s">
        <v>63</v>
      </c>
      <c r="AW80" s="2"/>
      <c r="AX80" s="3"/>
      <c r="AY80" s="19"/>
      <c r="AZ80" s="2"/>
      <c r="BA80" s="3"/>
      <c r="BB80" s="19" t="s">
        <v>272</v>
      </c>
      <c r="BC80" s="2"/>
      <c r="BD80" s="3"/>
      <c r="BE80" s="20">
        <v>46241</v>
      </c>
      <c r="BF80" s="2"/>
      <c r="BG80" s="3"/>
      <c r="BH80" s="19"/>
      <c r="BI80" s="2"/>
      <c r="BJ80" s="3"/>
      <c r="BK80" s="18"/>
      <c r="BL80" s="2"/>
      <c r="BM80" s="2"/>
      <c r="BN80" s="2"/>
      <c r="BO80" s="2"/>
      <c r="BP80" s="2"/>
      <c r="BQ80" s="3"/>
    </row>
    <row r="81" ht="399.75" customHeight="1" spans="1:69">
      <c r="A81" s="17">
        <v>63</v>
      </c>
      <c r="B81" s="18" t="s">
        <v>561</v>
      </c>
      <c r="C81" s="2"/>
      <c r="D81" s="3"/>
      <c r="E81" s="18" t="s">
        <v>562</v>
      </c>
      <c r="F81" s="2"/>
      <c r="G81" s="2"/>
      <c r="H81" s="2"/>
      <c r="I81" s="3"/>
      <c r="J81" s="18" t="s">
        <v>563</v>
      </c>
      <c r="K81" s="2"/>
      <c r="L81" s="2"/>
      <c r="M81" s="2"/>
      <c r="N81" s="2"/>
      <c r="O81" s="2"/>
      <c r="P81" s="3"/>
      <c r="Q81" s="18" t="s">
        <v>564</v>
      </c>
      <c r="R81" s="2"/>
      <c r="S81" s="2"/>
      <c r="T81" s="2"/>
      <c r="U81" s="2"/>
      <c r="V81" s="2"/>
      <c r="W81" s="3"/>
      <c r="X81" s="18" t="s">
        <v>565</v>
      </c>
      <c r="Y81" s="2"/>
      <c r="Z81" s="2"/>
      <c r="AA81" s="2"/>
      <c r="AB81" s="2"/>
      <c r="AC81" s="2"/>
      <c r="AD81" s="3"/>
      <c r="AE81" s="19" t="s">
        <v>213</v>
      </c>
      <c r="AF81" s="3"/>
      <c r="AG81" s="19" t="s">
        <v>65</v>
      </c>
      <c r="AH81" s="2"/>
      <c r="AI81" s="3"/>
      <c r="AJ81" s="19"/>
      <c r="AK81" s="2"/>
      <c r="AL81" s="3"/>
      <c r="AM81" s="21" t="s">
        <v>271</v>
      </c>
      <c r="AN81" s="2"/>
      <c r="AO81" s="3"/>
      <c r="AP81" s="23">
        <v>46163</v>
      </c>
      <c r="AQ81" s="2"/>
      <c r="AR81" s="3"/>
      <c r="AS81" s="19"/>
      <c r="AT81" s="2"/>
      <c r="AU81" s="3"/>
      <c r="AV81" s="19" t="s">
        <v>63</v>
      </c>
      <c r="AW81" s="2"/>
      <c r="AX81" s="3"/>
      <c r="AY81" s="19"/>
      <c r="AZ81" s="2"/>
      <c r="BA81" s="3"/>
      <c r="BB81" s="19" t="s">
        <v>272</v>
      </c>
      <c r="BC81" s="2"/>
      <c r="BD81" s="3"/>
      <c r="BE81" s="20">
        <v>46241</v>
      </c>
      <c r="BF81" s="2"/>
      <c r="BG81" s="3"/>
      <c r="BH81" s="19"/>
      <c r="BI81" s="2"/>
      <c r="BJ81" s="3"/>
      <c r="BK81" s="18"/>
      <c r="BL81" s="2"/>
      <c r="BM81" s="2"/>
      <c r="BN81" s="2"/>
      <c r="BO81" s="2"/>
      <c r="BP81" s="2"/>
      <c r="BQ81" s="3"/>
    </row>
    <row r="82" ht="367.5" customHeight="1" spans="1:69">
      <c r="A82" s="17">
        <v>64</v>
      </c>
      <c r="B82" s="18" t="s">
        <v>566</v>
      </c>
      <c r="C82" s="2"/>
      <c r="D82" s="3"/>
      <c r="E82" s="18" t="s">
        <v>567</v>
      </c>
      <c r="F82" s="2"/>
      <c r="G82" s="2"/>
      <c r="H82" s="2"/>
      <c r="I82" s="3"/>
      <c r="J82" s="18" t="s">
        <v>305</v>
      </c>
      <c r="K82" s="2"/>
      <c r="L82" s="2"/>
      <c r="M82" s="2"/>
      <c r="N82" s="2"/>
      <c r="O82" s="2"/>
      <c r="P82" s="3"/>
      <c r="Q82" s="18" t="s">
        <v>568</v>
      </c>
      <c r="R82" s="2"/>
      <c r="S82" s="2"/>
      <c r="T82" s="2"/>
      <c r="U82" s="2"/>
      <c r="V82" s="2"/>
      <c r="W82" s="3"/>
      <c r="X82" s="18" t="s">
        <v>569</v>
      </c>
      <c r="Y82" s="2"/>
      <c r="Z82" s="2"/>
      <c r="AA82" s="2"/>
      <c r="AB82" s="2"/>
      <c r="AC82" s="2"/>
      <c r="AD82" s="3"/>
      <c r="AE82" s="19" t="s">
        <v>213</v>
      </c>
      <c r="AF82" s="3"/>
      <c r="AG82" s="21" t="s">
        <v>63</v>
      </c>
      <c r="AH82" s="2"/>
      <c r="AI82" s="3"/>
      <c r="AJ82" s="22"/>
      <c r="AK82" s="2"/>
      <c r="AL82" s="3"/>
      <c r="AM82" s="21" t="s">
        <v>271</v>
      </c>
      <c r="AN82" s="2"/>
      <c r="AO82" s="3"/>
      <c r="AP82" s="23">
        <v>46163</v>
      </c>
      <c r="AQ82" s="2"/>
      <c r="AR82" s="3"/>
      <c r="AS82" s="19"/>
      <c r="AT82" s="2"/>
      <c r="AU82" s="3"/>
      <c r="AV82" s="19" t="s">
        <v>63</v>
      </c>
      <c r="AW82" s="2"/>
      <c r="AX82" s="3"/>
      <c r="AY82" s="19"/>
      <c r="AZ82" s="2"/>
      <c r="BA82" s="3"/>
      <c r="BB82" s="19" t="s">
        <v>272</v>
      </c>
      <c r="BC82" s="2"/>
      <c r="BD82" s="3"/>
      <c r="BE82" s="20">
        <v>46241</v>
      </c>
      <c r="BF82" s="2"/>
      <c r="BG82" s="3"/>
      <c r="BH82" s="19"/>
      <c r="BI82" s="2"/>
      <c r="BJ82" s="3"/>
      <c r="BK82" s="18" t="s">
        <v>570</v>
      </c>
      <c r="BL82" s="2"/>
      <c r="BM82" s="2"/>
      <c r="BN82" s="2"/>
      <c r="BO82" s="2"/>
      <c r="BP82" s="2"/>
      <c r="BQ82" s="3"/>
    </row>
    <row r="83" ht="288" customHeight="1" spans="1:69">
      <c r="A83" s="17">
        <v>65</v>
      </c>
      <c r="B83" s="18" t="s">
        <v>571</v>
      </c>
      <c r="C83" s="2"/>
      <c r="D83" s="3"/>
      <c r="E83" s="18" t="s">
        <v>572</v>
      </c>
      <c r="F83" s="2"/>
      <c r="G83" s="2"/>
      <c r="H83" s="2"/>
      <c r="I83" s="3"/>
      <c r="J83" s="18" t="s">
        <v>573</v>
      </c>
      <c r="K83" s="2"/>
      <c r="L83" s="2"/>
      <c r="M83" s="2"/>
      <c r="N83" s="2"/>
      <c r="O83" s="2"/>
      <c r="P83" s="3"/>
      <c r="Q83" s="18" t="s">
        <v>574</v>
      </c>
      <c r="R83" s="2"/>
      <c r="S83" s="2"/>
      <c r="T83" s="2"/>
      <c r="U83" s="2"/>
      <c r="V83" s="2"/>
      <c r="W83" s="3"/>
      <c r="X83" s="18" t="s">
        <v>575</v>
      </c>
      <c r="Y83" s="2"/>
      <c r="Z83" s="2"/>
      <c r="AA83" s="2"/>
      <c r="AB83" s="2"/>
      <c r="AC83" s="2"/>
      <c r="AD83" s="3"/>
      <c r="AE83" s="19" t="s">
        <v>270</v>
      </c>
      <c r="AF83" s="3"/>
      <c r="AG83" s="21" t="s">
        <v>63</v>
      </c>
      <c r="AH83" s="2"/>
      <c r="AI83" s="3"/>
      <c r="AJ83" s="22"/>
      <c r="AK83" s="2"/>
      <c r="AL83" s="3"/>
      <c r="AM83" s="21" t="s">
        <v>271</v>
      </c>
      <c r="AN83" s="2"/>
      <c r="AO83" s="3"/>
      <c r="AP83" s="23">
        <v>46163</v>
      </c>
      <c r="AQ83" s="2"/>
      <c r="AR83" s="3"/>
      <c r="AS83" s="19"/>
      <c r="AT83" s="2"/>
      <c r="AU83" s="3"/>
      <c r="AV83" s="19" t="s">
        <v>63</v>
      </c>
      <c r="AW83" s="2"/>
      <c r="AX83" s="3"/>
      <c r="AY83" s="19"/>
      <c r="AZ83" s="2"/>
      <c r="BA83" s="3"/>
      <c r="BB83" s="19" t="s">
        <v>272</v>
      </c>
      <c r="BC83" s="2"/>
      <c r="BD83" s="3"/>
      <c r="BE83" s="20">
        <v>46241</v>
      </c>
      <c r="BF83" s="2"/>
      <c r="BG83" s="3"/>
      <c r="BH83" s="19"/>
      <c r="BI83" s="2"/>
      <c r="BJ83" s="3"/>
      <c r="BK83" s="18"/>
      <c r="BL83" s="2"/>
      <c r="BM83" s="2"/>
      <c r="BN83" s="2"/>
      <c r="BO83" s="2"/>
      <c r="BP83" s="2"/>
      <c r="BQ83" s="3"/>
    </row>
    <row r="84" ht="255.75" customHeight="1" spans="1:69">
      <c r="A84" s="17">
        <v>66</v>
      </c>
      <c r="B84" s="18" t="s">
        <v>576</v>
      </c>
      <c r="C84" s="2"/>
      <c r="D84" s="3"/>
      <c r="E84" s="18" t="s">
        <v>577</v>
      </c>
      <c r="F84" s="2"/>
      <c r="G84" s="2"/>
      <c r="H84" s="2"/>
      <c r="I84" s="3"/>
      <c r="J84" s="18" t="s">
        <v>578</v>
      </c>
      <c r="K84" s="2"/>
      <c r="L84" s="2"/>
      <c r="M84" s="2"/>
      <c r="N84" s="2"/>
      <c r="O84" s="2"/>
      <c r="P84" s="3"/>
      <c r="Q84" s="18" t="s">
        <v>579</v>
      </c>
      <c r="R84" s="2"/>
      <c r="S84" s="2"/>
      <c r="T84" s="2"/>
      <c r="U84" s="2"/>
      <c r="V84" s="2"/>
      <c r="W84" s="3"/>
      <c r="X84" s="18" t="s">
        <v>580</v>
      </c>
      <c r="Y84" s="2"/>
      <c r="Z84" s="2"/>
      <c r="AA84" s="2"/>
      <c r="AB84" s="2"/>
      <c r="AC84" s="2"/>
      <c r="AD84" s="3"/>
      <c r="AE84" s="19" t="s">
        <v>213</v>
      </c>
      <c r="AF84" s="3"/>
      <c r="AG84" s="21" t="s">
        <v>63</v>
      </c>
      <c r="AH84" s="2"/>
      <c r="AI84" s="3"/>
      <c r="AJ84" s="22"/>
      <c r="AK84" s="2"/>
      <c r="AL84" s="3"/>
      <c r="AM84" s="21" t="s">
        <v>271</v>
      </c>
      <c r="AN84" s="2"/>
      <c r="AO84" s="3"/>
      <c r="AP84" s="23">
        <v>46163</v>
      </c>
      <c r="AQ84" s="2"/>
      <c r="AR84" s="3"/>
      <c r="AS84" s="19"/>
      <c r="AT84" s="2"/>
      <c r="AU84" s="3"/>
      <c r="AV84" s="19" t="s">
        <v>63</v>
      </c>
      <c r="AW84" s="2"/>
      <c r="AX84" s="3"/>
      <c r="AY84" s="19"/>
      <c r="AZ84" s="2"/>
      <c r="BA84" s="3"/>
      <c r="BB84" s="19" t="s">
        <v>272</v>
      </c>
      <c r="BC84" s="2"/>
      <c r="BD84" s="3"/>
      <c r="BE84" s="20">
        <v>46241</v>
      </c>
      <c r="BF84" s="2"/>
      <c r="BG84" s="3"/>
      <c r="BH84" s="19"/>
      <c r="BI84" s="2"/>
      <c r="BJ84" s="3"/>
      <c r="BK84" s="18"/>
      <c r="BL84" s="2"/>
      <c r="BM84" s="2"/>
      <c r="BN84" s="2"/>
      <c r="BO84" s="2"/>
      <c r="BP84" s="2"/>
      <c r="BQ84" s="3"/>
    </row>
    <row r="85" ht="240" customHeight="1" spans="1:69">
      <c r="A85" s="17">
        <v>67</v>
      </c>
      <c r="B85" s="18" t="s">
        <v>581</v>
      </c>
      <c r="C85" s="2"/>
      <c r="D85" s="3"/>
      <c r="E85" s="18" t="s">
        <v>582</v>
      </c>
      <c r="F85" s="2"/>
      <c r="G85" s="2"/>
      <c r="H85" s="2"/>
      <c r="I85" s="3"/>
      <c r="J85" s="18" t="s">
        <v>583</v>
      </c>
      <c r="K85" s="2"/>
      <c r="L85" s="2"/>
      <c r="M85" s="2"/>
      <c r="N85" s="2"/>
      <c r="O85" s="2"/>
      <c r="P85" s="3"/>
      <c r="Q85" s="18" t="s">
        <v>584</v>
      </c>
      <c r="R85" s="2"/>
      <c r="S85" s="2"/>
      <c r="T85" s="2"/>
      <c r="U85" s="2"/>
      <c r="V85" s="2"/>
      <c r="W85" s="3"/>
      <c r="X85" s="18" t="s">
        <v>585</v>
      </c>
      <c r="Y85" s="2"/>
      <c r="Z85" s="2"/>
      <c r="AA85" s="2"/>
      <c r="AB85" s="2"/>
      <c r="AC85" s="2"/>
      <c r="AD85" s="3"/>
      <c r="AE85" s="19" t="s">
        <v>213</v>
      </c>
      <c r="AF85" s="3"/>
      <c r="AG85" s="21" t="s">
        <v>63</v>
      </c>
      <c r="AH85" s="2"/>
      <c r="AI85" s="3"/>
      <c r="AJ85" s="22"/>
      <c r="AK85" s="2"/>
      <c r="AL85" s="3"/>
      <c r="AM85" s="21" t="s">
        <v>271</v>
      </c>
      <c r="AN85" s="2"/>
      <c r="AO85" s="3"/>
      <c r="AP85" s="23">
        <v>46163</v>
      </c>
      <c r="AQ85" s="2"/>
      <c r="AR85" s="3"/>
      <c r="AS85" s="19"/>
      <c r="AT85" s="2"/>
      <c r="AU85" s="3"/>
      <c r="AV85" s="19" t="s">
        <v>63</v>
      </c>
      <c r="AW85" s="2"/>
      <c r="AX85" s="3"/>
      <c r="AY85" s="19"/>
      <c r="AZ85" s="2"/>
      <c r="BA85" s="3"/>
      <c r="BB85" s="19" t="s">
        <v>272</v>
      </c>
      <c r="BC85" s="2"/>
      <c r="BD85" s="3"/>
      <c r="BE85" s="20">
        <v>46241</v>
      </c>
      <c r="BF85" s="2"/>
      <c r="BG85" s="3"/>
      <c r="BH85" s="19"/>
      <c r="BI85" s="2"/>
      <c r="BJ85" s="3"/>
      <c r="BK85" s="18" t="s">
        <v>586</v>
      </c>
      <c r="BL85" s="2"/>
      <c r="BM85" s="2"/>
      <c r="BN85" s="2"/>
      <c r="BO85" s="2"/>
      <c r="BP85" s="2"/>
      <c r="BQ85" s="3"/>
    </row>
    <row r="86" ht="409.5" customHeight="1" spans="1:69">
      <c r="A86" s="17">
        <v>68</v>
      </c>
      <c r="B86" s="18" t="s">
        <v>587</v>
      </c>
      <c r="C86" s="2"/>
      <c r="D86" s="3"/>
      <c r="E86" s="18" t="s">
        <v>588</v>
      </c>
      <c r="F86" s="2"/>
      <c r="G86" s="2"/>
      <c r="H86" s="2"/>
      <c r="I86" s="3"/>
      <c r="J86" s="18" t="s">
        <v>589</v>
      </c>
      <c r="K86" s="2"/>
      <c r="L86" s="2"/>
      <c r="M86" s="2"/>
      <c r="N86" s="2"/>
      <c r="O86" s="2"/>
      <c r="P86" s="3"/>
      <c r="Q86" s="18" t="s">
        <v>590</v>
      </c>
      <c r="R86" s="2"/>
      <c r="S86" s="2"/>
      <c r="T86" s="2"/>
      <c r="U86" s="2"/>
      <c r="V86" s="2"/>
      <c r="W86" s="3"/>
      <c r="X86" s="18" t="s">
        <v>591</v>
      </c>
      <c r="Y86" s="2"/>
      <c r="Z86" s="2"/>
      <c r="AA86" s="2"/>
      <c r="AB86" s="2"/>
      <c r="AC86" s="2"/>
      <c r="AD86" s="3"/>
      <c r="AE86" s="19" t="s">
        <v>270</v>
      </c>
      <c r="AF86" s="3"/>
      <c r="AG86" s="21" t="s">
        <v>63</v>
      </c>
      <c r="AH86" s="2"/>
      <c r="AI86" s="3"/>
      <c r="AJ86" s="22"/>
      <c r="AK86" s="2"/>
      <c r="AL86" s="3"/>
      <c r="AM86" s="21" t="s">
        <v>271</v>
      </c>
      <c r="AN86" s="2"/>
      <c r="AO86" s="3"/>
      <c r="AP86" s="23">
        <v>46163</v>
      </c>
      <c r="AQ86" s="2"/>
      <c r="AR86" s="3"/>
      <c r="AS86" s="19"/>
      <c r="AT86" s="2"/>
      <c r="AU86" s="3"/>
      <c r="AV86" s="19" t="s">
        <v>63</v>
      </c>
      <c r="AW86" s="2"/>
      <c r="AX86" s="3"/>
      <c r="AY86" s="19"/>
      <c r="AZ86" s="2"/>
      <c r="BA86" s="3"/>
      <c r="BB86" s="19" t="s">
        <v>272</v>
      </c>
      <c r="BC86" s="2"/>
      <c r="BD86" s="3"/>
      <c r="BE86" s="20">
        <v>46241</v>
      </c>
      <c r="BF86" s="2"/>
      <c r="BG86" s="3"/>
      <c r="BH86" s="19"/>
      <c r="BI86" s="2"/>
      <c r="BJ86" s="3"/>
      <c r="BK86" s="18"/>
      <c r="BL86" s="2"/>
      <c r="BM86" s="2"/>
      <c r="BN86" s="2"/>
      <c r="BO86" s="2"/>
      <c r="BP86" s="2"/>
      <c r="BQ86" s="3"/>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9">
    <mergeCell ref="A1:E1"/>
    <mergeCell ref="F1:Q1"/>
    <mergeCell ref="R1:V1"/>
    <mergeCell ref="W1:AH1"/>
    <mergeCell ref="A2:E2"/>
    <mergeCell ref="F2:Q2"/>
    <mergeCell ref="R2:V2"/>
    <mergeCell ref="W2:AH2"/>
    <mergeCell ref="A3:E3"/>
    <mergeCell ref="F3:Q3"/>
    <mergeCell ref="R3:V3"/>
    <mergeCell ref="W3:AH3"/>
    <mergeCell ref="A4:E4"/>
    <mergeCell ref="F4:AH4"/>
    <mergeCell ref="A5:S5"/>
    <mergeCell ref="T5:AH5"/>
    <mergeCell ref="A6:G6"/>
    <mergeCell ref="H6:J6"/>
    <mergeCell ref="K6:M6"/>
    <mergeCell ref="N6:P6"/>
    <mergeCell ref="Q6:S6"/>
    <mergeCell ref="T6:V6"/>
    <mergeCell ref="W6:Y6"/>
    <mergeCell ref="Z6:AB6"/>
    <mergeCell ref="AC6:AE6"/>
    <mergeCell ref="AF6:AH6"/>
    <mergeCell ref="A7:G7"/>
    <mergeCell ref="H7:J7"/>
    <mergeCell ref="K7:M7"/>
    <mergeCell ref="N7:P7"/>
    <mergeCell ref="Q7:S7"/>
    <mergeCell ref="T7:V7"/>
    <mergeCell ref="W7:Y7"/>
    <mergeCell ref="Z7:AB7"/>
    <mergeCell ref="AC7:AE7"/>
    <mergeCell ref="AF7:AH7"/>
    <mergeCell ref="A8:G8"/>
    <mergeCell ref="H8:J8"/>
    <mergeCell ref="K8:M8"/>
    <mergeCell ref="N8:P8"/>
    <mergeCell ref="Q8:S8"/>
    <mergeCell ref="T8:V8"/>
    <mergeCell ref="W8:Y8"/>
    <mergeCell ref="Z8:AB8"/>
    <mergeCell ref="AC8:AE8"/>
    <mergeCell ref="AF8:AH8"/>
    <mergeCell ref="AG10:AU10"/>
    <mergeCell ref="AV10:BJ10"/>
    <mergeCell ref="AG11:AI11"/>
    <mergeCell ref="AJ11:AL11"/>
    <mergeCell ref="AM11:AO11"/>
    <mergeCell ref="AP11:AR11"/>
    <mergeCell ref="AS11:AU11"/>
    <mergeCell ref="AV11:AX11"/>
    <mergeCell ref="AY11:BA11"/>
    <mergeCell ref="BB11:BD11"/>
    <mergeCell ref="BE11:BG11"/>
    <mergeCell ref="BH11:BJ11"/>
    <mergeCell ref="A12:BQ12"/>
    <mergeCell ref="B13:D13"/>
    <mergeCell ref="E13:I13"/>
    <mergeCell ref="J13:P13"/>
    <mergeCell ref="Q13:W13"/>
    <mergeCell ref="X13:AD13"/>
    <mergeCell ref="AE13:AF13"/>
    <mergeCell ref="AG13:AI13"/>
    <mergeCell ref="AJ13:AL13"/>
    <mergeCell ref="AM13:AO13"/>
    <mergeCell ref="AP13:AR13"/>
    <mergeCell ref="AS13:AU13"/>
    <mergeCell ref="AV13:AX13"/>
    <mergeCell ref="AY13:BA13"/>
    <mergeCell ref="BB13:BD13"/>
    <mergeCell ref="BE13:BG13"/>
    <mergeCell ref="BH13:BJ13"/>
    <mergeCell ref="BK13:BQ13"/>
    <mergeCell ref="B14:D14"/>
    <mergeCell ref="E14:I14"/>
    <mergeCell ref="J14:P14"/>
    <mergeCell ref="Q14:W14"/>
    <mergeCell ref="X14:AD14"/>
    <mergeCell ref="AE14:AF14"/>
    <mergeCell ref="AG14:AI14"/>
    <mergeCell ref="AJ14:AL14"/>
    <mergeCell ref="AM14:AO14"/>
    <mergeCell ref="AP14:AR14"/>
    <mergeCell ref="AS14:AU14"/>
    <mergeCell ref="AV14:AX14"/>
    <mergeCell ref="AY14:BA14"/>
    <mergeCell ref="BB14:BD14"/>
    <mergeCell ref="BE14:BG14"/>
    <mergeCell ref="BH14:BJ14"/>
    <mergeCell ref="BK14:BQ14"/>
    <mergeCell ref="B15:D15"/>
    <mergeCell ref="E15:I15"/>
    <mergeCell ref="J15:P15"/>
    <mergeCell ref="Q15:W15"/>
    <mergeCell ref="X15:AD15"/>
    <mergeCell ref="AE15:AF15"/>
    <mergeCell ref="AG15:AI15"/>
    <mergeCell ref="AJ15:AL15"/>
    <mergeCell ref="AM15:AO15"/>
    <mergeCell ref="AP15:AR15"/>
    <mergeCell ref="AS15:AU15"/>
    <mergeCell ref="AV15:AX15"/>
    <mergeCell ref="AY15:BA15"/>
    <mergeCell ref="BB15:BD15"/>
    <mergeCell ref="BE15:BG15"/>
    <mergeCell ref="BH15:BJ15"/>
    <mergeCell ref="BK15:BQ15"/>
    <mergeCell ref="B16:D16"/>
    <mergeCell ref="E16:I16"/>
    <mergeCell ref="J16:P16"/>
    <mergeCell ref="Q16:W16"/>
    <mergeCell ref="X16:AD16"/>
    <mergeCell ref="AE16:AF16"/>
    <mergeCell ref="AG16:AI16"/>
    <mergeCell ref="AJ16:AL16"/>
    <mergeCell ref="AM16:AO16"/>
    <mergeCell ref="AP16:AR16"/>
    <mergeCell ref="AS16:AU16"/>
    <mergeCell ref="AV16:AX16"/>
    <mergeCell ref="AY16:BA16"/>
    <mergeCell ref="BB16:BD16"/>
    <mergeCell ref="BE16:BG16"/>
    <mergeCell ref="BH16:BJ16"/>
    <mergeCell ref="BK16:BQ16"/>
    <mergeCell ref="B17:D17"/>
    <mergeCell ref="E17:I17"/>
    <mergeCell ref="J17:P17"/>
    <mergeCell ref="Q17:W17"/>
    <mergeCell ref="X17:AD17"/>
    <mergeCell ref="AE17:AF17"/>
    <mergeCell ref="AG17:AI17"/>
    <mergeCell ref="AJ17:AL17"/>
    <mergeCell ref="AM17:AO17"/>
    <mergeCell ref="AP17:AR17"/>
    <mergeCell ref="AS17:AU17"/>
    <mergeCell ref="AV17:AX17"/>
    <mergeCell ref="AY17:BA17"/>
    <mergeCell ref="BB17:BD17"/>
    <mergeCell ref="BE17:BG17"/>
    <mergeCell ref="BH17:BJ17"/>
    <mergeCell ref="BK17:BQ17"/>
    <mergeCell ref="A18:BQ18"/>
    <mergeCell ref="B19:D19"/>
    <mergeCell ref="E19:I19"/>
    <mergeCell ref="J19:P19"/>
    <mergeCell ref="Q19:W19"/>
    <mergeCell ref="X19:AD19"/>
    <mergeCell ref="AE19:AF19"/>
    <mergeCell ref="AG19:AI19"/>
    <mergeCell ref="AJ19:AL19"/>
    <mergeCell ref="AM19:AO19"/>
    <mergeCell ref="AP19:AR19"/>
    <mergeCell ref="AS19:AU19"/>
    <mergeCell ref="AV19:AX19"/>
    <mergeCell ref="AY19:BA19"/>
    <mergeCell ref="BB19:BD19"/>
    <mergeCell ref="BE19:BG19"/>
    <mergeCell ref="BH19:BJ19"/>
    <mergeCell ref="BK19:BQ19"/>
    <mergeCell ref="B20:D20"/>
    <mergeCell ref="E20:I20"/>
    <mergeCell ref="J20:P20"/>
    <mergeCell ref="Q20:W20"/>
    <mergeCell ref="X20:AD20"/>
    <mergeCell ref="AE20:AF20"/>
    <mergeCell ref="AG20:AI20"/>
    <mergeCell ref="AJ20:AL20"/>
    <mergeCell ref="AM20:AO20"/>
    <mergeCell ref="AP20:AR20"/>
    <mergeCell ref="AS20:AU20"/>
    <mergeCell ref="AV20:AX20"/>
    <mergeCell ref="AY20:BA20"/>
    <mergeCell ref="BB20:BD20"/>
    <mergeCell ref="BE20:BG20"/>
    <mergeCell ref="BH20:BJ20"/>
    <mergeCell ref="BK20:BQ20"/>
    <mergeCell ref="B21:D21"/>
    <mergeCell ref="E21:I21"/>
    <mergeCell ref="J21:P21"/>
    <mergeCell ref="Q21:W21"/>
    <mergeCell ref="X21:AD21"/>
    <mergeCell ref="AE21:AF21"/>
    <mergeCell ref="AG21:AI21"/>
    <mergeCell ref="AJ21:AL21"/>
    <mergeCell ref="AM21:AO21"/>
    <mergeCell ref="AP21:AR21"/>
    <mergeCell ref="AS21:AU21"/>
    <mergeCell ref="AV21:AX21"/>
    <mergeCell ref="AY21:BA21"/>
    <mergeCell ref="BB21:BD21"/>
    <mergeCell ref="BE21:BG21"/>
    <mergeCell ref="BH21:BJ21"/>
    <mergeCell ref="BK21:BQ21"/>
    <mergeCell ref="B22:D22"/>
    <mergeCell ref="E22:I22"/>
    <mergeCell ref="J22:P22"/>
    <mergeCell ref="Q22:W22"/>
    <mergeCell ref="X22:AD22"/>
    <mergeCell ref="AE22:AF22"/>
    <mergeCell ref="AG22:AI22"/>
    <mergeCell ref="AJ22:AL22"/>
    <mergeCell ref="AM22:AO22"/>
    <mergeCell ref="AP22:AR22"/>
    <mergeCell ref="AS22:AU22"/>
    <mergeCell ref="AV22:AX22"/>
    <mergeCell ref="AY22:BA22"/>
    <mergeCell ref="BB22:BD22"/>
    <mergeCell ref="BE22:BG22"/>
    <mergeCell ref="BH22:BJ22"/>
    <mergeCell ref="BK22:BQ22"/>
    <mergeCell ref="B23:D23"/>
    <mergeCell ref="E23:I23"/>
    <mergeCell ref="J23:P23"/>
    <mergeCell ref="Q23:W23"/>
    <mergeCell ref="X23:AD23"/>
    <mergeCell ref="AE23:AF23"/>
    <mergeCell ref="AG23:AI23"/>
    <mergeCell ref="AJ23:AL23"/>
    <mergeCell ref="AM23:AO23"/>
    <mergeCell ref="AP23:AR23"/>
    <mergeCell ref="AS23:AU23"/>
    <mergeCell ref="AV23:AX23"/>
    <mergeCell ref="AY23:BA23"/>
    <mergeCell ref="BB23:BD23"/>
    <mergeCell ref="BE23:BG23"/>
    <mergeCell ref="BH23:BJ23"/>
    <mergeCell ref="BK23:BQ23"/>
    <mergeCell ref="B24:D24"/>
    <mergeCell ref="E24:I24"/>
    <mergeCell ref="J24:P24"/>
    <mergeCell ref="Q24:W24"/>
    <mergeCell ref="X24:AD24"/>
    <mergeCell ref="AE24:AF24"/>
    <mergeCell ref="AG24:AI24"/>
    <mergeCell ref="AJ24:AL24"/>
    <mergeCell ref="AM24:AO24"/>
    <mergeCell ref="AP24:AR24"/>
    <mergeCell ref="AS24:AU24"/>
    <mergeCell ref="AV24:AX24"/>
    <mergeCell ref="AY24:BA24"/>
    <mergeCell ref="BB24:BD24"/>
    <mergeCell ref="BE24:BG24"/>
    <mergeCell ref="BH24:BJ24"/>
    <mergeCell ref="BK24:BQ24"/>
    <mergeCell ref="B25:D25"/>
    <mergeCell ref="E25:I25"/>
    <mergeCell ref="J25:P25"/>
    <mergeCell ref="Q25:W25"/>
    <mergeCell ref="X25:AD25"/>
    <mergeCell ref="AE25:AF25"/>
    <mergeCell ref="AG25:AI25"/>
    <mergeCell ref="AJ25:AL25"/>
    <mergeCell ref="AM25:AO25"/>
    <mergeCell ref="AP25:AR25"/>
    <mergeCell ref="AS25:AU25"/>
    <mergeCell ref="AV25:AX25"/>
    <mergeCell ref="AY25:BA25"/>
    <mergeCell ref="BB25:BD25"/>
    <mergeCell ref="BE25:BG25"/>
    <mergeCell ref="BH25:BJ25"/>
    <mergeCell ref="BK25:BQ25"/>
    <mergeCell ref="A26:BQ26"/>
    <mergeCell ref="B27:D27"/>
    <mergeCell ref="E27:I27"/>
    <mergeCell ref="J27:P27"/>
    <mergeCell ref="Q27:W27"/>
    <mergeCell ref="X27:AD27"/>
    <mergeCell ref="AE27:AF27"/>
    <mergeCell ref="AG27:AI27"/>
    <mergeCell ref="AJ27:AL27"/>
    <mergeCell ref="AM27:AO27"/>
    <mergeCell ref="AP27:AR27"/>
    <mergeCell ref="AS27:AU27"/>
    <mergeCell ref="AV27:AX27"/>
    <mergeCell ref="AY27:BA27"/>
    <mergeCell ref="BB27:BD27"/>
    <mergeCell ref="BE27:BG27"/>
    <mergeCell ref="BH27:BJ27"/>
    <mergeCell ref="BK27:BQ27"/>
    <mergeCell ref="B28:D28"/>
    <mergeCell ref="E28:I28"/>
    <mergeCell ref="J28:P28"/>
    <mergeCell ref="Q28:W28"/>
    <mergeCell ref="X28:AD28"/>
    <mergeCell ref="AE28:AF28"/>
    <mergeCell ref="AG28:AI28"/>
    <mergeCell ref="AJ28:AL28"/>
    <mergeCell ref="AM28:AO28"/>
    <mergeCell ref="AP28:AR28"/>
    <mergeCell ref="AS28:AU28"/>
    <mergeCell ref="AV28:AX28"/>
    <mergeCell ref="AY28:BA28"/>
    <mergeCell ref="BB28:BD28"/>
    <mergeCell ref="BE28:BG28"/>
    <mergeCell ref="BH28:BJ28"/>
    <mergeCell ref="BK28:BQ28"/>
    <mergeCell ref="B29:D29"/>
    <mergeCell ref="E29:I29"/>
    <mergeCell ref="J29:P29"/>
    <mergeCell ref="Q29:W29"/>
    <mergeCell ref="X29:AD29"/>
    <mergeCell ref="AE29:AF29"/>
    <mergeCell ref="AG29:AI29"/>
    <mergeCell ref="AJ29:AL29"/>
    <mergeCell ref="AM29:AO29"/>
    <mergeCell ref="AP29:AR29"/>
    <mergeCell ref="AS29:AU29"/>
    <mergeCell ref="AV29:AX29"/>
    <mergeCell ref="AY29:BA29"/>
    <mergeCell ref="BB29:BD29"/>
    <mergeCell ref="BE29:BG29"/>
    <mergeCell ref="BH29:BJ29"/>
    <mergeCell ref="BK29:BQ29"/>
    <mergeCell ref="A30:BQ30"/>
    <mergeCell ref="B31:D31"/>
    <mergeCell ref="E31:I31"/>
    <mergeCell ref="J31:P31"/>
    <mergeCell ref="Q31:W31"/>
    <mergeCell ref="X31:AD31"/>
    <mergeCell ref="AE31:AF31"/>
    <mergeCell ref="AG31:AI31"/>
    <mergeCell ref="AJ31:AL31"/>
    <mergeCell ref="AM31:AO31"/>
    <mergeCell ref="AP31:AR31"/>
    <mergeCell ref="AS31:AU31"/>
    <mergeCell ref="AV31:AX31"/>
    <mergeCell ref="AY31:BA31"/>
    <mergeCell ref="BB31:BD31"/>
    <mergeCell ref="BE31:BG31"/>
    <mergeCell ref="BH31:BJ31"/>
    <mergeCell ref="BK31:BQ31"/>
    <mergeCell ref="B32:D32"/>
    <mergeCell ref="E32:I32"/>
    <mergeCell ref="J32:P32"/>
    <mergeCell ref="Q32:W32"/>
    <mergeCell ref="X32:AD32"/>
    <mergeCell ref="AE32:AF32"/>
    <mergeCell ref="AG32:AI32"/>
    <mergeCell ref="AJ32:AL32"/>
    <mergeCell ref="AM32:AO32"/>
    <mergeCell ref="AP32:AR32"/>
    <mergeCell ref="AS32:AU32"/>
    <mergeCell ref="AV32:AX32"/>
    <mergeCell ref="AY32:BA32"/>
    <mergeCell ref="BB32:BD32"/>
    <mergeCell ref="BE32:BG32"/>
    <mergeCell ref="BH32:BJ32"/>
    <mergeCell ref="BK32:BQ32"/>
    <mergeCell ref="B33:D33"/>
    <mergeCell ref="E33:I33"/>
    <mergeCell ref="J33:P33"/>
    <mergeCell ref="Q33:W33"/>
    <mergeCell ref="X33:AD33"/>
    <mergeCell ref="AE33:AF33"/>
    <mergeCell ref="AG33:AI33"/>
    <mergeCell ref="AJ33:AL33"/>
    <mergeCell ref="AM33:AO33"/>
    <mergeCell ref="AP33:AR33"/>
    <mergeCell ref="AS33:AU33"/>
    <mergeCell ref="AV33:AX33"/>
    <mergeCell ref="AY33:BA33"/>
    <mergeCell ref="BB33:BD33"/>
    <mergeCell ref="BE33:BG33"/>
    <mergeCell ref="BH33:BJ33"/>
    <mergeCell ref="BK33:BQ33"/>
    <mergeCell ref="B34:D34"/>
    <mergeCell ref="E34:I34"/>
    <mergeCell ref="J34:P34"/>
    <mergeCell ref="Q34:W34"/>
    <mergeCell ref="X34:AD34"/>
    <mergeCell ref="AE34:AF34"/>
    <mergeCell ref="AG34:AI34"/>
    <mergeCell ref="AJ34:AL34"/>
    <mergeCell ref="AM34:AO34"/>
    <mergeCell ref="AP34:AR34"/>
    <mergeCell ref="AS34:AU34"/>
    <mergeCell ref="AV34:AX34"/>
    <mergeCell ref="AY34:BA34"/>
    <mergeCell ref="BB34:BD34"/>
    <mergeCell ref="BE34:BG34"/>
    <mergeCell ref="BH34:BJ34"/>
    <mergeCell ref="BK34:BQ34"/>
    <mergeCell ref="B35:D35"/>
    <mergeCell ref="E35:I35"/>
    <mergeCell ref="J35:P35"/>
    <mergeCell ref="Q35:W35"/>
    <mergeCell ref="X35:AD35"/>
    <mergeCell ref="AE35:AF35"/>
    <mergeCell ref="AG35:AI35"/>
    <mergeCell ref="AJ35:AL35"/>
    <mergeCell ref="AM35:AO35"/>
    <mergeCell ref="AP35:AR35"/>
    <mergeCell ref="AS35:AU35"/>
    <mergeCell ref="AV35:AX35"/>
    <mergeCell ref="AY35:BA35"/>
    <mergeCell ref="BB35:BD35"/>
    <mergeCell ref="BE35:BG35"/>
    <mergeCell ref="BH35:BJ35"/>
    <mergeCell ref="BK35:BQ35"/>
    <mergeCell ref="B36:D36"/>
    <mergeCell ref="E36:I36"/>
    <mergeCell ref="J36:P36"/>
    <mergeCell ref="Q36:W36"/>
    <mergeCell ref="X36:AD36"/>
    <mergeCell ref="AE36:AF36"/>
    <mergeCell ref="AG36:AI36"/>
    <mergeCell ref="AJ36:AL36"/>
    <mergeCell ref="AM36:AO36"/>
    <mergeCell ref="AP36:AR36"/>
    <mergeCell ref="AS36:AU36"/>
    <mergeCell ref="AV36:AX36"/>
    <mergeCell ref="AY36:BA36"/>
    <mergeCell ref="BB36:BD36"/>
    <mergeCell ref="BE36:BG36"/>
    <mergeCell ref="BH36:BJ36"/>
    <mergeCell ref="BK36:BQ36"/>
    <mergeCell ref="B37:D37"/>
    <mergeCell ref="E37:I37"/>
    <mergeCell ref="J37:P37"/>
    <mergeCell ref="Q37:W37"/>
    <mergeCell ref="X37:AD37"/>
    <mergeCell ref="AE37:AF37"/>
    <mergeCell ref="AG37:AI37"/>
    <mergeCell ref="AJ37:AL37"/>
    <mergeCell ref="AM37:AO37"/>
    <mergeCell ref="AP37:AR37"/>
    <mergeCell ref="AS37:AU37"/>
    <mergeCell ref="AV37:AX37"/>
    <mergeCell ref="AY37:BA37"/>
    <mergeCell ref="BB37:BD37"/>
    <mergeCell ref="BE37:BG37"/>
    <mergeCell ref="BH37:BJ37"/>
    <mergeCell ref="BK37:BQ37"/>
    <mergeCell ref="B38:D38"/>
    <mergeCell ref="E38:I38"/>
    <mergeCell ref="J38:P38"/>
    <mergeCell ref="Q38:W38"/>
    <mergeCell ref="X38:AD38"/>
    <mergeCell ref="AE38:AF38"/>
    <mergeCell ref="AG38:AI38"/>
    <mergeCell ref="AJ38:AL38"/>
    <mergeCell ref="AM38:AO38"/>
    <mergeCell ref="AP38:AR38"/>
    <mergeCell ref="AS38:AU38"/>
    <mergeCell ref="AV38:AX38"/>
    <mergeCell ref="AY38:BA38"/>
    <mergeCell ref="BB38:BD38"/>
    <mergeCell ref="BE38:BG38"/>
    <mergeCell ref="BH38:BJ38"/>
    <mergeCell ref="BK38:BQ38"/>
    <mergeCell ref="B39:D39"/>
    <mergeCell ref="E39:I39"/>
    <mergeCell ref="J39:P39"/>
    <mergeCell ref="Q39:W39"/>
    <mergeCell ref="X39:AD39"/>
    <mergeCell ref="AE39:AF39"/>
    <mergeCell ref="AG39:AI39"/>
    <mergeCell ref="AJ39:AL39"/>
    <mergeCell ref="AM39:AO39"/>
    <mergeCell ref="AP39:AR39"/>
    <mergeCell ref="AS39:AU39"/>
    <mergeCell ref="AV39:AX39"/>
    <mergeCell ref="AY39:BA39"/>
    <mergeCell ref="BB39:BD39"/>
    <mergeCell ref="BE39:BG39"/>
    <mergeCell ref="BH39:BJ39"/>
    <mergeCell ref="BK39:BQ39"/>
    <mergeCell ref="B40:D40"/>
    <mergeCell ref="E40:I40"/>
    <mergeCell ref="J40:P40"/>
    <mergeCell ref="Q40:W40"/>
    <mergeCell ref="X40:AD40"/>
    <mergeCell ref="AE40:AF40"/>
    <mergeCell ref="AG40:AI40"/>
    <mergeCell ref="AJ40:AL40"/>
    <mergeCell ref="AM40:AO40"/>
    <mergeCell ref="AP40:AR40"/>
    <mergeCell ref="AS40:AU40"/>
    <mergeCell ref="AV40:AX40"/>
    <mergeCell ref="AY40:BA40"/>
    <mergeCell ref="BB40:BD40"/>
    <mergeCell ref="BE40:BG40"/>
    <mergeCell ref="BH40:BJ40"/>
    <mergeCell ref="BK40:BQ40"/>
    <mergeCell ref="B41:D41"/>
    <mergeCell ref="E41:I41"/>
    <mergeCell ref="J41:P41"/>
    <mergeCell ref="Q41:W41"/>
    <mergeCell ref="X41:AD41"/>
    <mergeCell ref="AE41:AF41"/>
    <mergeCell ref="AG41:AI41"/>
    <mergeCell ref="AJ41:AL41"/>
    <mergeCell ref="AM41:AO41"/>
    <mergeCell ref="AP41:AR41"/>
    <mergeCell ref="AS41:AU41"/>
    <mergeCell ref="AV41:AX41"/>
    <mergeCell ref="AY41:BA41"/>
    <mergeCell ref="BB41:BD41"/>
    <mergeCell ref="BE41:BG41"/>
    <mergeCell ref="BH41:BJ41"/>
    <mergeCell ref="BK41:BQ41"/>
    <mergeCell ref="B42:D42"/>
    <mergeCell ref="E42:I42"/>
    <mergeCell ref="J42:P42"/>
    <mergeCell ref="Q42:W42"/>
    <mergeCell ref="X42:AD42"/>
    <mergeCell ref="AE42:AF42"/>
    <mergeCell ref="AG42:AI42"/>
    <mergeCell ref="AJ42:AL42"/>
    <mergeCell ref="AM42:AO42"/>
    <mergeCell ref="AP42:AR42"/>
    <mergeCell ref="AS42:AU42"/>
    <mergeCell ref="AV42:AX42"/>
    <mergeCell ref="AY42:BA42"/>
    <mergeCell ref="BB42:BD42"/>
    <mergeCell ref="BE42:BG42"/>
    <mergeCell ref="BH42:BJ42"/>
    <mergeCell ref="BK42:BQ42"/>
    <mergeCell ref="B43:D43"/>
    <mergeCell ref="E43:I43"/>
    <mergeCell ref="J43:P43"/>
    <mergeCell ref="Q43:W43"/>
    <mergeCell ref="X43:AD43"/>
    <mergeCell ref="AE43:AF43"/>
    <mergeCell ref="AG43:AI43"/>
    <mergeCell ref="AJ43:AL43"/>
    <mergeCell ref="AM43:AO43"/>
    <mergeCell ref="AP43:AR43"/>
    <mergeCell ref="AS43:AU43"/>
    <mergeCell ref="AV43:AX43"/>
    <mergeCell ref="AY43:BA43"/>
    <mergeCell ref="BB43:BD43"/>
    <mergeCell ref="BE43:BG43"/>
    <mergeCell ref="BH43:BJ43"/>
    <mergeCell ref="BK43:BQ43"/>
    <mergeCell ref="B44:D44"/>
    <mergeCell ref="E44:I44"/>
    <mergeCell ref="J44:P44"/>
    <mergeCell ref="Q44:W44"/>
    <mergeCell ref="X44:AD44"/>
    <mergeCell ref="AE44:AF44"/>
    <mergeCell ref="AG44:AI44"/>
    <mergeCell ref="AJ44:AL44"/>
    <mergeCell ref="AM44:AO44"/>
    <mergeCell ref="AP44:AR44"/>
    <mergeCell ref="AS44:AU44"/>
    <mergeCell ref="AV44:AX44"/>
    <mergeCell ref="AY44:BA44"/>
    <mergeCell ref="BB44:BD44"/>
    <mergeCell ref="BE44:BG44"/>
    <mergeCell ref="BH44:BJ44"/>
    <mergeCell ref="BK44:BQ44"/>
    <mergeCell ref="A45:BQ45"/>
    <mergeCell ref="B46:D46"/>
    <mergeCell ref="E46:I46"/>
    <mergeCell ref="J46:P46"/>
    <mergeCell ref="Q46:W46"/>
    <mergeCell ref="X46:AD46"/>
    <mergeCell ref="AE46:AF46"/>
    <mergeCell ref="AG46:AI46"/>
    <mergeCell ref="AJ46:AL46"/>
    <mergeCell ref="AM46:AO46"/>
    <mergeCell ref="AP46:AR46"/>
    <mergeCell ref="AS46:AU46"/>
    <mergeCell ref="AV46:AX46"/>
    <mergeCell ref="AY46:BA46"/>
    <mergeCell ref="BB46:BD46"/>
    <mergeCell ref="BE46:BG46"/>
    <mergeCell ref="BH46:BJ46"/>
    <mergeCell ref="BK46:BQ46"/>
    <mergeCell ref="B47:D47"/>
    <mergeCell ref="E47:I47"/>
    <mergeCell ref="J47:P47"/>
    <mergeCell ref="Q47:W47"/>
    <mergeCell ref="X47:AD47"/>
    <mergeCell ref="AE47:AF47"/>
    <mergeCell ref="AG47:AI47"/>
    <mergeCell ref="AJ47:AL47"/>
    <mergeCell ref="AM47:AO47"/>
    <mergeCell ref="AP47:AR47"/>
    <mergeCell ref="AS47:AU47"/>
    <mergeCell ref="AV47:AX47"/>
    <mergeCell ref="AY47:BA47"/>
    <mergeCell ref="BB47:BD47"/>
    <mergeCell ref="BE47:BG47"/>
    <mergeCell ref="BH47:BJ47"/>
    <mergeCell ref="BK47:BQ47"/>
    <mergeCell ref="B48:D48"/>
    <mergeCell ref="E48:I48"/>
    <mergeCell ref="J48:P48"/>
    <mergeCell ref="Q48:W48"/>
    <mergeCell ref="X48:AD48"/>
    <mergeCell ref="AE48:AF48"/>
    <mergeCell ref="AG48:AI48"/>
    <mergeCell ref="AJ48:AL48"/>
    <mergeCell ref="AM48:AO48"/>
    <mergeCell ref="AP48:AR48"/>
    <mergeCell ref="AS48:AU48"/>
    <mergeCell ref="AV48:AX48"/>
    <mergeCell ref="AY48:BA48"/>
    <mergeCell ref="BB48:BD48"/>
    <mergeCell ref="BE48:BG48"/>
    <mergeCell ref="BH48:BJ48"/>
    <mergeCell ref="BK48:BQ48"/>
    <mergeCell ref="B49:D49"/>
    <mergeCell ref="E49:I49"/>
    <mergeCell ref="J49:P49"/>
    <mergeCell ref="Q49:W49"/>
    <mergeCell ref="X49:AD49"/>
    <mergeCell ref="AE49:AF49"/>
    <mergeCell ref="AG49:AI49"/>
    <mergeCell ref="AJ49:AL49"/>
    <mergeCell ref="AM49:AO49"/>
    <mergeCell ref="AP49:AR49"/>
    <mergeCell ref="AS49:AU49"/>
    <mergeCell ref="AV49:AX49"/>
    <mergeCell ref="AY49:BA49"/>
    <mergeCell ref="BB49:BD49"/>
    <mergeCell ref="BE49:BG49"/>
    <mergeCell ref="BH49:BJ49"/>
    <mergeCell ref="BK49:BQ49"/>
    <mergeCell ref="B50:D50"/>
    <mergeCell ref="E50:I50"/>
    <mergeCell ref="J50:P50"/>
    <mergeCell ref="Q50:W50"/>
    <mergeCell ref="X50:AD50"/>
    <mergeCell ref="AE50:AF50"/>
    <mergeCell ref="AG50:AI50"/>
    <mergeCell ref="AJ50:AL50"/>
    <mergeCell ref="AM50:AO50"/>
    <mergeCell ref="AP50:AR50"/>
    <mergeCell ref="AS50:AU50"/>
    <mergeCell ref="AV50:AX50"/>
    <mergeCell ref="AY50:BA50"/>
    <mergeCell ref="BB50:BD50"/>
    <mergeCell ref="BE50:BG50"/>
    <mergeCell ref="BH50:BJ50"/>
    <mergeCell ref="BK50:BQ50"/>
    <mergeCell ref="B51:D51"/>
    <mergeCell ref="E51:I51"/>
    <mergeCell ref="J51:P51"/>
    <mergeCell ref="Q51:W51"/>
    <mergeCell ref="X51:AD51"/>
    <mergeCell ref="AE51:AF51"/>
    <mergeCell ref="AG51:AI51"/>
    <mergeCell ref="AJ51:AL51"/>
    <mergeCell ref="AM51:AO51"/>
    <mergeCell ref="AP51:AR51"/>
    <mergeCell ref="AS51:AU51"/>
    <mergeCell ref="AV51:AX51"/>
    <mergeCell ref="AY51:BA51"/>
    <mergeCell ref="BB51:BD51"/>
    <mergeCell ref="BE51:BG51"/>
    <mergeCell ref="BH51:BJ51"/>
    <mergeCell ref="BK51:BQ51"/>
    <mergeCell ref="B52:D52"/>
    <mergeCell ref="E52:I52"/>
    <mergeCell ref="J52:P52"/>
    <mergeCell ref="Q52:W52"/>
    <mergeCell ref="X52:AD52"/>
    <mergeCell ref="AE52:AF52"/>
    <mergeCell ref="AG52:AI52"/>
    <mergeCell ref="AJ52:AL52"/>
    <mergeCell ref="AM52:AO52"/>
    <mergeCell ref="AP52:AR52"/>
    <mergeCell ref="AS52:AU52"/>
    <mergeCell ref="AV52:AX52"/>
    <mergeCell ref="AY52:BA52"/>
    <mergeCell ref="BB52:BD52"/>
    <mergeCell ref="BE52:BG52"/>
    <mergeCell ref="BH52:BJ52"/>
    <mergeCell ref="BK52:BQ52"/>
    <mergeCell ref="B53:D53"/>
    <mergeCell ref="E53:I53"/>
    <mergeCell ref="J53:P53"/>
    <mergeCell ref="Q53:W53"/>
    <mergeCell ref="X53:AD53"/>
    <mergeCell ref="AE53:AF53"/>
    <mergeCell ref="AG53:AI53"/>
    <mergeCell ref="AJ53:AL53"/>
    <mergeCell ref="AM53:AO53"/>
    <mergeCell ref="AP53:AR53"/>
    <mergeCell ref="AS53:AU53"/>
    <mergeCell ref="AV53:AX53"/>
    <mergeCell ref="AY53:BA53"/>
    <mergeCell ref="BB53:BD53"/>
    <mergeCell ref="BE53:BG53"/>
    <mergeCell ref="BH53:BJ53"/>
    <mergeCell ref="BK53:BQ53"/>
    <mergeCell ref="B54:D54"/>
    <mergeCell ref="E54:I54"/>
    <mergeCell ref="J54:P54"/>
    <mergeCell ref="Q54:W54"/>
    <mergeCell ref="X54:AD54"/>
    <mergeCell ref="AE54:AF54"/>
    <mergeCell ref="AG54:AI54"/>
    <mergeCell ref="AJ54:AL54"/>
    <mergeCell ref="AM54:AO54"/>
    <mergeCell ref="AP54:AR54"/>
    <mergeCell ref="AS54:AU54"/>
    <mergeCell ref="AV54:AX54"/>
    <mergeCell ref="AY54:BA54"/>
    <mergeCell ref="BB54:BD54"/>
    <mergeCell ref="BE54:BG54"/>
    <mergeCell ref="BH54:BJ54"/>
    <mergeCell ref="BK54:BQ54"/>
    <mergeCell ref="B55:D55"/>
    <mergeCell ref="E55:I55"/>
    <mergeCell ref="J55:P55"/>
    <mergeCell ref="Q55:W55"/>
    <mergeCell ref="X55:AD55"/>
    <mergeCell ref="AE55:AF55"/>
    <mergeCell ref="AG55:AI55"/>
    <mergeCell ref="AJ55:AL55"/>
    <mergeCell ref="AM55:AO55"/>
    <mergeCell ref="AP55:AR55"/>
    <mergeCell ref="AS55:AU55"/>
    <mergeCell ref="AV55:AX55"/>
    <mergeCell ref="AY55:BA55"/>
    <mergeCell ref="BB55:BD55"/>
    <mergeCell ref="BE55:BG55"/>
    <mergeCell ref="BH55:BJ55"/>
    <mergeCell ref="BK55:BQ55"/>
    <mergeCell ref="B56:D56"/>
    <mergeCell ref="E56:I56"/>
    <mergeCell ref="J56:P56"/>
    <mergeCell ref="Q56:W56"/>
    <mergeCell ref="X56:AD56"/>
    <mergeCell ref="AE56:AF56"/>
    <mergeCell ref="AG56:AI56"/>
    <mergeCell ref="AJ56:AL56"/>
    <mergeCell ref="AM56:AO56"/>
    <mergeCell ref="AP56:AR56"/>
    <mergeCell ref="AS56:AU56"/>
    <mergeCell ref="AV56:AX56"/>
    <mergeCell ref="AY56:BA56"/>
    <mergeCell ref="BB56:BD56"/>
    <mergeCell ref="BE56:BG56"/>
    <mergeCell ref="BH56:BJ56"/>
    <mergeCell ref="BK56:BQ56"/>
    <mergeCell ref="B57:D57"/>
    <mergeCell ref="E57:I57"/>
    <mergeCell ref="J57:P57"/>
    <mergeCell ref="Q57:W57"/>
    <mergeCell ref="X57:AD57"/>
    <mergeCell ref="AE57:AF57"/>
    <mergeCell ref="AG57:AI57"/>
    <mergeCell ref="AJ57:AL57"/>
    <mergeCell ref="AM57:AO57"/>
    <mergeCell ref="AP57:AR57"/>
    <mergeCell ref="AS57:AU57"/>
    <mergeCell ref="AV57:AX57"/>
    <mergeCell ref="AY57:BA57"/>
    <mergeCell ref="BB57:BD57"/>
    <mergeCell ref="BE57:BG57"/>
    <mergeCell ref="BH57:BJ57"/>
    <mergeCell ref="BK57:BQ57"/>
    <mergeCell ref="B58:D58"/>
    <mergeCell ref="E58:I58"/>
    <mergeCell ref="J58:P58"/>
    <mergeCell ref="Q58:W58"/>
    <mergeCell ref="X58:AD58"/>
    <mergeCell ref="AE58:AF58"/>
    <mergeCell ref="AG58:AI58"/>
    <mergeCell ref="AJ58:AL58"/>
    <mergeCell ref="AM58:AO58"/>
    <mergeCell ref="AP58:AR58"/>
    <mergeCell ref="AS58:AU58"/>
    <mergeCell ref="AV58:AX58"/>
    <mergeCell ref="AY58:BA58"/>
    <mergeCell ref="BB58:BD58"/>
    <mergeCell ref="BE58:BG58"/>
    <mergeCell ref="BH58:BJ58"/>
    <mergeCell ref="BK58:BQ58"/>
    <mergeCell ref="B59:D59"/>
    <mergeCell ref="E59:I59"/>
    <mergeCell ref="J59:P59"/>
    <mergeCell ref="Q59:W59"/>
    <mergeCell ref="X59:AD59"/>
    <mergeCell ref="AE59:AF59"/>
    <mergeCell ref="AG59:AI59"/>
    <mergeCell ref="AJ59:AL59"/>
    <mergeCell ref="AM59:AO59"/>
    <mergeCell ref="AP59:AR59"/>
    <mergeCell ref="AS59:AU59"/>
    <mergeCell ref="AV59:AX59"/>
    <mergeCell ref="AY59:BA59"/>
    <mergeCell ref="BB59:BD59"/>
    <mergeCell ref="BE59:BG59"/>
    <mergeCell ref="BH59:BJ59"/>
    <mergeCell ref="BK59:BQ59"/>
    <mergeCell ref="B60:D60"/>
    <mergeCell ref="E60:I60"/>
    <mergeCell ref="J60:P60"/>
    <mergeCell ref="Q60:W60"/>
    <mergeCell ref="X60:AD60"/>
    <mergeCell ref="AE60:AF60"/>
    <mergeCell ref="AG60:AI60"/>
    <mergeCell ref="AJ60:AL60"/>
    <mergeCell ref="AM60:AO60"/>
    <mergeCell ref="AP60:AR60"/>
    <mergeCell ref="AS60:AU60"/>
    <mergeCell ref="AV60:AX60"/>
    <mergeCell ref="AY60:BA60"/>
    <mergeCell ref="BB60:BD60"/>
    <mergeCell ref="BE60:BG60"/>
    <mergeCell ref="BH60:BJ60"/>
    <mergeCell ref="BK60:BQ60"/>
    <mergeCell ref="B61:D61"/>
    <mergeCell ref="E61:I61"/>
    <mergeCell ref="J61:P61"/>
    <mergeCell ref="Q61:W61"/>
    <mergeCell ref="X61:AD61"/>
    <mergeCell ref="AE61:AF61"/>
    <mergeCell ref="AG61:AI61"/>
    <mergeCell ref="AJ61:AL61"/>
    <mergeCell ref="AM61:AO61"/>
    <mergeCell ref="AP61:AR61"/>
    <mergeCell ref="AS61:AU61"/>
    <mergeCell ref="AV61:AX61"/>
    <mergeCell ref="AY61:BA61"/>
    <mergeCell ref="BB61:BD61"/>
    <mergeCell ref="BE61:BG61"/>
    <mergeCell ref="BH61:BJ61"/>
    <mergeCell ref="BK61:BQ61"/>
    <mergeCell ref="B62:D62"/>
    <mergeCell ref="E62:I62"/>
    <mergeCell ref="J62:P62"/>
    <mergeCell ref="Q62:W62"/>
    <mergeCell ref="X62:AD62"/>
    <mergeCell ref="AE62:AF62"/>
    <mergeCell ref="AG62:AI62"/>
    <mergeCell ref="AJ62:AL62"/>
    <mergeCell ref="AM62:AO62"/>
    <mergeCell ref="AP62:AR62"/>
    <mergeCell ref="AS62:AU62"/>
    <mergeCell ref="AV62:AX62"/>
    <mergeCell ref="AY62:BA62"/>
    <mergeCell ref="BB62:BD62"/>
    <mergeCell ref="BE62:BG62"/>
    <mergeCell ref="BH62:BJ62"/>
    <mergeCell ref="BK62:BQ62"/>
    <mergeCell ref="A63:BQ63"/>
    <mergeCell ref="B64:D64"/>
    <mergeCell ref="E64:I64"/>
    <mergeCell ref="J64:P64"/>
    <mergeCell ref="Q64:W64"/>
    <mergeCell ref="X64:AD64"/>
    <mergeCell ref="AE64:AF64"/>
    <mergeCell ref="AG64:AI64"/>
    <mergeCell ref="AJ64:AL64"/>
    <mergeCell ref="AM64:AO64"/>
    <mergeCell ref="AP64:AR64"/>
    <mergeCell ref="AS64:AU64"/>
    <mergeCell ref="AV64:AX64"/>
    <mergeCell ref="AY64:BA64"/>
    <mergeCell ref="BB64:BD64"/>
    <mergeCell ref="BE64:BG64"/>
    <mergeCell ref="BH64:BJ64"/>
    <mergeCell ref="BK64:BQ64"/>
    <mergeCell ref="B65:D65"/>
    <mergeCell ref="E65:I65"/>
    <mergeCell ref="J65:P65"/>
    <mergeCell ref="Q65:W65"/>
    <mergeCell ref="X65:AD65"/>
    <mergeCell ref="AE65:AF65"/>
    <mergeCell ref="AG65:AI65"/>
    <mergeCell ref="AJ65:AL65"/>
    <mergeCell ref="AM65:AO65"/>
    <mergeCell ref="AP65:AR65"/>
    <mergeCell ref="AS65:AU65"/>
    <mergeCell ref="AV65:AX65"/>
    <mergeCell ref="AY65:BA65"/>
    <mergeCell ref="BB65:BD65"/>
    <mergeCell ref="BE65:BG65"/>
    <mergeCell ref="BH65:BJ65"/>
    <mergeCell ref="BK65:BQ65"/>
    <mergeCell ref="B66:D66"/>
    <mergeCell ref="E66:I66"/>
    <mergeCell ref="J66:P66"/>
    <mergeCell ref="Q66:W66"/>
    <mergeCell ref="X66:AD66"/>
    <mergeCell ref="AE66:AF66"/>
    <mergeCell ref="AG66:AI66"/>
    <mergeCell ref="AJ66:AL66"/>
    <mergeCell ref="AM66:AO66"/>
    <mergeCell ref="AP66:AR66"/>
    <mergeCell ref="AS66:AU66"/>
    <mergeCell ref="AV66:AX66"/>
    <mergeCell ref="AY66:BA66"/>
    <mergeCell ref="BB66:BD66"/>
    <mergeCell ref="BE66:BG66"/>
    <mergeCell ref="BH66:BJ66"/>
    <mergeCell ref="BK66:BQ66"/>
    <mergeCell ref="B67:D67"/>
    <mergeCell ref="E67:I67"/>
    <mergeCell ref="J67:P67"/>
    <mergeCell ref="Q67:W67"/>
    <mergeCell ref="X67:AD67"/>
    <mergeCell ref="AE67:AF67"/>
    <mergeCell ref="AG67:AI67"/>
    <mergeCell ref="AJ67:AL67"/>
    <mergeCell ref="AM67:AO67"/>
    <mergeCell ref="AP67:AR67"/>
    <mergeCell ref="AS67:AU67"/>
    <mergeCell ref="AV67:AX67"/>
    <mergeCell ref="AY67:BA67"/>
    <mergeCell ref="BB67:BD67"/>
    <mergeCell ref="BE67:BG67"/>
    <mergeCell ref="BH67:BJ67"/>
    <mergeCell ref="BK67:BQ67"/>
    <mergeCell ref="B68:D68"/>
    <mergeCell ref="E68:I68"/>
    <mergeCell ref="J68:P68"/>
    <mergeCell ref="Q68:W68"/>
    <mergeCell ref="X68:AD68"/>
    <mergeCell ref="AE68:AF68"/>
    <mergeCell ref="AG68:AI68"/>
    <mergeCell ref="AJ68:AL68"/>
    <mergeCell ref="AM68:AO68"/>
    <mergeCell ref="AP68:AR68"/>
    <mergeCell ref="AS68:AU68"/>
    <mergeCell ref="AV68:AX68"/>
    <mergeCell ref="AY68:BA68"/>
    <mergeCell ref="BB68:BD68"/>
    <mergeCell ref="BE68:BG68"/>
    <mergeCell ref="BH68:BJ68"/>
    <mergeCell ref="BK68:BQ68"/>
    <mergeCell ref="B69:D69"/>
    <mergeCell ref="E69:I69"/>
    <mergeCell ref="J69:P69"/>
    <mergeCell ref="Q69:W69"/>
    <mergeCell ref="X69:AD69"/>
    <mergeCell ref="AE69:AF69"/>
    <mergeCell ref="AG69:AI69"/>
    <mergeCell ref="AJ69:AL69"/>
    <mergeCell ref="AM69:AO69"/>
    <mergeCell ref="AP69:AR69"/>
    <mergeCell ref="AS69:AU69"/>
    <mergeCell ref="AV69:AX69"/>
    <mergeCell ref="AY69:BA69"/>
    <mergeCell ref="BB69:BD69"/>
    <mergeCell ref="BE69:BG69"/>
    <mergeCell ref="BH69:BJ69"/>
    <mergeCell ref="BK69:BQ69"/>
    <mergeCell ref="B70:D70"/>
    <mergeCell ref="E70:I70"/>
    <mergeCell ref="J70:P70"/>
    <mergeCell ref="Q70:W70"/>
    <mergeCell ref="X70:AD70"/>
    <mergeCell ref="AE70:AF70"/>
    <mergeCell ref="AG70:AI70"/>
    <mergeCell ref="AJ70:AL70"/>
    <mergeCell ref="AM70:AO70"/>
    <mergeCell ref="AP70:AR70"/>
    <mergeCell ref="AS70:AU70"/>
    <mergeCell ref="AV70:AX70"/>
    <mergeCell ref="AY70:BA70"/>
    <mergeCell ref="BB70:BD70"/>
    <mergeCell ref="BE70:BG70"/>
    <mergeCell ref="BH70:BJ70"/>
    <mergeCell ref="BK70:BQ70"/>
    <mergeCell ref="B71:D71"/>
    <mergeCell ref="E71:I71"/>
    <mergeCell ref="J71:P71"/>
    <mergeCell ref="Q71:W71"/>
    <mergeCell ref="X71:AD71"/>
    <mergeCell ref="AE71:AF71"/>
    <mergeCell ref="AG71:AI71"/>
    <mergeCell ref="AJ71:AL71"/>
    <mergeCell ref="AM71:AO71"/>
    <mergeCell ref="AP71:AR71"/>
    <mergeCell ref="AS71:AU71"/>
    <mergeCell ref="AV71:AX71"/>
    <mergeCell ref="AY71:BA71"/>
    <mergeCell ref="BB71:BD71"/>
    <mergeCell ref="BE71:BG71"/>
    <mergeCell ref="BH71:BJ71"/>
    <mergeCell ref="BK71:BQ71"/>
    <mergeCell ref="B72:D72"/>
    <mergeCell ref="E72:I72"/>
    <mergeCell ref="J72:P72"/>
    <mergeCell ref="Q72:W72"/>
    <mergeCell ref="X72:AD72"/>
    <mergeCell ref="AE72:AF72"/>
    <mergeCell ref="AG72:AI72"/>
    <mergeCell ref="AJ72:AL72"/>
    <mergeCell ref="AM72:AO72"/>
    <mergeCell ref="AP72:AR72"/>
    <mergeCell ref="AS72:AU72"/>
    <mergeCell ref="AV72:AX72"/>
    <mergeCell ref="AY72:BA72"/>
    <mergeCell ref="BB72:BD72"/>
    <mergeCell ref="BE72:BG72"/>
    <mergeCell ref="BH72:BJ72"/>
    <mergeCell ref="BK72:BQ72"/>
    <mergeCell ref="B73:D73"/>
    <mergeCell ref="E73:I73"/>
    <mergeCell ref="J73:P73"/>
    <mergeCell ref="Q73:W73"/>
    <mergeCell ref="X73:AD73"/>
    <mergeCell ref="AE73:AF73"/>
    <mergeCell ref="AG73:AI73"/>
    <mergeCell ref="AJ73:AL73"/>
    <mergeCell ref="AM73:AO73"/>
    <mergeCell ref="AP73:AR73"/>
    <mergeCell ref="AS73:AU73"/>
    <mergeCell ref="AV73:AX73"/>
    <mergeCell ref="AY73:BA73"/>
    <mergeCell ref="BB73:BD73"/>
    <mergeCell ref="BE73:BG73"/>
    <mergeCell ref="BH73:BJ73"/>
    <mergeCell ref="BK73:BQ73"/>
    <mergeCell ref="B74:D74"/>
    <mergeCell ref="E74:I74"/>
    <mergeCell ref="J74:P74"/>
    <mergeCell ref="Q74:W74"/>
    <mergeCell ref="X74:AD74"/>
    <mergeCell ref="AE74:AF74"/>
    <mergeCell ref="AG74:AI74"/>
    <mergeCell ref="AJ74:AL74"/>
    <mergeCell ref="AM74:AO74"/>
    <mergeCell ref="AP74:AR74"/>
    <mergeCell ref="AS74:AU74"/>
    <mergeCell ref="AV74:AX74"/>
    <mergeCell ref="AY74:BA74"/>
    <mergeCell ref="BB74:BD74"/>
    <mergeCell ref="BE74:BG74"/>
    <mergeCell ref="BH74:BJ74"/>
    <mergeCell ref="BK74:BQ74"/>
    <mergeCell ref="B75:D75"/>
    <mergeCell ref="E75:I75"/>
    <mergeCell ref="J75:P75"/>
    <mergeCell ref="Q75:W75"/>
    <mergeCell ref="X75:AD75"/>
    <mergeCell ref="AE75:AF75"/>
    <mergeCell ref="AG75:AI75"/>
    <mergeCell ref="AJ75:AL75"/>
    <mergeCell ref="AM75:AO75"/>
    <mergeCell ref="AP75:AR75"/>
    <mergeCell ref="AS75:AU75"/>
    <mergeCell ref="AV75:AX75"/>
    <mergeCell ref="AY75:BA75"/>
    <mergeCell ref="BB75:BD75"/>
    <mergeCell ref="BE75:BG75"/>
    <mergeCell ref="BH75:BJ75"/>
    <mergeCell ref="BK75:BQ75"/>
    <mergeCell ref="A76:BQ76"/>
    <mergeCell ref="B77:D77"/>
    <mergeCell ref="E77:I77"/>
    <mergeCell ref="J77:P77"/>
    <mergeCell ref="Q77:W77"/>
    <mergeCell ref="X77:AD77"/>
    <mergeCell ref="AE77:AF77"/>
    <mergeCell ref="AG77:AI77"/>
    <mergeCell ref="AJ77:AL77"/>
    <mergeCell ref="AM77:AO77"/>
    <mergeCell ref="AP77:AR77"/>
    <mergeCell ref="AS77:AU77"/>
    <mergeCell ref="AV77:AX77"/>
    <mergeCell ref="AY77:BA77"/>
    <mergeCell ref="BB77:BD77"/>
    <mergeCell ref="BE77:BG77"/>
    <mergeCell ref="BH77:BJ77"/>
    <mergeCell ref="BK77:BQ77"/>
    <mergeCell ref="B78:D78"/>
    <mergeCell ref="E78:I78"/>
    <mergeCell ref="J78:P78"/>
    <mergeCell ref="Q78:W78"/>
    <mergeCell ref="X78:AD78"/>
    <mergeCell ref="AE78:AF78"/>
    <mergeCell ref="AG78:AI78"/>
    <mergeCell ref="AJ78:AL78"/>
    <mergeCell ref="AM78:AO78"/>
    <mergeCell ref="AP78:AR78"/>
    <mergeCell ref="AS78:AU78"/>
    <mergeCell ref="AV78:AX78"/>
    <mergeCell ref="AY78:BA78"/>
    <mergeCell ref="BB78:BD78"/>
    <mergeCell ref="BE78:BG78"/>
    <mergeCell ref="BH78:BJ78"/>
    <mergeCell ref="BK78:BQ78"/>
    <mergeCell ref="B79:D79"/>
    <mergeCell ref="E79:I79"/>
    <mergeCell ref="J79:P79"/>
    <mergeCell ref="Q79:W79"/>
    <mergeCell ref="X79:AD79"/>
    <mergeCell ref="AE79:AF79"/>
    <mergeCell ref="AG79:AI79"/>
    <mergeCell ref="AJ79:AL79"/>
    <mergeCell ref="AM79:AO79"/>
    <mergeCell ref="AP79:AR79"/>
    <mergeCell ref="AS79:AU79"/>
    <mergeCell ref="AV79:AX79"/>
    <mergeCell ref="AY79:BA79"/>
    <mergeCell ref="BB79:BD79"/>
    <mergeCell ref="BE79:BG79"/>
    <mergeCell ref="BH79:BJ79"/>
    <mergeCell ref="BK79:BQ79"/>
    <mergeCell ref="B80:D80"/>
    <mergeCell ref="E80:I80"/>
    <mergeCell ref="J80:P80"/>
    <mergeCell ref="Q80:W80"/>
    <mergeCell ref="X80:AD80"/>
    <mergeCell ref="AE80:AF80"/>
    <mergeCell ref="AG80:AI80"/>
    <mergeCell ref="AJ80:AL80"/>
    <mergeCell ref="AM80:AO80"/>
    <mergeCell ref="AP80:AR80"/>
    <mergeCell ref="AS80:AU80"/>
    <mergeCell ref="AV80:AX80"/>
    <mergeCell ref="AY80:BA80"/>
    <mergeCell ref="BB80:BD80"/>
    <mergeCell ref="BE80:BG80"/>
    <mergeCell ref="BH80:BJ80"/>
    <mergeCell ref="BK80:BQ80"/>
    <mergeCell ref="B81:D81"/>
    <mergeCell ref="E81:I81"/>
    <mergeCell ref="J81:P81"/>
    <mergeCell ref="Q81:W81"/>
    <mergeCell ref="X81:AD81"/>
    <mergeCell ref="AE81:AF81"/>
    <mergeCell ref="AG81:AI81"/>
    <mergeCell ref="AJ81:AL81"/>
    <mergeCell ref="AM81:AO81"/>
    <mergeCell ref="AP81:AR81"/>
    <mergeCell ref="AS81:AU81"/>
    <mergeCell ref="AV81:AX81"/>
    <mergeCell ref="AY81:BA81"/>
    <mergeCell ref="BB81:BD81"/>
    <mergeCell ref="BE81:BG81"/>
    <mergeCell ref="BH81:BJ81"/>
    <mergeCell ref="BK81:BQ81"/>
    <mergeCell ref="B82:D82"/>
    <mergeCell ref="E82:I82"/>
    <mergeCell ref="J82:P82"/>
    <mergeCell ref="Q82:W82"/>
    <mergeCell ref="X82:AD82"/>
    <mergeCell ref="AE82:AF82"/>
    <mergeCell ref="AG82:AI82"/>
    <mergeCell ref="AJ82:AL82"/>
    <mergeCell ref="AM82:AO82"/>
    <mergeCell ref="AP82:AR82"/>
    <mergeCell ref="AS82:AU82"/>
    <mergeCell ref="AV82:AX82"/>
    <mergeCell ref="AY82:BA82"/>
    <mergeCell ref="BB82:BD82"/>
    <mergeCell ref="BE82:BG82"/>
    <mergeCell ref="BH82:BJ82"/>
    <mergeCell ref="BK82:BQ82"/>
    <mergeCell ref="B83:D83"/>
    <mergeCell ref="E83:I83"/>
    <mergeCell ref="J83:P83"/>
    <mergeCell ref="Q83:W83"/>
    <mergeCell ref="X83:AD83"/>
    <mergeCell ref="AE83:AF83"/>
    <mergeCell ref="AG83:AI83"/>
    <mergeCell ref="AJ83:AL83"/>
    <mergeCell ref="AM83:AO83"/>
    <mergeCell ref="AP83:AR83"/>
    <mergeCell ref="AS83:AU83"/>
    <mergeCell ref="AV83:AX83"/>
    <mergeCell ref="AY83:BA83"/>
    <mergeCell ref="BB83:BD83"/>
    <mergeCell ref="BE83:BG83"/>
    <mergeCell ref="BH83:BJ83"/>
    <mergeCell ref="BK83:BQ83"/>
    <mergeCell ref="B84:D84"/>
    <mergeCell ref="E84:I84"/>
    <mergeCell ref="J84:P84"/>
    <mergeCell ref="Q84:W84"/>
    <mergeCell ref="X84:AD84"/>
    <mergeCell ref="AE84:AF84"/>
    <mergeCell ref="AG84:AI84"/>
    <mergeCell ref="AJ84:AL84"/>
    <mergeCell ref="AM84:AO84"/>
    <mergeCell ref="AP84:AR84"/>
    <mergeCell ref="AS84:AU84"/>
    <mergeCell ref="AV84:AX84"/>
    <mergeCell ref="AY84:BA84"/>
    <mergeCell ref="BB84:BD84"/>
    <mergeCell ref="BE84:BG84"/>
    <mergeCell ref="BH84:BJ84"/>
    <mergeCell ref="BK84:BQ84"/>
    <mergeCell ref="B85:D85"/>
    <mergeCell ref="E85:I85"/>
    <mergeCell ref="J85:P85"/>
    <mergeCell ref="Q85:W85"/>
    <mergeCell ref="X85:AD85"/>
    <mergeCell ref="AE85:AF85"/>
    <mergeCell ref="AG85:AI85"/>
    <mergeCell ref="AJ85:AL85"/>
    <mergeCell ref="AM85:AO85"/>
    <mergeCell ref="AP85:AR85"/>
    <mergeCell ref="AS85:AU85"/>
    <mergeCell ref="AV85:AX85"/>
    <mergeCell ref="AY85:BA85"/>
    <mergeCell ref="BB85:BD85"/>
    <mergeCell ref="BE85:BG85"/>
    <mergeCell ref="BH85:BJ85"/>
    <mergeCell ref="BK85:BQ85"/>
    <mergeCell ref="B86:D86"/>
    <mergeCell ref="E86:I86"/>
    <mergeCell ref="J86:P86"/>
    <mergeCell ref="Q86:W86"/>
    <mergeCell ref="X86:AD86"/>
    <mergeCell ref="AE86:AF86"/>
    <mergeCell ref="AG86:AI86"/>
    <mergeCell ref="AJ86:AL86"/>
    <mergeCell ref="AM86:AO86"/>
    <mergeCell ref="AP86:AR86"/>
    <mergeCell ref="AS86:AU86"/>
    <mergeCell ref="AV86:AX86"/>
    <mergeCell ref="AY86:BA86"/>
    <mergeCell ref="BB86:BD86"/>
    <mergeCell ref="BE86:BG86"/>
    <mergeCell ref="BH86:BJ86"/>
    <mergeCell ref="BK86:BQ86"/>
    <mergeCell ref="A10:A11"/>
    <mergeCell ref="BK10:BQ11"/>
    <mergeCell ref="B10:D11"/>
    <mergeCell ref="E10:I11"/>
    <mergeCell ref="J10:P11"/>
    <mergeCell ref="Q10:W11"/>
    <mergeCell ref="X10:AD11"/>
    <mergeCell ref="AE10:AF11"/>
  </mergeCells>
  <dataValidations count="3">
    <dataValidation type="list" allowBlank="1" sqref="F1">
      <formula1>"単体テスト,結合テスト,システムテスト"</formula1>
    </dataValidation>
    <dataValidation type="list" allowBlank="1" sqref="AV81 AG13:AG17 AG19:AG25 AG27:AG29 AG31:AG44 AG46:AG62 AG64:AG75 AG77:AG86 AV13:AV17 AV19:AV25 AV27:AV29 AV31:AV44 AV46:AV62 AV64:AV75 AV77:AV80 AV82:AV86">
      <formula1>"合格,不合格,未テスト,N/A"</formula1>
    </dataValidation>
    <dataValidation type="list" allowBlank="1" sqref="AE13:AE17 AE19:AE25 AE27:AE29 AE31:AE44 AE46:AE62 AE64:AE75 AE77:AE86">
      <formula1>"N,A,B"</formula1>
    </dataValidation>
  </dataValidation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表紙</vt:lpstr>
      <vt:lpstr>変更履歴</vt:lpstr>
      <vt:lpstr>概要</vt:lpstr>
      <vt:lpstr>テスト報告書</vt:lpstr>
      <vt:lpstr>テスト観点</vt:lpstr>
      <vt:lpstr>機能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2026-05-14T07:38:00Z</dcterms:created>
  <dcterms:modified xsi:type="dcterms:W3CDTF">2026-08-28T10:15:16Z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644EE0412035481DA84EB45901A92D4D_12</vt:lpwstr>
  </property>
  <property fmtid="{D5CDD505-2E9C-101B-9397-08002B2CF9AE}" pid="3" name="KSOProductBuildVer">
    <vt:lpwstr>1033-12.1.0.28032</vt:lpwstr>
  </property>
  <property fmtid="{D5CDD505-2E9C-101B-9397-08002B2CF9AE}" pid="4" name="CalculationRule">
    <vt:i4>0</vt:i4>
  </property>
</Properties>
</file>