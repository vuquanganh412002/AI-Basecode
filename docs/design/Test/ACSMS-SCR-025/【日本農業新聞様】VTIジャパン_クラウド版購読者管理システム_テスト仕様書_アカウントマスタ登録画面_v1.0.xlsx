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activeTab="5"/>
  </bookViews>
  <sheets>
    <sheet name="表紙" sheetId="1" r:id="rId1"/>
    <sheet name="変更履歴" sheetId="2" r:id="rId2"/>
    <sheet name="概要" sheetId="3" r:id="rId3"/>
    <sheet name="テスト報告書" sheetId="4" r:id="rId4"/>
    <sheet name="テスト観点" sheetId="5" r:id="rId5"/>
    <sheet name="機能"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<sst xmlns="http://schemas.openxmlformats.org/spreadsheetml/2006/main" count="1096" uniqueCount="620">
  <si>
    <t>クラウド版購読者管理システム</t>
  </si>
  <si>
    <t>アカウントマスタ登録画面</t>
  </si>
  <si>
    <t>版1.0</t>
  </si>
  <si>
    <t>フォーマットコード</t>
  </si>
  <si>
    <t>16-BM/PM/VTI</t>
  </si>
  <si>
    <t>フォーマットバージョン</t>
  </si>
  <si>
    <t>1.0</t>
  </si>
  <si>
    <t>発行日</t>
  </si>
  <si>
    <t>2026/05/21</t>
  </si>
  <si>
    <t>項番</t>
  </si>
  <si>
    <t>バージョン</t>
  </si>
  <si>
    <t>担当者</t>
  </si>
  <si>
    <t>変更内容</t>
  </si>
  <si>
    <t>確認者</t>
  </si>
  <si>
    <t>承認者</t>
  </si>
  <si>
    <t>2026-05-21</t>
  </si>
  <si>
    <t>Kieu Thi Diem</t>
  </si>
  <si>
    <t>Tạo mới</t>
  </si>
  <si>
    <t>Nguyen Huy Dat</t>
  </si>
  <si>
    <t>システム・アプリケーション名</t>
  </si>
  <si>
    <t>ドキュメント</t>
  </si>
  <si>
    <t>シート名</t>
  </si>
  <si>
    <t>作成日</t>
  </si>
  <si>
    <t>作成者</t>
  </si>
  <si>
    <t>更新日</t>
  </si>
  <si>
    <t>更新者</t>
  </si>
  <si>
    <t>テスト仕様書</t>
  </si>
  <si>
    <t>概要</t>
  </si>
  <si>
    <t>1.システム概要</t>
  </si>
  <si>
    <t>本システムは、JA向けのクラウド型購読者管理システムであり、</t>
  </si>
  <si>
    <t>購読者情報の管理、購読履歴の管理、口座振替データの管理などの機能を提供する。</t>
  </si>
  <si>
    <t>主な機能として、購読者情報の登録・更新・検索、</t>
  </si>
  <si>
    <t>購読内容の変更履歴管理、口座振替データの作成および管理、</t>
  </si>
  <si>
    <t>ファイルのアップロード・ダウンロード機能、システムのお知らせ管理などを提供する。</t>
  </si>
  <si>
    <t>また、ユーザーのログイン管理、ログイン履歴の記録、</t>
  </si>
  <si>
    <t>ユーザー操作ログの記録などのセキュリティ・監査機能をサポートする。</t>
  </si>
  <si>
    <t>2.資料目的</t>
  </si>
  <si>
    <t>Tài liệu này mô tả chi tiết test specification cho "Màn hình đăng ký Master Account (ACSMS-SCR-025)" được tạo mới trên hệ thống.</t>
  </si>
  <si>
    <t>3.関連資料</t>
  </si>
  <si>
    <t>No</t>
  </si>
  <si>
    <t>資料コード</t>
  </si>
  <si>
    <t>資料名</t>
  </si>
  <si>
    <t>ACSMS-SCR-025</t>
  </si>
  <si>
    <t>Tài liệu thiết kế Màn hình đăng ký Master Account</t>
  </si>
  <si>
    <t>ACSMS-SCR-025-api</t>
  </si>
  <si>
    <t>Tài liệu thiết kế API đăng ký Master Account</t>
  </si>
  <si>
    <t>testcase-viewpoints</t>
  </si>
  <si>
    <t>Danh sách quan điểm test chung toàn hệ thống</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</si>
  <si>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</si>
  <si>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</si>
  <si>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</si>
  <si>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</si>
  <si>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</si>
  <si>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</si>
  <si>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</si>
  <si>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</si>
  <si>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</si>
  <si>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</si>
  <si>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</si>
  <si>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</si>
  <si>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</si>
  <si>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</si>
  <si>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</si>
  <si>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</si>
  <si>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</si>
  <si>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</si>
  <si>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</si>
  <si>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</si>
  <si>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</si>
  <si>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</si>
  <si>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</si>
  <si>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</si>
  <si>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</si>
  <si>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</si>
  <si>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</si>
  <si>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</si>
  <si>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</si>
  <si>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</si>
  <si>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</si>
  <si>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</si>
  <si>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</si>
  <si>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</si>
  <si>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</si>
  <si>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</si>
  <si>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</si>
  <si>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</si>
  <si>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</si>
  <si>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</si>
  <si>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</si>
  <si>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</si>
  <si>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</si>
  <si>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</si>
  <si>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</si>
  <si>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</si>
  <si>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</si>
  <si>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</si>
  <si>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</si>
  <si>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</si>
  <si>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</si>
  <si>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</si>
  <si>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</si>
  <si>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</si>
  <si>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</si>
  <si>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</si>
  <si>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</si>
  <si>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</si>
  <si>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</si>
  <si>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</si>
  <si>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</si>
  <si>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</si>
  <si>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</si>
  <si>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</si>
  <si>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</si>
  <si>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</si>
  <si>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</si>
  <si>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</si>
  <si>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</si>
  <si>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</si>
  <si>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</si>
  <si>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</si>
  <si>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</si>
  <si>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</si>
  <si>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</si>
  <si>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</si>
  <si>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</si>
  <si>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</si>
  <si>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</si>
  <si>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</si>
  <si>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</si>
  <si>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</si>
  <si>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</si>
  <si>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</si>
  <si>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</si>
  <si>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</si>
  <si>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</si>
  <si>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</si>
  <si>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</si>
  <si>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</si>
  <si>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</si>
  <si>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</si>
  <si>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</si>
  <si>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</si>
  <si>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</si>
  <si>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</si>
  <si>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</si>
  <si>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</si>
  <si>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</si>
  <si>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</si>
  <si>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</si>
  <si>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</si>
  <si>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</si>
  <si>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</si>
  <si>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</si>
  <si>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</si>
  <si>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</si>
  <si>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</si>
  <si>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</si>
  <si>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</si>
  <si>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</si>
  <si>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</si>
  <si>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</si>
  <si>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</si>
  <si>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</si>
  <si>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</si>
  <si>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</si>
  <si>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</si>
  <si>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</si>
  <si>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</si>
  <si>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</si>
  <si>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</si>
  <si>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</si>
  <si>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</si>
  <si>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</si>
  <si>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</si>
  <si>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</si>
  <si>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</si>
  <si>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</si>
  <si>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</si>
  <si>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</si>
  <si>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</si>
  <si>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</si>
  <si>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</si>
  <si>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</si>
  <si>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</si>
  <si>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</si>
  <si>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</si>
  <si>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</si>
  <si>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</si>
  <si>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</si>
  <si>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</si>
  <si>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</si>
  <si>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</si>
  <si>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</si>
  <si>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</si>
  <si>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</si>
  <si>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</si>
  <si>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</si>
  <si>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</si>
  <si>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</si>
  <si>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</si>
  <si>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</si>
  <si>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</si>
  <si>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</si>
  <si>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</si>
  <si>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</si>
  <si>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</si>
  <si>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</si>
  <si>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</si>
  <si>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</si>
  <si>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</si>
  <si>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</si>
  <si>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</si>
  <si>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</si>
  <si>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</si>
  <si>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</si>
  <si>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</si>
  <si>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</si>
  <si>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</si>
  <si>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</si>
  <si>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</si>
  <si>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</si>
  <si>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</si>
  <si>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</si>
  <si>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</si>
  <si>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</si>
  <si>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</si>
  <si>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</si>
  <si>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</si>
  <si>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</si>
  <si>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</si>
  <si>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</si>
  <si>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</si>
  <si>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</si>
  <si>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</si>
  <si>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</si>
  <si>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</si>
  <si>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</si>
  <si>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</si>
  <si>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ACSMS-SCR-025_アカウントマスタ登録画面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</si>
  <si>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</si>
  <si>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</si>
  <si>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</si>
  <si>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</si>
  <si>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</si>
  <si>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</si>
  <si>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</si>
  <si>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</si>
  <si>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</si>
  <si>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</si>
  <si>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</si>
  <si>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</si>
  <si>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</si>
  <si>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</si>
  <si>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</si>
  <si>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</si>
  <si>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</si>
  <si>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</si>
  <si>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</si>
  <si>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</si>
  <si>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</si>
  <si>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Kiểm soát quyền truy cập (Access Control)</t>
  </si>
  <si>
    <t>ACSMS-TC-025-001</t>
  </si>
  <si>
    <t>NICHINO_ADMIN access vào màn đăng ký Master Account (normal)</t>
  </si>
  <si>
    <t>・role: NICHINO_ADMIN
・Đã login + đã xác thực MFA
・Có quyền `account.view` + `account.create` + `account.update`</t>
  </si>
  <si>
    <r>
      <rPr>
        <b/>
        <sz val="10"/>
        <color rgb="FF000000"/>
        <rFont val="游ゴシック"/>
        <charset val="134"/>
      </rPr>
      <t xml:space="preserve">ステップ1：
</t>
    </r>
    <r>
      <rPr>
        <sz val="10"/>
        <color rgb="FF000000"/>
        <rFont val="游ゴシック"/>
        <charset val="134"/>
      </rPr>
      <t xml:space="preserve">Mở dashboard, kiểm tra item "アカウントマスタ" dưới "管理者機能" trên sidebar
</t>
    </r>
    <r>
      <rPr>
        <b/>
        <sz val="10"/>
        <color rgb="FF000000"/>
        <rFont val="游ゴシック"/>
        <charset val="134"/>
      </rPr>
      <t xml:space="preserve">ステップ2：
</t>
    </r>
    <r>
      <rPr>
        <sz val="10"/>
        <color rgb="FF000000"/>
        <rFont val="游ゴシック"/>
        <charset val="134"/>
      </rPr>
      <t xml:space="preserve">Click button "新規登録" trên màn chi tiết tìm kiếm Master Account (SCR-024)
</t>
    </r>
    <r>
      <rPr>
        <b/>
        <sz val="10"/>
        <color rgb="FF000000"/>
        <rFont val="游ゴシック"/>
        <charset val="134"/>
      </rPr>
      <t xml:space="preserve">ステップ3：
</t>
    </r>
    <r>
      <rPr>
        <sz val="10"/>
        <color rgb="FF000000"/>
        <rFont val="游ゴシック"/>
        <charset val="134"/>
      </rPr>
      <t xml:space="preserve">Truy cập trực tiếp URL `/accounts/create`
</t>
    </r>
  </si>
  <si>
    <r>
      <rPr>
        <b/>
        <sz val="10"/>
        <color rgb="FF000000"/>
        <rFont val="游ゴシック"/>
        <charset val="134"/>
      </rPr>
      <t xml:space="preserve">ステップ1：
</t>
    </r>
    <r>
      <rPr>
        <sz val="10"/>
        <color rgb="FF000000"/>
        <rFont val="游ゴシック"/>
        <charset val="134"/>
      </rPr>
      <t xml:space="preserve">Sidebar hiển thị item "アカウントマスタ" (NICHINO_ADMIN có quyền `account.view`)
</t>
    </r>
    <r>
      <rPr>
        <b/>
        <sz val="10"/>
        <color rgb="FF000000"/>
        <rFont val="游ゴシック"/>
        <charset val="134"/>
      </rPr>
      <t xml:space="preserve">ステップ2：
</t>
    </r>
    <r>
      <rPr>
        <sz val="10"/>
        <color rgb="FF000000"/>
        <rFont val="游ゴシック"/>
        <charset val="134"/>
      </rPr>
      <t xml:space="preserve">Màn đăng ký Master Account được hiển thị (tiêu đề `アカウントマスタ登録`, tất cả các trường của form đều active)
</t>
    </r>
    <r>
      <rPr>
        <b/>
        <sz val="10"/>
        <color rgb="FF000000"/>
        <rFont val="游ゴシック"/>
        <charset val="134"/>
      </rPr>
      <t xml:space="preserve">ステップ3：
</t>
    </r>
    <r>
      <rPr>
        <sz val="10"/>
        <color rgb="FF000000"/>
        <rFont val="游ゴシック"/>
        <charset val="134"/>
      </rPr>
      <t xml:space="preserve">Màn hình được render bình thường, không xảy ra lỗi authorization
</t>
    </r>
    <r>
      <rPr>
        <b/>
        <sz val="10"/>
        <color rgb="FF000000"/>
        <rFont val="游ゴシック"/>
        <charset val="134"/>
      </rPr>
      <t xml:space="preserve">補足：
</t>
    </r>
    <r>
      <rPr>
        <sz val="10"/>
        <color rgb="FF000000"/>
        <rFont val="游ゴシック"/>
        <charset val="134"/>
      </rPr>
      <t>・NICHINO_ADMIN là role duy nhất có thể thao tác trên Master Account
・Cả 3 tầng FE sidebar / FE router guard / BE API guard đều xác nhận quyền</t>
    </r>
  </si>
  <si>
    <t>N</t>
  </si>
  <si>
    <t>tuyen.tranduc</t>
  </si>
  <si>
    <t>Chỉ NICHINO_ADMIN mới có thể đăng ký · chỉnh sửa Master Account theo thiết kế nghiệp vụ (screen-design.md §アクセス権限).</t>
  </si>
  <si>
    <t>ACSMS-TC-025-002</t>
  </si>
  <si>
    <t>Cấm truy cập với role NICHINO_STAFF</t>
  </si>
  <si>
    <t>・role: NICHINO_STAFF
・Đã login + đã xác thực MFA</t>
  </si>
  <si>
    <r>
      <rPr>
        <b/>
        <sz val="10"/>
        <color rgb="FF000000"/>
        <rFont val="游ゴシック"/>
        <charset val="134"/>
      </rPr>
      <t xml:space="preserve">ステップ1：
</t>
    </r>
    <r>
      <rPr>
        <sz val="10"/>
        <color rgb="FF000000"/>
        <rFont val="游ゴシック"/>
        <charset val="134"/>
      </rPr>
      <t xml:space="preserve">Mở dashboard, kiểm tra item "アカウントマスタ" trên sidebar
</t>
    </r>
    <r>
      <rPr>
        <b/>
        <sz val="10"/>
        <color rgb="FF000000"/>
        <rFont val="游ゴシック"/>
        <charset val="134"/>
      </rPr>
      <t xml:space="preserve">ステップ2：
</t>
    </r>
    <r>
      <rPr>
        <sz val="10"/>
        <color rgb="FF000000"/>
        <rFont val="游ゴシック"/>
        <charset val="134"/>
      </rPr>
      <t xml:space="preserve">Truy cập trực tiếp URL `/accounts/create`
</t>
    </r>
    <r>
      <rPr>
        <b/>
        <sz val="10"/>
        <color rgb="FF000000"/>
        <rFont val="游ゴシック"/>
        <charset val="134"/>
      </rPr>
      <t xml:space="preserve">ステップ3：
</t>
    </r>
    <r>
      <rPr>
        <sz val="10"/>
        <color rgb="FF000000"/>
        <rFont val="游ゴシック"/>
        <charset val="134"/>
      </rPr>
      <t xml:space="preserve">Dùng DevTools gửi POST `/api/v1/accounts` với request data hợp lệ
</t>
    </r>
  </si>
  <si>
    <r>
      <rPr>
        <b/>
        <sz val="10"/>
        <color rgb="FF000000"/>
        <rFont val="游ゴシック"/>
        <charset val="134"/>
      </rPr>
      <t xml:space="preserve">ステップ1：
</t>
    </r>
    <r>
      <rPr>
        <sz val="10"/>
        <color rgb="FF000000"/>
        <rFont val="游ゴシック"/>
        <charset val="134"/>
      </rPr>
      <t xml:space="preserve">Sidebar KHÔNG hiển thị item "アカウントマスタ" (do không có quyền `account.view`)
</t>
    </r>
    <r>
      <rPr>
        <b/>
        <sz val="10"/>
        <color rgb="FF000000"/>
        <rFont val="游ゴシック"/>
        <charset val="134"/>
      </rPr>
      <t xml:space="preserve">ステップ2：
</t>
    </r>
    <r>
      <rPr>
        <sz val="10"/>
        <color rgb="FF000000"/>
        <rFont val="游ゴシック"/>
        <charset val="134"/>
      </rPr>
      <t xml:space="preserve">Hiển thị toast `アクセス権がありません。` + chuyển về `/dashboard`
</t>
    </r>
    <r>
      <rPr>
        <b/>
        <sz val="10"/>
        <color rgb="FF000000"/>
        <rFont val="游ゴシック"/>
        <charset val="134"/>
      </rPr>
      <t xml:space="preserve">ステップ3：
</t>
    </r>
    <r>
      <rPr>
        <sz val="10"/>
        <color rgb="FF000000"/>
        <rFont val="游ゴシック"/>
        <charset val="134"/>
      </rPr>
      <t xml:space="preserve">Trả về HTTP 403 (`error_code: FORBIDDEN`, message `この画面へのアクセス権限がありません。`)
</t>
    </r>
    <r>
      <rPr>
        <b/>
        <sz val="10"/>
        <color rgb="FF000000"/>
        <rFont val="游ゴシック"/>
        <charset val="134"/>
      </rPr>
      <t xml:space="preserve">補足：
</t>
    </r>
    <r>
      <rPr>
        <sz val="10"/>
        <color rgb="FF000000"/>
        <rFont val="游ゴシック"/>
        <charset val="134"/>
      </rPr>
      <t>・Cả 3 tầng FE menu / FE router guard / BE API guard đều block
・Không có row mới được thêm vào `m_account`</t>
    </r>
  </si>
  <si>
    <t>Critical — Nếu fail, đồng nghĩa với việc bypass RBAC, xử lý như security incident.</t>
  </si>
  <si>
    <t>ACSMS-TC-025-003</t>
  </si>
  <si>
    <t>Cấm truy cập với role CHUOKAI</t>
  </si>
  <si>
    <t>・role: CHUOKAI (thuộc chuokai-001)
・Đã login + đã xác thực MFA</t>
  </si>
  <si>
    <r>
      <rPr>
        <b/>
        <sz val="10"/>
        <color rgb="FF000000"/>
        <rFont val="メイリオ"/>
        <charset val="134"/>
      </rPr>
      <t xml:space="preserve">ステップ1：
</t>
    </r>
    <r>
      <rPr>
        <sz val="10"/>
        <color rgb="FF000000"/>
        <rFont val="メイリオ"/>
        <charset val="134"/>
      </rPr>
      <t xml:space="preserve">Mở dashboard, kiểm tra item "アカウントマスタ" trên sidebar
</t>
    </r>
    <r>
      <rPr>
        <b/>
        <sz val="10"/>
        <color rgb="FF000000"/>
        <rFont val="メイリオ"/>
        <charset val="134"/>
      </rPr>
      <t xml:space="preserve">ステップ2：
</t>
    </r>
    <r>
      <rPr>
        <sz val="10"/>
        <color rgb="FF000000"/>
        <rFont val="メイリオ"/>
        <charset val="134"/>
      </rPr>
      <t xml:space="preserve">Truy cập trực tiếp URL `/accounts/create`
</t>
    </r>
    <r>
      <rPr>
        <b/>
        <sz val="10"/>
        <color rgb="FF000000"/>
        <rFont val="メイリオ"/>
        <charset val="134"/>
      </rPr>
      <t xml:space="preserve">ステップ3：
</t>
    </r>
    <r>
      <rPr>
        <sz val="10"/>
        <color rgb="FF000000"/>
        <rFont val="メイリオ"/>
        <charset val="134"/>
      </rPr>
      <t>Dùng DevTools gửi POST `/api/v1/accounts` với request data hợp lệ</t>
    </r>
  </si>
  <si>
    <r>
      <rPr>
        <b/>
        <sz val="10"/>
        <color rgb="FF000000"/>
        <rFont val="メイリオ"/>
        <charset val="134"/>
      </rPr>
      <t xml:space="preserve">ステップ1：
</t>
    </r>
    <r>
      <rPr>
        <sz val="10"/>
        <color rgb="FF000000"/>
        <rFont val="メイリオ"/>
        <charset val="134"/>
      </rPr>
      <t xml:space="preserve">Sidebar KHÔNG hiển thị item "アカウントマスタ" (CHUOKAI không có quyền `account.view`)
</t>
    </r>
    <r>
      <rPr>
        <b/>
        <sz val="10"/>
        <color rgb="FF000000"/>
        <rFont val="メイリオ"/>
        <charset val="134"/>
      </rPr>
      <t xml:space="preserve">ステップ2：
</t>
    </r>
    <r>
      <rPr>
        <sz val="10"/>
        <color rgb="FF000000"/>
        <rFont val="メイリオ"/>
        <charset val="134"/>
      </rPr>
      <t xml:space="preserve">Hiển thị toast `アクセス権がありません。` + chuyển về `/dashboard`
</t>
    </r>
    <r>
      <rPr>
        <b/>
        <sz val="10"/>
        <color rgb="FF000000"/>
        <rFont val="メイリオ"/>
        <charset val="134"/>
      </rPr>
      <t xml:space="preserve">ステップ3：
</t>
    </r>
    <r>
      <rPr>
        <sz val="10"/>
        <color rgb="FF000000"/>
        <rFont val="メイリオ"/>
        <charset val="134"/>
      </rPr>
      <t xml:space="preserve">Trả về HTTP 403 (`error_code: FORBIDDEN`)
</t>
    </r>
    <r>
      <rPr>
        <b/>
        <sz val="10"/>
        <color rgb="FF000000"/>
        <rFont val="メイリオ"/>
        <charset val="134"/>
      </rPr>
      <t xml:space="preserve">補足：
</t>
    </r>
    <r>
      <rPr>
        <sz val="10"/>
        <color rgb="FF000000"/>
        <rFont val="メイリオ"/>
        <charset val="134"/>
      </rPr>
      <t>・CHUOKAI có thể chỉnh sửa Master nghiệp vụ như subscriber/hanbaiten v.v., nhưng quản lý account là chức năng riêng của NICHINO_ADMIN</t>
    </r>
  </si>
  <si>
    <t>Theo thiết kế nghiệp vụ, quyền phát hành account giới hạn cho admin của Báo Nông nghiệp Nhật Bản.</t>
  </si>
  <si>
    <t>ACSMS-TC-025-004</t>
  </si>
  <si>
    <t>Cấm truy cập với role JA_HONTEN</t>
  </si>
  <si>
    <t>・role: JA_HONTEN (thuộc ja-001)
・Đã login + đã xác thực MFA</t>
  </si>
  <si>
    <r>
      <rPr>
        <b/>
        <sz val="10"/>
        <color rgb="FF000000"/>
        <rFont val="メイリオ"/>
        <charset val="134"/>
      </rPr>
      <t xml:space="preserve">ステップ1：
</t>
    </r>
    <r>
      <rPr>
        <sz val="10"/>
        <color rgb="FF000000"/>
        <rFont val="メイリオ"/>
        <charset val="134"/>
      </rPr>
      <t xml:space="preserve">Sidebar KHÔNG hiển thị item "アカウントマスタ" (JA_HONTEN không có quyền `account.view`)
</t>
    </r>
    <r>
      <rPr>
        <b/>
        <sz val="10"/>
        <color rgb="FF000000"/>
        <rFont val="メイリオ"/>
        <charset val="134"/>
      </rPr>
      <t xml:space="preserve">ステップ2：
</t>
    </r>
    <r>
      <rPr>
        <sz val="10"/>
        <color rgb="FF000000"/>
        <rFont val="メイリオ"/>
        <charset val="134"/>
      </rPr>
      <t xml:space="preserve">Hiển thị toast `アクセス権がありません。` + chuyển về `/dashboard`
</t>
    </r>
    <r>
      <rPr>
        <b/>
        <sz val="10"/>
        <color rgb="FF000000"/>
        <rFont val="メイリオ"/>
        <charset val="134"/>
      </rPr>
      <t xml:space="preserve">ステップ3：
</t>
    </r>
    <r>
      <rPr>
        <sz val="10"/>
        <color rgb="FF000000"/>
        <rFont val="メイリオ"/>
        <charset val="134"/>
      </rPr>
      <t xml:space="preserve">Trả về HTTP 403 (`error_code: FORBIDDEN`)
</t>
    </r>
    <r>
      <rPr>
        <b/>
        <sz val="10"/>
        <color rgb="FF000000"/>
        <rFont val="メイリオ"/>
        <charset val="134"/>
      </rPr>
      <t xml:space="preserve">補足：
</t>
    </r>
    <r>
      <rPr>
        <sz val="10"/>
        <color rgb="FF000000"/>
        <rFont val="メイリオ"/>
        <charset val="134"/>
      </rPr>
      <t>・JA_HONTEN có thể chỉnh sửa subscriber/hanbaiten v.v. trong phạm vi JA của mình, nhưng không có quyền phát hành account</t>
    </r>
  </si>
  <si>
    <t>ACSMS-TC-025-005</t>
  </si>
  <si>
    <t>Cấm truy cập với role JA_KANRI_SHITEN</t>
  </si>
  <si>
    <t>・role: JA_KANRI_SHITEN (thuộc ja-001 / kanri-shiten-001)
・Đã login + đã xác thực MFA</t>
  </si>
  <si>
    <r>
      <rPr>
        <b/>
        <sz val="10"/>
        <color rgb="FF000000"/>
        <rFont val="メイリオ"/>
        <charset val="134"/>
      </rPr>
      <t xml:space="preserve">ステップ1：
</t>
    </r>
    <r>
      <rPr>
        <sz val="10"/>
        <color rgb="FF000000"/>
        <rFont val="メイリオ"/>
        <charset val="134"/>
      </rPr>
      <t xml:space="preserve">Sidebar KHÔNG hiển thị item "アカウントマスタ" (JA_KANRI_SHITEN không có quyền `account.view`)
</t>
    </r>
    <r>
      <rPr>
        <b/>
        <sz val="10"/>
        <color rgb="FF000000"/>
        <rFont val="メイリオ"/>
        <charset val="134"/>
      </rPr>
      <t xml:space="preserve">ステップ2：
</t>
    </r>
    <r>
      <rPr>
        <sz val="10"/>
        <color rgb="FF000000"/>
        <rFont val="メイリオ"/>
        <charset val="134"/>
      </rPr>
      <t xml:space="preserve">Hiển thị toast `アクセス権がありません。` + chuyển về `/dashboard`
</t>
    </r>
    <r>
      <rPr>
        <b/>
        <sz val="10"/>
        <color rgb="FF000000"/>
        <rFont val="メイリオ"/>
        <charset val="134"/>
      </rPr>
      <t xml:space="preserve">ステップ3：
</t>
    </r>
    <r>
      <rPr>
        <sz val="10"/>
        <color rgb="FF000000"/>
        <rFont val="メイリオ"/>
        <charset val="134"/>
      </rPr>
      <t xml:space="preserve">Trả về HTTP 403 (`error_code: FORBIDDEN`)
</t>
    </r>
    <r>
      <rPr>
        <b/>
        <sz val="10"/>
        <color rgb="FF000000"/>
        <rFont val="メイリオ"/>
        <charset val="134"/>
      </rPr>
      <t xml:space="preserve">補足：
</t>
    </r>
    <r>
      <rPr>
        <sz val="10"/>
        <color rgb="FF000000"/>
        <rFont val="メイリオ"/>
        <charset val="134"/>
      </rPr>
      <t>・JA_KANRI_SHITEN có thể chỉnh sửa subscriber trong phạm vi chi nhánh quản lý của mình, nhưng không có quyền phát hành account</t>
    </r>
  </si>
  <si>
    <t>Theo thiết kế nghiệp vụ, quyền phát hành account giới hạn cho admin của Báo Nông nghiệp Nhật Bản.
---</t>
  </si>
  <si>
    <t>Hiển thị màn hình &amp; Responsive (Layout &amp; Responsive)</t>
  </si>
  <si>
    <t>ACSMS-TC-025-006</t>
  </si>
  <si>
    <t>Hiển thị ban đầu mode đăng ký (tất cả các trường rỗng, role chưa chọn)</t>
  </si>
  <si>
    <t>・role: NICHINO_ADMIN
・Đã truy cập URL `/accounts/create`</t>
  </si>
  <si>
    <r>
      <rPr>
        <b/>
        <sz val="10"/>
        <color rgb="FF000000"/>
        <rFont val="メイリオ"/>
        <charset val="134"/>
      </rPr>
      <t xml:space="preserve">ステップ1：
</t>
    </r>
    <r>
      <rPr>
        <sz val="10"/>
        <color rgb="FF000000"/>
        <rFont val="メイリオ"/>
        <charset val="134"/>
      </rPr>
      <t xml:space="preserve">Kiểm tra giá trị ban đầu của từng trường nhập ngay sau khi màn hiển thị
</t>
    </r>
    <r>
      <rPr>
        <b/>
        <sz val="10"/>
        <color rgb="FF000000"/>
        <rFont val="メイリオ"/>
        <charset val="134"/>
      </rPr>
      <t xml:space="preserve">ステップ2：
</t>
    </r>
    <r>
      <rPr>
        <sz val="10"/>
        <color rgb="FF000000"/>
        <rFont val="メイリオ"/>
        <charset val="134"/>
      </rPr>
      <t xml:space="preserve">Kiểm tra trạng thái hiển thị/ẩn của trường chọn role, trường tỉnh thành, trường JA, trường kanri_shiten
</t>
    </r>
    <r>
      <rPr>
        <b/>
        <sz val="10"/>
        <color rgb="FF000000"/>
        <rFont val="メイリオ"/>
        <charset val="134"/>
      </rPr>
      <t xml:space="preserve">ステップ3：
</t>
    </r>
    <r>
      <rPr>
        <sz val="10"/>
        <color rgb="FF000000"/>
        <rFont val="メイリオ"/>
        <charset val="134"/>
      </rPr>
      <t>Kiểm tra trạng thái active của button "登録", button "前の画面に戻る" phía dưới màn hình</t>
    </r>
  </si>
  <si>
    <r>
      <rPr>
        <b/>
        <sz val="10"/>
        <color rgb="FF000000"/>
        <rFont val="メイリオ"/>
        <charset val="134"/>
      </rPr>
      <t xml:space="preserve">ステップ1：
</t>
    </r>
    <r>
      <rPr>
        <sz val="10"/>
        <color rgb="FF000000"/>
        <rFont val="メイリオ"/>
        <charset val="134"/>
      </rPr>
      <t xml:space="preserve">login_id, password, account_name, email, sub_email_1〜3, biko ở trạng thái trống, paper_flg · denshi_flg chưa được tick (false)
</t>
    </r>
    <r>
      <rPr>
        <b/>
        <sz val="10"/>
        <color rgb="FF000000"/>
        <rFont val="メイリオ"/>
        <charset val="134"/>
      </rPr>
      <t xml:space="preserve">ステップ2：
</t>
    </r>
    <r>
      <rPr>
        <sz val="10"/>
        <color rgb="FF000000"/>
        <rFont val="メイリオ"/>
        <charset val="134"/>
      </rPr>
      <t xml:space="preserve">Trường chọn role ở trạng thái chưa chọn, trường tỉnh thành/JA/kanri_shiten bị ẩn (do role chưa chọn nên các trường hiển thị có điều kiện không xuất hiện)
</t>
    </r>
    <r>
      <rPr>
        <b/>
        <sz val="10"/>
        <color rgb="FF000000"/>
        <rFont val="メイリオ"/>
        <charset val="134"/>
      </rPr>
      <t xml:space="preserve">ステップ3：
</t>
    </r>
    <r>
      <rPr>
        <sz val="10"/>
        <color rgb="FF000000"/>
        <rFont val="メイリオ"/>
        <charset val="134"/>
      </rPr>
      <t xml:space="preserve">Button "登録" ở trạng thái active, button "前の画面に戻る" ở trạng thái active
</t>
    </r>
    <r>
      <rPr>
        <b/>
        <sz val="10"/>
        <color rgb="FF000000"/>
        <rFont val="メイリオ"/>
        <charset val="134"/>
      </rPr>
      <t xml:space="preserve">補足：
</t>
    </r>
    <r>
      <rPr>
        <sz val="10"/>
        <color rgb="FF000000"/>
        <rFont val="メイリオ"/>
        <charset val="134"/>
      </rPr>
      <t>・Lúc hiển thị ban đầu ẩn toàn bộ các trường cascade để đơn giản hóa định hướng nhập trước khi chọn role</t>
    </r>
  </si>
  <si>
    <t>screen-design.md §機能定義 §4.2 — Lúc hiển thị ban đầu, các trường phụ thuộc role bị ẩn.</t>
  </si>
  <si>
    <t>ACSMS-TC-025-007</t>
  </si>
  <si>
    <t>Hiển thị ban đầu màn edit và load data cũ</t>
  </si>
  <si>
    <t>・role: NICHINO_ADMIN
・Tồn tại account hiện hữu `account_id=10` (role_id=5, ja_id=1, kanri_shiten_id=1)</t>
  </si>
  <si>
    <r>
      <rPr>
        <b/>
        <sz val="10"/>
        <color rgb="FF000000"/>
        <rFont val="メイリオ"/>
        <charset val="134"/>
      </rPr>
      <t xml:space="preserve">ステップ1：
</t>
    </r>
    <r>
      <rPr>
        <sz val="10"/>
        <color rgb="FF000000"/>
        <rFont val="メイリオ"/>
        <charset val="134"/>
      </rPr>
      <t xml:space="preserve">Truy cập URL `/accounts/10/edit`
</t>
    </r>
    <r>
      <rPr>
        <b/>
        <sz val="10"/>
        <color rgb="FF000000"/>
        <rFont val="メイリオ"/>
        <charset val="134"/>
      </rPr>
      <t xml:space="preserve">ステップ2：
</t>
    </r>
    <r>
      <rPr>
        <sz val="10"/>
        <color rgb="FF000000"/>
        <rFont val="メイリオ"/>
        <charset val="134"/>
      </rPr>
      <t xml:space="preserve">Kiểm tra response của GET `/api/v1/accounts/10` được phản ánh lên màn hình
</t>
    </r>
    <r>
      <rPr>
        <b/>
        <sz val="10"/>
        <color rgb="FF000000"/>
        <rFont val="メイリオ"/>
        <charset val="134"/>
      </rPr>
      <t xml:space="preserve">ステップ3：
</t>
    </r>
    <r>
      <rPr>
        <sz val="10"/>
        <color rgb="FF000000"/>
        <rFont val="メイリオ"/>
        <charset val="134"/>
      </rPr>
      <t>Kiểm tra trạng thái của trường login_id, trường password</t>
    </r>
  </si>
  <si>
    <r>
      <rPr>
        <b/>
        <sz val="10"/>
        <color rgb="FF000000"/>
        <rFont val="メイリオ"/>
        <charset val="134"/>
      </rPr>
      <t xml:space="preserve">ステップ1：
</t>
    </r>
    <r>
      <rPr>
        <sz val="10"/>
        <color rgb="FF000000"/>
        <rFont val="メイリオ"/>
        <charset val="134"/>
      </rPr>
      <t xml:space="preserve">Tiêu đề màn `アカウントマスタ編集` được hiển thị, form được load data cũ
</t>
    </r>
    <r>
      <rPr>
        <b/>
        <sz val="10"/>
        <color rgb="FF000000"/>
        <rFont val="メイリオ"/>
        <charset val="134"/>
      </rPr>
      <t xml:space="preserve">ステップ2：
</t>
    </r>
    <r>
      <rPr>
        <sz val="10"/>
        <color rgb="FF000000"/>
        <rFont val="メイリオ"/>
        <charset val="134"/>
      </rPr>
      <t xml:space="preserve">login_id, role, tỉnh thành, JA, kanri_shiten, account_name, email, sub_email_1〜3, paper_flg, denshi_flg, biko đều hiển thị giá trị trong DB
</t>
    </r>
    <r>
      <rPr>
        <b/>
        <sz val="10"/>
        <color rgb="FF000000"/>
        <rFont val="メイリオ"/>
        <charset val="134"/>
      </rPr>
      <t xml:space="preserve">ステップ3：
</t>
    </r>
    <r>
      <rPr>
        <sz val="10"/>
        <color rgb="FF000000"/>
        <rFont val="メイリオ"/>
        <charset val="134"/>
      </rPr>
      <t xml:space="preserve">Trường login_id ở trạng thái disable (không thể chỉnh sửa), trường password ở trạng thái trống (spec: khi update để trống = không thay đổi)
</t>
    </r>
    <r>
      <rPr>
        <b/>
        <sz val="10"/>
        <color rgb="FF000000"/>
        <rFont val="メイリオ"/>
        <charset val="134"/>
      </rPr>
      <t xml:space="preserve">補足：
</t>
    </r>
    <r>
      <rPr>
        <sz val="10"/>
        <color rgb="FF000000"/>
        <rFont val="メイリオ"/>
        <charset val="134"/>
      </rPr>
      <t xml:space="preserve">・Ở mode edit, login_id không thể thay đổi (do là khóa duy nhất nghiệp vụ)
</t>
    </r>
    <r>
      <rPr>
        <sz val="10"/>
        <color rgb="FF000000"/>
        <rFont val="メイリオ"/>
        <charset val="134"/>
      </rPr>
      <t>・Password ở mode edit khi gửi trống thì giữ giá trị cũ theo thiết kế</t>
    </r>
  </si>
  <si>
    <t>screen-design.md §機能定義 §5.1 — Khi edit login_id không thay đổi, password trống = giữ nguyên.</t>
  </si>
  <si>
    <t>ACSMS-TC-025-008</t>
  </si>
  <si>
    <t>Xác nhận hiển thị toàn bộ 14 trường nhập của form</t>
  </si>
  <si>
    <r>
      <rPr>
        <b/>
        <sz val="10"/>
        <color rgb="FF000000"/>
        <rFont val="メイリオ"/>
        <charset val="134"/>
      </rPr>
      <t xml:space="preserve">ステップ1：
</t>
    </r>
    <r>
      <rPr>
        <sz val="10"/>
        <color rgb="FF000000"/>
        <rFont val="メイリオ"/>
        <charset val="134"/>
      </rPr>
      <t xml:space="preserve">Kiểm tra toàn bộ các trường hiển thị trên form từ trên xuống dưới
</t>
    </r>
    <r>
      <rPr>
        <b/>
        <sz val="10"/>
        <color rgb="FF000000"/>
        <rFont val="メイリオ"/>
        <charset val="134"/>
      </rPr>
      <t xml:space="preserve">ステップ2：
</t>
    </r>
    <r>
      <rPr>
        <sz val="10"/>
        <color rgb="FF000000"/>
        <rFont val="メイリオ"/>
        <charset val="134"/>
      </rPr>
      <t>Kiểm tra label, kiểu nhập, dấu required (dấu sao màu đỏ) của từng trường</t>
    </r>
  </si>
  <si>
    <r>
      <rPr>
        <b/>
        <sz val="10"/>
        <color rgb="FF000000"/>
        <rFont val="メイリオ"/>
        <charset val="134"/>
      </rPr>
      <t xml:space="preserve">ステップ1：
</t>
    </r>
    <r>
      <rPr>
        <sz val="10"/>
        <color rgb="FF000000"/>
        <rFont val="メイリオ"/>
        <charset val="134"/>
      </rPr>
      <t xml:space="preserve">14 trường sau được hiển thị: login_id, password, role, tỉnh thành, JA, kanri_shiten, account_name, email, sub_email_1, sub_email_2, sub_email_3, paper_flg, denshi_flg, biko
</t>
    </r>
    <r>
      <rPr>
        <b/>
        <sz val="10"/>
        <color rgb="FF000000"/>
        <rFont val="メイリオ"/>
        <charset val="134"/>
      </rPr>
      <t xml:space="preserve">ステップ2：
</t>
    </r>
    <r>
      <rPr>
        <sz val="10"/>
        <color rgb="FF000000"/>
        <rFont val="メイリオ"/>
        <charset val="134"/>
      </rPr>
      <t xml:space="preserve">4 trường login_id, password, role, account_name có dấu sao màu đỏ (*); tỉnh thành/JA/kanri_shiten là conditional required theo giá trị role được chọn
</t>
    </r>
    <r>
      <rPr>
        <b/>
        <sz val="10"/>
        <color rgb="FF000000"/>
        <rFont val="メイリオ"/>
        <charset val="134"/>
      </rPr>
      <t xml:space="preserve">補足：
</t>
    </r>
    <r>
      <rPr>
        <sz val="10"/>
        <color rgb="FF000000"/>
        <rFont val="メイリオ"/>
        <charset val="134"/>
      </rPr>
      <t xml:space="preserve">・Trường biko là textarea, các trường flag là dạng radio button
</t>
    </r>
    <r>
      <rPr>
        <sz val="10"/>
        <color rgb="FF000000"/>
        <rFont val="メイリオ"/>
        <charset val="134"/>
      </rPr>
      <t>・Dấu required hiển thị bên phải label với màu `text-error`</t>
    </r>
  </si>
  <si>
    <t>screen-design.md §項目定義 — Xác nhận thứ tự hiển thị và thuộc tính required của tất cả 14 trường.</t>
  </si>
  <si>
    <t>ACSMS-TC-025-009</t>
  </si>
  <si>
    <t>Disable các trường cascade khi chọn role=1 hoặc 2</t>
  </si>
  <si>
    <r>
      <rPr>
        <b/>
        <sz val="10"/>
        <color rgb="FF000000"/>
        <rFont val="メイリオ"/>
        <charset val="134"/>
      </rPr>
      <t xml:space="preserve">ステップ1：
</t>
    </r>
    <r>
      <rPr>
        <sz val="10"/>
        <color rgb="FF000000"/>
        <rFont val="メイリオ"/>
        <charset val="134"/>
      </rPr>
      <t xml:space="preserve">Chọn "NICHINO_ADMIN" (role_id=1) ở trường role
</t>
    </r>
    <r>
      <rPr>
        <b/>
        <sz val="10"/>
        <color rgb="FF000000"/>
        <rFont val="メイリオ"/>
        <charset val="134"/>
      </rPr>
      <t xml:space="preserve">ステップ2：
</t>
    </r>
    <r>
      <rPr>
        <sz val="10"/>
        <color rgb="FF000000"/>
        <rFont val="メイリオ"/>
        <charset val="134"/>
      </rPr>
      <t xml:space="preserve">Kiểm tra trạng thái hiển thị của trường tỉnh thành, JA, kanri_shiten
</t>
    </r>
    <r>
      <rPr>
        <b/>
        <sz val="10"/>
        <color rgb="FF000000"/>
        <rFont val="メイリオ"/>
        <charset val="134"/>
      </rPr>
      <t xml:space="preserve">ステップ3：
</t>
    </r>
    <r>
      <rPr>
        <sz val="10"/>
        <color rgb="FF000000"/>
        <rFont val="メイリオ"/>
        <charset val="134"/>
      </rPr>
      <t xml:space="preserve">Chuyển trường role sang "NICHINO_STAFF" (role_id=2)
</t>
    </r>
    <r>
      <rPr>
        <b/>
        <sz val="10"/>
        <color rgb="FF000000"/>
        <rFont val="メイリオ"/>
        <charset val="134"/>
      </rPr>
      <t xml:space="preserve">ステップ4：
</t>
    </r>
    <r>
      <rPr>
        <sz val="10"/>
        <color rgb="FF000000"/>
        <rFont val="メイリオ"/>
        <charset val="134"/>
      </rPr>
      <t>Kiểm tra lại trạng thái hiển thị của trường tỉnh thành, JA, kanri_shiten</t>
    </r>
  </si>
  <si>
    <r>
      <rPr>
        <b/>
        <sz val="10"/>
        <color rgb="FF000000"/>
        <rFont val="游ゴシック"/>
        <charset val="134"/>
      </rPr>
      <t xml:space="preserve">ステップ1：
</t>
    </r>
    <r>
      <rPr>
        <sz val="10"/>
        <color rgb="FF000000"/>
        <rFont val="游ゴシック"/>
        <charset val="134"/>
      </rPr>
      <t xml:space="preserve">Trường role ở trạng thái đã chọn "NICHINO_ADMIN"
</t>
    </r>
    <r>
      <rPr>
        <b/>
        <sz val="10"/>
        <color rgb="FF000000"/>
        <rFont val="游ゴシック"/>
        <charset val="134"/>
      </rPr>
      <t xml:space="preserve">ステップ2：
</t>
    </r>
    <r>
      <rPr>
        <sz val="10"/>
        <color rgb="FF000000"/>
        <rFont val="游ゴシック"/>
        <charset val="134"/>
      </rPr>
      <t xml:space="preserve">Trường tỉnh thành/JA/kanri_shiten bị ẩn (vì account nội bộ Báo Nông nghiệp Nhật Bản không liên kết với tổ chức JA)
</t>
    </r>
    <r>
      <rPr>
        <b/>
        <sz val="10"/>
        <color rgb="FF000000"/>
        <rFont val="游ゴシック"/>
        <charset val="134"/>
      </rPr>
      <t xml:space="preserve">ステップ3：
</t>
    </r>
    <r>
      <rPr>
        <sz val="10"/>
        <color rgb="FF000000"/>
        <rFont val="游ゴシック"/>
        <charset val="134"/>
      </rPr>
      <t xml:space="preserve">Trường role ở trạng thái đã chọn "NICHINO_STAFF"
</t>
    </r>
    <r>
      <rPr>
        <b/>
        <sz val="10"/>
        <color rgb="FF000000"/>
        <rFont val="游ゴシック"/>
        <charset val="134"/>
      </rPr>
      <t xml:space="preserve">ステップ4：
</t>
    </r>
    <r>
      <rPr>
        <sz val="10"/>
        <color rgb="FF000000"/>
        <rFont val="游ゴシック"/>
        <charset val="134"/>
      </rPr>
      <t xml:space="preserve">Trường tỉnh thành/JA/kanri_shiten tiếp tục bị disable
</t>
    </r>
    <r>
      <rPr>
        <b/>
        <sz val="10"/>
        <color rgb="FF000000"/>
        <rFont val="游ゴシック"/>
        <charset val="134"/>
      </rPr>
      <t xml:space="preserve">補足：
</t>
    </r>
    <r>
      <rPr>
        <sz val="10"/>
        <color rgb="FF000000"/>
        <rFont val="游ゴシック"/>
        <charset val="134"/>
      </rPr>
      <t>・role_id ∈ {1, 2} là account nội bộ, theo spec không cần liên kết tổ chức JA</t>
    </r>
  </si>
  <si>
    <t>screen-design.md §機能定義 §4.2 — role_id ∈ {1,2} không cần liên kết tổ chức.</t>
  </si>
  <si>
    <t>ACSMS-TC-025-010</t>
  </si>
  <si>
    <t>Hiển thị các trường cascade khi chọn role=3 hoặc 4 (trừ kanri_shiten)</t>
  </si>
  <si>
    <r>
      <rPr>
        <b/>
        <sz val="10"/>
        <color rgb="FF000000"/>
        <rFont val="メイリオ"/>
        <charset val="134"/>
      </rPr>
      <t xml:space="preserve">ステップ1：
</t>
    </r>
    <r>
      <rPr>
        <sz val="10"/>
        <color rgb="FF000000"/>
        <rFont val="メイリオ"/>
        <charset val="134"/>
      </rPr>
      <t xml:space="preserve">Chọn "CHUOKAI" (role_id=3) ở trường role
</t>
    </r>
    <r>
      <rPr>
        <b/>
        <sz val="10"/>
        <color rgb="FF000000"/>
        <rFont val="メイリオ"/>
        <charset val="134"/>
      </rPr>
      <t xml:space="preserve">ステップ2：
</t>
    </r>
    <r>
      <rPr>
        <sz val="10"/>
        <color rgb="FF000000"/>
        <rFont val="メイリオ"/>
        <charset val="134"/>
      </rPr>
      <t xml:space="preserve">Kiểm tra trạng thái hiển thị của trường tỉnh thành, JA, kanri_shiten
</t>
    </r>
    <r>
      <rPr>
        <b/>
        <sz val="10"/>
        <color rgb="FF000000"/>
        <rFont val="メイリオ"/>
        <charset val="134"/>
      </rPr>
      <t xml:space="preserve">ステップ3：
</t>
    </r>
    <r>
      <rPr>
        <sz val="10"/>
        <color rgb="FF000000"/>
        <rFont val="メイリオ"/>
        <charset val="134"/>
      </rPr>
      <t xml:space="preserve">Chuyển trường role sang "JA_HONTEN" (role_id=4)
</t>
    </r>
    <r>
      <rPr>
        <b/>
        <sz val="10"/>
        <color rgb="FF000000"/>
        <rFont val="メイリオ"/>
        <charset val="134"/>
      </rPr>
      <t xml:space="preserve">ステップ4：
</t>
    </r>
    <r>
      <rPr>
        <sz val="10"/>
        <color rgb="FF000000"/>
        <rFont val="メイリオ"/>
        <charset val="134"/>
      </rPr>
      <t>Kiểm tra lại trạng thái hiển thị của trường tỉnh thành, JA, kanri_shiten</t>
    </r>
  </si>
  <si>
    <r>
      <rPr>
        <b/>
        <sz val="10"/>
        <color rgb="FF000000"/>
        <rFont val="メイリオ"/>
        <charset val="134"/>
      </rPr>
      <t xml:space="preserve">ステップ1：
</t>
    </r>
    <r>
      <rPr>
        <sz val="10"/>
        <color rgb="FF000000"/>
        <rFont val="メイリオ"/>
        <charset val="134"/>
      </rPr>
      <t xml:space="preserve">Trường role ở trạng thái đã chọn "CHUOKAI"
</t>
    </r>
    <r>
      <rPr>
        <b/>
        <sz val="10"/>
        <color rgb="FF000000"/>
        <rFont val="メイリオ"/>
        <charset val="134"/>
      </rPr>
      <t xml:space="preserve">ステップ2：
</t>
    </r>
    <r>
      <rPr>
        <sz val="10"/>
        <color rgb="FF000000"/>
        <rFont val="メイリオ"/>
        <charset val="134"/>
      </rPr>
      <t xml:space="preserve">Trường tỉnh thành/JA hiển thị · required (kèm dấu required *), trường kanri_shiten bị ẩn
</t>
    </r>
    <r>
      <rPr>
        <b/>
        <sz val="10"/>
        <color rgb="FF000000"/>
        <rFont val="メイリオ"/>
        <charset val="134"/>
      </rPr>
      <t xml:space="preserve">ステップ3：
</t>
    </r>
    <r>
      <rPr>
        <sz val="10"/>
        <color rgb="FF000000"/>
        <rFont val="メイリオ"/>
        <charset val="134"/>
      </rPr>
      <t xml:space="preserve">Trường role ở trạng thái đã chọn "JA_HONTEN"
</t>
    </r>
    <r>
      <rPr>
        <b/>
        <sz val="10"/>
        <color rgb="FF000000"/>
        <rFont val="メイリオ"/>
        <charset val="134"/>
      </rPr>
      <t xml:space="preserve">ステップ4：
</t>
    </r>
    <r>
      <rPr>
        <sz val="10"/>
        <color rgb="FF000000"/>
        <rFont val="メイリオ"/>
        <charset val="134"/>
      </rPr>
      <t xml:space="preserve">Trường tỉnh thành/JA hiển thị · required, trường kanri_shiten bị ẩn, candidate trong trường JA chỉ hiển thị JA của 単協 với `chuokai_flg=false`
</t>
    </r>
    <r>
      <rPr>
        <b/>
        <sz val="10"/>
        <color rgb="FF000000"/>
        <rFont val="メイリオ"/>
        <charset val="134"/>
      </rPr>
      <t xml:space="preserve">補足：
</t>
    </r>
    <r>
      <rPr>
        <sz val="10"/>
        <color rgb="FF000000"/>
        <rFont val="メイリオ"/>
        <charset val="134"/>
      </rPr>
      <t xml:space="preserve">・Khi chọn CHUOKAI thì candidate JA được lọc theo `chuokai_flg=true`
</t>
    </r>
    <r>
      <rPr>
        <sz val="10"/>
        <color rgb="FF000000"/>
        <rFont val="メイリオ"/>
        <charset val="134"/>
      </rPr>
      <t>・Khi chọn JA_HONTEN thì candidate JA được lọc theo `chuokai_flg=false`</t>
    </r>
  </si>
  <si>
    <t>screen-design.md §機能定義 §4.2 — Danh sách JA được lọc theo chuokai_flg.</t>
  </si>
  <si>
    <t>ACSMS-TC-025-011</t>
  </si>
  <si>
    <t>Hiển thị toàn bộ các trường cascade khi chọn role=5</t>
  </si>
  <si>
    <r>
      <rPr>
        <b/>
        <sz val="10"/>
        <color rgb="FF000000"/>
        <rFont val="メイリオ"/>
        <charset val="134"/>
      </rPr>
      <t xml:space="preserve">ステップ1：
</t>
    </r>
    <r>
      <rPr>
        <sz val="10"/>
        <color rgb="FF000000"/>
        <rFont val="メイリオ"/>
        <charset val="134"/>
      </rPr>
      <t xml:space="preserve">Chọn "JA_KANRI_SHITEN" (role_id=5) ở trường role
</t>
    </r>
    <r>
      <rPr>
        <b/>
        <sz val="10"/>
        <color rgb="FF000000"/>
        <rFont val="メイリオ"/>
        <charset val="134"/>
      </rPr>
      <t xml:space="preserve">ステップ2：
</t>
    </r>
    <r>
      <rPr>
        <sz val="10"/>
        <color rgb="FF000000"/>
        <rFont val="メイリオ"/>
        <charset val="134"/>
      </rPr>
      <t>Kiểm tra trạng thái hiển thị và dấu required của trường tỉnh thành, JA, kanri_shiten</t>
    </r>
  </si>
  <si>
    <r>
      <rPr>
        <b/>
        <sz val="10"/>
        <color rgb="FF000000"/>
        <rFont val="メイリオ"/>
        <charset val="134"/>
      </rPr>
      <t xml:space="preserve">ステップ1：
</t>
    </r>
    <r>
      <rPr>
        <sz val="10"/>
        <color rgb="FF000000"/>
        <rFont val="メイリオ"/>
        <charset val="134"/>
      </rPr>
      <t xml:space="preserve">Trường role ở trạng thái đã chọn "JA_KANRI_SHITEN"
</t>
    </r>
    <r>
      <rPr>
        <b/>
        <sz val="10"/>
        <color rgb="FF000000"/>
        <rFont val="メイリオ"/>
        <charset val="134"/>
      </rPr>
      <t xml:space="preserve">ステップ2：
</t>
    </r>
    <r>
      <rPr>
        <sz val="10"/>
        <color rgb="FF000000"/>
        <rFont val="メイリオ"/>
        <charset val="134"/>
      </rPr>
      <t xml:space="preserve">Trường tỉnh thành/JA/kanri_shiten đều hiển thị · required (cả 3 trường đều có dấu sao màu đỏ *)
</t>
    </r>
    <r>
      <rPr>
        <b/>
        <sz val="10"/>
        <color rgb="FF000000"/>
        <rFont val="メイリオ"/>
        <charset val="134"/>
      </rPr>
      <t xml:space="preserve">補足：
</t>
    </r>
    <r>
      <rPr>
        <sz val="10"/>
        <color rgb="FF000000"/>
        <rFont val="メイリオ"/>
        <charset val="134"/>
      </rPr>
      <t>・JA_KANRI_SHITEN gắn với một kanri_shiten cụ thể nên việc chọn cả 3 cấp đều bắt buộc</t>
    </r>
  </si>
  <si>
    <t>screen-design.md §機能定義 §4.2 — role_id=5 yêu cầu cả 3 cấp.</t>
  </si>
  <si>
    <t>ACSMS-TC-025-012</t>
  </si>
  <si>
    <t>Responsive layout của màn hình (tablet/mobile)</t>
  </si>
  <si>
    <r>
      <rPr>
        <b/>
        <sz val="10"/>
        <color rgb="FF000000"/>
        <rFont val="メイリオ"/>
        <charset val="134"/>
      </rPr>
      <t xml:space="preserve">ステップ1：
</t>
    </r>
    <r>
      <rPr>
        <sz val="10"/>
        <color rgb="FF000000"/>
        <rFont val="メイリオ"/>
        <charset val="134"/>
      </rPr>
      <t xml:space="preserve">Ở chế độ Responsive của DevTools, kiểm tra với chiều rộng 1280px (desktop)
</t>
    </r>
    <r>
      <rPr>
        <b/>
        <sz val="10"/>
        <color rgb="FF000000"/>
        <rFont val="メイリオ"/>
        <charset val="134"/>
      </rPr>
      <t xml:space="preserve">ステップ2：
</t>
    </r>
    <r>
      <rPr>
        <sz val="10"/>
        <color rgb="FF000000"/>
        <rFont val="メイリオ"/>
        <charset val="134"/>
      </rPr>
      <t xml:space="preserve">Chuyển sang chiều rộng 768px (tablet)
</t>
    </r>
    <r>
      <rPr>
        <b/>
        <sz val="10"/>
        <color rgb="FF000000"/>
        <rFont val="メイリオ"/>
        <charset val="134"/>
      </rPr>
      <t xml:space="preserve">ステップ3：
</t>
    </r>
    <r>
      <rPr>
        <sz val="10"/>
        <color rgb="FF000000"/>
        <rFont val="メイリオ"/>
        <charset val="134"/>
      </rPr>
      <t>Chuyển sang chiều rộng 375px (mobile)</t>
    </r>
  </si>
  <si>
    <r>
      <rPr>
        <b/>
        <sz val="10"/>
        <color rgb="FF000000"/>
        <rFont val="メイリオ"/>
        <charset val="134"/>
      </rPr>
      <t xml:space="preserve">ステップ1：
</t>
    </r>
    <r>
      <rPr>
        <sz val="10"/>
        <color rgb="FF000000"/>
        <rFont val="メイリオ"/>
        <charset val="134"/>
      </rPr>
      <t xml:space="preserve">Các trường nhập hiển thị theo layout 2 cột, không xuất hiện horizontal scroll
</t>
    </r>
    <r>
      <rPr>
        <b/>
        <sz val="10"/>
        <color rgb="FF000000"/>
        <rFont val="メイリオ"/>
        <charset val="134"/>
      </rPr>
      <t xml:space="preserve">ステップ2：
</t>
    </r>
    <r>
      <rPr>
        <sz val="10"/>
        <color rgb="FF000000"/>
        <rFont val="メイリオ"/>
        <charset val="134"/>
      </rPr>
      <t xml:space="preserve">Các trường nhập được wrap thành layout 1 cột, không xuất hiện horizontal scroll
</t>
    </r>
    <r>
      <rPr>
        <b/>
        <sz val="10"/>
        <color rgb="FF000000"/>
        <rFont val="メイリオ"/>
        <charset val="134"/>
      </rPr>
      <t xml:space="preserve">ステップ3：
</t>
    </r>
    <r>
      <rPr>
        <sz val="10"/>
        <color rgb="FF000000"/>
        <rFont val="メイリオ"/>
        <charset val="134"/>
      </rPr>
      <t xml:space="preserve">Các trường nhập hiển thị theo layout 1 cột, sidebar được thu vào hamburger menu, không xuất hiện horizontal scroll
</t>
    </r>
    <r>
      <rPr>
        <b/>
        <sz val="10"/>
        <color rgb="FF000000"/>
        <rFont val="メイリオ"/>
        <charset val="134"/>
      </rPr>
      <t xml:space="preserve">補足：
</t>
    </r>
    <r>
      <rPr>
        <sz val="10"/>
        <color rgb="FF000000"/>
        <rFont val="メイリオ"/>
        <charset val="134"/>
      </rPr>
      <t>・Layout không bị vỡ theo các responsive breakpoint của design token</t>
    </r>
  </si>
  <si>
    <t>Kiểm tra vỡ layout tại 3 mức chiều rộng.
---</t>
  </si>
  <si>
    <t>Header &amp; Breadcrumb</t>
  </si>
  <si>
    <t>ACSMS-TC-025-013</t>
  </si>
  <si>
    <t>Hiển thị tiêu đề màn (mode đăng ký/edit)</t>
  </si>
  <si>
    <t>・role: NICHINO_ADMIN
・Đã login</t>
  </si>
  <si>
    <r>
      <rPr>
        <b/>
        <sz val="10"/>
        <color rgb="FF000000"/>
        <rFont val="メイリオ"/>
        <charset val="134"/>
      </rPr>
      <t xml:space="preserve">ステップ1：
</t>
    </r>
    <r>
      <rPr>
        <sz val="10"/>
        <color rgb="FF000000"/>
        <rFont val="メイリオ"/>
        <charset val="134"/>
      </rPr>
      <t xml:space="preserve">Truy cập URL `/accounts/create`, kiểm tra tiêu đề ở vùng header
</t>
    </r>
    <r>
      <rPr>
        <b/>
        <sz val="10"/>
        <color rgb="FF000000"/>
        <rFont val="メイリオ"/>
        <charset val="134"/>
      </rPr>
      <t xml:space="preserve">ステップ2：
</t>
    </r>
    <r>
      <rPr>
        <sz val="10"/>
        <color rgb="FF000000"/>
        <rFont val="メイリオ"/>
        <charset val="134"/>
      </rPr>
      <t>Truy cập URL `/accounts/10/edit`, kiểm tra tiêu đề ở vùng header</t>
    </r>
  </si>
  <si>
    <r>
      <rPr>
        <b/>
        <sz val="10"/>
        <color rgb="FF000000"/>
        <rFont val="メイリオ"/>
        <charset val="134"/>
      </rPr>
      <t xml:space="preserve">ステップ1：
</t>
    </r>
    <r>
      <rPr>
        <sz val="10"/>
        <color rgb="FF000000"/>
        <rFont val="メイリオ"/>
        <charset val="134"/>
      </rPr>
      <t xml:space="preserve">Tiêu đề `アカウントマスタ登録` được hiển thị
</t>
    </r>
    <r>
      <rPr>
        <b/>
        <sz val="10"/>
        <color rgb="FF000000"/>
        <rFont val="メイリオ"/>
        <charset val="134"/>
      </rPr>
      <t xml:space="preserve">ステップ2：
</t>
    </r>
    <r>
      <rPr>
        <sz val="10"/>
        <color rgb="FF000000"/>
        <rFont val="メイリオ"/>
        <charset val="134"/>
      </rPr>
      <t xml:space="preserve">Tiêu đề `アカウントマスタ編集` được hiển thị
</t>
    </r>
    <r>
      <rPr>
        <b/>
        <sz val="10"/>
        <color rgb="FF000000"/>
        <rFont val="メイリオ"/>
        <charset val="134"/>
      </rPr>
      <t xml:space="preserve">補足：
</t>
    </r>
    <r>
      <rPr>
        <sz val="10"/>
        <color rgb="FF000000"/>
        <rFont val="メイリオ"/>
        <charset val="134"/>
      </rPr>
      <t>・Tiêu đề màn hình được AppHeader của MainLayout tự động render từ `route.meta.breadcrumb`</t>
    </r>
  </si>
  <si>
    <t>Tiêu đề được tự render từ route meta.</t>
  </si>
  <si>
    <t>ACSMS-TC-025-014</t>
  </si>
  <si>
    <t>Hiển thị breadcrumb (3 cấp)</t>
  </si>
  <si>
    <r>
      <rPr>
        <b/>
        <sz val="10"/>
        <color rgb="FF000000"/>
        <rFont val="メイリオ"/>
        <charset val="134"/>
      </rPr>
      <t xml:space="preserve">ステップ1：
</t>
    </r>
    <r>
      <rPr>
        <sz val="10"/>
        <color rgb="FF000000"/>
        <rFont val="メイリオ"/>
        <charset val="134"/>
      </rPr>
      <t xml:space="preserve">Kiểm tra breadcrumb ở vùng header
</t>
    </r>
    <r>
      <rPr>
        <b/>
        <sz val="10"/>
        <color rgb="FF000000"/>
        <rFont val="メイリオ"/>
        <charset val="134"/>
      </rPr>
      <t xml:space="preserve">ステップ2：
</t>
    </r>
    <r>
      <rPr>
        <sz val="10"/>
        <color rgb="FF000000"/>
        <rFont val="メイリオ"/>
        <charset val="134"/>
      </rPr>
      <t>Click link "アカウントマスタ明細検索" giữa breadcrumb</t>
    </r>
  </si>
  <si>
    <r>
      <rPr>
        <b/>
        <sz val="10"/>
        <color rgb="FF000000"/>
        <rFont val="メイリオ"/>
        <charset val="134"/>
      </rPr>
      <t xml:space="preserve">ステップ1：
</t>
    </r>
    <r>
      <rPr>
        <sz val="10"/>
        <color rgb="FF000000"/>
        <rFont val="メイリオ"/>
        <charset val="134"/>
      </rPr>
      <t xml:space="preserve">Breadcrumb `ホーム &gt; 管理者機能 &gt; アカウントマスタ明細検索 &gt; アカウントマスタ登録` được hiển thị, node cuối (アカウントマスタ登録) không phải link
</t>
    </r>
    <r>
      <rPr>
        <b/>
        <sz val="10"/>
        <color rgb="FF000000"/>
        <rFont val="メイリオ"/>
        <charset val="134"/>
      </rPr>
      <t xml:space="preserve">ステップ2：
</t>
    </r>
    <r>
      <rPr>
        <sz val="10"/>
        <color rgb="FF000000"/>
        <rFont val="メイリオ"/>
        <charset val="134"/>
      </rPr>
      <t xml:space="preserve">Chuyển đến màn chi tiết tìm kiếm Master Account SCR-024 (`/accounts`)
</t>
    </r>
    <r>
      <rPr>
        <b/>
        <sz val="10"/>
        <color rgb="FF000000"/>
        <rFont val="メイリオ"/>
        <charset val="134"/>
      </rPr>
      <t xml:space="preserve">補足：
</t>
    </r>
    <r>
      <rPr>
        <sz val="10"/>
        <color rgb="FF000000"/>
        <rFont val="メイリオ"/>
        <charset val="134"/>
      </rPr>
      <t xml:space="preserve">・Node giữa breadcrumb có thể click chuyển đến màn list
</t>
    </r>
    <r>
      <rPr>
        <sz val="10"/>
        <color rgb="FF000000"/>
        <rFont val="メイリオ"/>
        <charset val="134"/>
      </rPr>
      <t>・Node cuối là text (không có link)</t>
    </r>
  </si>
  <si>
    <t>Thiết kế phân cấp breadcrumb chèn SCR-024 ở giữa.</t>
  </si>
  <si>
    <t>ACSMS-TC-025-015</t>
  </si>
  <si>
    <t>Thông tin user · Hoạt động logout của header</t>
  </si>
  <si>
    <t>・role: NICHINO_ADMIN (login_id=admin01)
・Đã truy cập URL `/accounts/create`</t>
  </si>
  <si>
    <r>
      <rPr>
        <b/>
        <sz val="10"/>
        <color rgb="FF000000"/>
        <rFont val="メイリオ"/>
        <charset val="134"/>
      </rPr>
      <t xml:space="preserve">ステップ1：
</t>
    </r>
    <r>
      <rPr>
        <sz val="10"/>
        <color rgb="FF000000"/>
        <rFont val="メイリオ"/>
        <charset val="134"/>
      </rPr>
      <t xml:space="preserve">Kiểm tra hiển thị thông tin user phía trên bên phải header
</t>
    </r>
    <r>
      <rPr>
        <b/>
        <sz val="10"/>
        <color rgb="FF000000"/>
        <rFont val="メイリオ"/>
        <charset val="134"/>
      </rPr>
      <t xml:space="preserve">ステップ2：
</t>
    </r>
    <r>
      <rPr>
        <sz val="10"/>
        <color rgb="FF000000"/>
        <rFont val="メイリオ"/>
        <charset val="134"/>
      </rPr>
      <t>Click vào tên user để mở dropdown menu, chọn "ログアウト"</t>
    </r>
  </si>
  <si>
    <r>
      <rPr>
        <b/>
        <sz val="10"/>
        <color rgb="FF000000"/>
        <rFont val="メイリオ"/>
        <charset val="134"/>
      </rPr>
      <t xml:space="preserve">ステップ1：
</t>
    </r>
    <r>
      <rPr>
        <sz val="10"/>
        <color rgb="FF000000"/>
        <rFont val="メイリオ"/>
        <charset val="134"/>
      </rPr>
      <t xml:space="preserve">Tên user `admin01` đang login và role `NICHINO_ADMIN` được hiển thị
</t>
    </r>
    <r>
      <rPr>
        <b/>
        <sz val="10"/>
        <color rgb="FF000000"/>
        <rFont val="メイリオ"/>
        <charset val="134"/>
      </rPr>
      <t xml:space="preserve">ステップ2：
</t>
    </r>
    <r>
      <rPr>
        <sz val="10"/>
        <color rgb="FF000000"/>
        <rFont val="メイリオ"/>
        <charset val="134"/>
      </rPr>
      <t xml:space="preserve">POST `/api/v1/auth/logout` được gọi, chuyển đến màn login `/login`, session cookie bị hủy
</t>
    </r>
    <r>
      <rPr>
        <b/>
        <sz val="10"/>
        <color rgb="FF000000"/>
        <rFont val="メイリオ"/>
        <charset val="134"/>
      </rPr>
      <t xml:space="preserve">補足：
</t>
    </r>
    <r>
      <rPr>
        <sz val="10"/>
        <color rgb="FF000000"/>
        <rFont val="メイリオ"/>
        <charset val="134"/>
      </rPr>
      <t>・Hoạt động header chung cho tất cả các màn hình</t>
    </r>
  </si>
  <si>
    <t>Header thuộc layout chung nên xác nhận hành vi.
---</t>
  </si>
  <si>
    <t>Validation đầu vào — Đăng ký/Chỉnh sửa</t>
  </si>
  <si>
    <t>ACSMS-TC-025-016</t>
  </si>
  <si>
    <t>Lỗi required — không nhập login_id</t>
  </si>
  <si>
    <r>
      <rPr>
        <b/>
        <sz val="10"/>
        <color rgb="FF000000"/>
        <rFont val="メイリオ"/>
        <charset val="134"/>
      </rPr>
      <t xml:space="preserve">ステップ1：
</t>
    </r>
    <r>
      <rPr>
        <sz val="10"/>
        <color rgb="FF000000"/>
        <rFont val="メイリオ"/>
        <charset val="134"/>
      </rPr>
      <t xml:space="preserve">Để trống trường login_id, nhập giá trị hợp lệ vào các trường required khác (password, role, account_name)
</t>
    </r>
    <r>
      <rPr>
        <b/>
        <sz val="10"/>
        <color rgb="FF000000"/>
        <rFont val="メイリオ"/>
        <charset val="134"/>
      </rPr>
      <t xml:space="preserve">ステップ2：
</t>
    </r>
    <r>
      <rPr>
        <sz val="10"/>
        <color rgb="FF000000"/>
        <rFont val="メイリオ"/>
        <charset val="134"/>
      </rPr>
      <t>Click button "登録"</t>
    </r>
  </si>
  <si>
    <r>
      <rPr>
        <b/>
        <sz val="10"/>
        <color rgb="FF000000"/>
        <rFont val="メイリオ"/>
        <charset val="134"/>
      </rPr>
      <t xml:space="preserve">ステップ1：
</t>
    </r>
    <r>
      <rPr>
        <sz val="10"/>
        <color rgb="FF000000"/>
        <rFont val="メイリオ"/>
        <charset val="134"/>
      </rPr>
      <t xml:space="preserve">Giá trị nhập được phản ánh lên màn hình
</t>
    </r>
    <r>
      <rPr>
        <b/>
        <sz val="10"/>
        <color rgb="FF000000"/>
        <rFont val="メイリオ"/>
        <charset val="134"/>
      </rPr>
      <t xml:space="preserve">ステップ2：
</t>
    </r>
    <r>
      <rPr>
        <sz val="10"/>
        <color rgb="FF000000"/>
        <rFont val="メイリオ"/>
        <charset val="134"/>
      </rPr>
      <t xml:space="preserve">Trả về HTTP 400 (`error_code: VALIDATION_ERROR`), dưới trường login_id hiển thị `必須項目です。`, focus chuyển đến trường login_id
</t>
    </r>
    <r>
      <rPr>
        <b/>
        <sz val="10"/>
        <color rgb="FF000000"/>
        <rFont val="メイリオ"/>
        <charset val="134"/>
      </rPr>
      <t xml:space="preserve">補足：
</t>
    </r>
    <r>
      <rPr>
        <sz val="10"/>
        <color rgb="FF000000"/>
        <rFont val="メイリオ"/>
        <charset val="134"/>
      </rPr>
      <t xml:space="preserve">・Trường hợp bị block trước bởi client-side validation của FE thì cũng hiển thị message này
</t>
    </r>
    <r>
      <rPr>
        <sz val="10"/>
        <color rgb="FF000000"/>
        <rFont val="メイリオ"/>
        <charset val="134"/>
      </rPr>
      <t>・Sử dụng MSG-025-001</t>
    </r>
  </si>
  <si>
    <t>MSG-025-001.</t>
  </si>
  <si>
    <t>ACSMS-TC-025-017</t>
  </si>
  <si>
    <t>Lỗi required — không nhập password (khi đăng ký)</t>
  </si>
  <si>
    <r>
      <rPr>
        <b/>
        <sz val="10"/>
        <color rgb="FF000000"/>
        <rFont val="メイリオ"/>
        <charset val="134"/>
      </rPr>
      <t xml:space="preserve">ステップ1：
</t>
    </r>
    <r>
      <rPr>
        <sz val="10"/>
        <color rgb="FF000000"/>
        <rFont val="メイリオ"/>
        <charset val="134"/>
      </rPr>
      <t xml:space="preserve">Để trống trường password, nhập giá trị hợp lệ vào các trường required khác
</t>
    </r>
    <r>
      <rPr>
        <b/>
        <sz val="10"/>
        <color rgb="FF000000"/>
        <rFont val="メイリオ"/>
        <charset val="134"/>
      </rPr>
      <t xml:space="preserve">ステップ2：
</t>
    </r>
    <r>
      <rPr>
        <sz val="10"/>
        <color rgb="FF000000"/>
        <rFont val="メイリオ"/>
        <charset val="134"/>
      </rPr>
      <t>Click button "登録"</t>
    </r>
  </si>
  <si>
    <r>
      <rPr>
        <b/>
        <sz val="10"/>
        <color rgb="FF000000"/>
        <rFont val="メイリオ"/>
        <charset val="134"/>
      </rPr>
      <t xml:space="preserve">ステップ1：
</t>
    </r>
    <r>
      <rPr>
        <sz val="10"/>
        <color rgb="FF000000"/>
        <rFont val="メイリオ"/>
        <charset val="134"/>
      </rPr>
      <t xml:space="preserve">Giá trị nhập được phản ánh lên màn hình
</t>
    </r>
    <r>
      <rPr>
        <b/>
        <sz val="10"/>
        <color rgb="FF000000"/>
        <rFont val="メイリオ"/>
        <charset val="134"/>
      </rPr>
      <t xml:space="preserve">ステップ2：
</t>
    </r>
    <r>
      <rPr>
        <sz val="10"/>
        <color rgb="FF000000"/>
        <rFont val="メイリオ"/>
        <charset val="134"/>
      </rPr>
      <t xml:space="preserve">Trả về HTTP 400, dưới trường password hiển thị `必須項目です。`
</t>
    </r>
    <r>
      <rPr>
        <b/>
        <sz val="10"/>
        <color rgb="FF000000"/>
        <rFont val="メイリオ"/>
        <charset val="134"/>
      </rPr>
      <t xml:space="preserve">補足：
</t>
    </r>
    <r>
      <rPr>
        <sz val="10"/>
        <color rgb="FF000000"/>
        <rFont val="メイリオ"/>
        <charset val="134"/>
      </rPr>
      <t xml:space="preserve">・Khi đăng ký, password là trường required
</t>
    </r>
    <r>
      <rPr>
        <sz val="10"/>
        <color rgb="FF000000"/>
        <rFont val="メイリオ"/>
        <charset val="134"/>
      </rPr>
      <t>・Khi edit, để trống = không thay đổi theo spec (xác nhận ở TC khác)</t>
    </r>
  </si>
  <si>
    <t>MSG-025-001 (chỉ khi đăng ký).</t>
  </si>
  <si>
    <t>ACSMS-TC-025-018</t>
  </si>
  <si>
    <t>Lỗi required — không chọn role</t>
  </si>
  <si>
    <r>
      <rPr>
        <b/>
        <sz val="10"/>
        <color rgb="FF000000"/>
        <rFont val="メイリオ"/>
        <charset val="134"/>
      </rPr>
      <t xml:space="preserve">ステップ1：
</t>
    </r>
    <r>
      <rPr>
        <sz val="10"/>
        <color rgb="FF000000"/>
        <rFont val="メイリオ"/>
        <charset val="134"/>
      </rPr>
      <t xml:space="preserve">Để trường role chưa chọn, nhập giá trị hợp lệ vào các trường required khác
</t>
    </r>
    <r>
      <rPr>
        <b/>
        <sz val="10"/>
        <color rgb="FF000000"/>
        <rFont val="メイリオ"/>
        <charset val="134"/>
      </rPr>
      <t xml:space="preserve">ステップ2：
</t>
    </r>
    <r>
      <rPr>
        <sz val="10"/>
        <color rgb="FF000000"/>
        <rFont val="メイリオ"/>
        <charset val="134"/>
      </rPr>
      <t>Click button "登録"</t>
    </r>
  </si>
  <si>
    <r>
      <rPr>
        <b/>
        <sz val="10"/>
        <color rgb="FF000000"/>
        <rFont val="メイリオ"/>
        <charset val="134"/>
      </rPr>
      <t xml:space="preserve">ステップ1：
</t>
    </r>
    <r>
      <rPr>
        <sz val="10"/>
        <color rgb="FF000000"/>
        <rFont val="メイリオ"/>
        <charset val="134"/>
      </rPr>
      <t xml:space="preserve">Giá trị nhập được phản ánh lên màn hình
</t>
    </r>
    <r>
      <rPr>
        <b/>
        <sz val="10"/>
        <color rgb="FF000000"/>
        <rFont val="メイリオ"/>
        <charset val="134"/>
      </rPr>
      <t xml:space="preserve">ステップ2：
</t>
    </r>
    <r>
      <rPr>
        <sz val="10"/>
        <color rgb="FF000000"/>
        <rFont val="メイリオ"/>
        <charset val="134"/>
      </rPr>
      <t xml:space="preserve">Trả về HTTP 400, dưới trường role hiển thị `必須項目です。`
</t>
    </r>
    <r>
      <rPr>
        <b/>
        <sz val="10"/>
        <color rgb="FF000000"/>
        <rFont val="メイリオ"/>
        <charset val="134"/>
      </rPr>
      <t xml:space="preserve">補足：
</t>
    </r>
    <r>
      <rPr>
        <sz val="10"/>
        <color rgb="FF000000"/>
        <rFont val="メイリオ"/>
        <charset val="134"/>
      </rPr>
      <t>・Sử dụng MSG-025-001</t>
    </r>
  </si>
  <si>
    <t>ACSMS-TC-025-019</t>
  </si>
  <si>
    <t>Lỗi required — không nhập account_name</t>
  </si>
  <si>
    <r>
      <rPr>
        <b/>
        <sz val="10"/>
        <color rgb="FF000000"/>
        <rFont val="メイリオ"/>
        <charset val="134"/>
      </rPr>
      <t xml:space="preserve">ステップ1：
</t>
    </r>
    <r>
      <rPr>
        <sz val="10"/>
        <color rgb="FF000000"/>
        <rFont val="メイリオ"/>
        <charset val="134"/>
      </rPr>
      <t xml:space="preserve">Để trống trường account_name, nhập giá trị hợp lệ vào các trường required khác
</t>
    </r>
    <r>
      <rPr>
        <b/>
        <sz val="10"/>
        <color rgb="FF000000"/>
        <rFont val="メイリオ"/>
        <charset val="134"/>
      </rPr>
      <t xml:space="preserve">ステップ2：
</t>
    </r>
    <r>
      <rPr>
        <sz val="10"/>
        <color rgb="FF000000"/>
        <rFont val="メイリオ"/>
        <charset val="134"/>
      </rPr>
      <t>Click button "登録"</t>
    </r>
  </si>
  <si>
    <r>
      <rPr>
        <b/>
        <sz val="10"/>
        <color rgb="FF000000"/>
        <rFont val="メイリオ"/>
        <charset val="134"/>
      </rPr>
      <t xml:space="preserve">ステップ1：
</t>
    </r>
    <r>
      <rPr>
        <sz val="10"/>
        <color rgb="FF000000"/>
        <rFont val="メイリオ"/>
        <charset val="134"/>
      </rPr>
      <t xml:space="preserve">Giá trị nhập được phản ánh lên màn hình
</t>
    </r>
    <r>
      <rPr>
        <b/>
        <sz val="10"/>
        <color rgb="FF000000"/>
        <rFont val="メイリオ"/>
        <charset val="134"/>
      </rPr>
      <t xml:space="preserve">ステップ2：
</t>
    </r>
    <r>
      <rPr>
        <sz val="10"/>
        <color rgb="FF000000"/>
        <rFont val="メイリオ"/>
        <charset val="134"/>
      </rPr>
      <t xml:space="preserve">Trả về HTTP 400, dưới trường account_name hiển thị `必須項目です。`
</t>
    </r>
    <r>
      <rPr>
        <b/>
        <sz val="10"/>
        <color rgb="FF000000"/>
        <rFont val="メイリオ"/>
        <charset val="134"/>
      </rPr>
      <t xml:space="preserve">補足：
</t>
    </r>
    <r>
      <rPr>
        <sz val="10"/>
        <color rgb="FF000000"/>
        <rFont val="メイリオ"/>
        <charset val="134"/>
      </rPr>
      <t>・Sử dụng MSG-025-001</t>
    </r>
  </si>
  <si>
    <t>ACSMS-TC-025-020</t>
  </si>
  <si>
    <t>Conditional required (CHUOKAI: không chọn tỉnh thành)</t>
  </si>
  <si>
    <r>
      <rPr>
        <b/>
        <sz val="10"/>
        <color rgb="FF000000"/>
        <rFont val="メイリオ"/>
        <charset val="134"/>
      </rPr>
      <t xml:space="preserve">ステップ1：
</t>
    </r>
    <r>
      <rPr>
        <sz val="10"/>
        <color rgb="FF000000"/>
        <rFont val="メイリオ"/>
        <charset val="134"/>
      </rPr>
      <t xml:space="preserve">Chọn "CHUOKAI" ở trường role
</t>
    </r>
    <r>
      <rPr>
        <b/>
        <sz val="10"/>
        <color rgb="FF000000"/>
        <rFont val="メイリオ"/>
        <charset val="134"/>
      </rPr>
      <t xml:space="preserve">ステップ2：
</t>
    </r>
    <r>
      <rPr>
        <sz val="10"/>
        <color rgb="FF000000"/>
        <rFont val="メイリオ"/>
        <charset val="134"/>
      </rPr>
      <t xml:space="preserve">Để trường tỉnh thành chưa chọn, nhập giá trị hợp lệ vào JA và các trường required khác
</t>
    </r>
    <r>
      <rPr>
        <b/>
        <sz val="10"/>
        <color rgb="FF000000"/>
        <rFont val="メイリオ"/>
        <charset val="134"/>
      </rPr>
      <t xml:space="preserve">ステップ3：
</t>
    </r>
    <r>
      <rPr>
        <sz val="10"/>
        <color rgb="FF000000"/>
        <rFont val="メイリオ"/>
        <charset val="134"/>
      </rPr>
      <t>Click button "登録"</t>
    </r>
  </si>
  <si>
    <r>
      <rPr>
        <b/>
        <sz val="10"/>
        <color rgb="FF000000"/>
        <rFont val="メイリオ"/>
        <charset val="134"/>
      </rPr>
      <t xml:space="preserve">ステップ1：
</t>
    </r>
    <r>
      <rPr>
        <sz val="10"/>
        <color rgb="FF000000"/>
        <rFont val="メイリオ"/>
        <charset val="134"/>
      </rPr>
      <t xml:space="preserve">Trường tỉnh thành/JA được hiển thị do chọn role
</t>
    </r>
    <r>
      <rPr>
        <b/>
        <sz val="10"/>
        <color rgb="FF000000"/>
        <rFont val="メイリオ"/>
        <charset val="134"/>
      </rPr>
      <t xml:space="preserve">ステップ2：
</t>
    </r>
    <r>
      <rPr>
        <sz val="10"/>
        <color rgb="FF000000"/>
        <rFont val="メイリオ"/>
        <charset val="134"/>
      </rPr>
      <t xml:space="preserve">Giá trị nhập được phản ánh lên màn hình
</t>
    </r>
    <r>
      <rPr>
        <b/>
        <sz val="10"/>
        <color rgb="FF000000"/>
        <rFont val="メイリオ"/>
        <charset val="134"/>
      </rPr>
      <t xml:space="preserve">ステップ3：
</t>
    </r>
    <r>
      <rPr>
        <sz val="10"/>
        <color rgb="FF000000"/>
        <rFont val="メイリオ"/>
        <charset val="134"/>
      </rPr>
      <t xml:space="preserve">Trả về HTTP 400, dưới trường tỉnh thành hiển thị `必須項目です。`
</t>
    </r>
    <r>
      <rPr>
        <b/>
        <sz val="10"/>
        <color rgb="FF000000"/>
        <rFont val="メイリオ"/>
        <charset val="134"/>
      </rPr>
      <t xml:space="preserve">補足：
</t>
    </r>
    <r>
      <rPr>
        <sz val="10"/>
        <color rgb="FF000000"/>
        <rFont val="メイリオ"/>
        <charset val="134"/>
      </rPr>
      <t>・Xác nhận các trường được conditional required hóa theo giá trị role được chọn</t>
    </r>
  </si>
  <si>
    <t>screen-design.md §機能定義 §4.2 — role_id=3 yêu cầu tỉnh thành.</t>
  </si>
  <si>
    <t>ACSMS-TC-025-021</t>
  </si>
  <si>
    <t>Conditional required (JA_HONTEN: không chọn JA)</t>
  </si>
  <si>
    <r>
      <rPr>
        <b/>
        <sz val="10"/>
        <color rgb="FF000000"/>
        <rFont val="メイリオ"/>
        <charset val="134"/>
      </rPr>
      <t xml:space="preserve">ステップ1：
</t>
    </r>
    <r>
      <rPr>
        <sz val="10"/>
        <color rgb="FF000000"/>
        <rFont val="メイリオ"/>
        <charset val="134"/>
      </rPr>
      <t xml:space="preserve">Chọn "JA_HONTEN" ở trường role, chọn "東京都" ở tỉnh thành
</t>
    </r>
    <r>
      <rPr>
        <b/>
        <sz val="10"/>
        <color rgb="FF000000"/>
        <rFont val="メイリオ"/>
        <charset val="134"/>
      </rPr>
      <t xml:space="preserve">ステップ2：
</t>
    </r>
    <r>
      <rPr>
        <sz val="10"/>
        <color rgb="FF000000"/>
        <rFont val="メイリオ"/>
        <charset val="134"/>
      </rPr>
      <t xml:space="preserve">Để trường JA chưa chọn, nhập giá trị hợp lệ vào các trường required khác
</t>
    </r>
    <r>
      <rPr>
        <b/>
        <sz val="10"/>
        <color rgb="FF000000"/>
        <rFont val="メイリオ"/>
        <charset val="134"/>
      </rPr>
      <t xml:space="preserve">ステップ3：
</t>
    </r>
    <r>
      <rPr>
        <sz val="10"/>
        <color rgb="FF000000"/>
        <rFont val="メイリオ"/>
        <charset val="134"/>
      </rPr>
      <t>Click button "登録"</t>
    </r>
  </si>
  <si>
    <r>
      <rPr>
        <b/>
        <sz val="10"/>
        <color rgb="FF000000"/>
        <rFont val="メイリオ"/>
        <charset val="134"/>
      </rPr>
      <t xml:space="preserve">ステップ1：
</t>
    </r>
    <r>
      <rPr>
        <sz val="10"/>
        <color rgb="FF000000"/>
        <rFont val="メイリオ"/>
        <charset val="134"/>
      </rPr>
      <t xml:space="preserve">Trường JA được hiển thị · conditional required hóa do chọn role · tỉnh thành
</t>
    </r>
    <r>
      <rPr>
        <b/>
        <sz val="10"/>
        <color rgb="FF000000"/>
        <rFont val="メイリオ"/>
        <charset val="134"/>
      </rPr>
      <t xml:space="preserve">ステップ2：
</t>
    </r>
    <r>
      <rPr>
        <sz val="10"/>
        <color rgb="FF000000"/>
        <rFont val="メイリオ"/>
        <charset val="134"/>
      </rPr>
      <t xml:space="preserve">Giá trị nhập được phản ánh lên màn hình
</t>
    </r>
    <r>
      <rPr>
        <b/>
        <sz val="10"/>
        <color rgb="FF000000"/>
        <rFont val="メイリオ"/>
        <charset val="134"/>
      </rPr>
      <t xml:space="preserve">ステップ3：
</t>
    </r>
    <r>
      <rPr>
        <sz val="10"/>
        <color rgb="FF000000"/>
        <rFont val="メイリオ"/>
        <charset val="134"/>
      </rPr>
      <t xml:space="preserve">Trả về HTTP 400, dưới trường JA hiển thị `必須項目です。`
</t>
    </r>
    <r>
      <rPr>
        <b/>
        <sz val="10"/>
        <color rgb="FF000000"/>
        <rFont val="メイリオ"/>
        <charset val="134"/>
      </rPr>
      <t xml:space="preserve">補足：
</t>
    </r>
    <r>
      <rPr>
        <sz val="10"/>
        <color rgb="FF000000"/>
        <rFont val="メイリオ"/>
        <charset val="134"/>
      </rPr>
      <t>・Sử dụng MSG-025-001</t>
    </r>
  </si>
  <si>
    <t>screen-design.md §機能定義 §4.2 — role_id=4 yêu cầu JA.</t>
  </si>
  <si>
    <t>ACSMS-TC-025-022</t>
  </si>
  <si>
    <t>Conditional required (JA_KANRI_SHITEN: không chọn kanri_shiten)</t>
  </si>
  <si>
    <r>
      <rPr>
        <b/>
        <sz val="10"/>
        <color rgb="FF000000"/>
        <rFont val="メイリオ"/>
        <charset val="134"/>
      </rPr>
      <t xml:space="preserve">ステップ1：
</t>
    </r>
    <r>
      <rPr>
        <sz val="10"/>
        <color rgb="FF000000"/>
        <rFont val="メイリオ"/>
        <charset val="134"/>
      </rPr>
      <t xml:space="preserve">Chọn "JA_KANRI_SHITEN" ở trường role, chọn tỉnh thành · JA
</t>
    </r>
    <r>
      <rPr>
        <b/>
        <sz val="10"/>
        <color rgb="FF000000"/>
        <rFont val="メイリオ"/>
        <charset val="134"/>
      </rPr>
      <t xml:space="preserve">ステップ2：
</t>
    </r>
    <r>
      <rPr>
        <sz val="10"/>
        <color rgb="FF000000"/>
        <rFont val="メイリオ"/>
        <charset val="134"/>
      </rPr>
      <t xml:space="preserve">Để trường kanri_shiten chưa chọn, nhập giá trị hợp lệ vào các trường required khác
</t>
    </r>
    <r>
      <rPr>
        <b/>
        <sz val="10"/>
        <color rgb="FF000000"/>
        <rFont val="メイリオ"/>
        <charset val="134"/>
      </rPr>
      <t xml:space="preserve">ステップ3：
</t>
    </r>
    <r>
      <rPr>
        <sz val="10"/>
        <color rgb="FF000000"/>
        <rFont val="メイリオ"/>
        <charset val="134"/>
      </rPr>
      <t>Click button "登録"</t>
    </r>
  </si>
  <si>
    <r>
      <rPr>
        <b/>
        <sz val="10"/>
        <color rgb="FF000000"/>
        <rFont val="メイリオ"/>
        <charset val="134"/>
      </rPr>
      <t xml:space="preserve">ステップ1：
</t>
    </r>
    <r>
      <rPr>
        <sz val="10"/>
        <color rgb="FF000000"/>
        <rFont val="メイリオ"/>
        <charset val="134"/>
      </rPr>
      <t xml:space="preserve">Trường tỉnh thành/JA/kanri_shiten được hiển thị do chọn role
</t>
    </r>
    <r>
      <rPr>
        <b/>
        <sz val="10"/>
        <color rgb="FF000000"/>
        <rFont val="メイリオ"/>
        <charset val="134"/>
      </rPr>
      <t xml:space="preserve">ステップ2：
</t>
    </r>
    <r>
      <rPr>
        <sz val="10"/>
        <color rgb="FF000000"/>
        <rFont val="メイリオ"/>
        <charset val="134"/>
      </rPr>
      <t xml:space="preserve">Giá trị nhập được phản ánh lên màn hình
</t>
    </r>
    <r>
      <rPr>
        <b/>
        <sz val="10"/>
        <color rgb="FF000000"/>
        <rFont val="メイリオ"/>
        <charset val="134"/>
      </rPr>
      <t xml:space="preserve">ステップ3：
</t>
    </r>
    <r>
      <rPr>
        <sz val="10"/>
        <color rgb="FF000000"/>
        <rFont val="メイリオ"/>
        <charset val="134"/>
      </rPr>
      <t xml:space="preserve">Trả về HTTP 400, dưới trường kanri_shiten hiển thị `必須項目です。`
</t>
    </r>
    <r>
      <rPr>
        <b/>
        <sz val="10"/>
        <color rgb="FF000000"/>
        <rFont val="メイリオ"/>
        <charset val="134"/>
      </rPr>
      <t xml:space="preserve">補足：
</t>
    </r>
    <r>
      <rPr>
        <sz val="10"/>
        <color rgb="FF000000"/>
        <rFont val="メイリオ"/>
        <charset val="134"/>
      </rPr>
      <t>・kanri_shiten chỉ được required hóa khi role_id=5</t>
    </r>
  </si>
  <si>
    <t>screen-design.md §機能定義 §4.2 — role_id=5 yêu cầu kanri_shiten.</t>
  </si>
  <si>
    <t>ACSMS-TC-025-023</t>
  </si>
  <si>
    <t>Lỗi format login_id (ký tự full-width)</t>
  </si>
  <si>
    <r>
      <rPr>
        <b/>
        <sz val="10"/>
        <color rgb="FF000000"/>
        <rFont val="游ゴシック"/>
        <charset val="134"/>
      </rPr>
      <t xml:space="preserve">ステップ1：
</t>
    </r>
    <r>
      <rPr>
        <sz val="10"/>
        <color rgb="FF000000"/>
        <rFont val="游ゴシック"/>
        <charset val="134"/>
      </rPr>
      <t xml:space="preserve">Nhập ký tự full-width "ＡＢＣ１２３" vào trường login_id
</t>
    </r>
    <r>
      <rPr>
        <b/>
        <sz val="10"/>
        <color rgb="FF000000"/>
        <rFont val="游ゴシック"/>
        <charset val="134"/>
      </rPr>
      <t xml:space="preserve">ステップ2：
</t>
    </r>
    <r>
      <rPr>
        <sz val="10"/>
        <color rgb="FF000000"/>
        <rFont val="游ゴシック"/>
        <charset val="134"/>
      </rPr>
      <t>Nhập giá trị hợp lệ vào các trường required khác và click button "登録"</t>
    </r>
  </si>
  <si>
    <r>
      <rPr>
        <b/>
        <sz val="10"/>
        <color rgb="FF000000"/>
        <rFont val="メイリオ"/>
        <charset val="134"/>
      </rPr>
      <t xml:space="preserve">ステップ1：
</t>
    </r>
    <r>
      <rPr>
        <sz val="10"/>
        <color rgb="FF000000"/>
        <rFont val="メイリオ"/>
        <charset val="134"/>
      </rPr>
      <t xml:space="preserve">Ký tự full-width được hiển thị
</t>
    </r>
    <r>
      <rPr>
        <b/>
        <sz val="10"/>
        <color rgb="FF000000"/>
        <rFont val="メイリオ"/>
        <charset val="134"/>
      </rPr>
      <t xml:space="preserve">ステップ2：
</t>
    </r>
    <r>
      <rPr>
        <sz val="10"/>
        <color rgb="FF000000"/>
        <rFont val="メイリオ"/>
        <charset val="134"/>
      </rPr>
      <t xml:space="preserve">Trả về HTTP 400, dưới trường login_id hiển thị `ログインIDは半角英数字のみ入力可能です。`
</t>
    </r>
    <r>
      <rPr>
        <b/>
        <sz val="10"/>
        <color rgb="FF000000"/>
        <rFont val="メイリオ"/>
        <charset val="134"/>
      </rPr>
      <t xml:space="preserve">補足：
</t>
    </r>
    <r>
      <rPr>
        <sz val="10"/>
        <color rgb="FF000000"/>
        <rFont val="メイリオ"/>
        <charset val="134"/>
      </rPr>
      <t>・Sử dụng MSG-025-002</t>
    </r>
  </si>
  <si>
    <t>MSG-025-002.</t>
  </si>
  <si>
    <t>ACSMS-TC-025-024</t>
  </si>
  <si>
    <t>Lỗi format login_id (xen lẫn ký hiệu)</t>
  </si>
  <si>
    <r>
      <rPr>
        <b/>
        <sz val="10"/>
        <color rgb="FF000000"/>
        <rFont val="游ゴシック"/>
        <charset val="134"/>
      </rPr>
      <t xml:space="preserve">ステップ1：
</t>
    </r>
    <r>
      <rPr>
        <sz val="10"/>
        <color rgb="FF000000"/>
        <rFont val="游ゴシック"/>
        <charset val="134"/>
      </rPr>
      <t xml:space="preserve">Nhập chuỗi có xen ký hiệu half-width "user@01" vào trường login_id
</t>
    </r>
    <r>
      <rPr>
        <b/>
        <sz val="10"/>
        <color rgb="FF000000"/>
        <rFont val="游ゴシック"/>
        <charset val="134"/>
      </rPr>
      <t xml:space="preserve">ステップ2：
</t>
    </r>
    <r>
      <rPr>
        <sz val="10"/>
        <color rgb="FF000000"/>
        <rFont val="游ゴシック"/>
        <charset val="134"/>
      </rPr>
      <t>Nhập giá trị hợp lệ vào các trường required khác và click button "登録"</t>
    </r>
  </si>
  <si>
    <r>
      <rPr>
        <b/>
        <sz val="10"/>
        <color rgb="FF000000"/>
        <rFont val="メイリオ"/>
        <charset val="134"/>
      </rPr>
      <t xml:space="preserve">ステップ1：
</t>
    </r>
    <r>
      <rPr>
        <sz val="10"/>
        <color rgb="FF000000"/>
        <rFont val="メイリオ"/>
        <charset val="134"/>
      </rPr>
      <t xml:space="preserve">Giá trị nhập được hiển thị
</t>
    </r>
    <r>
      <rPr>
        <b/>
        <sz val="10"/>
        <color rgb="FF000000"/>
        <rFont val="メイリオ"/>
        <charset val="134"/>
      </rPr>
      <t xml:space="preserve">ステップ2：
</t>
    </r>
    <r>
      <rPr>
        <sz val="10"/>
        <color rgb="FF000000"/>
        <rFont val="メイリオ"/>
        <charset val="134"/>
      </rPr>
      <t xml:space="preserve">Trả về HTTP 400, dưới trường login_id hiển thị `ログインIDは半角英数字のみ入力可能です。`
</t>
    </r>
    <r>
      <rPr>
        <b/>
        <sz val="10"/>
        <color rgb="FF000000"/>
        <rFont val="メイリオ"/>
        <charset val="134"/>
      </rPr>
      <t xml:space="preserve">補足：
</t>
    </r>
    <r>
      <rPr>
        <sz val="10"/>
        <color rgb="FF000000"/>
        <rFont val="メイリオ"/>
        <charset val="134"/>
      </rPr>
      <t>・login_id chỉ cho phép half-width chữ và số, không cho ký hiệu (@_- v.v.)</t>
    </r>
  </si>
  <si>
    <t>ACSMS-TC-025-025</t>
  </si>
  <si>
    <t>login_id số ký tự tối đa (20 ký tự)</t>
  </si>
  <si>
    <r>
      <rPr>
        <b/>
        <sz val="10"/>
        <color rgb="FF000000"/>
        <rFont val="游ゴシック"/>
        <charset val="134"/>
      </rPr>
      <t xml:space="preserve">ステップ1：
</t>
    </r>
    <r>
      <rPr>
        <sz val="10"/>
        <color rgb="FF000000"/>
        <rFont val="游ゴシック"/>
        <charset val="134"/>
      </rPr>
      <t xml:space="preserve">Nhập 20 ký tự half-width chữ và số "abcdefghij1234567890" vào trường login_id
</t>
    </r>
    <r>
      <rPr>
        <b/>
        <sz val="10"/>
        <color rgb="FF000000"/>
        <rFont val="游ゴシック"/>
        <charset val="134"/>
      </rPr>
      <t xml:space="preserve">ステップ2：
</t>
    </r>
    <r>
      <rPr>
        <sz val="10"/>
        <color rgb="FF000000"/>
        <rFont val="游ゴシック"/>
        <charset val="134"/>
      </rPr>
      <t>Nhập giá trị hợp lệ vào các trường required khác và click button "登録"</t>
    </r>
  </si>
  <si>
    <r>
      <rPr>
        <b/>
        <sz val="10"/>
        <color rgb="FF000000"/>
        <rFont val="メイリオ"/>
        <charset val="134"/>
      </rPr>
      <t xml:space="preserve">ステップ1：
</t>
    </r>
    <r>
      <rPr>
        <sz val="10"/>
        <color rgb="FF000000"/>
        <rFont val="メイリオ"/>
        <charset val="134"/>
      </rPr>
      <t xml:space="preserve">Toàn bộ 20 ký tự được hiển thị
</t>
    </r>
    <r>
      <rPr>
        <b/>
        <sz val="10"/>
        <color rgb="FF000000"/>
        <rFont val="メイリオ"/>
        <charset val="134"/>
      </rPr>
      <t xml:space="preserve">ステップ2：
</t>
    </r>
    <r>
      <rPr>
        <sz val="10"/>
        <color rgb="FF000000"/>
        <rFont val="メイリオ"/>
        <charset val="134"/>
      </rPr>
      <t xml:space="preserve">Trả về HTTP 201, `m_account.login_id` lưu 20 ký tự
</t>
    </r>
    <r>
      <rPr>
        <b/>
        <sz val="10"/>
        <color rgb="FF000000"/>
        <rFont val="メイリオ"/>
        <charset val="134"/>
      </rPr>
      <t xml:space="preserve">補足：
</t>
    </r>
    <r>
      <rPr>
        <sz val="10"/>
        <color rgb="FF000000"/>
        <rFont val="メイリオ"/>
        <charset val="134"/>
      </rPr>
      <t>・Sau khi đạt số ký tự tối đa, không thể thêm ký tự vào trường nhập (maxlength=20)</t>
    </r>
  </si>
  <si>
    <t>login_id tối đa 20 ký tự.</t>
  </si>
  <si>
    <t>ACSMS-TC-025-026</t>
  </si>
  <si>
    <t>login_id vượt quá số ký tự (21 ký tự, test giới hạn màn)</t>
  </si>
  <si>
    <r>
      <rPr>
        <b/>
        <sz val="10"/>
        <color rgb="FF000000"/>
        <rFont val="メイリオ"/>
        <charset val="134"/>
      </rPr>
      <t xml:space="preserve">ステップ1：
</t>
    </r>
    <r>
      <rPr>
        <sz val="10"/>
        <color rgb="FF000000"/>
        <rFont val="メイリオ"/>
        <charset val="134"/>
      </rPr>
      <t xml:space="preserve">Dán 21 ký tự half-width chữ và số vào trường login_id
</t>
    </r>
    <r>
      <rPr>
        <b/>
        <sz val="10"/>
        <color rgb="FF000000"/>
        <rFont val="メイリオ"/>
        <charset val="134"/>
      </rPr>
      <t xml:space="preserve">ステップ2：
</t>
    </r>
    <r>
      <rPr>
        <sz val="10"/>
        <color rgb="FF000000"/>
        <rFont val="メイリオ"/>
        <charset val="134"/>
      </rPr>
      <t xml:space="preserve">Kiểm tra giá trị hiển thị trong trường nhập
</t>
    </r>
    <r>
      <rPr>
        <b/>
        <sz val="10"/>
        <color rgb="FF000000"/>
        <rFont val="メイリオ"/>
        <charset val="134"/>
      </rPr>
      <t xml:space="preserve">ステップ3：
</t>
    </r>
    <r>
      <rPr>
        <sz val="10"/>
        <color rgb="FF000000"/>
        <rFont val="メイリオ"/>
        <charset val="134"/>
      </rPr>
      <t>Dùng DevTools bypass thuộc tính `maxlength` để gửi POST</t>
    </r>
  </si>
  <si>
    <r>
      <rPr>
        <b/>
        <sz val="10"/>
        <color rgb="FF000000"/>
        <rFont val="メイリオ"/>
        <charset val="134"/>
      </rPr>
      <t xml:space="preserve">ステップ1：
</t>
    </r>
    <r>
      <rPr>
        <sz val="10"/>
        <color rgb="FF000000"/>
        <rFont val="メイリオ"/>
        <charset val="134"/>
      </rPr>
      <t xml:space="preserve">Từ ký tự thứ 21 trở đi bị cắt, chỉ giữ lại 20 ký tự trong trường nhập
</t>
    </r>
    <r>
      <rPr>
        <b/>
        <sz val="10"/>
        <color rgb="FF000000"/>
        <rFont val="メイリオ"/>
        <charset val="134"/>
      </rPr>
      <t xml:space="preserve">ステップ2：
</t>
    </r>
    <r>
      <rPr>
        <sz val="10"/>
        <color rgb="FF000000"/>
        <rFont val="メイリオ"/>
        <charset val="134"/>
      </rPr>
      <t xml:space="preserve">20 ký tự được hiển thị
</t>
    </r>
    <r>
      <rPr>
        <b/>
        <sz val="10"/>
        <color rgb="FF000000"/>
        <rFont val="メイリオ"/>
        <charset val="134"/>
      </rPr>
      <t xml:space="preserve">ステップ3：
</t>
    </r>
    <r>
      <rPr>
        <sz val="10"/>
        <color rgb="FF000000"/>
        <rFont val="メイリオ"/>
        <charset val="134"/>
      </rPr>
      <t xml:space="preserve">Khi bypass bằng DevTools, trả về HTTP 400 (BE validation độ dài tối đa)
</t>
    </r>
    <r>
      <rPr>
        <b/>
        <sz val="10"/>
        <color rgb="FF000000"/>
        <rFont val="メイリオ"/>
        <charset val="134"/>
      </rPr>
      <t xml:space="preserve">補足：
</t>
    </r>
    <r>
      <rPr>
        <sz val="10"/>
        <color rgb="FF000000"/>
        <rFont val="メイリオ"/>
        <charset val="134"/>
      </rPr>
      <t>・FE control trước bằng maxlength, BE phòng vệ đa tầng bằng DTO validation</t>
    </r>
  </si>
  <si>
    <t>Độ dài tối đa được bảo vệ kép FE và BE.</t>
  </si>
  <si>
    <t>ACSMS-TC-025-027</t>
  </si>
  <si>
    <t>Password thiếu số ký tự (7 ký tự)</t>
  </si>
  <si>
    <r>
      <rPr>
        <b/>
        <sz val="10"/>
        <color rgb="FF000000"/>
        <rFont val="メイリオ"/>
        <charset val="134"/>
      </rPr>
      <t xml:space="preserve">ステップ1：
</t>
    </r>
    <r>
      <rPr>
        <sz val="10"/>
        <color rgb="FF000000"/>
        <rFont val="メイリオ"/>
        <charset val="134"/>
      </rPr>
      <t xml:space="preserve">Nhập 7 ký tự "abc1234" (chữ + số, độ phức tạp 2 loại) vào trường password
</t>
    </r>
    <r>
      <rPr>
        <b/>
        <sz val="10"/>
        <color rgb="FF000000"/>
        <rFont val="メイリオ"/>
        <charset val="134"/>
      </rPr>
      <t xml:space="preserve">ステップ2：
</t>
    </r>
    <r>
      <rPr>
        <sz val="10"/>
        <color rgb="FF000000"/>
        <rFont val="メイリオ"/>
        <charset val="134"/>
      </rPr>
      <t>Nhập giá trị hợp lệ vào các trường required khác và click button "登録"</t>
    </r>
  </si>
  <si>
    <r>
      <rPr>
        <b/>
        <sz val="10"/>
        <color rgb="FF000000"/>
        <rFont val="メイリオ"/>
        <charset val="134"/>
      </rPr>
      <t xml:space="preserve">ステップ1：
</t>
    </r>
    <r>
      <rPr>
        <sz val="10"/>
        <color rgb="FF000000"/>
        <rFont val="メイリオ"/>
        <charset val="134"/>
      </rPr>
      <t xml:space="preserve">7 ký tự được hiển thị
</t>
    </r>
    <r>
      <rPr>
        <b/>
        <sz val="10"/>
        <color rgb="FF000000"/>
        <rFont val="メイリオ"/>
        <charset val="134"/>
      </rPr>
      <t xml:space="preserve">ステップ2：
</t>
    </r>
    <r>
      <rPr>
        <sz val="10"/>
        <color rgb="FF000000"/>
        <rFont val="メイリオ"/>
        <charset val="134"/>
      </rPr>
      <t xml:space="preserve">Trả về HTTP 400, dưới trường password hiển thị `パスワードは8~32文字で、半角英字・数字・記号の3種のうち2種以上を含めて入力してください。`
</t>
    </r>
    <r>
      <rPr>
        <b/>
        <sz val="10"/>
        <color rgb="FF000000"/>
        <rFont val="メイリオ"/>
        <charset val="134"/>
      </rPr>
      <t xml:space="preserve">補足：
</t>
    </r>
    <r>
      <rPr>
        <sz val="10"/>
        <color rgb="FF000000"/>
        <rFont val="メイリオ"/>
        <charset val="134"/>
      </rPr>
      <t>・Sử dụng MSG-025-003, phát hiện thiếu số ký tự</t>
    </r>
  </si>
  <si>
    <t>MSG-025-003.</t>
  </si>
  <si>
    <t>ACSMS-TC-025-028</t>
  </si>
  <si>
    <t>Password vượt quá số ký tự (33 ký tự)</t>
  </si>
  <si>
    <r>
      <rPr>
        <b/>
        <sz val="10"/>
        <color rgb="FF000000"/>
        <rFont val="游ゴシック"/>
        <charset val="134"/>
      </rPr>
      <t xml:space="preserve">ステップ1：
</t>
    </r>
    <r>
      <rPr>
        <sz val="10"/>
        <color rgb="FF000000"/>
        <rFont val="游ゴシック"/>
        <charset val="134"/>
      </rPr>
      <t xml:space="preserve">Nhập 33 ký tự "abcdefghij1234567890abcdefghij123" vào trường password
</t>
    </r>
    <r>
      <rPr>
        <b/>
        <sz val="10"/>
        <color rgb="FF000000"/>
        <rFont val="游ゴシック"/>
        <charset val="134"/>
      </rPr>
      <t xml:space="preserve">ステップ2：
</t>
    </r>
    <r>
      <rPr>
        <sz val="10"/>
        <color rgb="FF000000"/>
        <rFont val="游ゴシック"/>
        <charset val="134"/>
      </rPr>
      <t>Nhập giá trị hợp lệ vào các trường required khác và click button "登録"</t>
    </r>
  </si>
  <si>
    <r>
      <rPr>
        <b/>
        <sz val="10"/>
        <color rgb="FF000000"/>
        <rFont val="メイリオ"/>
        <charset val="134"/>
      </rPr>
      <t xml:space="preserve">ステップ1：
</t>
    </r>
    <r>
      <rPr>
        <sz val="10"/>
        <color rgb="FF000000"/>
        <rFont val="メイリオ"/>
        <charset val="134"/>
      </rPr>
      <t xml:space="preserve">Trường nhập bị cắt theo maxlength=32, chỉ giữ lại 32 ký tự
</t>
    </r>
    <r>
      <rPr>
        <b/>
        <sz val="10"/>
        <color rgb="FF000000"/>
        <rFont val="メイリオ"/>
        <charset val="134"/>
      </rPr>
      <t xml:space="preserve">ステップ2：
</t>
    </r>
    <r>
      <rPr>
        <sz val="10"/>
        <color rgb="FF000000"/>
        <rFont val="メイリオ"/>
        <charset val="134"/>
      </rPr>
      <t xml:space="preserve">Trả về HTTP 201 (vì input đã trong giới hạn 32 ký tự)
</t>
    </r>
    <r>
      <rPr>
        <b/>
        <sz val="10"/>
        <color rgb="FF000000"/>
        <rFont val="メイリオ"/>
        <charset val="134"/>
      </rPr>
      <t xml:space="preserve">補足：
</t>
    </r>
    <r>
      <rPr>
        <sz val="10"/>
        <color rgb="FF000000"/>
        <rFont val="メイリオ"/>
        <charset val="134"/>
      </rPr>
      <t>・Khi bypass maxlength bằng DevTools, BE validation trả về 400</t>
    </r>
  </si>
  <si>
    <t>Password tối đa 32 ký tự.</t>
  </si>
  <si>
    <t>ACSMS-TC-025-029</t>
  </si>
  <si>
    <t>Password vi phạm độ phức tạp (chỉ chữ)</t>
  </si>
  <si>
    <r>
      <rPr>
        <b/>
        <sz val="10"/>
        <color rgb="FF000000"/>
        <rFont val="游ゴシック"/>
        <charset val="134"/>
      </rPr>
      <t xml:space="preserve">ステップ1：
</t>
    </r>
    <r>
      <rPr>
        <sz val="10"/>
        <color rgb="FF000000"/>
        <rFont val="游ゴシック"/>
        <charset val="134"/>
      </rPr>
      <t xml:space="preserve">Nhập 12 ký tự chỉ có chữ "abcdefghijkl" vào trường password
</t>
    </r>
    <r>
      <rPr>
        <b/>
        <sz val="10"/>
        <color rgb="FF000000"/>
        <rFont val="游ゴシック"/>
        <charset val="134"/>
      </rPr>
      <t xml:space="preserve">ステップ2：
</t>
    </r>
    <r>
      <rPr>
        <sz val="10"/>
        <color rgb="FF000000"/>
        <rFont val="游ゴシック"/>
        <charset val="134"/>
      </rPr>
      <t>Nhập giá trị hợp lệ vào các trường required khác và click button "登録"</t>
    </r>
  </si>
  <si>
    <r>
      <rPr>
        <b/>
        <sz val="10"/>
        <color rgb="FF000000"/>
        <rFont val="メイリオ"/>
        <charset val="134"/>
      </rPr>
      <t xml:space="preserve">ステップ1：
</t>
    </r>
    <r>
      <rPr>
        <sz val="10"/>
        <color rgb="FF000000"/>
        <rFont val="メイリオ"/>
        <charset val="134"/>
      </rPr>
      <t xml:space="preserve">12 ký tự được hiển thị
</t>
    </r>
    <r>
      <rPr>
        <b/>
        <sz val="10"/>
        <color rgb="FF000000"/>
        <rFont val="メイリオ"/>
        <charset val="134"/>
      </rPr>
      <t xml:space="preserve">ステップ2：
</t>
    </r>
    <r>
      <rPr>
        <sz val="10"/>
        <color rgb="FF000000"/>
        <rFont val="メイリオ"/>
        <charset val="134"/>
      </rPr>
      <t xml:space="preserve">Trả về HTTP 400, dưới trường password hiển thị `パスワードは8~32文字で、半角英字・数字・記号の3種のうち2種以上を含めて入力してください。`
</t>
    </r>
    <r>
      <rPr>
        <b/>
        <sz val="10"/>
        <color rgb="FF000000"/>
        <rFont val="メイリオ"/>
        <charset val="134"/>
      </rPr>
      <t xml:space="preserve">補足：
</t>
    </r>
    <r>
      <rPr>
        <sz val="10"/>
        <color rgb="FF000000"/>
        <rFont val="メイリオ"/>
        <charset val="134"/>
      </rPr>
      <t>・MSG-025-003, không pass vì độ phức tạp chỉ 1 loại</t>
    </r>
  </si>
  <si>
    <t>ACSMS-TC-025-030</t>
  </si>
  <si>
    <t>Password vi phạm độ phức tạp (chỉ số)</t>
  </si>
  <si>
    <r>
      <rPr>
        <b/>
        <sz val="10"/>
        <color rgb="FF000000"/>
        <rFont val="游ゴシック"/>
        <charset val="134"/>
      </rPr>
      <t xml:space="preserve">ステップ1：
</t>
    </r>
    <r>
      <rPr>
        <sz val="10"/>
        <color rgb="FF000000"/>
        <rFont val="游ゴシック"/>
        <charset val="134"/>
      </rPr>
      <t xml:space="preserve">Nhập 10 ký tự chỉ có số "1234567890" vào trường password
</t>
    </r>
    <r>
      <rPr>
        <b/>
        <sz val="10"/>
        <color rgb="FF000000"/>
        <rFont val="游ゴシック"/>
        <charset val="134"/>
      </rPr>
      <t xml:space="preserve">ステップ2：
</t>
    </r>
    <r>
      <rPr>
        <sz val="10"/>
        <color rgb="FF000000"/>
        <rFont val="游ゴシック"/>
        <charset val="134"/>
      </rPr>
      <t>Nhập giá trị hợp lệ vào các trường required khác và click button "登録"</t>
    </r>
  </si>
  <si>
    <r>
      <rPr>
        <b/>
        <sz val="10"/>
        <color rgb="FF000000"/>
        <rFont val="メイリオ"/>
        <charset val="134"/>
      </rPr>
      <t xml:space="preserve">ステップ1：
</t>
    </r>
    <r>
      <rPr>
        <sz val="10"/>
        <color rgb="FF000000"/>
        <rFont val="メイリオ"/>
        <charset val="134"/>
      </rPr>
      <t xml:space="preserve">10 ký tự được hiển thị
</t>
    </r>
    <r>
      <rPr>
        <b/>
        <sz val="10"/>
        <color rgb="FF000000"/>
        <rFont val="メイリオ"/>
        <charset val="134"/>
      </rPr>
      <t xml:space="preserve">ステップ2：
</t>
    </r>
    <r>
      <rPr>
        <sz val="10"/>
        <color rgb="FF000000"/>
        <rFont val="メイリオ"/>
        <charset val="134"/>
      </rPr>
      <t xml:space="preserve">Trả về HTTP 400, dưới trường password hiển thị `パスワードは8~32文字で、半角英字・数字・記号の3種のうち2種以上を含めて入力してください。`
</t>
    </r>
    <r>
      <rPr>
        <b/>
        <sz val="10"/>
        <color rgb="FF000000"/>
        <rFont val="メイリオ"/>
        <charset val="134"/>
      </rPr>
      <t xml:space="preserve">補足：
</t>
    </r>
    <r>
      <rPr>
        <sz val="10"/>
        <color rgb="FF000000"/>
        <rFont val="メイリオ"/>
        <charset val="134"/>
      </rPr>
      <t>・MSG-025-003, không pass vì độ phức tạp chỉ 1 loại</t>
    </r>
  </si>
  <si>
    <t>ACSMS-TC-025-031</t>
  </si>
  <si>
    <t>Password pass độ phức tạp (chữ + số)</t>
  </si>
  <si>
    <r>
      <rPr>
        <b/>
        <sz val="10"/>
        <color rgb="FF000000"/>
        <rFont val="メイリオ"/>
        <charset val="134"/>
      </rPr>
      <t xml:space="preserve">ステップ1：
</t>
    </r>
    <r>
      <rPr>
        <sz val="10"/>
        <color rgb="FF000000"/>
        <rFont val="メイリオ"/>
        <charset val="134"/>
      </rPr>
      <t xml:space="preserve">Nhập chữ + số "abc12345" (8 ký tự, 2 loại xen lẫn) vào trường password
</t>
    </r>
    <r>
      <rPr>
        <b/>
        <sz val="10"/>
        <color rgb="FF000000"/>
        <rFont val="メイリオ"/>
        <charset val="134"/>
      </rPr>
      <t xml:space="preserve">ステップ2：
</t>
    </r>
    <r>
      <rPr>
        <sz val="10"/>
        <color rgb="FF000000"/>
        <rFont val="メイリオ"/>
        <charset val="134"/>
      </rPr>
      <t>Nhập giá trị hợp lệ vào các trường required khác và click button "登録"</t>
    </r>
  </si>
  <si>
    <r>
      <rPr>
        <b/>
        <sz val="10"/>
        <color rgb="FF000000"/>
        <rFont val="メイリオ"/>
        <charset val="134"/>
      </rPr>
      <t xml:space="preserve">ステップ1：
</t>
    </r>
    <r>
      <rPr>
        <sz val="10"/>
        <color rgb="FF000000"/>
        <rFont val="メイリオ"/>
        <charset val="134"/>
      </rPr>
      <t xml:space="preserve">8 ký tự được hiển thị
</t>
    </r>
    <r>
      <rPr>
        <b/>
        <sz val="10"/>
        <color rgb="FF000000"/>
        <rFont val="メイリオ"/>
        <charset val="134"/>
      </rPr>
      <t xml:space="preserve">ステップ2：
</t>
    </r>
    <r>
      <rPr>
        <sz val="10"/>
        <color rgb="FF000000"/>
        <rFont val="メイリオ"/>
        <charset val="134"/>
      </rPr>
      <t xml:space="preserve">Trả về HTTP 201, `m_account.password_hash` lưu giá trị hash bcrypt
</t>
    </r>
    <r>
      <rPr>
        <b/>
        <sz val="10"/>
        <color rgb="FF000000"/>
        <rFont val="メイリオ"/>
        <charset val="134"/>
      </rPr>
      <t xml:space="preserve">補足：
</t>
    </r>
    <r>
      <rPr>
        <sz val="10"/>
        <color rgb="FF000000"/>
        <rFont val="メイリオ"/>
        <charset val="134"/>
      </rPr>
      <t>・Pass với độ phức tạp 2 loại (chữ + số), đáp ứng yêu cầu ≥2 trong 3 loại</t>
    </r>
  </si>
  <si>
    <t>Pattern pass độ phức tạp password.</t>
  </si>
  <si>
    <t>ACSMS-TC-025-032</t>
  </si>
  <si>
    <t>Password pass độ phức tạp (chữ + ký hiệu + số)</t>
  </si>
  <si>
    <r>
      <rPr>
        <b/>
        <sz val="10"/>
        <color rgb="FF000000"/>
        <rFont val="游ゴシック"/>
        <charset val="134"/>
      </rPr>
      <t xml:space="preserve">ステップ1：
</t>
    </r>
    <r>
      <rPr>
        <sz val="10"/>
        <color rgb="FF000000"/>
        <rFont val="游ゴシック"/>
        <charset val="134"/>
      </rPr>
      <t xml:space="preserve">Nhập chữ + số + ký hiệu "Pass@2026" (9 ký tự, 3 loại xen lẫn) vào trường password
</t>
    </r>
    <r>
      <rPr>
        <b/>
        <sz val="10"/>
        <color rgb="FF000000"/>
        <rFont val="游ゴシック"/>
        <charset val="134"/>
      </rPr>
      <t xml:space="preserve">ステップ2：
</t>
    </r>
    <r>
      <rPr>
        <sz val="10"/>
        <color rgb="FF000000"/>
        <rFont val="游ゴシック"/>
        <charset val="134"/>
      </rPr>
      <t>Nhập giá trị hợp lệ vào các trường required khác và click button "登録"</t>
    </r>
  </si>
  <si>
    <r>
      <rPr>
        <b/>
        <sz val="10"/>
        <color rgb="FF000000"/>
        <rFont val="メイリオ"/>
        <charset val="134"/>
      </rPr>
      <t xml:space="preserve">ステップ1：
</t>
    </r>
    <r>
      <rPr>
        <sz val="10"/>
        <color rgb="FF000000"/>
        <rFont val="メイリオ"/>
        <charset val="134"/>
      </rPr>
      <t xml:space="preserve">9 ký tự được hiển thị
</t>
    </r>
    <r>
      <rPr>
        <b/>
        <sz val="10"/>
        <color rgb="FF000000"/>
        <rFont val="メイリオ"/>
        <charset val="134"/>
      </rPr>
      <t xml:space="preserve">ステップ2：
</t>
    </r>
    <r>
      <rPr>
        <sz val="10"/>
        <color rgb="FF000000"/>
        <rFont val="メイリオ"/>
        <charset val="134"/>
      </rPr>
      <t xml:space="preserve">Trả về HTTP 201
</t>
    </r>
    <r>
      <rPr>
        <b/>
        <sz val="10"/>
        <color rgb="FF000000"/>
        <rFont val="メイリオ"/>
        <charset val="134"/>
      </rPr>
      <t xml:space="preserve">補足：
</t>
    </r>
    <r>
      <rPr>
        <sz val="10"/>
        <color rgb="FF000000"/>
        <rFont val="メイリオ"/>
        <charset val="134"/>
      </rPr>
      <t>・Pass với độ phức tạp 3 loại (chữ + số + ký hiệu)</t>
    </r>
  </si>
  <si>
    <t>Pattern password mạnh nhất.</t>
  </si>
  <si>
    <t>ACSMS-TC-025-033</t>
  </si>
  <si>
    <t>account_name số ký tự tối đa (50 ký tự)</t>
  </si>
  <si>
    <r>
      <rPr>
        <b/>
        <sz val="10"/>
        <color rgb="FF000000"/>
        <rFont val="游ゴシック"/>
        <charset val="134"/>
      </rPr>
      <t xml:space="preserve">ステップ1：
</t>
    </r>
    <r>
      <rPr>
        <sz val="10"/>
        <color rgb="FF000000"/>
        <rFont val="游ゴシック"/>
        <charset val="134"/>
      </rPr>
      <t xml:space="preserve">Nhập 50 ký tự full-width "テスト用アカウント名称テスト用アカウント名称テスト用アカウント名称テスト用アカウント名称テスト用アカウン" vào trường account_name
</t>
    </r>
    <r>
      <rPr>
        <b/>
        <sz val="10"/>
        <color rgb="FF000000"/>
        <rFont val="游ゴシック"/>
        <charset val="134"/>
      </rPr>
      <t xml:space="preserve">ステップ2：
</t>
    </r>
    <r>
      <rPr>
        <sz val="10"/>
        <color rgb="FF000000"/>
        <rFont val="游ゴシック"/>
        <charset val="134"/>
      </rPr>
      <t>Nhập giá trị hợp lệ vào các trường required khác và click button "登録"</t>
    </r>
  </si>
  <si>
    <r>
      <rPr>
        <b/>
        <sz val="10"/>
        <color rgb="FF000000"/>
        <rFont val="メイリオ"/>
        <charset val="134"/>
      </rPr>
      <t xml:space="preserve">ステップ1：
</t>
    </r>
    <r>
      <rPr>
        <sz val="10"/>
        <color rgb="FF000000"/>
        <rFont val="メイリオ"/>
        <charset val="134"/>
      </rPr>
      <t xml:space="preserve">Toàn bộ 50 ký tự được hiển thị
</t>
    </r>
    <r>
      <rPr>
        <b/>
        <sz val="10"/>
        <color rgb="FF000000"/>
        <rFont val="メイリオ"/>
        <charset val="134"/>
      </rPr>
      <t xml:space="preserve">ステップ2：
</t>
    </r>
    <r>
      <rPr>
        <sz val="10"/>
        <color rgb="FF000000"/>
        <rFont val="メイリオ"/>
        <charset val="134"/>
      </rPr>
      <t xml:space="preserve">Trả về HTTP 201, `m_account.account_name` lưu 50 ký tự
</t>
    </r>
    <r>
      <rPr>
        <b/>
        <sz val="10"/>
        <color rgb="FF000000"/>
        <rFont val="メイリオ"/>
        <charset val="134"/>
      </rPr>
      <t xml:space="preserve">補足：
</t>
    </r>
    <r>
      <rPr>
        <sz val="10"/>
        <color rgb="FF000000"/>
        <rFont val="メイリオ"/>
        <charset val="134"/>
      </rPr>
      <t>・Giới hạn 50 ký tự áp dụng chung cho cả full-width · half-width xen lẫn</t>
    </r>
  </si>
  <si>
    <t>account_name tối đa 50 ký tự.</t>
  </si>
  <si>
    <t>ACSMS-TC-025-034</t>
  </si>
  <si>
    <t>Lỗi format email (thiếu @)</t>
  </si>
  <si>
    <r>
      <rPr>
        <b/>
        <sz val="10"/>
        <color rgb="FF000000"/>
        <rFont val="游ゴシック"/>
        <charset val="134"/>
      </rPr>
      <t xml:space="preserve">ステップ1：
</t>
    </r>
    <r>
      <rPr>
        <sz val="10"/>
        <color rgb="FF000000"/>
        <rFont val="游ゴシック"/>
        <charset val="134"/>
      </rPr>
      <t xml:space="preserve">Nhập "user.example.com" (thiếu @) vào trường email
</t>
    </r>
    <r>
      <rPr>
        <b/>
        <sz val="10"/>
        <color rgb="FF000000"/>
        <rFont val="游ゴシック"/>
        <charset val="134"/>
      </rPr>
      <t xml:space="preserve">ステップ2：
</t>
    </r>
    <r>
      <rPr>
        <sz val="10"/>
        <color rgb="FF000000"/>
        <rFont val="游ゴシック"/>
        <charset val="134"/>
      </rPr>
      <t>Nhập giá trị hợp lệ vào các trường required khác và click button "登録"</t>
    </r>
  </si>
  <si>
    <r>
      <rPr>
        <b/>
        <sz val="10"/>
        <color rgb="FF000000"/>
        <rFont val="メイリオ"/>
        <charset val="134"/>
      </rPr>
      <t xml:space="preserve">ステップ1：
</t>
    </r>
    <r>
      <rPr>
        <sz val="10"/>
        <color rgb="FF000000"/>
        <rFont val="メイリオ"/>
        <charset val="134"/>
      </rPr>
      <t xml:space="preserve">Giá trị nhập được hiển thị
</t>
    </r>
    <r>
      <rPr>
        <b/>
        <sz val="10"/>
        <color rgb="FF000000"/>
        <rFont val="メイリオ"/>
        <charset val="134"/>
      </rPr>
      <t xml:space="preserve">ステップ2：
</t>
    </r>
    <r>
      <rPr>
        <sz val="10"/>
        <color rgb="FF000000"/>
        <rFont val="メイリオ"/>
        <charset val="134"/>
      </rPr>
      <t xml:space="preserve">Trả về HTTP 400, dưới trường email hiển thị `正しいメールアドレスを入力してください。`
</t>
    </r>
    <r>
      <rPr>
        <b/>
        <sz val="10"/>
        <color rgb="FF000000"/>
        <rFont val="メイリオ"/>
        <charset val="134"/>
      </rPr>
      <t xml:space="preserve">補足：
</t>
    </r>
    <r>
      <rPr>
        <sz val="10"/>
        <color rgb="FF000000"/>
        <rFont val="メイリオ"/>
        <charset val="134"/>
      </rPr>
      <t>・Sử dụng MSG-025-005</t>
    </r>
  </si>
  <si>
    <t>MSG-025-005.</t>
  </si>
  <si>
    <t>ACSMS-TC-025-035</t>
  </si>
  <si>
    <t>Lỗi format email (thiếu domain)</t>
  </si>
  <si>
    <r>
      <rPr>
        <b/>
        <sz val="10"/>
        <color rgb="FF000000"/>
        <rFont val="メイリオ"/>
        <charset val="134"/>
      </rPr>
      <t xml:space="preserve">ステップ1：
</t>
    </r>
    <r>
      <rPr>
        <sz val="10"/>
        <color rgb="FF000000"/>
        <rFont val="メイリオ"/>
        <charset val="134"/>
      </rPr>
      <t xml:space="preserve">Nhập "user@" vào trường email
</t>
    </r>
    <r>
      <rPr>
        <b/>
        <sz val="10"/>
        <color rgb="FF000000"/>
        <rFont val="メイリオ"/>
        <charset val="134"/>
      </rPr>
      <t xml:space="preserve">ステップ2：
</t>
    </r>
    <r>
      <rPr>
        <sz val="10"/>
        <color rgb="FF000000"/>
        <rFont val="メイリオ"/>
        <charset val="134"/>
      </rPr>
      <t>Nhập giá trị hợp lệ vào các trường required khác và click button "登録"</t>
    </r>
  </si>
  <si>
    <r>
      <rPr>
        <b/>
        <sz val="10"/>
        <color rgb="FF000000"/>
        <rFont val="メイリオ"/>
        <charset val="134"/>
      </rPr>
      <t xml:space="preserve">ステップ1：
</t>
    </r>
    <r>
      <rPr>
        <sz val="10"/>
        <color rgb="FF000000"/>
        <rFont val="メイリオ"/>
        <charset val="134"/>
      </rPr>
      <t xml:space="preserve">Giá trị nhập được hiển thị
</t>
    </r>
    <r>
      <rPr>
        <b/>
        <sz val="10"/>
        <color rgb="FF000000"/>
        <rFont val="メイリオ"/>
        <charset val="134"/>
      </rPr>
      <t xml:space="preserve">ステップ2：
</t>
    </r>
    <r>
      <rPr>
        <sz val="10"/>
        <color rgb="FF000000"/>
        <rFont val="メイリオ"/>
        <charset val="134"/>
      </rPr>
      <t xml:space="preserve">Trả về HTTP 400, dưới trường email hiển thị `正しいメールアドレスを入力してください。`
</t>
    </r>
    <r>
      <rPr>
        <b/>
        <sz val="10"/>
        <color rgb="FF000000"/>
        <rFont val="メイリオ"/>
        <charset val="134"/>
      </rPr>
      <t xml:space="preserve">補足：
</t>
    </r>
    <r>
      <rPr>
        <sz val="10"/>
        <color rgb="FF000000"/>
        <rFont val="メイリオ"/>
        <charset val="134"/>
      </rPr>
      <t>・MSG-025-005</t>
    </r>
  </si>
  <si>
    <t>ACSMS-TC-025-036</t>
  </si>
  <si>
    <t>Lỗi format sub_email_1</t>
  </si>
  <si>
    <r>
      <rPr>
        <b/>
        <sz val="10"/>
        <color rgb="FF000000"/>
        <rFont val="メイリオ"/>
        <charset val="134"/>
      </rPr>
      <t xml:space="preserve">ステップ1：
</t>
    </r>
    <r>
      <rPr>
        <sz val="10"/>
        <color rgb="FF000000"/>
        <rFont val="メイリオ"/>
        <charset val="134"/>
      </rPr>
      <t xml:space="preserve">Nhập "invalid-email" vào trường sub_email_1
</t>
    </r>
    <r>
      <rPr>
        <b/>
        <sz val="10"/>
        <color rgb="FF000000"/>
        <rFont val="メイリオ"/>
        <charset val="134"/>
      </rPr>
      <t xml:space="preserve">ステップ2：
</t>
    </r>
    <r>
      <rPr>
        <sz val="10"/>
        <color rgb="FF000000"/>
        <rFont val="メイリオ"/>
        <charset val="134"/>
      </rPr>
      <t>Nhập giá trị hợp lệ vào các trường required khác và click button "登録"</t>
    </r>
  </si>
  <si>
    <r>
      <rPr>
        <b/>
        <sz val="10"/>
        <color rgb="FF000000"/>
        <rFont val="メイリオ"/>
        <charset val="134"/>
      </rPr>
      <t xml:space="preserve">ステップ1：
</t>
    </r>
    <r>
      <rPr>
        <sz val="10"/>
        <color rgb="FF000000"/>
        <rFont val="メイリオ"/>
        <charset val="134"/>
      </rPr>
      <t xml:space="preserve">Giá trị nhập được hiển thị
</t>
    </r>
    <r>
      <rPr>
        <b/>
        <sz val="10"/>
        <color rgb="FF000000"/>
        <rFont val="メイリオ"/>
        <charset val="134"/>
      </rPr>
      <t xml:space="preserve">ステップ2：
</t>
    </r>
    <r>
      <rPr>
        <sz val="10"/>
        <color rgb="FF000000"/>
        <rFont val="メイリオ"/>
        <charset val="134"/>
      </rPr>
      <t xml:space="preserve">Trả về HTTP 400, dưới trường sub_email_1 hiển thị `正しいメールアドレスを入力してください。`
</t>
    </r>
    <r>
      <rPr>
        <b/>
        <sz val="10"/>
        <color rgb="FF000000"/>
        <rFont val="メイリオ"/>
        <charset val="134"/>
      </rPr>
      <t xml:space="preserve">補足：
</t>
    </r>
    <r>
      <rPr>
        <sz val="10"/>
        <color rgb="FF000000"/>
        <rFont val="メイリオ"/>
        <charset val="134"/>
      </rPr>
      <t>・Cùng check format được áp dụng cho cả sub_email_1〜3</t>
    </r>
  </si>
  <si>
    <t>ACSMS-TC-025-037</t>
  </si>
  <si>
    <t>Lỗi format sub_email_2 / sub_email_3</t>
  </si>
  <si>
    <r>
      <rPr>
        <b/>
        <sz val="10"/>
        <color rgb="FF000000"/>
        <rFont val="メイリオ"/>
        <charset val="134"/>
      </rPr>
      <t xml:space="preserve">ステップ1：
</t>
    </r>
    <r>
      <rPr>
        <sz val="10"/>
        <color rgb="FF000000"/>
        <rFont val="メイリオ"/>
        <charset val="134"/>
      </rPr>
      <t xml:space="preserve">Nhập "user2@invalid" vào trường sub_email_2, "@example.com" vào trường sub_email_3
</t>
    </r>
    <r>
      <rPr>
        <b/>
        <sz val="10"/>
        <color rgb="FF000000"/>
        <rFont val="メイリオ"/>
        <charset val="134"/>
      </rPr>
      <t xml:space="preserve">ステップ2：
</t>
    </r>
    <r>
      <rPr>
        <sz val="10"/>
        <color rgb="FF000000"/>
        <rFont val="メイリオ"/>
        <charset val="134"/>
      </rPr>
      <t>Nhập giá trị hợp lệ vào các trường required khác và click button "登録"</t>
    </r>
  </si>
  <si>
    <r>
      <rPr>
        <b/>
        <sz val="10"/>
        <color rgb="FF000000"/>
        <rFont val="メイリオ"/>
        <charset val="134"/>
      </rPr>
      <t xml:space="preserve">ステップ1：
</t>
    </r>
    <r>
      <rPr>
        <sz val="10"/>
        <color rgb="FF000000"/>
        <rFont val="メイリオ"/>
        <charset val="134"/>
      </rPr>
      <t xml:space="preserve">Cả hai giá trị nhập được hiển thị
</t>
    </r>
    <r>
      <rPr>
        <b/>
        <sz val="10"/>
        <color rgb="FF000000"/>
        <rFont val="メイリオ"/>
        <charset val="134"/>
      </rPr>
      <t xml:space="preserve">ステップ2：
</t>
    </r>
    <r>
      <rPr>
        <sz val="10"/>
        <color rgb="FF000000"/>
        <rFont val="メイリオ"/>
        <charset val="134"/>
      </rPr>
      <t xml:space="preserve">Trả về HTTP 400, dưới trường sub_email_2 / sub_email_3 mỗi trường hiển thị `正しいメールアドレスを入力してください。`
</t>
    </r>
    <r>
      <rPr>
        <b/>
        <sz val="10"/>
        <color rgb="FF000000"/>
        <rFont val="メイリオ"/>
        <charset val="134"/>
      </rPr>
      <t xml:space="preserve">補足：
</t>
    </r>
    <r>
      <rPr>
        <sz val="10"/>
        <color rgb="FF000000"/>
        <rFont val="メイリオ"/>
        <charset val="134"/>
      </rPr>
      <t>・Áp dụng MSG-025-005 cho từng trường sub_email</t>
    </r>
  </si>
  <si>
    <t>ACSMS-TC-025-038</t>
  </si>
  <si>
    <t>email số ký tự tối đa (100 ký tự)</t>
  </si>
  <si>
    <r>
      <rPr>
        <b/>
        <sz val="10"/>
        <color rgb="FF000000"/>
        <rFont val="メイリオ"/>
        <charset val="134"/>
      </rPr>
      <t xml:space="preserve">ステップ1：
</t>
    </r>
    <r>
      <rPr>
        <sz val="10"/>
        <color rgb="FF000000"/>
        <rFont val="メイリオ"/>
        <charset val="134"/>
      </rPr>
      <t xml:space="preserve">Nhập email 100 ký tự format hợp lệ (ví dụ: local part 92 ký tự + `@e.co`) vào trường email
</t>
    </r>
    <r>
      <rPr>
        <b/>
        <sz val="10"/>
        <color rgb="FF000000"/>
        <rFont val="メイリオ"/>
        <charset val="134"/>
      </rPr>
      <t xml:space="preserve">ステップ2：
</t>
    </r>
    <r>
      <rPr>
        <sz val="10"/>
        <color rgb="FF000000"/>
        <rFont val="メイリオ"/>
        <charset val="134"/>
      </rPr>
      <t>Nhập giá trị hợp lệ vào các trường required khác và click button "登録"</t>
    </r>
  </si>
  <si>
    <r>
      <rPr>
        <b/>
        <sz val="10"/>
        <color rgb="FF000000"/>
        <rFont val="メイリオ"/>
        <charset val="134"/>
      </rPr>
      <t xml:space="preserve">ステップ1：
</t>
    </r>
    <r>
      <rPr>
        <sz val="10"/>
        <color rgb="FF000000"/>
        <rFont val="メイリオ"/>
        <charset val="134"/>
      </rPr>
      <t xml:space="preserve">Toàn bộ 100 ký tự được hiển thị
</t>
    </r>
    <r>
      <rPr>
        <b/>
        <sz val="10"/>
        <color rgb="FF000000"/>
        <rFont val="メイリオ"/>
        <charset val="134"/>
      </rPr>
      <t xml:space="preserve">ステップ2：
</t>
    </r>
    <r>
      <rPr>
        <sz val="10"/>
        <color rgb="FF000000"/>
        <rFont val="メイリオ"/>
        <charset val="134"/>
      </rPr>
      <t xml:space="preserve">Trả về HTTP 201, `m_account.email` lưu 100 ký tự
</t>
    </r>
    <r>
      <rPr>
        <b/>
        <sz val="10"/>
        <color rgb="FF000000"/>
        <rFont val="メイリオ"/>
        <charset val="134"/>
      </rPr>
      <t xml:space="preserve">補足：
</t>
    </r>
    <r>
      <rPr>
        <sz val="10"/>
        <color rgb="FF000000"/>
        <rFont val="メイリオ"/>
        <charset val="134"/>
      </rPr>
      <t>・email tối đa 100 ký tự, sub_email_1〜3 cũng vậy</t>
    </r>
  </si>
  <si>
    <t>email tối đa 100 ký tự.</t>
  </si>
  <si>
    <t>ACSMS-TC-025-039</t>
  </si>
  <si>
    <t>Nhập chỉ space half/full-width thì account_name bị xem là rỗng</t>
  </si>
  <si>
    <r>
      <rPr>
        <b/>
        <sz val="10"/>
        <color rgb="FF000000"/>
        <rFont val="メイリオ"/>
        <charset val="134"/>
      </rPr>
      <t xml:space="preserve">ステップ1：
</t>
    </r>
    <r>
      <rPr>
        <sz val="10"/>
        <color rgb="FF000000"/>
        <rFont val="メイリオ"/>
        <charset val="134"/>
      </rPr>
      <t xml:space="preserve">Nhập 3 ký tự space half-width + 2 ký tự space full-width vào trường account_name
</t>
    </r>
    <r>
      <rPr>
        <b/>
        <sz val="10"/>
        <color rgb="FF000000"/>
        <rFont val="メイリオ"/>
        <charset val="134"/>
      </rPr>
      <t xml:space="preserve">ステップ2：
</t>
    </r>
    <r>
      <rPr>
        <sz val="10"/>
        <color rgb="FF000000"/>
        <rFont val="メイリオ"/>
        <charset val="134"/>
      </rPr>
      <t>Nhập giá trị hợp lệ vào các trường required khác và click button "登録"</t>
    </r>
  </si>
  <si>
    <r>
      <rPr>
        <b/>
        <sz val="10"/>
        <color rgb="FF000000"/>
        <rFont val="メイリオ"/>
        <charset val="134"/>
      </rPr>
      <t xml:space="preserve">ステップ1：
</t>
    </r>
    <r>
      <rPr>
        <sz val="10"/>
        <color rgb="FF000000"/>
        <rFont val="メイリオ"/>
        <charset val="134"/>
      </rPr>
      <t xml:space="preserve">Giá trị nhập được hiển thị
</t>
    </r>
    <r>
      <rPr>
        <b/>
        <sz val="10"/>
        <color rgb="FF000000"/>
        <rFont val="メイリオ"/>
        <charset val="134"/>
      </rPr>
      <t xml:space="preserve">ステップ2：
</t>
    </r>
    <r>
      <rPr>
        <sz val="10"/>
        <color rgb="FF000000"/>
        <rFont val="メイリオ"/>
        <charset val="134"/>
      </rPr>
      <t xml:space="preserve">Trả về HTTP 400, dưới trường account_name hiển thị `必須項目です。` (chỉ space được xử lý như chuỗi rỗng sau khi trim)
</t>
    </r>
    <r>
      <rPr>
        <b/>
        <sz val="10"/>
        <color rgb="FF000000"/>
        <rFont val="メイリオ"/>
        <charset val="134"/>
      </rPr>
      <t xml:space="preserve">補足：
</t>
    </r>
    <r>
      <rPr>
        <sz val="10"/>
        <color rgb="FF000000"/>
        <rFont val="メイリオ"/>
        <charset val="134"/>
      </rPr>
      <t>・Nhập chỉ space được coi như chưa nhập</t>
    </r>
  </si>
  <si>
    <t>Chỉ space được coi như chưa nhập.</t>
  </si>
  <si>
    <t>ACSMS-TC-025-040</t>
  </si>
  <si>
    <t>Gửi giá trị ngoài phạm vi role của m_code (1-5)</t>
  </si>
  <si>
    <r>
      <rPr>
        <b/>
        <sz val="10"/>
        <color rgb="FF000000"/>
        <rFont val="メイリオ"/>
        <charset val="134"/>
      </rPr>
      <t xml:space="preserve">ステップ1：
</t>
    </r>
    <r>
      <rPr>
        <sz val="10"/>
        <color rgb="FF000000"/>
        <rFont val="メイリオ"/>
        <charset val="134"/>
      </rPr>
      <t xml:space="preserve">Dùng DevTools gửi POST `/api/v1/accounts` với data chứa `role_id=99`
</t>
    </r>
    <r>
      <rPr>
        <b/>
        <sz val="10"/>
        <color rgb="FF000000"/>
        <rFont val="メイリオ"/>
        <charset val="134"/>
      </rPr>
      <t xml:space="preserve">ステップ2：
</t>
    </r>
    <r>
      <rPr>
        <sz val="10"/>
        <color rgb="FF000000"/>
        <rFont val="メイリオ"/>
        <charset val="134"/>
      </rPr>
      <t>Kiểm tra response</t>
    </r>
  </si>
  <si>
    <r>
      <rPr>
        <b/>
        <sz val="10"/>
        <color rgb="FF000000"/>
        <rFont val="メイリオ"/>
        <charset val="134"/>
      </rPr>
      <t xml:space="preserve">ステップ1：
</t>
    </r>
    <r>
      <rPr>
        <sz val="10"/>
        <color rgb="FF000000"/>
        <rFont val="メイリオ"/>
        <charset val="134"/>
      </rPr>
      <t xml:space="preserve">Request được gửi đi
</t>
    </r>
    <r>
      <rPr>
        <b/>
        <sz val="10"/>
        <color rgb="FF000000"/>
        <rFont val="メイリオ"/>
        <charset val="134"/>
      </rPr>
      <t xml:space="preserve">ステップ2：
</t>
    </r>
    <r>
      <rPr>
        <sz val="10"/>
        <color rgb="FF000000"/>
        <rFont val="メイリオ"/>
        <charset val="134"/>
      </rPr>
      <t xml:space="preserve">Trả về HTTP 400 (`error_code: VALIDATION_ERROR`), trả về message `入力値が不正です。詳細はerrorsフィールドを確認してください。`, chứa `errors[].field=role_id`
</t>
    </r>
    <r>
      <rPr>
        <b/>
        <sz val="10"/>
        <color rgb="FF000000"/>
        <rFont val="メイリオ"/>
        <charset val="134"/>
      </rPr>
      <t xml:space="preserve">補足：
</t>
    </r>
    <r>
      <rPr>
        <sz val="10"/>
        <color rgb="FF000000"/>
        <rFont val="メイリオ"/>
        <charset val="134"/>
      </rPr>
      <t>・Giá trị m_code được verify tính nhất quán với bảng `m_roles` ở server-side</t>
    </r>
  </si>
  <si>
    <t>Server-side validation qua DevTools.</t>
  </si>
  <si>
    <t>ACSMS-TC-025-041</t>
  </si>
  <si>
    <t>Thử đăng ký với login_id trùng (giá trị đã tồn tại)</t>
  </si>
  <si>
    <t>・role: NICHINO_ADMIN
・Tồn tại account hiện hữu `login_id=admin01`
・Đã truy cập URL `/accounts/create`</t>
  </si>
  <si>
    <r>
      <rPr>
        <b/>
        <sz val="10"/>
        <color rgb="FF000000"/>
        <rFont val="メイリオ"/>
        <charset val="134"/>
      </rPr>
      <t xml:space="preserve">ステップ1：
</t>
    </r>
    <r>
      <rPr>
        <sz val="10"/>
        <color rgb="FF000000"/>
        <rFont val="メイリオ"/>
        <charset val="134"/>
      </rPr>
      <t xml:space="preserve">Nhập "admin01" (cùng giá trị với hiện hữu) vào trường login_id
</t>
    </r>
    <r>
      <rPr>
        <b/>
        <sz val="10"/>
        <color rgb="FF000000"/>
        <rFont val="メイリオ"/>
        <charset val="134"/>
      </rPr>
      <t xml:space="preserve">ステップ2：
</t>
    </r>
    <r>
      <rPr>
        <sz val="10"/>
        <color rgb="FF000000"/>
        <rFont val="メイリオ"/>
        <charset val="134"/>
      </rPr>
      <t>Nhập giá trị hợp lệ vào các trường required khác và click button "登録"</t>
    </r>
  </si>
  <si>
    <r>
      <rPr>
        <b/>
        <sz val="10"/>
        <color rgb="FF000000"/>
        <rFont val="メイリオ"/>
        <charset val="134"/>
      </rPr>
      <t xml:space="preserve">ステップ1：
</t>
    </r>
    <r>
      <rPr>
        <sz val="10"/>
        <color rgb="FF000000"/>
        <rFont val="メイリオ"/>
        <charset val="134"/>
      </rPr>
      <t xml:space="preserve">Giá trị nhập được hiển thị
</t>
    </r>
    <r>
      <rPr>
        <b/>
        <sz val="10"/>
        <color rgb="FF000000"/>
        <rFont val="メイリオ"/>
        <charset val="134"/>
      </rPr>
      <t xml:space="preserve">ステップ2：
</t>
    </r>
    <r>
      <rPr>
        <sz val="10"/>
        <color rgb="FF000000"/>
        <rFont val="メイリオ"/>
        <charset val="134"/>
      </rPr>
      <t xml:space="preserve">Trả về HTTP 400, dưới trường login_id hiển thị `このログインIDは既に登録されています。`
</t>
    </r>
    <r>
      <rPr>
        <b/>
        <sz val="10"/>
        <color rgb="FF000000"/>
        <rFont val="メイリオ"/>
        <charset val="134"/>
      </rPr>
      <t xml:space="preserve">補足：
</t>
    </r>
    <r>
      <rPr>
        <sz val="10"/>
        <color rgb="FF000000"/>
        <rFont val="メイリオ"/>
        <charset val="134"/>
      </rPr>
      <t xml:space="preserve">・Sử dụng MSG-025-004, verify unique constraint của `m_account.login_id`
</t>
    </r>
    <r>
      <rPr>
        <sz val="10"/>
        <color rgb="FF000000"/>
        <rFont val="メイリオ"/>
        <charset val="134"/>
      </rPr>
      <t>・login_id của account đã xóa logic cũng được coi như reserved</t>
    </r>
  </si>
  <si>
    <t>MSG-025-004, verify unique constraint login_id.</t>
  </si>
  <si>
    <t>ACSMS-TC-025-042</t>
  </si>
  <si>
    <t>Cascade — đổi tỉnh thành thì JA · kanri_shiten bị reset</t>
  </si>
  <si>
    <r>
      <rPr>
        <b/>
        <sz val="10"/>
        <color rgb="FF000000"/>
        <rFont val="メイリオ"/>
        <charset val="134"/>
      </rPr>
      <t xml:space="preserve">ステップ1：
</t>
    </r>
    <r>
      <rPr>
        <sz val="10"/>
        <color rgb="FF000000"/>
        <rFont val="メイリオ"/>
        <charset val="134"/>
      </rPr>
      <t xml:space="preserve">Chọn role "JA_KANRI_SHITEN", chọn tỉnh thành "東京都", JA "ja-001", kanri_shiten "kanri-001" lần lượt
</t>
    </r>
    <r>
      <rPr>
        <b/>
        <sz val="10"/>
        <color rgb="FF000000"/>
        <rFont val="メイリオ"/>
        <charset val="134"/>
      </rPr>
      <t xml:space="preserve">ステップ2：
</t>
    </r>
    <r>
      <rPr>
        <sz val="10"/>
        <color rgb="FF000000"/>
        <rFont val="メイリオ"/>
        <charset val="134"/>
      </rPr>
      <t xml:space="preserve">Đổi tỉnh thành sang "大阪府"
</t>
    </r>
    <r>
      <rPr>
        <b/>
        <sz val="10"/>
        <color rgb="FF000000"/>
        <rFont val="メイリオ"/>
        <charset val="134"/>
      </rPr>
      <t xml:space="preserve">ステップ3：
</t>
    </r>
    <r>
      <rPr>
        <sz val="10"/>
        <color rgb="FF000000"/>
        <rFont val="メイリオ"/>
        <charset val="134"/>
      </rPr>
      <t>Kiểm tra trạng thái chọn của trường JA, trường kanri_shiten</t>
    </r>
  </si>
  <si>
    <r>
      <rPr>
        <b/>
        <sz val="10"/>
        <color rgb="FF000000"/>
        <rFont val="メイリオ"/>
        <charset val="134"/>
      </rPr>
      <t xml:space="preserve">ステップ1：
</t>
    </r>
    <r>
      <rPr>
        <sz val="10"/>
        <color rgb="FF000000"/>
        <rFont val="メイリオ"/>
        <charset val="134"/>
      </rPr>
      <t xml:space="preserve">3 cấp được chọn lần lượt, từng list được lọc đúng theo giá trị cấp trên
</t>
    </r>
    <r>
      <rPr>
        <b/>
        <sz val="10"/>
        <color rgb="FF000000"/>
        <rFont val="メイリオ"/>
        <charset val="134"/>
      </rPr>
      <t xml:space="preserve">ステップ2：
</t>
    </r>
    <r>
      <rPr>
        <sz val="10"/>
        <color rgb="FF000000"/>
        <rFont val="メイリオ"/>
        <charset val="134"/>
      </rPr>
      <t xml:space="preserve">Tỉnh thành được đổi thành "大阪府", JA list dưới tỉnh 大阪府 được load lại ở trường JA
</t>
    </r>
    <r>
      <rPr>
        <b/>
        <sz val="10"/>
        <color rgb="FF000000"/>
        <rFont val="メイリオ"/>
        <charset val="134"/>
      </rPr>
      <t xml:space="preserve">ステップ3：
</t>
    </r>
    <r>
      <rPr>
        <sz val="10"/>
        <color rgb="FF000000"/>
        <rFont val="メイリオ"/>
        <charset val="134"/>
      </rPr>
      <t xml:space="preserve">Trường JA được reset về chưa chọn, trường kanri_shiten cũng được reset về chưa chọn và list rỗng
</t>
    </r>
    <r>
      <rPr>
        <b/>
        <sz val="10"/>
        <color rgb="FF000000"/>
        <rFont val="メイリオ"/>
        <charset val="134"/>
      </rPr>
      <t xml:space="preserve">補足：
</t>
    </r>
    <r>
      <rPr>
        <sz val="10"/>
        <color rgb="FF000000"/>
        <rFont val="メイリオ"/>
        <charset val="134"/>
      </rPr>
      <t>・Thiết kế: khi đổi giá trị cấp trên cascade thì tự động clear giá trị cấp dưới, ngăn quan hệ parent-child không hợp lệ</t>
    </r>
  </si>
  <si>
    <t>Reset cấp dưới khi đổi cấp trên cascade.</t>
  </si>
  <si>
    <t>ACSMS-TC-025-043</t>
  </si>
  <si>
    <t>Cascade — đổi JA thì kanri_shiten bị reset</t>
  </si>
  <si>
    <r>
      <rPr>
        <b/>
        <sz val="10"/>
        <color rgb="FF000000"/>
        <rFont val="メイリオ"/>
        <charset val="134"/>
      </rPr>
      <t xml:space="preserve">ステップ1：
</t>
    </r>
    <r>
      <rPr>
        <sz val="10"/>
        <color rgb="FF000000"/>
        <rFont val="メイリオ"/>
        <charset val="134"/>
      </rPr>
      <t xml:space="preserve">Chọn role "JA_KANRI_SHITEN", tỉnh thành "東京都", JA "ja-001", kanri_shiten "kanri-001"
</t>
    </r>
    <r>
      <rPr>
        <b/>
        <sz val="10"/>
        <color rgb="FF000000"/>
        <rFont val="メイリオ"/>
        <charset val="134"/>
      </rPr>
      <t xml:space="preserve">ステップ2：
</t>
    </r>
    <r>
      <rPr>
        <sz val="10"/>
        <color rgb="FF000000"/>
        <rFont val="メイリオ"/>
        <charset val="134"/>
      </rPr>
      <t xml:space="preserve">Đổi JA sang "ja-002"
</t>
    </r>
    <r>
      <rPr>
        <b/>
        <sz val="10"/>
        <color rgb="FF000000"/>
        <rFont val="メイリオ"/>
        <charset val="134"/>
      </rPr>
      <t xml:space="preserve">ステップ3：
</t>
    </r>
    <r>
      <rPr>
        <sz val="10"/>
        <color rgb="FF000000"/>
        <rFont val="メイリオ"/>
        <charset val="134"/>
      </rPr>
      <t>Kiểm tra trạng thái chọn của trường kanri_shiten</t>
    </r>
  </si>
  <si>
    <r>
      <rPr>
        <b/>
        <sz val="10"/>
        <color rgb="FF000000"/>
        <rFont val="メイリオ"/>
        <charset val="134"/>
      </rPr>
      <t xml:space="preserve">ステップ1：
</t>
    </r>
    <r>
      <rPr>
        <sz val="10"/>
        <color rgb="FF000000"/>
        <rFont val="メイリオ"/>
        <charset val="134"/>
      </rPr>
      <t xml:space="preserve">3 cấp được chọn
</t>
    </r>
    <r>
      <rPr>
        <b/>
        <sz val="10"/>
        <color rgb="FF000000"/>
        <rFont val="メイリオ"/>
        <charset val="134"/>
      </rPr>
      <t xml:space="preserve">ステップ2：
</t>
    </r>
    <r>
      <rPr>
        <sz val="10"/>
        <color rgb="FF000000"/>
        <rFont val="メイリオ"/>
        <charset val="134"/>
      </rPr>
      <t xml:space="preserve">JA được đổi thành "ja-002", kanri_shiten list dưới ja-002 được load lại ở trường kanri_shiten
</t>
    </r>
    <r>
      <rPr>
        <b/>
        <sz val="10"/>
        <color rgb="FF000000"/>
        <rFont val="メイリオ"/>
        <charset val="134"/>
      </rPr>
      <t xml:space="preserve">ステップ3：
</t>
    </r>
    <r>
      <rPr>
        <sz val="10"/>
        <color rgb="FF000000"/>
        <rFont val="メイリオ"/>
        <charset val="134"/>
      </rPr>
      <t xml:space="preserve">Trường kanri_shiten được reset về chưa chọn
</t>
    </r>
    <r>
      <rPr>
        <b/>
        <sz val="10"/>
        <color rgb="FF000000"/>
        <rFont val="メイリオ"/>
        <charset val="134"/>
      </rPr>
      <t xml:space="preserve">補足：
</t>
    </r>
    <r>
      <rPr>
        <sz val="10"/>
        <color rgb="FF000000"/>
        <rFont val="メイリオ"/>
        <charset val="134"/>
      </rPr>
      <t>・Cùng hành vi cascade reset như khi đổi tỉnh thành</t>
    </r>
  </si>
  <si>
    <t>Reset cấp 2 của cascade.</t>
  </si>
  <si>
    <t>ACSMS-TC-025-044</t>
  </si>
  <si>
    <t>Tấn công XSS (account_name · biko)</t>
  </si>
  <si>
    <r>
      <rPr>
        <b/>
        <sz val="10"/>
        <color rgb="FFFF0000"/>
        <rFont val="游ゴシック"/>
        <charset val="134"/>
      </rPr>
      <t xml:space="preserve">ステップ1：
</t>
    </r>
    <r>
      <rPr>
        <sz val="10"/>
        <color rgb="FFFF0000"/>
        <rFont val="游ゴシック"/>
        <charset val="134"/>
      </rPr>
      <t xml:space="preserve">Nhập `&lt;script&gt;alert('xss')&lt;/script&gt;` vào trường account_name, `&lt;img src=x onerror=alert(1)&gt;` vào trường biko
</t>
    </r>
    <r>
      <rPr>
        <b/>
        <sz val="10"/>
        <color rgb="FFFF0000"/>
        <rFont val="游ゴシック"/>
        <charset val="134"/>
      </rPr>
      <t xml:space="preserve">ステップ2：
</t>
    </r>
    <r>
      <rPr>
        <sz val="10"/>
        <color rgb="FFFF0000"/>
        <rFont val="游ゴシック"/>
        <charset val="134"/>
      </rPr>
      <t xml:space="preserve">Nhập giá trị hợp lệ vào các trường required khác và click button "登録"
</t>
    </r>
    <r>
      <rPr>
        <b/>
        <sz val="10"/>
        <color rgb="FFFF0000"/>
        <rFont val="游ゴシック"/>
        <charset val="134"/>
      </rPr>
      <t xml:space="preserve">ステップ3：
</t>
    </r>
    <r>
      <rPr>
        <sz val="10"/>
        <color rgb="FFFF0000"/>
        <rFont val="游ゴシック"/>
        <charset val="134"/>
      </rPr>
      <t>Sau khi đăng ký xong, kiểm tra hiển thị lại ở màn edit</t>
    </r>
  </si>
  <si>
    <r>
      <rPr>
        <b/>
        <sz val="10"/>
        <color rgb="FFFF0000"/>
        <rFont val="メイリオ"/>
        <charset val="134"/>
      </rPr>
      <t xml:space="preserve">ステップ1：
</t>
    </r>
    <r>
      <rPr>
        <sz val="10"/>
        <color rgb="FFFF0000"/>
        <rFont val="メイリオ"/>
        <charset val="134"/>
      </rPr>
      <t xml:space="preserve">Giá trị nhập được hiển thị nguyên trạng (FE giữ nguyên không escape)
</t>
    </r>
    <r>
      <rPr>
        <b/>
        <sz val="10"/>
        <color rgb="FFFF0000"/>
        <rFont val="メイリオ"/>
        <charset val="134"/>
      </rPr>
      <t xml:space="preserve">ステップ2：
</t>
    </r>
    <r>
      <rPr>
        <sz val="10"/>
        <color rgb="FFFF0000"/>
        <rFont val="メイリオ"/>
        <charset val="134"/>
      </rPr>
      <t xml:space="preserve">Trả về HTTP 201, `m_account` lưu chuỗi đã được HTML escape (hoặc lưu raw và escape khi hiển thị ở phía màn)
</t>
    </r>
    <r>
      <rPr>
        <b/>
        <sz val="10"/>
        <color rgb="FFFF0000"/>
        <rFont val="メイリオ"/>
        <charset val="134"/>
      </rPr>
      <t xml:space="preserve">ステップ3：
</t>
    </r>
    <r>
      <rPr>
        <sz val="10"/>
        <color rgb="FFFF0000"/>
        <rFont val="メイリオ"/>
        <charset val="134"/>
      </rPr>
      <t xml:space="preserve">Ở màn edit, account_name · biko hiển thị chuỗi gốc dưới dạng plain text, tag script hoặc img không được evaluate trên DOM, dialog alert không xuất hiện
</t>
    </r>
    <r>
      <rPr>
        <b/>
        <sz val="10"/>
        <color rgb="FFFF0000"/>
        <rFont val="メイリオ"/>
        <charset val="134"/>
      </rPr>
      <t xml:space="preserve">補足：
</t>
    </r>
    <r>
      <rPr>
        <sz val="10"/>
        <color rgb="FFFF0000"/>
        <rFont val="メイリオ"/>
        <charset val="134"/>
      </rPr>
      <t>・Xác nhận XSS defense cho tất cả các trường text input</t>
    </r>
  </si>
  <si>
    <t>Kiểm tra XSS defense.
Chặn bởi AWS</t>
  </si>
  <si>
    <t>ACSMS-TC-025-045</t>
  </si>
  <si>
    <t>Dialog confirm khi nhấn button "前の画面に戻る"</t>
  </si>
  <si>
    <t>・role: NICHINO_ADMIN
・Đã truy cập URL `/accounts/create`, đã nhập một phần form</t>
  </si>
  <si>
    <r>
      <rPr>
        <b/>
        <strike/>
        <sz val="10"/>
        <color rgb="FF000000"/>
        <rFont val="メイリオ"/>
        <charset val="134"/>
      </rPr>
      <t xml:space="preserve">ステップ1：
</t>
    </r>
    <r>
      <rPr>
        <strike/>
        <sz val="10"/>
        <color rgb="FF000000"/>
        <rFont val="メイリオ"/>
        <charset val="134"/>
      </rPr>
      <t xml:space="preserve">Nhập "testuser" vào trường login_id
</t>
    </r>
    <r>
      <rPr>
        <b/>
        <strike/>
        <sz val="10"/>
        <color rgb="FF000000"/>
        <rFont val="メイリオ"/>
        <charset val="134"/>
      </rPr>
      <t xml:space="preserve">ステップ2：
</t>
    </r>
    <r>
      <rPr>
        <strike/>
        <sz val="10"/>
        <color rgb="FF000000"/>
        <rFont val="メイリオ"/>
        <charset val="134"/>
      </rPr>
      <t xml:space="preserve">Click button "前の画面に戻る"
</t>
    </r>
    <r>
      <rPr>
        <b/>
        <strike/>
        <sz val="10"/>
        <color rgb="FF000000"/>
        <rFont val="メイリオ"/>
        <charset val="134"/>
      </rPr>
      <t xml:space="preserve">ステップ3：
</t>
    </r>
    <r>
      <rPr>
        <strike/>
        <sz val="10"/>
        <color rgb="FF000000"/>
        <rFont val="メイリオ"/>
        <charset val="134"/>
      </rPr>
      <t xml:space="preserve">Trên dialog confirm, click "はい"
</t>
    </r>
    <r>
      <rPr>
        <b/>
        <strike/>
        <sz val="10"/>
        <color rgb="FF000000"/>
        <rFont val="メイリオ"/>
        <charset val="134"/>
      </rPr>
      <t xml:space="preserve">ステップ4：
</t>
    </r>
    <r>
      <rPr>
        <strike/>
        <sz val="10"/>
        <color rgb="FF000000"/>
        <rFont val="メイリオ"/>
        <charset val="134"/>
      </rPr>
      <t>Kiểm tra hành vi của flow khác khi click "いいえ"</t>
    </r>
  </si>
  <si>
    <r>
      <rPr>
        <b/>
        <strike/>
        <sz val="10"/>
        <color rgb="FF000000"/>
        <rFont val="メイリオ"/>
        <charset val="134"/>
      </rPr>
      <t xml:space="preserve">ステップ1：
</t>
    </r>
    <r>
      <rPr>
        <strike/>
        <sz val="10"/>
        <color rgb="FF000000"/>
        <rFont val="メイリオ"/>
        <charset val="134"/>
      </rPr>
      <t xml:space="preserve">Giá trị nhập được phản ánh
</t>
    </r>
    <r>
      <rPr>
        <b/>
        <strike/>
        <sz val="10"/>
        <color rgb="FF000000"/>
        <rFont val="メイリオ"/>
        <charset val="134"/>
      </rPr>
      <t xml:space="preserve">ステップ2：
</t>
    </r>
    <r>
      <rPr>
        <strike/>
        <sz val="10"/>
        <color rgb="FF000000"/>
        <rFont val="メイリオ"/>
        <charset val="134"/>
      </rPr>
      <t xml:space="preserve">Dialog confirm được hiển thị, chứa message `入力データが削除されます。よろしいですか？`
</t>
    </r>
    <r>
      <rPr>
        <b/>
        <strike/>
        <sz val="10"/>
        <color rgb="FF000000"/>
        <rFont val="メイリオ"/>
        <charset val="134"/>
      </rPr>
      <t xml:space="preserve">ステップ3：
</t>
    </r>
    <r>
      <rPr>
        <strike/>
        <sz val="10"/>
        <color rgb="FF000000"/>
        <rFont val="メイリオ"/>
        <charset val="134"/>
      </rPr>
      <t xml:space="preserve">Chuyển đến màn chi tiết tìm kiếm Master Account SCR-024 (`/accounts`), giá trị nhập bị hủy
</t>
    </r>
    <r>
      <rPr>
        <b/>
        <strike/>
        <sz val="10"/>
        <color rgb="FF000000"/>
        <rFont val="メイリオ"/>
        <charset val="134"/>
      </rPr>
      <t xml:space="preserve">ステップ4：
</t>
    </r>
    <r>
      <rPr>
        <strike/>
        <sz val="10"/>
        <color rgb="FF000000"/>
        <rFont val="メイリオ"/>
        <charset val="134"/>
      </rPr>
      <t xml:space="preserve">Dialog được đóng, ở lại màn hiện tại, giá trị nhập được giữ lại
</t>
    </r>
    <r>
      <rPr>
        <b/>
        <strike/>
        <sz val="10"/>
        <color rgb="FF000000"/>
        <rFont val="メイリオ"/>
        <charset val="134"/>
      </rPr>
      <t xml:space="preserve">補足：
</t>
    </r>
    <r>
      <rPr>
        <strike/>
        <sz val="10"/>
        <color rgb="FF000000"/>
        <rFont val="メイリオ"/>
        <charset val="134"/>
      </rPr>
      <t xml:space="preserve">・Sử dụng MSG-025-010
</t>
    </r>
    <r>
      <rPr>
        <strike/>
        <sz val="10"/>
        <color rgb="FF000000"/>
        <rFont val="メイリオ"/>
        <charset val="134"/>
      </rPr>
      <t>・Dialog confirm để bảo vệ khỏi rời đi giữa chừng khi đang nhập</t>
    </r>
  </si>
  <si>
    <t>MSG-025-010.
---</t>
  </si>
  <si>
    <t>Logic nghiệp vụ — Đăng ký (Function — Create)</t>
  </si>
  <si>
    <t>ACSMS-TC-025-046</t>
  </si>
  <si>
    <t>Happy path (đăng ký account nội bộ với NICHINO_ADMIN role=1)</t>
  </si>
  <si>
    <r>
      <rPr>
        <b/>
        <sz val="10"/>
        <color rgb="FF000000"/>
        <rFont val="メイリオ"/>
        <charset val="134"/>
      </rPr>
      <t xml:space="preserve">ステップ1：
</t>
    </r>
    <r>
      <rPr>
        <sz val="10"/>
        <color rgb="FF000000"/>
        <rFont val="メイリオ"/>
        <charset val="134"/>
      </rPr>
      <t xml:space="preserve">Nhập login_id "staff01", password "StaffPw@2026", role "NICHINO_ADMIN", account_name "テスト管理者", email "staff01@example.com"
</t>
    </r>
    <r>
      <rPr>
        <b/>
        <sz val="10"/>
        <color rgb="FF000000"/>
        <rFont val="メイリオ"/>
        <charset val="134"/>
      </rPr>
      <t xml:space="preserve">ステップ2：
</t>
    </r>
    <r>
      <rPr>
        <sz val="10"/>
        <color rgb="FF000000"/>
        <rFont val="メイリオ"/>
        <charset val="134"/>
      </rPr>
      <t xml:space="preserve">Click button "登録"
</t>
    </r>
    <r>
      <rPr>
        <b/>
        <sz val="10"/>
        <color rgb="FF000000"/>
        <rFont val="メイリオ"/>
        <charset val="134"/>
      </rPr>
      <t xml:space="preserve">ステップ3：
</t>
    </r>
    <r>
      <rPr>
        <sz val="10"/>
        <color rgb="FF000000"/>
        <rFont val="メイリオ"/>
        <charset val="134"/>
      </rPr>
      <t xml:space="preserve">Kiểm tra DB: `SELECT * FROM m_account WHERE login_id = 'staff01'`
</t>
    </r>
    <r>
      <rPr>
        <b/>
        <sz val="10"/>
        <color rgb="FF000000"/>
        <rFont val="メイリオ"/>
        <charset val="134"/>
      </rPr>
      <t xml:space="preserve">ステップ4：
</t>
    </r>
    <r>
      <rPr>
        <sz val="10"/>
        <color rgb="FF000000"/>
        <rFont val="メイリオ"/>
        <charset val="134"/>
      </rPr>
      <t>Kiểm tra DB: `SELECT * FROM t_log WHERE target_table = 'm_account' AND operation = 'CREATE' ORDER BY log_datetime DESC LIMIT 1`</t>
    </r>
  </si>
  <si>
    <r>
      <rPr>
        <b/>
        <sz val="10"/>
        <color rgb="FF000000"/>
        <rFont val="メイリオ"/>
        <charset val="134"/>
      </rPr>
      <t xml:space="preserve">ステップ1：
</t>
    </r>
    <r>
      <rPr>
        <sz val="10"/>
        <color rgb="FF000000"/>
        <rFont val="メイリオ"/>
        <charset val="134"/>
      </rPr>
      <t xml:space="preserve">Giá trị nhập được phản ánh
</t>
    </r>
    <r>
      <rPr>
        <b/>
        <sz val="10"/>
        <color rgb="FF000000"/>
        <rFont val="メイリオ"/>
        <charset val="134"/>
      </rPr>
      <t xml:space="preserve">ステップ2：
</t>
    </r>
    <r>
      <rPr>
        <sz val="10"/>
        <color rgb="FF000000"/>
        <rFont val="メイリオ"/>
        <charset val="134"/>
      </rPr>
      <t xml:space="preserve">Trả về HTTP 201, hiển thị toast `登録しました。`, chuyển đến màn chi tiết tìm kiếm Master Account SCR-024
</t>
    </r>
    <r>
      <rPr>
        <b/>
        <sz val="10"/>
        <color rgb="FF000000"/>
        <rFont val="メイリオ"/>
        <charset val="134"/>
      </rPr>
      <t xml:space="preserve">ステップ3：
</t>
    </r>
    <r>
      <rPr>
        <sz val="10"/>
        <color rgb="FF000000"/>
        <rFont val="メイリオ"/>
        <charset val="134"/>
      </rPr>
      <t xml:space="preserve">Trả về 1 dòng, `role_id=1`, `ja_id=NULL`, `kanri_shiten_id=NULL`, `password_hash` đúng format bcrypt (`$2b$10$...`), `login_failure_count=0`, `account_lock_flg=false`, `mfa_enable_flg=false`
</t>
    </r>
    <r>
      <rPr>
        <b/>
        <sz val="10"/>
        <color rgb="FF000000"/>
        <rFont val="メイリオ"/>
        <charset val="134"/>
      </rPr>
      <t xml:space="preserve">ステップ4：
</t>
    </r>
    <r>
      <rPr>
        <sz val="10"/>
        <color rgb="FF000000"/>
        <rFont val="メイリオ"/>
        <charset val="134"/>
      </rPr>
      <t xml:space="preserve">Audit log 1 dòng được record, `result_status=1`, `after_value` chứa data đăng ký, `before_value` rỗng
</t>
    </r>
    <r>
      <rPr>
        <b/>
        <sz val="10"/>
        <color rgb="FF000000"/>
        <rFont val="メイリオ"/>
        <charset val="134"/>
      </rPr>
      <t xml:space="preserve">補足：
</t>
    </r>
    <r>
      <rPr>
        <sz val="10"/>
        <color rgb="FF000000"/>
        <rFont val="メイリオ"/>
        <charset val="134"/>
      </rPr>
      <t>・Sử dụng MSG-025-007, `登録しました。`</t>
    </r>
  </si>
  <si>
    <t>Happy path, phát hành account nội bộ.</t>
  </si>
  <si>
    <t>ACSMS-TC-025-047</t>
  </si>
  <si>
    <t>Happy path (đăng ký account JA本店 với role=4)</t>
  </si>
  <si>
    <r>
      <rPr>
        <b/>
        <sz val="10"/>
        <color rgb="FF000000"/>
        <rFont val="メイリオ"/>
        <charset val="134"/>
      </rPr>
      <t xml:space="preserve">ステップ1：
</t>
    </r>
    <r>
      <rPr>
        <sz val="10"/>
        <color rgb="FF000000"/>
        <rFont val="メイリオ"/>
        <charset val="134"/>
      </rPr>
      <t xml:space="preserve">Nhập login_id "ja001hon", password "JaPw@2026", role "JA_HONTEN", tỉnh thành "東京都", JA "ja-001", account_name "JA001本店管理者", email "ja001@example.com", paper_flg=ON, denshi_flg=OFF
</t>
    </r>
    <r>
      <rPr>
        <b/>
        <sz val="10"/>
        <color rgb="FF000000"/>
        <rFont val="メイリオ"/>
        <charset val="134"/>
      </rPr>
      <t xml:space="preserve">ステップ2：
</t>
    </r>
    <r>
      <rPr>
        <sz val="10"/>
        <color rgb="FF000000"/>
        <rFont val="メイリオ"/>
        <charset val="134"/>
      </rPr>
      <t xml:space="preserve">Click button "登録"
</t>
    </r>
    <r>
      <rPr>
        <b/>
        <sz val="10"/>
        <color rgb="FF000000"/>
        <rFont val="メイリオ"/>
        <charset val="134"/>
      </rPr>
      <t xml:space="preserve">ステップ3：
</t>
    </r>
    <r>
      <rPr>
        <sz val="10"/>
        <color rgb="FF000000"/>
        <rFont val="メイリオ"/>
        <charset val="134"/>
      </rPr>
      <t>Kiểm tra DB: `SELECT * FROM m_account WHERE login_id = 'ja001hon'`</t>
    </r>
  </si>
  <si>
    <r>
      <rPr>
        <b/>
        <sz val="10"/>
        <color rgb="FF000000"/>
        <rFont val="メイリオ"/>
        <charset val="134"/>
      </rPr>
      <t xml:space="preserve">ステップ1：
</t>
    </r>
    <r>
      <rPr>
        <sz val="10"/>
        <color rgb="FF000000"/>
        <rFont val="メイリオ"/>
        <charset val="134"/>
      </rPr>
      <t xml:space="preserve">Giá trị nhập được phản ánh, candidate trường JA được lọc theo `chuokai_flg=false`
</t>
    </r>
    <r>
      <rPr>
        <b/>
        <sz val="10"/>
        <color rgb="FF000000"/>
        <rFont val="メイリオ"/>
        <charset val="134"/>
      </rPr>
      <t xml:space="preserve">ステップ2：
</t>
    </r>
    <r>
      <rPr>
        <sz val="10"/>
        <color rgb="FF000000"/>
        <rFont val="メイリオ"/>
        <charset val="134"/>
      </rPr>
      <t xml:space="preserve">Trả về HTTP 201, hiển thị toast `登録しました。`
</t>
    </r>
    <r>
      <rPr>
        <b/>
        <sz val="10"/>
        <color rgb="FF000000"/>
        <rFont val="メイリオ"/>
        <charset val="134"/>
      </rPr>
      <t xml:space="preserve">ステップ3：
</t>
    </r>
    <r>
      <rPr>
        <sz val="10"/>
        <color rgb="FF000000"/>
        <rFont val="メイリオ"/>
        <charset val="134"/>
      </rPr>
      <t xml:space="preserve">Trả về 1 dòng, `role_id=4`, `ja_id=1`, `kanri_shiten_id=NULL`, `paper_flg=true`, `denshi_flg=false`
</t>
    </r>
    <r>
      <rPr>
        <b/>
        <sz val="10"/>
        <color rgb="FF000000"/>
        <rFont val="メイリオ"/>
        <charset val="134"/>
      </rPr>
      <t xml:space="preserve">補足：
</t>
    </r>
    <r>
      <rPr>
        <sz val="10"/>
        <color rgb="FF000000"/>
        <rFont val="メイリオ"/>
        <charset val="134"/>
      </rPr>
      <t>・Account JA本店 chỉ liên kết `ja_id`, `kanri_shiten_id` là NULL</t>
    </r>
  </si>
  <si>
    <t>Phát hành account JA本店.</t>
  </si>
  <si>
    <t>ACSMS-TC-025-048</t>
  </si>
  <si>
    <t>Happy path (đăng ký account JA kanri_shiten với role=5)</t>
  </si>
  <si>
    <r>
      <rPr>
        <b/>
        <sz val="10"/>
        <color rgb="FF000000"/>
        <rFont val="メイリオ"/>
        <charset val="134"/>
      </rPr>
      <t xml:space="preserve">ステップ1：
</t>
    </r>
    <r>
      <rPr>
        <sz val="10"/>
        <color rgb="FF000000"/>
        <rFont val="メイリオ"/>
        <charset val="134"/>
      </rPr>
      <t xml:space="preserve">Nhập login_id "ja001s01", password "Sh1ten@26", role "JA_KANRI_SHITEN", tỉnh thành "東京都", JA "ja-001", kanri_shiten "kanri-001", account_name "ja-001 支店01管理者", email "ja001s01@example.com"
</t>
    </r>
    <r>
      <rPr>
        <b/>
        <sz val="10"/>
        <color rgb="FF000000"/>
        <rFont val="メイリオ"/>
        <charset val="134"/>
      </rPr>
      <t xml:space="preserve">ステップ2：
</t>
    </r>
    <r>
      <rPr>
        <sz val="10"/>
        <color rgb="FF000000"/>
        <rFont val="メイリオ"/>
        <charset val="134"/>
      </rPr>
      <t xml:space="preserve">Click button "登録"
</t>
    </r>
    <r>
      <rPr>
        <b/>
        <sz val="10"/>
        <color rgb="FF000000"/>
        <rFont val="メイリオ"/>
        <charset val="134"/>
      </rPr>
      <t xml:space="preserve">ステップ3：
</t>
    </r>
    <r>
      <rPr>
        <sz val="10"/>
        <color rgb="FF000000"/>
        <rFont val="メイリオ"/>
        <charset val="134"/>
      </rPr>
      <t>Kiểm tra DB: `SELECT * FROM m_account WHERE login_id = 'ja001s01'`</t>
    </r>
  </si>
  <si>
    <r>
      <rPr>
        <b/>
        <sz val="10"/>
        <color rgb="FF000000"/>
        <rFont val="メイリオ"/>
        <charset val="134"/>
      </rPr>
      <t xml:space="preserve">ステップ1：
</t>
    </r>
    <r>
      <rPr>
        <sz val="10"/>
        <color rgb="FF000000"/>
        <rFont val="メイリオ"/>
        <charset val="134"/>
      </rPr>
      <t xml:space="preserve">Cascade 3 cấp hoạt động bình thường
</t>
    </r>
    <r>
      <rPr>
        <b/>
        <sz val="10"/>
        <color rgb="FF000000"/>
        <rFont val="メイリオ"/>
        <charset val="134"/>
      </rPr>
      <t xml:space="preserve">ステップ2：
</t>
    </r>
    <r>
      <rPr>
        <sz val="10"/>
        <color rgb="FF000000"/>
        <rFont val="メイリオ"/>
        <charset val="134"/>
      </rPr>
      <t xml:space="preserve">Trả về HTTP 201, hiển thị toast `登録しました。`
</t>
    </r>
    <r>
      <rPr>
        <b/>
        <sz val="10"/>
        <color rgb="FF000000"/>
        <rFont val="メイリオ"/>
        <charset val="134"/>
      </rPr>
      <t xml:space="preserve">ステップ3：
</t>
    </r>
    <r>
      <rPr>
        <sz val="10"/>
        <color rgb="FF000000"/>
        <rFont val="メイリオ"/>
        <charset val="134"/>
      </rPr>
      <t xml:space="preserve">Trả về 1 dòng, `role_id=5`, `ja_id=1`, `kanri_shiten_id=1`
</t>
    </r>
    <r>
      <rPr>
        <b/>
        <sz val="10"/>
        <color rgb="FF000000"/>
        <rFont val="メイリオ"/>
        <charset val="134"/>
      </rPr>
      <t xml:space="preserve">補足：
</t>
    </r>
    <r>
      <rPr>
        <sz val="10"/>
        <color rgb="FF000000"/>
        <rFont val="メイリオ"/>
        <charset val="134"/>
      </rPr>
      <t>・Account JA kanri_shiten liên kết 3 cấp `ja_id` + `kanri_shiten_id`</t>
    </r>
  </si>
  <si>
    <t>Phát hành account JA kanri_shiten.</t>
  </si>
  <si>
    <t>ACSMS-TC-025-049</t>
  </si>
  <si>
    <t>Vi phạm unique constraint khi đăng ký login_id trùng</t>
  </si>
  <si>
    <t>・role: NICHINO_ADMIN
・Tồn tại account hiện hữu `login_id=duplicate01`
・Đã truy cập URL `/accounts/create`</t>
  </si>
  <si>
    <r>
      <rPr>
        <b/>
        <sz val="10"/>
        <color rgb="FF000000"/>
        <rFont val="メイリオ"/>
        <charset val="134"/>
      </rPr>
      <t xml:space="preserve">ステップ1：
</t>
    </r>
    <r>
      <rPr>
        <sz val="10"/>
        <color rgb="FF000000"/>
        <rFont val="メイリオ"/>
        <charset val="134"/>
      </rPr>
      <t xml:space="preserve">Nhập "duplicate01" vào trường login_id, nhập giá trị hợp lệ vào các trường required khác
</t>
    </r>
    <r>
      <rPr>
        <b/>
        <sz val="10"/>
        <color rgb="FF000000"/>
        <rFont val="メイリオ"/>
        <charset val="134"/>
      </rPr>
      <t xml:space="preserve">ステップ2：
</t>
    </r>
    <r>
      <rPr>
        <sz val="10"/>
        <color rgb="FF000000"/>
        <rFont val="メイリオ"/>
        <charset val="134"/>
      </rPr>
      <t xml:space="preserve">Click button "登録"
</t>
    </r>
    <r>
      <rPr>
        <b/>
        <sz val="10"/>
        <color rgb="FF000000"/>
        <rFont val="メイリオ"/>
        <charset val="134"/>
      </rPr>
      <t xml:space="preserve">ステップ3：
</t>
    </r>
    <r>
      <rPr>
        <sz val="10"/>
        <color rgb="FF000000"/>
        <rFont val="メイリオ"/>
        <charset val="134"/>
      </rPr>
      <t>Kiểm tra DB: `SELECT COUNT(*) FROM m_account WHERE login_id = 'duplicate01'`</t>
    </r>
  </si>
  <si>
    <r>
      <rPr>
        <b/>
        <sz val="10"/>
        <color rgb="FF000000"/>
        <rFont val="メイリオ"/>
        <charset val="134"/>
      </rPr>
      <t xml:space="preserve">ステップ1：
</t>
    </r>
    <r>
      <rPr>
        <sz val="10"/>
        <color rgb="FF000000"/>
        <rFont val="メイリオ"/>
        <charset val="134"/>
      </rPr>
      <t xml:space="preserve">Giá trị nhập được phản ánh
</t>
    </r>
    <r>
      <rPr>
        <b/>
        <sz val="10"/>
        <color rgb="FF000000"/>
        <rFont val="メイリオ"/>
        <charset val="134"/>
      </rPr>
      <t xml:space="preserve">ステップ2：
</t>
    </r>
    <r>
      <rPr>
        <sz val="10"/>
        <color rgb="FF000000"/>
        <rFont val="メイリオ"/>
        <charset val="134"/>
      </rPr>
      <t xml:space="preserve">Trả về HTTP 400, hiển thị `このログインIDは既に登録されています。` dạng toast hoặc message dưới trường
</t>
    </r>
    <r>
      <rPr>
        <b/>
        <sz val="10"/>
        <color rgb="FF000000"/>
        <rFont val="メイリオ"/>
        <charset val="134"/>
      </rPr>
      <t xml:space="preserve">ステップ3：
</t>
    </r>
    <r>
      <rPr>
        <sz val="10"/>
        <color rgb="FF000000"/>
        <rFont val="メイリオ"/>
        <charset val="134"/>
      </rPr>
      <t xml:space="preserve">Số lượng vẫn là 1 (không có dòng mới được thêm)
</t>
    </r>
    <r>
      <rPr>
        <b/>
        <sz val="10"/>
        <color rgb="FF000000"/>
        <rFont val="メイリオ"/>
        <charset val="134"/>
      </rPr>
      <t xml:space="preserve">補足：
</t>
    </r>
    <r>
      <rPr>
        <sz val="10"/>
        <color rgb="FF000000"/>
        <rFont val="メイリオ"/>
        <charset val="134"/>
      </rPr>
      <t>・MSG-025-004, phòng vệ kép unique constraint của DB + check trước ở application layer</t>
    </r>
  </si>
  <si>
    <t>MSG-025-004, unique constraint.</t>
  </si>
  <si>
    <t>ACSMS-TC-025-050</t>
  </si>
  <si>
    <t>Verify hash bcrypt của password</t>
  </si>
  <si>
    <r>
      <rPr>
        <b/>
        <sz val="10"/>
        <color rgb="FF000000"/>
        <rFont val="メイリオ"/>
        <charset val="134"/>
      </rPr>
      <t xml:space="preserve">ステップ1：
</t>
    </r>
    <r>
      <rPr>
        <sz val="10"/>
        <color rgb="FF000000"/>
        <rFont val="メイリオ"/>
        <charset val="134"/>
      </rPr>
      <t xml:space="preserve">Nhập các trường required bao gồm password "Tes7@Pwd" và click button "登録"
</t>
    </r>
    <r>
      <rPr>
        <b/>
        <sz val="10"/>
        <color rgb="FF000000"/>
        <rFont val="メイリオ"/>
        <charset val="134"/>
      </rPr>
      <t xml:space="preserve">ステップ2：
</t>
    </r>
    <r>
      <rPr>
        <sz val="10"/>
        <color rgb="FF000000"/>
        <rFont val="メイリオ"/>
        <charset val="134"/>
      </rPr>
      <t xml:space="preserve">Kiểm tra DB: `SELECT password_hash FROM m_account WHERE login_id = '&lt;login_id đã đăng ký&gt;'`
</t>
    </r>
    <r>
      <rPr>
        <b/>
        <sz val="10"/>
        <color rgb="FF000000"/>
        <rFont val="メイリオ"/>
        <charset val="134"/>
      </rPr>
      <t xml:space="preserve">ステップ3：
</t>
    </r>
    <r>
      <rPr>
        <sz val="10"/>
        <color rgb="FF000000"/>
        <rFont val="メイリオ"/>
        <charset val="134"/>
      </rPr>
      <t>Kiểm tra format giá trị hash và phân bố salt</t>
    </r>
  </si>
  <si>
    <r>
      <rPr>
        <b/>
        <sz val="10"/>
        <color rgb="FF000000"/>
        <rFont val="メイリオ"/>
        <charset val="134"/>
      </rPr>
      <t xml:space="preserve">ステップ1：
</t>
    </r>
    <r>
      <rPr>
        <sz val="10"/>
        <color rgb="FF000000"/>
        <rFont val="メイリオ"/>
        <charset val="134"/>
      </rPr>
      <t xml:space="preserve">Đăng ký thành công, trả về HTTP 201
</t>
    </r>
    <r>
      <rPr>
        <b/>
        <sz val="10"/>
        <color rgb="FF000000"/>
        <rFont val="メイリオ"/>
        <charset val="134"/>
      </rPr>
      <t xml:space="preserve">ステップ2：
</t>
    </r>
    <r>
      <rPr>
        <sz val="10"/>
        <color rgb="FF000000"/>
        <rFont val="メイリオ"/>
        <charset val="134"/>
      </rPr>
      <t xml:space="preserve">Trả về 1 dòng, `password_hash` đúng format bcrypt (60 ký tự bắt đầu bằng `$2b$10$`)
</t>
    </r>
    <r>
      <rPr>
        <b/>
        <sz val="10"/>
        <color rgb="FF000000"/>
        <rFont val="メイリオ"/>
        <charset val="134"/>
      </rPr>
      <t xml:space="preserve">ステップ3：
</t>
    </r>
    <r>
      <rPr>
        <sz val="10"/>
        <color rgb="FF000000"/>
        <rFont val="メイリオ"/>
        <charset val="134"/>
      </rPr>
      <t xml:space="preserve">Khi đăng ký nhiều account với cùng password thì giá trị hash khác nhau (salt được generate ngẫu nhiên), plain text "Tes7@Pwd" KHÔNG được lưu trên DB
</t>
    </r>
    <r>
      <rPr>
        <b/>
        <sz val="10"/>
        <color rgb="FF000000"/>
        <rFont val="メイリオ"/>
        <charset val="134"/>
      </rPr>
      <t xml:space="preserve">補足：
</t>
    </r>
    <r>
      <rPr>
        <sz val="10"/>
        <color rgb="FF000000"/>
        <rFont val="メイリオ"/>
        <charset val="134"/>
      </rPr>
      <t>・bcrypt salt round=10 (security.md §パスワードハッシュ)</t>
    </r>
  </si>
  <si>
    <t>Verify password hash.</t>
  </si>
  <si>
    <t>ACSMS-TC-025-051</t>
  </si>
  <si>
    <t>Verify giá trị khởi tạo (login_failure_count · lock · MFA enable)</t>
  </si>
  <si>
    <r>
      <rPr>
        <b/>
        <sz val="10"/>
        <color rgb="FF000000"/>
        <rFont val="メイリオ"/>
        <charset val="134"/>
      </rPr>
      <t xml:space="preserve">ステップ1：
</t>
    </r>
    <r>
      <rPr>
        <sz val="10"/>
        <color rgb="FF000000"/>
        <rFont val="メイリオ"/>
        <charset val="134"/>
      </rPr>
      <t xml:space="preserve">Nhập các trường required hợp lệ và click button "登録"
</t>
    </r>
    <r>
      <rPr>
        <b/>
        <sz val="10"/>
        <color rgb="FF000000"/>
        <rFont val="メイリオ"/>
        <charset val="134"/>
      </rPr>
      <t xml:space="preserve">ステップ2：
</t>
    </r>
    <r>
      <rPr>
        <sz val="10"/>
        <color rgb="FF000000"/>
        <rFont val="メイリオ"/>
        <charset val="134"/>
      </rPr>
      <t>Kiểm tra DB: `SELECT login_failure_count, account_lock_flg, mfa_enable_flg FROM m_account WHERE login_id = '&lt;login_id đã đăng ký&gt;'`</t>
    </r>
  </si>
  <si>
    <r>
      <rPr>
        <b/>
        <sz val="10"/>
        <color rgb="FF000000"/>
        <rFont val="メイリオ"/>
        <charset val="134"/>
      </rPr>
      <t xml:space="preserve">ステップ1：
</t>
    </r>
    <r>
      <rPr>
        <sz val="10"/>
        <color rgb="FF000000"/>
        <rFont val="メイリオ"/>
        <charset val="134"/>
      </rPr>
      <t xml:space="preserve">Đăng ký thành công, trả về HTTP 201
</t>
    </r>
    <r>
      <rPr>
        <b/>
        <sz val="10"/>
        <color rgb="FF000000"/>
        <rFont val="メイリオ"/>
        <charset val="134"/>
      </rPr>
      <t xml:space="preserve">ステップ2：
</t>
    </r>
    <r>
      <rPr>
        <sz val="10"/>
        <color rgb="FF000000"/>
        <rFont val="メイリオ"/>
        <charset val="134"/>
      </rPr>
      <t xml:space="preserve">`login_failure_count=0`, `account_lock_flg=false`, `mfa_enable_flg=false` được set
</t>
    </r>
    <r>
      <rPr>
        <b/>
        <sz val="10"/>
        <color rgb="FF000000"/>
        <rFont val="メイリオ"/>
        <charset val="134"/>
      </rPr>
      <t xml:space="preserve">補足：
</t>
    </r>
    <r>
      <rPr>
        <sz val="10"/>
        <color rgb="FF000000"/>
        <rFont val="メイリオ"/>
        <charset val="134"/>
      </rPr>
      <t>・Trạng thái khởi tạo của account mới: MFA disable, đã unlock</t>
    </r>
  </si>
  <si>
    <t>Verify giá trị khởi tạo của account mới.</t>
  </si>
  <si>
    <t>ACSMS-TC-025-052</t>
  </si>
  <si>
    <t>Verify FK integrity (gửi ja_id không hợp lệ)</t>
  </si>
  <si>
    <r>
      <rPr>
        <b/>
        <sz val="10"/>
        <color rgb="FF000000"/>
        <rFont val="メイリオ"/>
        <charset val="134"/>
      </rPr>
      <t xml:space="preserve">ステップ1：
</t>
    </r>
    <r>
      <rPr>
        <sz val="10"/>
        <color rgb="FF000000"/>
        <rFont val="メイリオ"/>
        <charset val="134"/>
      </rPr>
      <t xml:space="preserve">Dùng DevTools gửi POST `/api/v1/accounts` với data chứa `role_id=4`, `ja_id=99999` (JA không tồn tại)
</t>
    </r>
    <r>
      <rPr>
        <b/>
        <sz val="10"/>
        <color rgb="FF000000"/>
        <rFont val="メイリオ"/>
        <charset val="134"/>
      </rPr>
      <t xml:space="preserve">ステップ2：
</t>
    </r>
    <r>
      <rPr>
        <sz val="10"/>
        <color rgb="FF000000"/>
        <rFont val="メイリオ"/>
        <charset val="134"/>
      </rPr>
      <t>Kiểm tra response</t>
    </r>
  </si>
  <si>
    <r>
      <rPr>
        <b/>
        <sz val="10"/>
        <color rgb="FF000000"/>
        <rFont val="メイリオ"/>
        <charset val="134"/>
      </rPr>
      <t xml:space="preserve">ステップ1：
</t>
    </r>
    <r>
      <rPr>
        <sz val="10"/>
        <color rgb="FF000000"/>
        <rFont val="メイリオ"/>
        <charset val="134"/>
      </rPr>
      <t xml:space="preserve">Request được gửi đi
</t>
    </r>
    <r>
      <rPr>
        <b/>
        <sz val="10"/>
        <color rgb="FF000000"/>
        <rFont val="メイリオ"/>
        <charset val="134"/>
      </rPr>
      <t xml:space="preserve">ステップ2：
</t>
    </r>
    <r>
      <rPr>
        <sz val="10"/>
        <color rgb="FF000000"/>
        <rFont val="メイリオ"/>
        <charset val="134"/>
      </rPr>
      <t xml:space="preserve">Trả về HTTP 400 (`error_code: VALIDATION_ERROR`), chứa `errors[].field=ja_id`, không có dòng mới được thêm vào `m_account`
</t>
    </r>
    <r>
      <rPr>
        <b/>
        <sz val="10"/>
        <color rgb="FF000000"/>
        <rFont val="メイリオ"/>
        <charset val="134"/>
      </rPr>
      <t xml:space="preserve">補足：
</t>
    </r>
    <r>
      <rPr>
        <sz val="10"/>
        <color rgb="FF000000"/>
        <rFont val="メイリオ"/>
        <charset val="134"/>
      </rPr>
      <t xml:space="preserve">・FK integrity được verify ở BE side
</t>
    </r>
    <r>
      <rPr>
        <sz val="10"/>
        <color rgb="FF000000"/>
        <rFont val="メイリオ"/>
        <charset val="134"/>
      </rPr>
      <t>・Qua FE thường không xảy ra vì chỉ có lựa chọn UI, nhưng thực hiện như verify qua DevTools</t>
    </r>
  </si>
  <si>
    <t>FK verify phòng vệ đa tầng ở BE.</t>
  </si>
  <si>
    <t>ACSMS-TC-025-053</t>
  </si>
  <si>
    <t>Verify nội dung after_value của audit log (CREATE)</t>
  </si>
  <si>
    <t>・role: NICHINO_ADMIN (admin01)
・Đã truy cập URL `/accounts/create`</t>
  </si>
  <si>
    <r>
      <rPr>
        <b/>
        <sz val="10"/>
        <color rgb="FF000000"/>
        <rFont val="メイリオ"/>
        <charset val="134"/>
      </rPr>
      <t xml:space="preserve">ステップ1：
</t>
    </r>
    <r>
      <rPr>
        <sz val="10"/>
        <color rgb="FF000000"/>
        <rFont val="メイリオ"/>
        <charset val="134"/>
      </rPr>
      <t xml:space="preserve">Nhập các trường required hợp lệ (login_id "audit01" v.v.) và click button "登録"
</t>
    </r>
    <r>
      <rPr>
        <b/>
        <sz val="10"/>
        <color rgb="FF000000"/>
        <rFont val="メイリオ"/>
        <charset val="134"/>
      </rPr>
      <t xml:space="preserve">ステップ2：
</t>
    </r>
    <r>
      <rPr>
        <sz val="10"/>
        <color rgb="FF000000"/>
        <rFont val="メイリオ"/>
        <charset val="134"/>
      </rPr>
      <t xml:space="preserve">Kiểm tra DB: `SELECT * FROM t_log WHERE target_table='m_account' AND operation='CREATE' ORDER BY log_datetime DESC LIMIT 1`
</t>
    </r>
    <r>
      <rPr>
        <b/>
        <sz val="10"/>
        <color rgb="FF000000"/>
        <rFont val="メイリオ"/>
        <charset val="134"/>
      </rPr>
      <t xml:space="preserve">ステップ3：
</t>
    </r>
    <r>
      <rPr>
        <sz val="10"/>
        <color rgb="FF000000"/>
        <rFont val="メイリオ"/>
        <charset val="134"/>
      </rPr>
      <t>Kiểm tra nội dung của `after_value`, `account_id`, `gamen_name`, `ip_address`</t>
    </r>
  </si>
  <si>
    <r>
      <rPr>
        <b/>
        <sz val="10"/>
        <color rgb="FF000000"/>
        <rFont val="メイリオ"/>
        <charset val="134"/>
      </rPr>
      <t xml:space="preserve">ステップ1：
</t>
    </r>
    <r>
      <rPr>
        <sz val="10"/>
        <color rgb="FF000000"/>
        <rFont val="メイリオ"/>
        <charset val="134"/>
      </rPr>
      <t xml:space="preserve">Đăng ký thành công, trả về HTTP 201
</t>
    </r>
    <r>
      <rPr>
        <b/>
        <sz val="10"/>
        <color rgb="FF000000"/>
        <rFont val="メイリオ"/>
        <charset val="134"/>
      </rPr>
      <t xml:space="preserve">ステップ2：
</t>
    </r>
    <r>
      <rPr>
        <sz val="10"/>
        <color rgb="FF000000"/>
        <rFont val="メイリオ"/>
        <charset val="134"/>
      </rPr>
      <t xml:space="preserve">Trả về 1 dòng, `log_type=1` (user_operation), `result_status=1`, `operation='CREATE'`, `target_table='m_account'`
</t>
    </r>
    <r>
      <rPr>
        <b/>
        <sz val="10"/>
        <color rgb="FF000000"/>
        <rFont val="メイリオ"/>
        <charset val="134"/>
      </rPr>
      <t xml:space="preserve">ステップ3：
</t>
    </r>
    <r>
      <rPr>
        <sz val="10"/>
        <color rgb="FF000000"/>
        <rFont val="メイリオ"/>
        <charset val="134"/>
      </rPr>
      <t xml:space="preserve">`after_value` chứa tất cả các trường đã đăng ký dưới dạng JSON (bao gồm `login_id`, `role_id`, `ja_id` v.v.), tuy nhiên `password_hash` KHÔNG được record, `account_id` là test account, `gamen_name` chứa "アカウントマスタ登録", `ip_address` là IP nguồn truy cập
</t>
    </r>
    <r>
      <rPr>
        <b/>
        <sz val="10"/>
        <color rgb="FF000000"/>
        <rFont val="メイリオ"/>
        <charset val="134"/>
      </rPr>
      <t xml:space="preserve">補足：
</t>
    </r>
    <r>
      <rPr>
        <sz val="10"/>
        <color rgb="FF000000"/>
        <rFont val="メイリオ"/>
        <charset val="134"/>
      </rPr>
      <t>・Phương châm: không lưu password hash trong audit log</t>
    </r>
  </si>
  <si>
    <t>Verify nội dung audit log, loại trừ password.
---</t>
  </si>
  <si>
    <t>Logic nghiệp vụ — Cập nhật (Function — Edit)</t>
  </si>
  <si>
    <t>ACSMS-TC-025-054</t>
  </si>
  <si>
    <t>Happy path (update thông tin account hiện hữu)</t>
  </si>
  <si>
    <t>・role: NICHINO_ADMIN
・Tồn tại account hiện hữu `account_id=10` (login_id=edit01, role_id=4, ja_id=1)</t>
  </si>
  <si>
    <r>
      <rPr>
        <b/>
        <sz val="10"/>
        <color rgb="FF000000"/>
        <rFont val="メイリオ"/>
        <charset val="134"/>
      </rPr>
      <t xml:space="preserve">ステップ1：
</t>
    </r>
    <r>
      <rPr>
        <sz val="10"/>
        <color rgb="FF000000"/>
        <rFont val="メイリオ"/>
        <charset val="134"/>
      </rPr>
      <t xml:space="preserve">Truy cập URL `/accounts/10/edit`, xác nhận hiển thị giá trị hiện hữu
</t>
    </r>
    <r>
      <rPr>
        <b/>
        <sz val="10"/>
        <color rgb="FF000000"/>
        <rFont val="メイリオ"/>
        <charset val="134"/>
      </rPr>
      <t xml:space="preserve">ステップ2：
</t>
    </r>
    <r>
      <rPr>
        <sz val="10"/>
        <color rgb="FF000000"/>
        <rFont val="メイリオ"/>
        <charset val="134"/>
      </rPr>
      <t xml:space="preserve">Đổi account_name thành "更新後アカウント名", email thành "edit01-new@example.com", để password trống
</t>
    </r>
    <r>
      <rPr>
        <b/>
        <sz val="10"/>
        <color rgb="FF000000"/>
        <rFont val="メイリオ"/>
        <charset val="134"/>
      </rPr>
      <t xml:space="preserve">ステップ3：
</t>
    </r>
    <r>
      <rPr>
        <sz val="10"/>
        <color rgb="FF000000"/>
        <rFont val="メイリオ"/>
        <charset val="134"/>
      </rPr>
      <t xml:space="preserve">Click button "登録"
</t>
    </r>
    <r>
      <rPr>
        <b/>
        <sz val="10"/>
        <color rgb="FF000000"/>
        <rFont val="メイリオ"/>
        <charset val="134"/>
      </rPr>
      <t xml:space="preserve">ステップ4：
</t>
    </r>
    <r>
      <rPr>
        <sz val="10"/>
        <color rgb="FF000000"/>
        <rFont val="メイリオ"/>
        <charset val="134"/>
      </rPr>
      <t>Kiểm tra DB: `SELECT account_name, email, password_hash FROM m_account WHERE account_id = 10`</t>
    </r>
  </si>
  <si>
    <r>
      <rPr>
        <b/>
        <sz val="10"/>
        <color rgb="FF000000"/>
        <rFont val="メイリオ"/>
        <charset val="134"/>
      </rPr>
      <t xml:space="preserve">ステップ1：
</t>
    </r>
    <r>
      <rPr>
        <sz val="10"/>
        <color rgb="FF000000"/>
        <rFont val="メイリオ"/>
        <charset val="134"/>
      </rPr>
      <t xml:space="preserve">Giá trị hiện hữu được phản ánh lên màn hình, trường login_id ở trạng thái disable, trường password ở trạng thái trống
</t>
    </r>
    <r>
      <rPr>
        <b/>
        <sz val="10"/>
        <color rgb="FF000000"/>
        <rFont val="メイリオ"/>
        <charset val="134"/>
      </rPr>
      <t xml:space="preserve">ステップ2：
</t>
    </r>
    <r>
      <rPr>
        <sz val="10"/>
        <color rgb="FF000000"/>
        <rFont val="メイリオ"/>
        <charset val="134"/>
      </rPr>
      <t xml:space="preserve">Các trường được thay đổi phản ánh lên màn hình
</t>
    </r>
    <r>
      <rPr>
        <b/>
        <sz val="10"/>
        <color rgb="FF000000"/>
        <rFont val="メイリオ"/>
        <charset val="134"/>
      </rPr>
      <t xml:space="preserve">ステップ3：
</t>
    </r>
    <r>
      <rPr>
        <sz val="10"/>
        <color rgb="FF000000"/>
        <rFont val="メイリオ"/>
        <charset val="134"/>
      </rPr>
      <t xml:space="preserve">Trả về HTTP 200, hiển thị toast `更新しました。`, chuyển đến màn chi tiết tìm kiếm Master Account SCR-024
</t>
    </r>
    <r>
      <rPr>
        <b/>
        <sz val="10"/>
        <color rgb="FF000000"/>
        <rFont val="メイリオ"/>
        <charset val="134"/>
      </rPr>
      <t xml:space="preserve">ステップ4：
</t>
    </r>
    <r>
      <rPr>
        <sz val="10"/>
        <color rgb="FF000000"/>
        <rFont val="メイリオ"/>
        <charset val="134"/>
      </rPr>
      <t xml:space="preserve">Trả về 1 dòng, `account_name='更新後アカウント名'`, `email='edit01-new@example.com'`, `password_hash` cùng giá trị trước update (không đổi do gửi trống)
</t>
    </r>
    <r>
      <rPr>
        <b/>
        <sz val="10"/>
        <color rgb="FF000000"/>
        <rFont val="メイリオ"/>
        <charset val="134"/>
      </rPr>
      <t xml:space="preserve">補足：
</t>
    </r>
    <r>
      <rPr>
        <sz val="10"/>
        <color rgb="FF000000"/>
        <rFont val="メイリオ"/>
        <charset val="134"/>
      </rPr>
      <t>・Khi update, password trống = giữ giá trị cũ theo spec</t>
    </r>
  </si>
  <si>
    <t>Happy path update, giữ password.</t>
  </si>
  <si>
    <t>ACSMS-TC-025-055</t>
  </si>
  <si>
    <t>Edit — login_id không thể chỉnh sửa</t>
  </si>
  <si>
    <t>・role: NICHINO_ADMIN
・Tồn tại account hiện hữu `account_id=10` (login_id=edit01)</t>
  </si>
  <si>
    <r>
      <rPr>
        <b/>
        <sz val="10"/>
        <color rgb="FF000000"/>
        <rFont val="メイリオ"/>
        <charset val="134"/>
      </rPr>
      <t xml:space="preserve">ステップ1：
</t>
    </r>
    <r>
      <rPr>
        <sz val="10"/>
        <color rgb="FF000000"/>
        <rFont val="メイリオ"/>
        <charset val="134"/>
      </rPr>
      <t xml:space="preserve">Truy cập URL `/accounts/10/edit`
</t>
    </r>
    <r>
      <rPr>
        <b/>
        <sz val="10"/>
        <color rgb="FF000000"/>
        <rFont val="メイリオ"/>
        <charset val="134"/>
      </rPr>
      <t xml:space="preserve">ステップ2：
</t>
    </r>
    <r>
      <rPr>
        <sz val="10"/>
        <color rgb="FF000000"/>
        <rFont val="メイリオ"/>
        <charset val="134"/>
      </rPr>
      <t xml:space="preserve">Thử chỉnh sửa trực tiếp trường login_id
</t>
    </r>
    <r>
      <rPr>
        <b/>
        <sz val="10"/>
        <color rgb="FF000000"/>
        <rFont val="メイリオ"/>
        <charset val="134"/>
      </rPr>
      <t xml:space="preserve">ステップ3：
</t>
    </r>
    <r>
      <rPr>
        <sz val="10"/>
        <color rgb="FF000000"/>
        <rFont val="メイリオ"/>
        <charset val="134"/>
      </rPr>
      <t>Dùng DevTools gửi PUT `/api/v1/accounts/10` với data chứa `login_id=changed01`</t>
    </r>
  </si>
  <si>
    <r>
      <rPr>
        <b/>
        <sz val="10"/>
        <color rgb="FF000000"/>
        <rFont val="メイリオ"/>
        <charset val="134"/>
      </rPr>
      <t xml:space="preserve">ステップ1：
</t>
    </r>
    <r>
      <rPr>
        <sz val="10"/>
        <color rgb="FF000000"/>
        <rFont val="メイリオ"/>
        <charset val="134"/>
      </rPr>
      <t xml:space="preserve">Màn edit được hiển thị, trường login_id hiển thị "edit01"
</t>
    </r>
    <r>
      <rPr>
        <b/>
        <sz val="10"/>
        <color rgb="FF000000"/>
        <rFont val="メイリオ"/>
        <charset val="134"/>
      </rPr>
      <t xml:space="preserve">ステップ2：
</t>
    </r>
    <r>
      <rPr>
        <sz val="10"/>
        <color rgb="FF000000"/>
        <rFont val="メイリオ"/>
        <charset val="134"/>
      </rPr>
      <t xml:space="preserve">Trường login_id ở trạng thái disable (thuộc tính disabled), không thể nhập
</t>
    </r>
    <r>
      <rPr>
        <b/>
        <sz val="10"/>
        <color rgb="FF000000"/>
        <rFont val="メイリオ"/>
        <charset val="134"/>
      </rPr>
      <t xml:space="preserve">ステップ3：
</t>
    </r>
    <r>
      <rPr>
        <sz val="10"/>
        <color rgb="FF000000"/>
        <rFont val="メイリオ"/>
        <charset val="134"/>
      </rPr>
      <t xml:space="preserve">Request được gửi đi, bất kể response, `m_account.login_id` vẫn là "edit01" không đổi (BE side bỏ qua trường `login_id` hoặc xử lý như error)
</t>
    </r>
    <r>
      <rPr>
        <b/>
        <sz val="10"/>
        <color rgb="FF000000"/>
        <rFont val="メイリオ"/>
        <charset val="134"/>
      </rPr>
      <t xml:space="preserve">補足：
</t>
    </r>
    <r>
      <rPr>
        <sz val="10"/>
        <color rgb="FF000000"/>
        <rFont val="メイリオ"/>
        <charset val="134"/>
      </rPr>
      <t>・login_id là khóa nghiệp vụ vĩnh viễn nên không thể thay đổi</t>
    </r>
  </si>
  <si>
    <t>login_id không thay đổi, phòng vệ kép.</t>
  </si>
  <si>
    <t>ACSMS-TC-025-056</t>
  </si>
  <si>
    <t>Edit — đổi password (pass độ phức tạp)</t>
  </si>
  <si>
    <t>・role: NICHINO_ADMIN
・Tồn tại account hiện hữu `account_id=10`</t>
  </si>
  <si>
    <r>
      <rPr>
        <b/>
        <sz val="10"/>
        <color rgb="FF000000"/>
        <rFont val="メイリオ"/>
        <charset val="134"/>
      </rPr>
      <t xml:space="preserve">ステップ1：
</t>
    </r>
    <r>
      <rPr>
        <sz val="10"/>
        <color rgb="FF000000"/>
        <rFont val="メイリオ"/>
        <charset val="134"/>
      </rPr>
      <t xml:space="preserve">Truy cập URL `/accounts/10/edit`
</t>
    </r>
    <r>
      <rPr>
        <b/>
        <sz val="10"/>
        <color rgb="FF000000"/>
        <rFont val="メイリオ"/>
        <charset val="134"/>
      </rPr>
      <t xml:space="preserve">ステップ2：
</t>
    </r>
    <r>
      <rPr>
        <sz val="10"/>
        <color rgb="FF000000"/>
        <rFont val="メイリオ"/>
        <charset val="134"/>
      </rPr>
      <t xml:space="preserve">Nhập giá trị mới "NewPw@2026" vào trường password, giữ nguyên các trường khác
</t>
    </r>
    <r>
      <rPr>
        <b/>
        <sz val="10"/>
        <color rgb="FF000000"/>
        <rFont val="メイリオ"/>
        <charset val="134"/>
      </rPr>
      <t xml:space="preserve">ステップ3：
</t>
    </r>
    <r>
      <rPr>
        <sz val="10"/>
        <color rgb="FF000000"/>
        <rFont val="メイリオ"/>
        <charset val="134"/>
      </rPr>
      <t xml:space="preserve">Click button "登録"
</t>
    </r>
    <r>
      <rPr>
        <b/>
        <sz val="10"/>
        <color rgb="FF000000"/>
        <rFont val="メイリオ"/>
        <charset val="134"/>
      </rPr>
      <t xml:space="preserve">ステップ4：
</t>
    </r>
    <r>
      <rPr>
        <sz val="10"/>
        <color rgb="FF000000"/>
        <rFont val="メイリオ"/>
        <charset val="134"/>
      </rPr>
      <t>Kiểm tra DB: `SELECT password_hash FROM m_account WHERE account_id = 10`</t>
    </r>
  </si>
  <si>
    <r>
      <rPr>
        <b/>
        <sz val="10"/>
        <color rgb="FF000000"/>
        <rFont val="メイリオ"/>
        <charset val="134"/>
      </rPr>
      <t xml:space="preserve">ステップ1：
</t>
    </r>
    <r>
      <rPr>
        <sz val="10"/>
        <color rgb="FF000000"/>
        <rFont val="メイリオ"/>
        <charset val="134"/>
      </rPr>
      <t xml:space="preserve">Màn edit được hiển thị
</t>
    </r>
    <r>
      <rPr>
        <b/>
        <sz val="10"/>
        <color rgb="FF000000"/>
        <rFont val="メイリオ"/>
        <charset val="134"/>
      </rPr>
      <t xml:space="preserve">ステップ2：
</t>
    </r>
    <r>
      <rPr>
        <sz val="10"/>
        <color rgb="FF000000"/>
        <rFont val="メイリオ"/>
        <charset val="134"/>
      </rPr>
      <t xml:space="preserve">Giá trị password mới được hiển thị
</t>
    </r>
    <r>
      <rPr>
        <b/>
        <sz val="10"/>
        <color rgb="FF000000"/>
        <rFont val="メイリオ"/>
        <charset val="134"/>
      </rPr>
      <t xml:space="preserve">ステップ3：
</t>
    </r>
    <r>
      <rPr>
        <sz val="10"/>
        <color rgb="FF000000"/>
        <rFont val="メイリオ"/>
        <charset val="134"/>
      </rPr>
      <t xml:space="preserve">Trả về HTTP 200, hiển thị toast `更新しました。`
</t>
    </r>
    <r>
      <rPr>
        <b/>
        <sz val="10"/>
        <color rgb="FF000000"/>
        <rFont val="メイリオ"/>
        <charset val="134"/>
      </rPr>
      <t xml:space="preserve">ステップ4：
</t>
    </r>
    <r>
      <rPr>
        <sz val="10"/>
        <color rgb="FF000000"/>
        <rFont val="メイリオ"/>
        <charset val="134"/>
      </rPr>
      <t xml:space="preserve">`password_hash` được update thành bcrypt hash của giá trị mới, khác với giá trị hash trước update
</t>
    </r>
    <r>
      <rPr>
        <b/>
        <sz val="10"/>
        <color rgb="FF000000"/>
        <rFont val="メイリオ"/>
        <charset val="134"/>
      </rPr>
      <t xml:space="preserve">補足：
</t>
    </r>
    <r>
      <rPr>
        <sz val="10"/>
        <color rgb="FF000000"/>
        <rFont val="メイリオ"/>
        <charset val="134"/>
      </rPr>
      <t>・Khi đổi password, hash được generate lại</t>
    </r>
  </si>
  <si>
    <t>Re-hash password.</t>
  </si>
  <si>
    <t>ACSMS-TC-025-057</t>
  </si>
  <si>
    <t>Edit — đổi password (lỗi do vi phạm độ phức tạp)</t>
  </si>
  <si>
    <r>
      <rPr>
        <b/>
        <sz val="10"/>
        <color rgb="FF000000"/>
        <rFont val="メイリオ"/>
        <charset val="134"/>
      </rPr>
      <t xml:space="preserve">ステップ1：
</t>
    </r>
    <r>
      <rPr>
        <sz val="10"/>
        <color rgb="FF000000"/>
        <rFont val="メイリオ"/>
        <charset val="134"/>
      </rPr>
      <t xml:space="preserve">Truy cập URL `/accounts/10/edit`
</t>
    </r>
    <r>
      <rPr>
        <b/>
        <sz val="10"/>
        <color rgb="FF000000"/>
        <rFont val="メイリオ"/>
        <charset val="134"/>
      </rPr>
      <t xml:space="preserve">ステップ2：
</t>
    </r>
    <r>
      <rPr>
        <sz val="10"/>
        <color rgb="FF000000"/>
        <rFont val="メイリオ"/>
        <charset val="134"/>
      </rPr>
      <t xml:space="preserve">Nhập "abcdefgh" (chỉ 8 ký tự chữ, độ phức tạp 1 loại) vào trường password
</t>
    </r>
    <r>
      <rPr>
        <b/>
        <sz val="10"/>
        <color rgb="FF000000"/>
        <rFont val="メイリオ"/>
        <charset val="134"/>
      </rPr>
      <t xml:space="preserve">ステップ3：
</t>
    </r>
    <r>
      <rPr>
        <sz val="10"/>
        <color rgb="FF000000"/>
        <rFont val="メイリオ"/>
        <charset val="134"/>
      </rPr>
      <t>Click button "登録"</t>
    </r>
  </si>
  <si>
    <r>
      <rPr>
        <b/>
        <sz val="10"/>
        <color rgb="FF000000"/>
        <rFont val="メイリオ"/>
        <charset val="134"/>
      </rPr>
      <t xml:space="preserve">ステップ1：
</t>
    </r>
    <r>
      <rPr>
        <sz val="10"/>
        <color rgb="FF000000"/>
        <rFont val="メイリオ"/>
        <charset val="134"/>
      </rPr>
      <t xml:space="preserve">Màn edit được hiển thị
</t>
    </r>
    <r>
      <rPr>
        <b/>
        <sz val="10"/>
        <color rgb="FF000000"/>
        <rFont val="メイリオ"/>
        <charset val="134"/>
      </rPr>
      <t xml:space="preserve">ステップ2：
</t>
    </r>
    <r>
      <rPr>
        <sz val="10"/>
        <color rgb="FF000000"/>
        <rFont val="メイリオ"/>
        <charset val="134"/>
      </rPr>
      <t xml:space="preserve">Giá trị password mới được hiển thị
</t>
    </r>
    <r>
      <rPr>
        <b/>
        <sz val="10"/>
        <color rgb="FF000000"/>
        <rFont val="メイリオ"/>
        <charset val="134"/>
      </rPr>
      <t xml:space="preserve">ステップ3：
</t>
    </r>
    <r>
      <rPr>
        <sz val="10"/>
        <color rgb="FF000000"/>
        <rFont val="メイリオ"/>
        <charset val="134"/>
      </rPr>
      <t xml:space="preserve">Trả về HTTP 400, dưới trường password hiển thị `パスワードは8~32文字で、半角英字・数字・記号の3種のうち2種以上を含めて入力してください。`, `m_account.password_hash` không được update
</t>
    </r>
    <r>
      <rPr>
        <b/>
        <sz val="10"/>
        <color rgb="FF000000"/>
        <rFont val="メイリオ"/>
        <charset val="134"/>
      </rPr>
      <t xml:space="preserve">補足：
</t>
    </r>
    <r>
      <rPr>
        <sz val="10"/>
        <color rgb="FF000000"/>
        <rFont val="メイリオ"/>
        <charset val="134"/>
      </rPr>
      <t>・MSG-025-003, verify độ phức tạp cũng áp dụng khi edit</t>
    </r>
  </si>
  <si>
    <t>MSG-025-003, verify độ phức tạp khi edit.</t>
  </si>
  <si>
    <t>ACSMS-TC-025-058</t>
  </si>
  <si>
    <t>Truy cập edit với account_id không tồn tại</t>
  </si>
  <si>
    <t>・role: NICHINO_ADMIN
・`account_id=99999` không tồn tại trong DB</t>
  </si>
  <si>
    <r>
      <rPr>
        <b/>
        <sz val="10"/>
        <color rgb="FF000000"/>
        <rFont val="メイリオ"/>
        <charset val="134"/>
      </rPr>
      <t xml:space="preserve">ステップ1：
</t>
    </r>
    <r>
      <rPr>
        <sz val="10"/>
        <color rgb="FF000000"/>
        <rFont val="メイリオ"/>
        <charset val="134"/>
      </rPr>
      <t xml:space="preserve">Truy cập URL `/accounts/99999/edit`
</t>
    </r>
    <r>
      <rPr>
        <b/>
        <sz val="10"/>
        <color rgb="FF000000"/>
        <rFont val="メイリオ"/>
        <charset val="134"/>
      </rPr>
      <t xml:space="preserve">ステップ2：
</t>
    </r>
    <r>
      <rPr>
        <sz val="10"/>
        <color rgb="FF000000"/>
        <rFont val="メイリオ"/>
        <charset val="134"/>
      </rPr>
      <t>Kiểm tra response của GET `/api/v1/accounts/99999`</t>
    </r>
  </si>
  <si>
    <r>
      <rPr>
        <b/>
        <sz val="10"/>
        <color rgb="FF000000"/>
        <rFont val="游ゴシック"/>
        <charset val="134"/>
      </rPr>
      <t xml:space="preserve">ステップ1：
</t>
    </r>
    <r>
      <rPr>
        <sz val="10"/>
        <color rgb="FF000000"/>
        <rFont val="游ゴシック"/>
        <charset val="134"/>
      </rPr>
      <t xml:space="preserve">Chuyển màn hình
</t>
    </r>
    <r>
      <rPr>
        <b/>
        <sz val="10"/>
        <color rgb="FF000000"/>
        <rFont val="游ゴシック"/>
        <charset val="134"/>
      </rPr>
      <t xml:space="preserve">ステップ2：
</t>
    </r>
    <r>
      <rPr>
        <sz val="10"/>
        <color rgb="FF000000"/>
        <rFont val="游ゴシック"/>
        <charset val="134"/>
      </rPr>
      <t xml:space="preserve">Trả về HTTP 404 (`error_code: NOT_FOUND`), hiển thị toast `アカウント #99999 が見つかりません。`, quay về màn dashboard
</t>
    </r>
    <r>
      <rPr>
        <b/>
        <sz val="10"/>
        <color rgb="FF000000"/>
        <rFont val="游ゴシック"/>
        <charset val="134"/>
      </rPr>
      <t xml:space="preserve">補足：
</t>
    </r>
    <r>
      <rPr>
        <sz val="10"/>
        <color rgb="FF000000"/>
        <rFont val="游ゴシック"/>
        <charset val="134"/>
      </rPr>
      <t>・Sử dụng MSG-025-006</t>
    </r>
  </si>
  <si>
    <t>MSG-025-006.</t>
  </si>
  <si>
    <t>ACSMS-TC-025-059</t>
  </si>
  <si>
    <t>Thử edit account đã xóa logic</t>
  </si>
  <si>
    <t>・role: NICHINO_ADMIN
・`account_id=20` đã xóa logic (`deleted_at` NOT NULL)</t>
  </si>
  <si>
    <r>
      <rPr>
        <b/>
        <sz val="10"/>
        <color rgb="FF000000"/>
        <rFont val="メイリオ"/>
        <charset val="134"/>
      </rPr>
      <t xml:space="preserve">ステップ1：
</t>
    </r>
    <r>
      <rPr>
        <sz val="10"/>
        <color rgb="FF000000"/>
        <rFont val="メイリオ"/>
        <charset val="134"/>
      </rPr>
      <t xml:space="preserve">Truy cập URL `/accounts/20/edit`
</t>
    </r>
    <r>
      <rPr>
        <b/>
        <sz val="10"/>
        <color rgb="FF000000"/>
        <rFont val="メイリオ"/>
        <charset val="134"/>
      </rPr>
      <t xml:space="preserve">ステップ2：
</t>
    </r>
    <r>
      <rPr>
        <sz val="10"/>
        <color rgb="FF000000"/>
        <rFont val="メイリオ"/>
        <charset val="134"/>
      </rPr>
      <t>Kiểm tra response của GET `/api/v1/accounts/20`</t>
    </r>
  </si>
  <si>
    <r>
      <rPr>
        <b/>
        <sz val="10"/>
        <color rgb="FF000000"/>
        <rFont val="メイリオ"/>
        <charset val="134"/>
      </rPr>
      <t xml:space="preserve">ステップ1：
</t>
    </r>
    <r>
      <rPr>
        <sz val="10"/>
        <color rgb="FF000000"/>
        <rFont val="メイリオ"/>
        <charset val="134"/>
      </rPr>
      <t xml:space="preserve">Chuyển màn hình
</t>
    </r>
    <r>
      <rPr>
        <b/>
        <sz val="10"/>
        <color rgb="FF000000"/>
        <rFont val="メイリオ"/>
        <charset val="134"/>
      </rPr>
      <t xml:space="preserve">ステップ2：
</t>
    </r>
    <r>
      <rPr>
        <sz val="10"/>
        <color rgb="FF000000"/>
        <rFont val="メイリオ"/>
        <charset val="134"/>
      </rPr>
      <t xml:space="preserve">Trả về HTTP 404 (`error_code: NOT_FOUND`, các dòng đã xóa logic không hit trong query thông thường), hiển thị toast `アカウント #20 が見つかりません。`
</t>
    </r>
    <r>
      <rPr>
        <b/>
        <sz val="10"/>
        <color rgb="FF000000"/>
        <rFont val="メイリオ"/>
        <charset val="134"/>
      </rPr>
      <t xml:space="preserve">補足：
</t>
    </r>
    <r>
      <rPr>
        <sz val="10"/>
        <color rgb="FF000000"/>
        <rFont val="メイリオ"/>
        <charset val="134"/>
      </rPr>
      <t>・Account đã xóa logic không phải đối tượng edit</t>
    </r>
  </si>
  <si>
    <t>Các dòng đã xóa logic không thể edit.</t>
  </si>
  <si>
    <t>ACSMS-TC-025-060</t>
  </si>
  <si>
    <t>Verify nội dung before/after của audit log (UPDATE)</t>
  </si>
  <si>
    <t>・role: NICHINO_ADMIN (admin01)
・Tồn tại account hiện hữu `account_id=10` (account_name='更新前名')</t>
  </si>
  <si>
    <r>
      <rPr>
        <b/>
        <sz val="10"/>
        <color rgb="FF000000"/>
        <rFont val="メイリオ"/>
        <charset val="134"/>
      </rPr>
      <t xml:space="preserve">ステップ1：
</t>
    </r>
    <r>
      <rPr>
        <sz val="10"/>
        <color rgb="FF000000"/>
        <rFont val="メイリオ"/>
        <charset val="134"/>
      </rPr>
      <t xml:space="preserve">Truy cập URL `/accounts/10/edit`, đổi account_name từ "更新前名" sang "更新後名"
</t>
    </r>
    <r>
      <rPr>
        <b/>
        <sz val="10"/>
        <color rgb="FF000000"/>
        <rFont val="メイリオ"/>
        <charset val="134"/>
      </rPr>
      <t xml:space="preserve">ステップ2：
</t>
    </r>
    <r>
      <rPr>
        <sz val="10"/>
        <color rgb="FF000000"/>
        <rFont val="メイリオ"/>
        <charset val="134"/>
      </rPr>
      <t xml:space="preserve">Click button "登録"
</t>
    </r>
    <r>
      <rPr>
        <b/>
        <sz val="10"/>
        <color rgb="FF000000"/>
        <rFont val="メイリオ"/>
        <charset val="134"/>
      </rPr>
      <t xml:space="preserve">ステップ3：
</t>
    </r>
    <r>
      <rPr>
        <sz val="10"/>
        <color rgb="FF000000"/>
        <rFont val="メイリオ"/>
        <charset val="134"/>
      </rPr>
      <t>Kiểm tra DB: `SELECT before_value, after_value FROM t_log WHERE target_table='m_account' AND operation='UPDATE' ORDER BY log_datetime DESC LIMIT 1`</t>
    </r>
  </si>
  <si>
    <r>
      <rPr>
        <b/>
        <sz val="10"/>
        <color rgb="FF000000"/>
        <rFont val="メイリオ"/>
        <charset val="134"/>
      </rPr>
      <t xml:space="preserve">ステップ1：
</t>
    </r>
    <r>
      <rPr>
        <sz val="10"/>
        <color rgb="FF000000"/>
        <rFont val="メイリオ"/>
        <charset val="134"/>
      </rPr>
      <t xml:space="preserve">Thay đổi được phản ánh lên màn hình
</t>
    </r>
    <r>
      <rPr>
        <b/>
        <sz val="10"/>
        <color rgb="FF000000"/>
        <rFont val="メイリオ"/>
        <charset val="134"/>
      </rPr>
      <t xml:space="preserve">ステップ2：
</t>
    </r>
    <r>
      <rPr>
        <sz val="10"/>
        <color rgb="FF000000"/>
        <rFont val="メイリオ"/>
        <charset val="134"/>
      </rPr>
      <t xml:space="preserve">Trả về HTTP 200, hiển thị toast `更新しました。`
</t>
    </r>
    <r>
      <rPr>
        <b/>
        <sz val="10"/>
        <color rgb="FF000000"/>
        <rFont val="メイリオ"/>
        <charset val="134"/>
      </rPr>
      <t xml:space="preserve">ステップ3：
</t>
    </r>
    <r>
      <rPr>
        <sz val="10"/>
        <color rgb="FF000000"/>
        <rFont val="メイリオ"/>
        <charset val="134"/>
      </rPr>
      <t xml:space="preserve">Trả về 1 dòng, `before_value` chứa `account_name: '更新前名'`, `after_value` chứa `account_name: '更新後名'`, cả hai đều không chứa `password_hash`
</t>
    </r>
    <r>
      <rPr>
        <b/>
        <sz val="10"/>
        <color rgb="FF000000"/>
        <rFont val="メイリオ"/>
        <charset val="134"/>
      </rPr>
      <t xml:space="preserve">補足：
</t>
    </r>
    <r>
      <rPr>
        <sz val="10"/>
        <color rgb="FF000000"/>
        <rFont val="メイリオ"/>
        <charset val="134"/>
      </rPr>
      <t>・Khi update, record cả before/after, cho phép truy vết diff</t>
    </r>
  </si>
  <si>
    <t>Audit log UPDATE, record diff before/after.</t>
  </si>
  <si>
    <t>ACSMS-TC-025-061</t>
  </si>
  <si>
    <t>Phát hiện conflict khi edit đồng thời (optimistic lock)</t>
  </si>
  <si>
    <t>・role: NICHINO_ADMIN
・Tồn tại account hiện hữu `account_id=10`
・Đã login 2 session trên trình duyệt A và trình duyệt B</t>
  </si>
  <si>
    <r>
      <rPr>
        <b/>
        <strike/>
        <sz val="10"/>
        <color rgb="FF000000"/>
        <rFont val="メイリオ"/>
        <charset val="134"/>
      </rPr>
      <t xml:space="preserve">ステップ1：
</t>
    </r>
    <r>
      <rPr>
        <strike/>
        <sz val="10"/>
        <color rgb="FF000000"/>
        <rFont val="メイリオ"/>
        <charset val="134"/>
      </rPr>
      <t xml:space="preserve">Trên trình duyệt A truy cập URL `/accounts/10/edit`, load data
</t>
    </r>
    <r>
      <rPr>
        <b/>
        <strike/>
        <sz val="10"/>
        <color rgb="FF000000"/>
        <rFont val="メイリオ"/>
        <charset val="134"/>
      </rPr>
      <t xml:space="preserve">ステップ2：
</t>
    </r>
    <r>
      <rPr>
        <strike/>
        <sz val="10"/>
        <color rgb="FF000000"/>
        <rFont val="メイリオ"/>
        <charset val="134"/>
      </rPr>
      <t xml:space="preserve">Trên trình duyệt B truy cập URL `/accounts/10/edit`, load data
</t>
    </r>
    <r>
      <rPr>
        <b/>
        <strike/>
        <sz val="10"/>
        <color rgb="FF000000"/>
        <rFont val="メイリオ"/>
        <charset val="134"/>
      </rPr>
      <t xml:space="preserve">ステップ3：
</t>
    </r>
    <r>
      <rPr>
        <strike/>
        <sz val="10"/>
        <color rgb="FF000000"/>
        <rFont val="メイリオ"/>
        <charset val="134"/>
      </rPr>
      <t xml:space="preserve">Trên trình duyệt B, đổi account_name thành "Bによる更新" và click button "登録"
</t>
    </r>
    <r>
      <rPr>
        <b/>
        <strike/>
        <sz val="10"/>
        <color rgb="FF000000"/>
        <rFont val="メイリオ"/>
        <charset val="134"/>
      </rPr>
      <t xml:space="preserve">ステップ4：
</t>
    </r>
    <r>
      <rPr>
        <strike/>
        <sz val="10"/>
        <color rgb="FF000000"/>
        <rFont val="メイリオ"/>
        <charset val="134"/>
      </rPr>
      <t>Trên trình duyệt A, đổi account_name thành "Aによる更新" và click button "登録"</t>
    </r>
  </si>
  <si>
    <r>
      <rPr>
        <b/>
        <strike/>
        <sz val="10"/>
        <color rgb="FF000000"/>
        <rFont val="メイリオ"/>
        <charset val="134"/>
      </rPr>
      <t xml:space="preserve">ステップ1：
</t>
    </r>
    <r>
      <rPr>
        <strike/>
        <sz val="10"/>
        <color rgb="FF000000"/>
        <rFont val="メイリオ"/>
        <charset val="134"/>
      </rPr>
      <t xml:space="preserve">Trên trình duyệt A, màn edit được hiển thị
</t>
    </r>
    <r>
      <rPr>
        <b/>
        <strike/>
        <sz val="10"/>
        <color rgb="FF000000"/>
        <rFont val="メイリオ"/>
        <charset val="134"/>
      </rPr>
      <t xml:space="preserve">ステップ2：
</t>
    </r>
    <r>
      <rPr>
        <strike/>
        <sz val="10"/>
        <color rgb="FF000000"/>
        <rFont val="メイリオ"/>
        <charset val="134"/>
      </rPr>
      <t xml:space="preserve">Trên trình duyệt B, màn edit được hiển thị (cả hai trình duyệt giữ cùng `updated_at`)
</t>
    </r>
    <r>
      <rPr>
        <b/>
        <strike/>
        <sz val="10"/>
        <color rgb="FF000000"/>
        <rFont val="メイリオ"/>
        <charset val="134"/>
      </rPr>
      <t xml:space="preserve">ステップ3：
</t>
    </r>
    <r>
      <rPr>
        <strike/>
        <sz val="10"/>
        <color rgb="FF000000"/>
        <rFont val="メイリオ"/>
        <charset val="134"/>
      </rPr>
      <t xml:space="preserve">Trên trình duyệt B trả về HTTP 200, `m_account.account_name='Bによる更新'`, `updated_at` được update
</t>
    </r>
    <r>
      <rPr>
        <b/>
        <strike/>
        <sz val="10"/>
        <color rgb="FF000000"/>
        <rFont val="メイリオ"/>
        <charset val="134"/>
      </rPr>
      <t xml:space="preserve">ステップ4：
</t>
    </r>
    <r>
      <rPr>
        <strike/>
        <sz val="10"/>
        <color rgb="FF000000"/>
        <rFont val="メイリオ"/>
        <charset val="134"/>
      </rPr>
      <t xml:space="preserve">Trên trình duyệt A trả về HTTP 409 hoặc response phát hiện conflict, hiển thị toast thông báo conflict (ví dụ: `他のユーザーが既に更新しています。最新データを再取得してください。`), `account_name` trong DB vẫn là "Bによる更新" không đổi
</t>
    </r>
    <r>
      <rPr>
        <b/>
        <strike/>
        <sz val="10"/>
        <color rgb="FF000000"/>
        <rFont val="メイリオ"/>
        <charset val="134"/>
      </rPr>
      <t xml:space="preserve">補足：
</t>
    </r>
    <r>
      <rPr>
        <strike/>
        <sz val="10"/>
        <color rgb="FF000000"/>
        <rFont val="メイリオ"/>
        <charset val="134"/>
      </rPr>
      <t>・TC xác nhận có/không implement optimistic lock; trường hợp chưa implement thì hành vi "last write wins" cần được xác nhận chấp nhận được trong nghiệp vụ hay không</t>
    </r>
  </si>
  <si>
    <t>Xác nhận implement optimistic lock.
---</t>
  </si>
  <si>
    <t>Xử lý lỗi chung (Common Error Handling)</t>
  </si>
  <si>
    <t>ACSMS-TC-025-062</t>
  </si>
  <si>
    <t>Thao tác sau khi session hết hạn (UNAUTHORIZED)</t>
  </si>
  <si>
    <t>・role: NICHINO_ADMIN
・Đã truy cập URL `/accounts/create`, đã nhập form</t>
  </si>
  <si>
    <r>
      <rPr>
        <b/>
        <sz val="10"/>
        <color rgb="FF000000"/>
        <rFont val="メイリオ"/>
        <charset val="134"/>
      </rPr>
      <t xml:space="preserve">ステップ1：
</t>
    </r>
    <r>
      <rPr>
        <sz val="10"/>
        <color rgb="FF000000"/>
        <rFont val="メイリオ"/>
        <charset val="134"/>
      </rPr>
      <t xml:space="preserve">Xóa session cookie `session_id` bằng DevTools (hoặc để qua 24h)
</t>
    </r>
    <r>
      <rPr>
        <b/>
        <sz val="10"/>
        <color rgb="FF000000"/>
        <rFont val="メイリオ"/>
        <charset val="134"/>
      </rPr>
      <t xml:space="preserve">ステップ2：
</t>
    </r>
    <r>
      <rPr>
        <sz val="10"/>
        <color rgb="FF000000"/>
        <rFont val="メイリオ"/>
        <charset val="134"/>
      </rPr>
      <t xml:space="preserve">Click button "登録"
</t>
    </r>
    <r>
      <rPr>
        <b/>
        <sz val="10"/>
        <color rgb="FF000000"/>
        <rFont val="メイリオ"/>
        <charset val="134"/>
      </rPr>
      <t xml:space="preserve">ステップ3：
</t>
    </r>
    <r>
      <rPr>
        <sz val="10"/>
        <color rgb="FF000000"/>
        <rFont val="メイリオ"/>
        <charset val="134"/>
      </rPr>
      <t>Xác nhận chuyển màn</t>
    </r>
  </si>
  <si>
    <r>
      <rPr>
        <b/>
        <sz val="10"/>
        <color rgb="FF000000"/>
        <rFont val="メイリオ"/>
        <charset val="134"/>
      </rPr>
      <t xml:space="preserve">ステップ1：
</t>
    </r>
    <r>
      <rPr>
        <sz val="10"/>
        <color rgb="FF000000"/>
        <rFont val="メイリオ"/>
        <charset val="134"/>
      </rPr>
      <t xml:space="preserve">Cookie bị xóa
</t>
    </r>
    <r>
      <rPr>
        <b/>
        <sz val="10"/>
        <color rgb="FF000000"/>
        <rFont val="メイリオ"/>
        <charset val="134"/>
      </rPr>
      <t xml:space="preserve">ステップ2：
</t>
    </r>
    <r>
      <rPr>
        <sz val="10"/>
        <color rgb="FF000000"/>
        <rFont val="メイリオ"/>
        <charset val="134"/>
      </rPr>
      <t xml:space="preserve">Trả về HTTP 401 (`error_code: UNAUTHORIZED`, message `セッションが切れました。再度ログインしてください。`)
</t>
    </r>
    <r>
      <rPr>
        <b/>
        <sz val="10"/>
        <color rgb="FF000000"/>
        <rFont val="メイリオ"/>
        <charset val="134"/>
      </rPr>
      <t xml:space="preserve">ステップ3：
</t>
    </r>
    <r>
      <rPr>
        <sz val="10"/>
        <color rgb="FF000000"/>
        <rFont val="メイリオ"/>
        <charset val="134"/>
      </rPr>
      <t xml:space="preserve">Chuyển đến màn login `/login`, có query `?redirect=/accounts/create`, sau khi login quay lại màn ban đầu
</t>
    </r>
    <r>
      <rPr>
        <b/>
        <sz val="10"/>
        <color rgb="FF000000"/>
        <rFont val="メイリオ"/>
        <charset val="134"/>
      </rPr>
      <t xml:space="preserve">補足：
</t>
    </r>
    <r>
      <rPr>
        <sz val="10"/>
        <color rgb="FF000000"/>
        <rFont val="メイリオ"/>
        <charset val="134"/>
      </rPr>
      <t>・Hành vi session hết hạn chung của toàn bộ màn hình</t>
    </r>
  </si>
  <si>
    <t>Hành vi UNAUTHORIZED chung.</t>
  </si>
  <si>
    <t>ACSMS-TC-025-063</t>
  </si>
  <si>
    <t>JSON request không hợp lệ (BAD_REQUEST)</t>
  </si>
  <si>
    <r>
      <rPr>
        <b/>
        <sz val="10"/>
        <color rgb="FF000000"/>
        <rFont val="メイリオ"/>
        <charset val="134"/>
      </rPr>
      <t xml:space="preserve">ステップ1：
</t>
    </r>
    <r>
      <rPr>
        <sz val="10"/>
        <color rgb="FF000000"/>
        <rFont val="メイリオ"/>
        <charset val="134"/>
      </rPr>
      <t xml:space="preserve">Dùng DevTools gửi chuỗi JSON bị lỗi (ví dụ: dấu phẩy cuối, thiếu dấu ngoặc kép) tới POST `/api/v1/accounts`
</t>
    </r>
    <r>
      <rPr>
        <b/>
        <sz val="10"/>
        <color rgb="FF000000"/>
        <rFont val="メイリオ"/>
        <charset val="134"/>
      </rPr>
      <t xml:space="preserve">ステップ2：
</t>
    </r>
    <r>
      <rPr>
        <sz val="10"/>
        <color rgb="FF000000"/>
        <rFont val="メイリオ"/>
        <charset val="134"/>
      </rPr>
      <t>Kiểm tra response</t>
    </r>
  </si>
  <si>
    <r>
      <rPr>
        <b/>
        <sz val="10"/>
        <color rgb="FF000000"/>
        <rFont val="メイリオ"/>
        <charset val="134"/>
      </rPr>
      <t xml:space="preserve">ステップ1：
</t>
    </r>
    <r>
      <rPr>
        <sz val="10"/>
        <color rgb="FF000000"/>
        <rFont val="メイリオ"/>
        <charset val="134"/>
      </rPr>
      <t xml:space="preserve">Request được gửi đi
</t>
    </r>
    <r>
      <rPr>
        <b/>
        <sz val="10"/>
        <color rgb="FF000000"/>
        <rFont val="メイリオ"/>
        <charset val="134"/>
      </rPr>
      <t xml:space="preserve">ステップ2：
</t>
    </r>
    <r>
      <rPr>
        <sz val="10"/>
        <color rgb="FF000000"/>
        <rFont val="メイリオ"/>
        <charset val="134"/>
      </rPr>
      <t xml:space="preserve">Trả về HTTP 400 (`error_code: BAD_REQUEST`, message `リクエストパラメータが不正です。`), không có dòng mới được thêm vào `m_account`
</t>
    </r>
    <r>
      <rPr>
        <b/>
        <sz val="10"/>
        <color rgb="FF000000"/>
        <rFont val="メイリオ"/>
        <charset val="134"/>
      </rPr>
      <t xml:space="preserve">補足：
</t>
    </r>
    <r>
      <rPr>
        <sz val="10"/>
        <color rgb="FF000000"/>
        <rFont val="メイリオ"/>
        <charset val="134"/>
      </rPr>
      <t>・Lỗi chung khi JSON parse fail</t>
    </r>
  </si>
  <si>
    <t>Hành vi BAD_REQUEST chung.</t>
  </si>
  <si>
    <t>ACSMS-TC-025-064</t>
  </si>
  <si>
    <t>Lỗi validation đồng thời nhiều trường</t>
  </si>
  <si>
    <r>
      <rPr>
        <b/>
        <sz val="10"/>
        <color rgb="FF000000"/>
        <rFont val="メイリオ"/>
        <charset val="134"/>
      </rPr>
      <t xml:space="preserve">ステップ1：
</t>
    </r>
    <r>
      <rPr>
        <sz val="10"/>
        <color rgb="FF000000"/>
        <rFont val="メイリオ"/>
        <charset val="134"/>
      </rPr>
      <t xml:space="preserve">Nhập login_id trống, password "abc" (vi phạm độ phức tạp), account_name trống, email "invalid" (vi phạm format)
</t>
    </r>
    <r>
      <rPr>
        <b/>
        <sz val="10"/>
        <color rgb="FF000000"/>
        <rFont val="メイリオ"/>
        <charset val="134"/>
      </rPr>
      <t xml:space="preserve">ステップ2：
</t>
    </r>
    <r>
      <rPr>
        <sz val="10"/>
        <color rgb="FF000000"/>
        <rFont val="メイリオ"/>
        <charset val="134"/>
      </rPr>
      <t>Click button "登録"</t>
    </r>
  </si>
  <si>
    <r>
      <rPr>
        <b/>
        <sz val="10"/>
        <color rgb="FF000000"/>
        <rFont val="メイリオ"/>
        <charset val="134"/>
      </rPr>
      <t xml:space="preserve">ステップ1：
</t>
    </r>
    <r>
      <rPr>
        <sz val="10"/>
        <color rgb="FF000000"/>
        <rFont val="メイリオ"/>
        <charset val="134"/>
      </rPr>
      <t xml:space="preserve">Giá trị nhập được phản ánh
</t>
    </r>
    <r>
      <rPr>
        <b/>
        <sz val="10"/>
        <color rgb="FF000000"/>
        <rFont val="メイリオ"/>
        <charset val="134"/>
      </rPr>
      <t xml:space="preserve">ステップ2：
</t>
    </r>
    <r>
      <rPr>
        <sz val="10"/>
        <color rgb="FF000000"/>
        <rFont val="メイリオ"/>
        <charset val="134"/>
      </rPr>
      <t xml:space="preserve">Trả về HTTP 400 (`error_code: VALIDATION_ERROR`), trả về message `入力値が不正です。詳細はerrorsフィールドを確認してください。`, mảng `errors[]` chứa 4 mục `login_id`, `password`, `account_name`, `email`, dưới từng trường hiển thị message tương ứng, focus chuyển đến trường lỗi đầu tiên (login_id)
</t>
    </r>
    <r>
      <rPr>
        <b/>
        <sz val="10"/>
        <color rgb="FF000000"/>
        <rFont val="メイリオ"/>
        <charset val="134"/>
      </rPr>
      <t xml:space="preserve">補足：
</t>
    </r>
    <r>
      <rPr>
        <sz val="10"/>
        <color rgb="FF000000"/>
        <rFont val="メイリオ"/>
        <charset val="134"/>
      </rPr>
      <t>・Nhiều lỗi được tổng hợp một lượt vào `errors[]`, mapping tương ứng cho từng trường FE</t>
    </r>
  </si>
  <si>
    <t>Hiển thị tổng hợp lỗi nhiều trường.</t>
  </si>
  <si>
    <t>ACSMS-TC-025-065</t>
  </si>
  <si>
    <t>Rate limit (TOO_MANY_REQUESTS)</t>
  </si>
  <si>
    <r>
      <rPr>
        <b/>
        <sz val="10"/>
        <color rgb="FF000000"/>
        <rFont val="游ゴシック"/>
        <charset val="134"/>
      </rPr>
      <t xml:space="preserve">ステップ1：
</t>
    </r>
    <r>
      <rPr>
        <sz val="10"/>
        <color rgb="FF000000"/>
        <rFont val="游ゴシック"/>
        <charset val="134"/>
      </rPr>
      <t xml:space="preserve">Gửi liên tục POST `/api/v1/accounts` 101 lần trở lên trong 60 giây
</t>
    </r>
    <r>
      <rPr>
        <b/>
        <sz val="10"/>
        <color rgb="FF000000"/>
        <rFont val="游ゴシック"/>
        <charset val="134"/>
      </rPr>
      <t xml:space="preserve">ステップ2：
</t>
    </r>
    <r>
      <rPr>
        <sz val="10"/>
        <color rgb="FF000000"/>
        <rFont val="游ゴシック"/>
        <charset val="134"/>
      </rPr>
      <t>Kiểm tra response</t>
    </r>
  </si>
  <si>
    <r>
      <rPr>
        <b/>
        <sz val="10"/>
        <color rgb="FF000000"/>
        <rFont val="メイリオ"/>
        <charset val="134"/>
      </rPr>
      <t xml:space="preserve">ステップ1：
</t>
    </r>
    <r>
      <rPr>
        <sz val="10"/>
        <color rgb="FF000000"/>
        <rFont val="メイリオ"/>
        <charset val="134"/>
      </rPr>
      <t xml:space="preserve">100 request đầu trả về 201 hoặc 400, từ request thứ 101 trở đi bị giới hạn tiếp nhận ở server side
</t>
    </r>
    <r>
      <rPr>
        <b/>
        <sz val="10"/>
        <color rgb="FF000000"/>
        <rFont val="メイリオ"/>
        <charset val="134"/>
      </rPr>
      <t xml:space="preserve">ステップ2：
</t>
    </r>
    <r>
      <rPr>
        <sz val="10"/>
        <color rgb="FF000000"/>
        <rFont val="メイリオ"/>
        <charset val="134"/>
      </rPr>
      <t xml:space="preserve">Trả về HTTP 429 (`error_code: TOO_MANY_REQUESTS`, message `リクエスト回数が上限を超えました。しばらくしてから再度お試しください。`), toast được hiển thị
</t>
    </r>
    <r>
      <rPr>
        <b/>
        <sz val="10"/>
        <color rgb="FF000000"/>
        <rFont val="メイリオ"/>
        <charset val="134"/>
      </rPr>
      <t xml:space="preserve">補足：
</t>
    </r>
    <r>
      <rPr>
        <sz val="10"/>
        <color rgb="FF000000"/>
        <rFont val="メイリオ"/>
        <charset val="134"/>
      </rPr>
      <t>・Giới hạn 100 request/phút (security.md §レート制限)</t>
    </r>
  </si>
  <si>
    <t>Verify rate limit.</t>
  </si>
  <si>
    <t>ACSMS-TC-025-066</t>
  </si>
  <si>
    <t>Lỗi nội bộ server (INTERNAL_SERVER_ERROR 500)</t>
  </si>
  <si>
    <t>・role: NICHINO_ADMIN
・Đã truy cập URL `/accounts/create`
・Trong môi trường test, gây lỗi server side có chủ ý (ngắt DB v.v.)</t>
  </si>
  <si>
    <r>
      <rPr>
        <b/>
        <sz val="10"/>
        <color rgb="FF000000"/>
        <rFont val="メイリオ"/>
        <charset val="134"/>
      </rPr>
      <t xml:space="preserve">ステップ1：
</t>
    </r>
    <r>
      <rPr>
        <sz val="10"/>
        <color rgb="FF000000"/>
        <rFont val="メイリオ"/>
        <charset val="134"/>
      </rPr>
      <t xml:space="preserve">Nhập các trường required hợp lệ
</t>
    </r>
    <r>
      <rPr>
        <b/>
        <sz val="10"/>
        <color rgb="FF000000"/>
        <rFont val="メイリオ"/>
        <charset val="134"/>
      </rPr>
      <t xml:space="preserve">ステップ2：
</t>
    </r>
    <r>
      <rPr>
        <sz val="10"/>
        <color rgb="FF000000"/>
        <rFont val="メイリオ"/>
        <charset val="134"/>
      </rPr>
      <t xml:space="preserve">Trong trạng thái đã gây ngắt DB hoặc lỗi server, click button "登録"
</t>
    </r>
    <r>
      <rPr>
        <b/>
        <sz val="10"/>
        <color rgb="FF000000"/>
        <rFont val="メイリオ"/>
        <charset val="134"/>
      </rPr>
      <t xml:space="preserve">ステップ3：
</t>
    </r>
    <r>
      <rPr>
        <sz val="10"/>
        <color rgb="FF000000"/>
        <rFont val="メイリオ"/>
        <charset val="134"/>
      </rPr>
      <t>Kiểm tra response và log</t>
    </r>
  </si>
  <si>
    <r>
      <rPr>
        <b/>
        <sz val="10"/>
        <color rgb="FF000000"/>
        <rFont val="メイリオ"/>
        <charset val="134"/>
      </rPr>
      <t xml:space="preserve">ステップ1：
</t>
    </r>
    <r>
      <rPr>
        <sz val="10"/>
        <color rgb="FF000000"/>
        <rFont val="メイリオ"/>
        <charset val="134"/>
      </rPr>
      <t xml:space="preserve">Giá trị nhập được phản ánh
</t>
    </r>
    <r>
      <rPr>
        <b/>
        <sz val="10"/>
        <color rgb="FF000000"/>
        <rFont val="メイリオ"/>
        <charset val="134"/>
      </rPr>
      <t xml:space="preserve">ステップ2：
</t>
    </r>
    <r>
      <rPr>
        <sz val="10"/>
        <color rgb="FF000000"/>
        <rFont val="メイリオ"/>
        <charset val="134"/>
      </rPr>
      <t xml:space="preserve">Trả về HTTP 500, hiển thị toast `システムエラーが発生しました。しばらくしてから再度お試しください。`, ở lại màn hình và giá trị nhập được giữ lại
</t>
    </r>
    <r>
      <rPr>
        <b/>
        <sz val="10"/>
        <color rgb="FF000000"/>
        <rFont val="メイリオ"/>
        <charset val="134"/>
      </rPr>
      <t xml:space="preserve">ステップ3：
</t>
    </r>
    <r>
      <rPr>
        <sz val="10"/>
        <color rgb="FF000000"/>
        <rFont val="メイリオ"/>
        <charset val="134"/>
      </rPr>
      <t xml:space="preserve">Error log (`log_type=3`, `result_status=2`) được record trong `t_log`, `error_message` chứa nội dung lỗi, `stack_trace` chỉ ở server side và không bị lộ ra FE
</t>
    </r>
    <r>
      <rPr>
        <b/>
        <sz val="10"/>
        <color rgb="FF000000"/>
        <rFont val="メイリオ"/>
        <charset val="134"/>
      </rPr>
      <t xml:space="preserve">補足：
</t>
    </r>
    <r>
      <rPr>
        <sz val="10"/>
        <color rgb="FF000000"/>
        <rFont val="メイリオ"/>
        <charset val="134"/>
      </rPr>
      <t>・Sử dụng MSG-025-008, chi tiết lỗi nội bộ không xuất ra bên ngoài</t>
    </r>
  </si>
  <si>
    <t>MSG-025-008, response khi lỗi 500.</t>
  </si>
  <si>
    <t>ACSMS-TC-025-067</t>
  </si>
  <si>
    <t>Thứ tự tab và thao tác keyboard (Accessibility)</t>
  </si>
  <si>
    <r>
      <rPr>
        <b/>
        <sz val="10"/>
        <color rgb="FF000000"/>
        <rFont val="メイリオ"/>
        <charset val="134"/>
      </rPr>
      <t xml:space="preserve">ステップ1：
</t>
    </r>
    <r>
      <rPr>
        <sz val="10"/>
        <color rgb="FF000000"/>
        <rFont val="メイリオ"/>
        <charset val="134"/>
      </rPr>
      <t xml:space="preserve">Focus vào trường login_id, nhấn liên tục phím Tab
</t>
    </r>
    <r>
      <rPr>
        <b/>
        <sz val="10"/>
        <color rgb="FF000000"/>
        <rFont val="メイリオ"/>
        <charset val="134"/>
      </rPr>
      <t xml:space="preserve">ステップ2：
</t>
    </r>
    <r>
      <rPr>
        <sz val="10"/>
        <color rgb="FF000000"/>
        <rFont val="メイリオ"/>
        <charset val="134"/>
      </rPr>
      <t xml:space="preserve">Xác nhận thứ tự chuyển focus
</t>
    </r>
    <r>
      <rPr>
        <b/>
        <sz val="10"/>
        <color rgb="FF000000"/>
        <rFont val="メイリオ"/>
        <charset val="134"/>
      </rPr>
      <t xml:space="preserve">ステップ3：
</t>
    </r>
    <r>
      <rPr>
        <sz val="10"/>
        <color rgb="FF000000"/>
        <rFont val="メイリオ"/>
        <charset val="134"/>
      </rPr>
      <t xml:space="preserve">Xác nhận chuyển focus theo chiều ngược bằng Shift+Tab
</t>
    </r>
    <r>
      <rPr>
        <b/>
        <sz val="10"/>
        <color rgb="FF000000"/>
        <rFont val="メイリオ"/>
        <charset val="134"/>
      </rPr>
      <t xml:space="preserve">ステップ4：
</t>
    </r>
    <r>
      <rPr>
        <sz val="10"/>
        <color rgb="FF000000"/>
        <rFont val="メイリオ"/>
        <charset val="134"/>
      </rPr>
      <t>Xác nhận phòng tránh submit nhầm bằng phím Enter (Enter trong trường text không kích hoạt button đăng ký)</t>
    </r>
  </si>
  <si>
    <r>
      <rPr>
        <b/>
        <sz val="10"/>
        <color rgb="FF000000"/>
        <rFont val="メイリオ"/>
        <charset val="134"/>
      </rPr>
      <t xml:space="preserve">ステップ1：
</t>
    </r>
    <r>
      <rPr>
        <sz val="10"/>
        <color rgb="FF000000"/>
        <rFont val="メイリオ"/>
        <charset val="134"/>
      </rPr>
      <t xml:space="preserve">Focus được đặt vào trường login_id
</t>
    </r>
    <r>
      <rPr>
        <b/>
        <sz val="10"/>
        <color rgb="FF000000"/>
        <rFont val="メイリオ"/>
        <charset val="134"/>
      </rPr>
      <t xml:space="preserve">ステップ2：
</t>
    </r>
    <r>
      <rPr>
        <sz val="10"/>
        <color rgb="FF000000"/>
        <rFont val="メイリオ"/>
        <charset val="134"/>
      </rPr>
      <t xml:space="preserve">Chuyển theo thứ tự: login_id → password → role → tỉnh thành (khi hiển thị) → JA (khi hiển thị) → kanri_shiten (khi hiển thị) → account_name → email → sub_email_1 → sub_email_2 → sub_email_3 → paper_flg → denshi_flg → biko → button 登録 → button 前の画面に戻る
</t>
    </r>
    <r>
      <rPr>
        <b/>
        <sz val="10"/>
        <color rgb="FF000000"/>
        <rFont val="メイリオ"/>
        <charset val="134"/>
      </rPr>
      <t xml:space="preserve">ステップ3：
</t>
    </r>
    <r>
      <rPr>
        <sz val="10"/>
        <color rgb="FF000000"/>
        <rFont val="メイリオ"/>
        <charset val="134"/>
      </rPr>
      <t xml:space="preserve">Chuyển theo thứ tự ngược lại
</t>
    </r>
    <r>
      <rPr>
        <b/>
        <sz val="10"/>
        <color rgb="FF000000"/>
        <rFont val="メイリオ"/>
        <charset val="134"/>
      </rPr>
      <t xml:space="preserve">ステップ4：
</t>
    </r>
    <r>
      <rPr>
        <sz val="10"/>
        <color rgb="FF000000"/>
        <rFont val="メイリオ"/>
        <charset val="134"/>
      </rPr>
      <t xml:space="preserve">Nhấn phím Enter trong trường text không kích hoạt button đăng ký (phòng tránh submit nhầm), trong textarea thì chèn xuống dòng
</t>
    </r>
    <r>
      <rPr>
        <b/>
        <sz val="10"/>
        <color rgb="FF000000"/>
        <rFont val="メイリオ"/>
        <charset val="134"/>
      </rPr>
      <t xml:space="preserve">補足：
</t>
    </r>
    <r>
      <rPr>
        <sz val="10"/>
        <color rgb="FF000000"/>
        <rFont val="メイリオ"/>
        <charset val="134"/>
      </rPr>
      <t>・Thiết kế hoàn thiện chỉ bằng thao tác keyboard (vue.md §Accessibility)</t>
    </r>
  </si>
  <si>
    <t>Thứ tự tab và phòng tránh Enter submit nhầm.</t>
  </si>
  <si>
    <t>ACSMS-TC-025-068</t>
  </si>
  <si>
    <t>Hành vi khi mất kết nối mạng</t>
  </si>
  <si>
    <r>
      <rPr>
        <b/>
        <sz val="10"/>
        <color rgb="FF000000"/>
        <rFont val="メイリオ"/>
        <charset val="134"/>
      </rPr>
      <t xml:space="preserve">ステップ1：
</t>
    </r>
    <r>
      <rPr>
        <sz val="10"/>
        <color rgb="FF000000"/>
        <rFont val="メイリオ"/>
        <charset val="134"/>
      </rPr>
      <t xml:space="preserve">Chuyển sang chế độ `Offline` ở tab network của DevTools
</t>
    </r>
    <r>
      <rPr>
        <b/>
        <sz val="10"/>
        <color rgb="FF000000"/>
        <rFont val="メイリオ"/>
        <charset val="134"/>
      </rPr>
      <t xml:space="preserve">ステップ2：
</t>
    </r>
    <r>
      <rPr>
        <sz val="10"/>
        <color rgb="FF000000"/>
        <rFont val="メイリオ"/>
        <charset val="134"/>
      </rPr>
      <t xml:space="preserve">Click button "登録"
</t>
    </r>
    <r>
      <rPr>
        <b/>
        <sz val="10"/>
        <color rgb="FF000000"/>
        <rFont val="メイリオ"/>
        <charset val="134"/>
      </rPr>
      <t xml:space="preserve">ステップ3：
</t>
    </r>
    <r>
      <rPr>
        <sz val="10"/>
        <color rgb="FF000000"/>
        <rFont val="メイリオ"/>
        <charset val="134"/>
      </rPr>
      <t>Đưa network về `Online`, click lại button "登録"</t>
    </r>
  </si>
  <si>
    <r>
      <rPr>
        <b/>
        <sz val="10"/>
        <color rgb="FF000000"/>
        <rFont val="メイリオ"/>
        <charset val="134"/>
      </rPr>
      <t xml:space="preserve">ステップ1：
</t>
    </r>
    <r>
      <rPr>
        <sz val="10"/>
        <color rgb="FF000000"/>
        <rFont val="メイリオ"/>
        <charset val="134"/>
      </rPr>
      <t xml:space="preserve">Trạng thái ngắt kết nối mạng
</t>
    </r>
    <r>
      <rPr>
        <b/>
        <sz val="10"/>
        <color rgb="FF000000"/>
        <rFont val="メイリオ"/>
        <charset val="134"/>
      </rPr>
      <t xml:space="preserve">ステップ2：
</t>
    </r>
    <r>
      <rPr>
        <sz val="10"/>
        <color rgb="FF000000"/>
        <rFont val="メイリオ"/>
        <charset val="134"/>
      </rPr>
      <t xml:space="preserve">Request thất bại, hiển thị toast lỗi mạng (ví dụ: `ネットワークエラーが発生しました。接続を確認してください。`), ở lại màn hình, giá trị nhập được giữ lại
</t>
    </r>
    <r>
      <rPr>
        <b/>
        <sz val="10"/>
        <color rgb="FF000000"/>
        <rFont val="メイリオ"/>
        <charset val="134"/>
      </rPr>
      <t xml:space="preserve">ステップ3：
</t>
    </r>
    <r>
      <rPr>
        <sz val="10"/>
        <color rgb="FF000000"/>
        <rFont val="メイリオ"/>
        <charset val="134"/>
      </rPr>
      <t xml:space="preserve">Request được gửi đi bình thường, trả về HTTP 201
</t>
    </r>
    <r>
      <rPr>
        <b/>
        <sz val="10"/>
        <color rgb="FF000000"/>
        <rFont val="メイリオ"/>
        <charset val="134"/>
      </rPr>
      <t xml:space="preserve">補足：
</t>
    </r>
    <r>
      <rPr>
        <sz val="10"/>
        <color rgb="FF000000"/>
        <rFont val="メイリオ"/>
        <charset val="134"/>
      </rPr>
      <t>・Thiết kế cho phép retry khi giao tiếp thất bại</t>
    </r>
  </si>
  <si>
    <t>Hành vi khi mất kết nối mạng.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</si>
</sst>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yy"/>
    <numFmt numFmtId="179" formatCode="0.0%"/>
  </numFmts>
  <fonts count="41">
    <font>
      <sz val="11"/>
      <color theme="1"/>
      <name val="Calibri"/>
      <charset val="134"/>
      <scheme val="minor"/>
    </font>
    <font>
      <b/>
      <sz val="11"/>
      <color rgb="FF000000"/>
      <name val="游ゴシック"/>
      <charset val="134"/>
    </font>
    <font>
      <sz val="11"/>
      <name val="Calibri"/>
      <charset val="134"/>
      <scheme val="minor"/>
    </font>
    <font>
      <sz val="11"/>
      <color rgb="FF000000"/>
      <name val="游ゴシック"/>
      <charset val="134"/>
    </font>
    <font>
      <sz val="11"/>
      <color rgb="FFFF0000"/>
      <name val="游ゴシック"/>
      <charset val="134"/>
    </font>
    <font>
      <strike/>
      <sz val="11"/>
      <color rgb="FF000000"/>
      <name val="游ゴシック"/>
      <charset val="134"/>
    </font>
    <font>
      <i/>
      <sz val="11"/>
      <color rgb="FF000000"/>
      <name val="游ゴシック"/>
      <charset val="134"/>
    </font>
    <font>
      <b/>
      <sz val="14"/>
      <color rgb="FF000000"/>
      <name val="游ゴシック"/>
      <charset val="134"/>
    </font>
    <font>
      <sz val="11"/>
      <color theme="1"/>
      <name val="Calibri"/>
      <charset val="134"/>
    </font>
    <font>
      <sz val="26"/>
      <color rgb="FF1F3864"/>
      <name val="游ゴシック"/>
      <charset val="134"/>
    </font>
    <font>
      <sz val="24"/>
      <color rgb="FF1F3864"/>
      <name val="游ゴシック"/>
      <charset val="134"/>
    </font>
    <font>
      <sz val="15"/>
      <color theme="1"/>
      <name val="游ゴシック"/>
      <charset val="134"/>
    </font>
    <font>
      <sz val="10"/>
      <color rgb="FF000000"/>
      <name val="游ゴシック"/>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000000"/>
      <name val="メイリオ"/>
      <charset val="134"/>
    </font>
    <font>
      <sz val="10"/>
      <color rgb="FF000000"/>
      <name val="メイリオ"/>
      <charset val="134"/>
    </font>
    <font>
      <b/>
      <sz val="10"/>
      <color rgb="FF000000"/>
      <name val="游ゴシック"/>
      <charset val="134"/>
    </font>
    <font>
      <b/>
      <strike/>
      <sz val="10"/>
      <color rgb="FF000000"/>
      <name val="メイリオ"/>
      <charset val="134"/>
    </font>
    <font>
      <strike/>
      <sz val="10"/>
      <color rgb="FF000000"/>
      <name val="メイリオ"/>
      <charset val="134"/>
    </font>
    <font>
      <b/>
      <sz val="10"/>
      <color rgb="FFFF0000"/>
      <name val="游ゴシック"/>
      <charset val="134"/>
    </font>
    <font>
      <sz val="10"/>
      <color rgb="FFFF0000"/>
      <name val="游ゴシック"/>
      <charset val="134"/>
    </font>
    <font>
      <b/>
      <sz val="10"/>
      <color rgb="FFFF0000"/>
      <name val="メイリオ"/>
      <charset val="134"/>
    </font>
    <font>
      <sz val="10"/>
      <color rgb="FFFF0000"/>
      <name val="メイリオ"/>
      <charset val="134"/>
    </font>
  </fonts>
  <fills count="41">
    <fill>
      <patternFill patternType="none"/>
    </fill>
    <fill>
      <patternFill patternType="gray125"/>
    </fill>
    <fill>
      <patternFill patternType="solid">
        <fgColor rgb="FFDEEAF6"/>
        <bgColor rgb="FFDEEAF6"/>
      </patternFill>
    </fill>
    <fill>
      <patternFill patternType="solid">
        <fgColor rgb="FFBDD6EE"/>
        <bgColor rgb="FFBDD6EE"/>
      </patternFill>
    </fill>
    <fill>
      <patternFill patternType="solid">
        <fgColor rgb="FFB4C6E7"/>
        <bgColor rgb="FFB4C6E7"/>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FFF99"/>
        <bgColor rgb="FFFFFF99"/>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10" borderId="1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6" applyNumberFormat="0" applyFill="0" applyAlignment="0" applyProtection="0">
      <alignment vertical="center"/>
    </xf>
    <xf numFmtId="0" fontId="19" fillId="0" borderId="16" applyNumberFormat="0" applyFill="0" applyAlignment="0" applyProtection="0">
      <alignment vertical="center"/>
    </xf>
    <xf numFmtId="0" fontId="20" fillId="0" borderId="17" applyNumberFormat="0" applyFill="0" applyAlignment="0" applyProtection="0">
      <alignment vertical="center"/>
    </xf>
    <xf numFmtId="0" fontId="20" fillId="0" borderId="0" applyNumberFormat="0" applyFill="0" applyBorder="0" applyAlignment="0" applyProtection="0">
      <alignment vertical="center"/>
    </xf>
    <xf numFmtId="0" fontId="21" fillId="11" borderId="18" applyNumberFormat="0" applyAlignment="0" applyProtection="0">
      <alignment vertical="center"/>
    </xf>
    <xf numFmtId="0" fontId="22" fillId="12" borderId="19" applyNumberFormat="0" applyAlignment="0" applyProtection="0">
      <alignment vertical="center"/>
    </xf>
    <xf numFmtId="0" fontId="23" fillId="12" borderId="18" applyNumberFormat="0" applyAlignment="0" applyProtection="0">
      <alignment vertical="center"/>
    </xf>
    <xf numFmtId="0" fontId="24" fillId="13" borderId="20" applyNumberFormat="0" applyAlignment="0" applyProtection="0">
      <alignment vertical="center"/>
    </xf>
    <xf numFmtId="0" fontId="25" fillId="0" borderId="21" applyNumberFormat="0" applyFill="0" applyAlignment="0" applyProtection="0">
      <alignment vertical="center"/>
    </xf>
    <xf numFmtId="0" fontId="26" fillId="0" borderId="22" applyNumberFormat="0" applyFill="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31" fillId="38" borderId="0" applyNumberFormat="0" applyBorder="0" applyAlignment="0" applyProtection="0">
      <alignment vertical="center"/>
    </xf>
    <xf numFmtId="0" fontId="31" fillId="39" borderId="0" applyNumberFormat="0" applyBorder="0" applyAlignment="0" applyProtection="0">
      <alignment vertical="center"/>
    </xf>
    <xf numFmtId="0" fontId="30" fillId="40" borderId="0" applyNumberFormat="0" applyBorder="0" applyAlignment="0" applyProtection="0">
      <alignment vertical="center"/>
    </xf>
  </cellStyleXfs>
  <cellXfs count="64">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1" fillId="3" borderId="1" xfId="0" applyFont="1" applyFill="1" applyBorder="1" applyAlignment="1">
      <alignment horizontal="left" vertical="center" wrapText="1"/>
    </xf>
    <xf numFmtId="0" fontId="3" fillId="0" borderId="12" xfId="0"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78" fontId="3" fillId="0" borderId="1" xfId="0" applyNumberFormat="1" applyFont="1" applyBorder="1" applyAlignment="1">
      <alignment horizontal="center" vertical="top" wrapText="1"/>
    </xf>
    <xf numFmtId="0" fontId="4" fillId="0" borderId="12" xfId="0"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5" fillId="0" borderId="12" xfId="0" applyFont="1" applyBorder="1" applyAlignment="1">
      <alignment horizontal="center" vertical="top"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1" fillId="4" borderId="1" xfId="0" applyFont="1" applyFill="1" applyBorder="1" applyAlignment="1">
      <alignment horizontal="center" vertical="center" wrapText="1"/>
    </xf>
    <xf numFmtId="0" fontId="3" fillId="0" borderId="5" xfId="0" applyFont="1" applyBorder="1" applyAlignment="1">
      <alignment horizontal="center" vertical="center" wrapText="1"/>
    </xf>
    <xf numFmtId="49" fontId="3" fillId="0" borderId="5" xfId="0" applyNumberFormat="1" applyFont="1" applyBorder="1" applyAlignment="1">
      <alignment horizontal="center" vertical="center" wrapText="1"/>
    </xf>
    <xf numFmtId="0" fontId="1" fillId="0" borderId="0" xfId="0" applyFont="1" applyAlignment="1">
      <alignment horizontal="left" vertical="center" wrapText="1"/>
    </xf>
    <xf numFmtId="0" fontId="1" fillId="2" borderId="12" xfId="0" applyFont="1" applyFill="1" applyBorder="1" applyAlignment="1">
      <alignment horizontal="center" vertical="center" wrapText="1"/>
    </xf>
    <xf numFmtId="0" fontId="1" fillId="5"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1" fillId="7" borderId="1" xfId="0" applyFont="1" applyFill="1" applyBorder="1" applyAlignment="1">
      <alignment horizontal="center" vertical="top" wrapText="1"/>
    </xf>
    <xf numFmtId="0" fontId="1" fillId="3" borderId="1" xfId="0" applyFont="1" applyFill="1" applyBorder="1" applyAlignment="1">
      <alignment horizontal="right"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top" wrapText="1"/>
    </xf>
    <xf numFmtId="0" fontId="6" fillId="0" borderId="1" xfId="0" applyFont="1" applyBorder="1" applyAlignment="1">
      <alignment horizontal="left" vertical="top" wrapText="1"/>
    </xf>
    <xf numFmtId="0" fontId="7" fillId="4"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2" borderId="12" xfId="0" applyFont="1" applyFill="1" applyBorder="1" applyAlignment="1">
      <alignment horizontal="left" vertical="center" wrapText="1"/>
    </xf>
    <xf numFmtId="0" fontId="3" fillId="0" borderId="12" xfId="0" applyFont="1" applyBorder="1" applyAlignment="1">
      <alignment horizontal="center" vertical="center" wrapText="1"/>
    </xf>
    <xf numFmtId="179" fontId="3" fillId="0" borderId="1" xfId="0" applyNumberFormat="1" applyFont="1" applyBorder="1" applyAlignment="1">
      <alignment horizontal="center" vertical="center" wrapText="1"/>
    </xf>
    <xf numFmtId="179" fontId="1" fillId="0" borderId="1" xfId="0" applyNumberFormat="1" applyFont="1" applyBorder="1" applyAlignment="1">
      <alignment horizontal="center" vertical="center" wrapText="1"/>
    </xf>
    <xf numFmtId="0" fontId="3" fillId="0" borderId="0" xfId="0" applyFont="1" applyAlignment="1">
      <alignment horizontal="left" vertical="center" wrapText="1"/>
    </xf>
    <xf numFmtId="0" fontId="1" fillId="8" borderId="0" xfId="0" applyFont="1" applyFill="1" applyBorder="1" applyAlignment="1">
      <alignment horizontal="left" vertical="center" wrapText="1"/>
    </xf>
    <xf numFmtId="0" fontId="2" fillId="0" borderId="0" xfId="0" applyFont="1" applyBorder="1"/>
    <xf numFmtId="0" fontId="1" fillId="4" borderId="12" xfId="0" applyFont="1" applyFill="1" applyBorder="1" applyAlignment="1">
      <alignment horizontal="center" vertical="center" wrapText="1"/>
    </xf>
    <xf numFmtId="0" fontId="8" fillId="0" borderId="5" xfId="0" applyFont="1" applyBorder="1"/>
    <xf numFmtId="0" fontId="8" fillId="0" borderId="6" xfId="0" applyFont="1" applyBorder="1"/>
    <xf numFmtId="0" fontId="8" fillId="0" borderId="7" xfId="0" applyFont="1" applyBorder="1"/>
    <xf numFmtId="0" fontId="8" fillId="0" borderId="13" xfId="0" applyFont="1" applyBorder="1"/>
    <xf numFmtId="0" fontId="8" fillId="0" borderId="14" xfId="0" applyFont="1" applyBorder="1"/>
    <xf numFmtId="0" fontId="9" fillId="0" borderId="13" xfId="0" applyFont="1" applyBorder="1" applyAlignment="1">
      <alignment horizontal="center" vertical="center" wrapText="1"/>
    </xf>
    <xf numFmtId="0" fontId="2" fillId="0" borderId="14" xfId="0" applyFont="1" applyBorder="1"/>
    <xf numFmtId="0" fontId="10" fillId="0" borderId="13" xfId="0" applyFont="1" applyBorder="1" applyAlignment="1">
      <alignment horizontal="center" vertical="center" wrapText="1"/>
    </xf>
    <xf numFmtId="0" fontId="11" fillId="0" borderId="13" xfId="0" applyFont="1" applyBorder="1" applyAlignment="1">
      <alignment horizontal="center" vertical="center" wrapText="1"/>
    </xf>
    <xf numFmtId="0" fontId="12" fillId="9" borderId="1" xfId="0" applyFont="1" applyFill="1" applyBorder="1" applyAlignment="1">
      <alignment horizontal="center" vertical="center" wrapText="1"/>
    </xf>
    <xf numFmtId="49" fontId="12" fillId="9" borderId="1" xfId="0" applyNumberFormat="1" applyFont="1" applyFill="1" applyBorder="1" applyAlignment="1">
      <alignment horizontal="center" vertical="center" wrapText="1"/>
    </xf>
    <xf numFmtId="0" fontId="8" fillId="0" borderId="9" xfId="0" applyFont="1" applyBorder="1"/>
    <xf numFmtId="0" fontId="8" fillId="0" borderId="10" xfId="0" applyFont="1" applyBorder="1"/>
    <xf numFmtId="0" fontId="8" fillId="0" borderId="11"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15</xdr:col>
      <xdr:colOff>0</xdr:colOff>
      <xdr:row>2</xdr:row>
      <xdr:rowOff>0</xdr:rowOff>
    </xdr:from>
    <xdr:ext cx="1333500" cy="514350"/>
    <xdr:pic>
      <xdr:nvPicPr>
        <xdr:cNvPr id="2" name="image1.png" descr="Picture"/>
        <xdr:cNvPicPr preferRelativeResize="0"/>
      </xdr:nvPicPr>
      <xdr:blipFill>
        <a:blip r:embed="rId1" cstate="print"/>
        <a:stretch>
          <a:fillRect/>
        </a:stretch>
      </xdr:blipFill>
      <xdr:spPr>
        <a:xfrm>
          <a:off x="3314700" y="409575"/>
          <a:ext cx="1333500" cy="5143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K1000"/>
  <sheetViews>
    <sheetView showGridLines="0" workbookViewId="0">
      <selection activeCell="A1" sqref="A1"/>
    </sheetView>
  </sheetViews>
  <sheetFormatPr defaultColWidth="14.4285714285714" defaultRowHeight="15" customHeight="1"/>
  <cols>
    <col min="1" max="1" width="3.71428571428571" customWidth="1"/>
    <col min="2" max="37" width="3.28571428571429" customWidth="1"/>
  </cols>
  <sheetData>
    <row r="1" ht="19.5" customHeight="1"/>
    <row r="2" ht="12.75" customHeight="1" spans="2:37">
      <c r="B2" s="50"/>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2"/>
    </row>
    <row r="3" ht="12.75" customHeight="1" spans="2:37">
      <c r="B3" s="53"/>
      <c r="AK3" s="54"/>
    </row>
    <row r="4" ht="12.75" customHeight="1" spans="2:37">
      <c r="B4" s="53"/>
      <c r="AK4" s="54"/>
    </row>
    <row r="5" ht="12.75" customHeight="1" spans="2:37">
      <c r="B5" s="53"/>
      <c r="AK5" s="54"/>
    </row>
    <row r="6" ht="12.75" customHeight="1" spans="2:37">
      <c r="B6" s="53"/>
      <c r="AK6" s="54"/>
    </row>
    <row r="7" ht="12.75" customHeight="1" spans="2:37">
      <c r="B7" s="53"/>
      <c r="AK7" s="54"/>
    </row>
    <row r="8" ht="12.75" customHeight="1" spans="2:37">
      <c r="B8" s="53"/>
      <c r="AK8" s="54"/>
    </row>
    <row r="9" ht="12.75" customHeight="1" spans="2:37">
      <c r="B9" s="53"/>
      <c r="AK9" s="54"/>
    </row>
    <row r="10" ht="29.25" customHeight="1" spans="2:37">
      <c r="B10" s="55" t="s">
        <v>0</v>
      </c>
      <c r="AK10" s="56"/>
    </row>
    <row r="11" ht="12.75" customHeight="1" spans="2:37">
      <c r="B11" s="53"/>
      <c r="AK11" s="54"/>
    </row>
    <row r="12" ht="39" customHeight="1" spans="2:37">
      <c r="B12" s="57" t="s">
        <v>1</v>
      </c>
      <c r="AK12" s="56"/>
    </row>
    <row r="13" ht="12.75" customHeight="1" spans="2:37">
      <c r="B13" s="53"/>
      <c r="AK13" s="54"/>
    </row>
    <row r="14" ht="12.75" customHeight="1" spans="2:37">
      <c r="B14" s="53"/>
      <c r="AK14" s="54"/>
    </row>
    <row r="15" ht="12.75" customHeight="1" spans="2:37">
      <c r="B15" s="58" t="s">
        <v>2</v>
      </c>
      <c r="AK15" s="56"/>
    </row>
    <row r="16" ht="12.75" customHeight="1" spans="2:37">
      <c r="B16" s="53"/>
      <c r="AK16" s="54"/>
    </row>
    <row r="17" ht="12.75" customHeight="1" spans="2:37">
      <c r="B17" s="53"/>
      <c r="AK17" s="54"/>
    </row>
    <row r="18" ht="12.75" customHeight="1" spans="2:37">
      <c r="B18" s="53"/>
      <c r="N18" s="59" t="s">
        <v>3</v>
      </c>
      <c r="O18" s="2"/>
      <c r="P18" s="2"/>
      <c r="Q18" s="2"/>
      <c r="R18" s="3"/>
      <c r="S18" s="59" t="s">
        <v>4</v>
      </c>
      <c r="T18" s="2"/>
      <c r="U18" s="2"/>
      <c r="V18" s="2"/>
      <c r="W18" s="3"/>
      <c r="AK18" s="54"/>
    </row>
    <row r="19" ht="12.75" customHeight="1" spans="2:37">
      <c r="B19" s="53"/>
      <c r="N19" s="59" t="s">
        <v>5</v>
      </c>
      <c r="O19" s="2"/>
      <c r="P19" s="2"/>
      <c r="Q19" s="2"/>
      <c r="R19" s="3"/>
      <c r="S19" s="59" t="s">
        <v>6</v>
      </c>
      <c r="T19" s="2"/>
      <c r="U19" s="2"/>
      <c r="V19" s="2"/>
      <c r="W19" s="3"/>
      <c r="AK19" s="54"/>
    </row>
    <row r="20" ht="12.75" customHeight="1" spans="2:37">
      <c r="B20" s="53"/>
      <c r="N20" s="59" t="s">
        <v>7</v>
      </c>
      <c r="O20" s="2"/>
      <c r="P20" s="2"/>
      <c r="Q20" s="2"/>
      <c r="R20" s="3"/>
      <c r="S20" s="60" t="s">
        <v>8</v>
      </c>
      <c r="T20" s="2"/>
      <c r="U20" s="2"/>
      <c r="V20" s="2"/>
      <c r="W20" s="3"/>
      <c r="AK20" s="54"/>
    </row>
    <row r="21" ht="12.75" customHeight="1" spans="2:37">
      <c r="B21" s="53"/>
      <c r="AK21" s="54"/>
    </row>
    <row r="22" ht="12.75" customHeight="1" spans="2:37">
      <c r="B22" s="53"/>
      <c r="AK22" s="54"/>
    </row>
    <row r="23" ht="12.75" customHeight="1" spans="2:37">
      <c r="B23" s="53"/>
      <c r="AK23" s="54"/>
    </row>
    <row r="24" ht="12.75" customHeight="1" spans="2:37">
      <c r="B24" s="53"/>
      <c r="AK24" s="54"/>
    </row>
    <row r="25" ht="12.75" customHeight="1" spans="2:37">
      <c r="B25" s="53"/>
      <c r="AK25" s="54"/>
    </row>
    <row r="26" ht="12.75" customHeight="1" spans="2:37">
      <c r="B26" s="53"/>
      <c r="AK26" s="54"/>
    </row>
    <row r="27" ht="12.75" customHeight="1" spans="2:37">
      <c r="B27" s="53"/>
      <c r="AK27" s="54"/>
    </row>
    <row r="28" ht="12.75" customHeight="1" spans="2:37">
      <c r="B28" s="53"/>
      <c r="AK28" s="54"/>
    </row>
    <row r="29" ht="12.75" customHeight="1" spans="2:37">
      <c r="B29" s="53"/>
      <c r="AK29" s="54"/>
    </row>
    <row r="30" ht="12.75" customHeight="1" spans="2:37">
      <c r="B30" s="53"/>
      <c r="AK30" s="54"/>
    </row>
    <row r="31" ht="12.75" customHeight="1" spans="2:37">
      <c r="B31" s="53"/>
      <c r="AK31" s="54"/>
    </row>
    <row r="32" ht="12.75" customHeight="1" spans="2:37">
      <c r="B32" s="53"/>
      <c r="AK32" s="54"/>
    </row>
    <row r="33" ht="12.75" customHeight="1" spans="2:37">
      <c r="B33" s="53"/>
      <c r="AK33" s="54"/>
    </row>
    <row r="34" ht="12.75" customHeight="1" spans="2:37">
      <c r="B34" s="61"/>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3"/>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B10:AK10"/>
    <mergeCell ref="B12:AK12"/>
    <mergeCell ref="B15:AK15"/>
    <mergeCell ref="N18:R18"/>
    <mergeCell ref="S18:W18"/>
    <mergeCell ref="N19:R19"/>
    <mergeCell ref="S19:W19"/>
    <mergeCell ref="N20:R20"/>
    <mergeCell ref="S20:W20"/>
  </mergeCells>
  <pageMargins left="0.75" right="0.75" top="1" bottom="1" header="0" footer="0"/>
  <pageSetup paperSize="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
    </sheetView>
  </sheetViews>
  <sheetFormatPr defaultColWidth="14.4285714285714" defaultRowHeight="15" customHeight="1"/>
  <cols>
    <col min="1" max="1" width="8" customWidth="1"/>
    <col min="2" max="34" width="3.28571428571429" customWidth="1"/>
  </cols>
  <sheetData>
    <row r="1" ht="22.5" customHeight="1" spans="1:34">
      <c r="A1" s="49" t="s">
        <v>9</v>
      </c>
      <c r="B1" s="27" t="s">
        <v>7</v>
      </c>
      <c r="C1" s="2"/>
      <c r="D1" s="2"/>
      <c r="E1" s="3"/>
      <c r="F1" s="27" t="s">
        <v>10</v>
      </c>
      <c r="G1" s="2"/>
      <c r="H1" s="3"/>
      <c r="I1" s="27" t="s">
        <v>11</v>
      </c>
      <c r="J1" s="2"/>
      <c r="K1" s="2"/>
      <c r="L1" s="2"/>
      <c r="M1" s="2"/>
      <c r="N1" s="3"/>
      <c r="O1" s="27" t="s">
        <v>12</v>
      </c>
      <c r="P1" s="2"/>
      <c r="Q1" s="2"/>
      <c r="R1" s="2"/>
      <c r="S1" s="2"/>
      <c r="T1" s="2"/>
      <c r="U1" s="2"/>
      <c r="V1" s="3"/>
      <c r="W1" s="27" t="s">
        <v>13</v>
      </c>
      <c r="X1" s="2"/>
      <c r="Y1" s="2"/>
      <c r="Z1" s="2"/>
      <c r="AA1" s="2"/>
      <c r="AB1" s="3"/>
      <c r="AC1" s="27" t="s">
        <v>14</v>
      </c>
      <c r="AD1" s="2"/>
      <c r="AE1" s="2"/>
      <c r="AF1" s="2"/>
      <c r="AG1" s="2"/>
      <c r="AH1" s="3"/>
    </row>
    <row r="2" ht="22.5" customHeight="1" spans="1:34">
      <c r="A2" s="43">
        <v>1</v>
      </c>
      <c r="B2" s="6" t="s">
        <v>15</v>
      </c>
      <c r="C2" s="2"/>
      <c r="D2" s="2"/>
      <c r="E2" s="3"/>
      <c r="F2" s="6" t="s">
        <v>6</v>
      </c>
      <c r="G2" s="2"/>
      <c r="H2" s="3"/>
      <c r="I2" s="6" t="s">
        <v>16</v>
      </c>
      <c r="J2" s="2"/>
      <c r="K2" s="2"/>
      <c r="L2" s="2"/>
      <c r="M2" s="2"/>
      <c r="N2" s="3"/>
      <c r="O2" s="4" t="s">
        <v>17</v>
      </c>
      <c r="P2" s="2"/>
      <c r="Q2" s="2"/>
      <c r="R2" s="2"/>
      <c r="S2" s="2"/>
      <c r="T2" s="2"/>
      <c r="U2" s="2"/>
      <c r="V2" s="3"/>
      <c r="W2" s="6" t="s">
        <v>18</v>
      </c>
      <c r="X2" s="2"/>
      <c r="Y2" s="2"/>
      <c r="Z2" s="2"/>
      <c r="AA2" s="2"/>
      <c r="AB2" s="3"/>
      <c r="AC2" s="6"/>
      <c r="AD2" s="2"/>
      <c r="AE2" s="2"/>
      <c r="AF2" s="2"/>
      <c r="AG2" s="2"/>
      <c r="AH2"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1:E1"/>
    <mergeCell ref="F1:H1"/>
    <mergeCell ref="I1:N1"/>
    <mergeCell ref="O1:V1"/>
    <mergeCell ref="W1:AB1"/>
    <mergeCell ref="AC1:AH1"/>
    <mergeCell ref="B2:E2"/>
    <mergeCell ref="F2:H2"/>
    <mergeCell ref="I2:N2"/>
    <mergeCell ref="O2:V2"/>
    <mergeCell ref="W2:AB2"/>
    <mergeCell ref="AC2:AH2"/>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7" t="s">
        <v>19</v>
      </c>
      <c r="B1" s="2"/>
      <c r="C1" s="2"/>
      <c r="D1" s="2"/>
      <c r="E1" s="2"/>
      <c r="F1" s="2"/>
      <c r="G1" s="2"/>
      <c r="H1" s="2"/>
      <c r="I1" s="3"/>
      <c r="J1" s="27" t="s">
        <v>20</v>
      </c>
      <c r="K1" s="2"/>
      <c r="L1" s="2"/>
      <c r="M1" s="2"/>
      <c r="N1" s="2"/>
      <c r="O1" s="2"/>
      <c r="P1" s="3"/>
      <c r="Q1" s="27" t="s">
        <v>21</v>
      </c>
      <c r="R1" s="2"/>
      <c r="S1" s="2"/>
      <c r="T1" s="2"/>
      <c r="U1" s="3"/>
      <c r="V1" s="27" t="s">
        <v>22</v>
      </c>
      <c r="W1" s="2"/>
      <c r="X1" s="2"/>
      <c r="Y1" s="3"/>
      <c r="Z1" s="27" t="s">
        <v>23</v>
      </c>
      <c r="AA1" s="2"/>
      <c r="AB1" s="2"/>
      <c r="AC1" s="3"/>
      <c r="AD1" s="27" t="s">
        <v>24</v>
      </c>
      <c r="AE1" s="2"/>
      <c r="AF1" s="2"/>
      <c r="AG1" s="3"/>
      <c r="AH1" s="27" t="s">
        <v>25</v>
      </c>
      <c r="AI1" s="2"/>
      <c r="AJ1" s="2"/>
      <c r="AK1" s="3"/>
    </row>
    <row r="2" ht="19.5" customHeight="1" spans="1:37">
      <c r="A2" s="28" t="s">
        <v>0</v>
      </c>
      <c r="B2" s="10"/>
      <c r="C2" s="10"/>
      <c r="D2" s="10"/>
      <c r="E2" s="10"/>
      <c r="F2" s="10"/>
      <c r="G2" s="10"/>
      <c r="H2" s="10"/>
      <c r="I2" s="11"/>
      <c r="J2" s="28" t="s">
        <v>26</v>
      </c>
      <c r="K2" s="10"/>
      <c r="L2" s="10"/>
      <c r="M2" s="10"/>
      <c r="N2" s="10"/>
      <c r="O2" s="10"/>
      <c r="P2" s="11"/>
      <c r="Q2" s="28" t="s">
        <v>27</v>
      </c>
      <c r="R2" s="10"/>
      <c r="S2" s="10"/>
      <c r="T2" s="10"/>
      <c r="U2" s="11"/>
      <c r="V2" s="29" t="s">
        <v>8</v>
      </c>
      <c r="W2" s="10"/>
      <c r="X2" s="10"/>
      <c r="Y2" s="11"/>
      <c r="Z2" s="28" t="s">
        <v>16</v>
      </c>
      <c r="AA2" s="10"/>
      <c r="AB2" s="10"/>
      <c r="AC2" s="11"/>
      <c r="AD2" s="29" t="s">
        <v>8</v>
      </c>
      <c r="AE2" s="10"/>
      <c r="AF2" s="10"/>
      <c r="AG2" s="11"/>
      <c r="AH2" s="28"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30" t="s">
        <v>28</v>
      </c>
    </row>
    <row r="6" ht="19.5" customHeight="1" spans="1:37">
      <c r="C6" s="46" t="s">
        <v>29</v>
      </c>
    </row>
    <row r="7" ht="19.5" customHeight="1" spans="1:37">
      <c r="C7" s="46" t="s">
        <v>30</v>
      </c>
    </row>
    <row r="8" ht="19.5" customHeight="1" spans="1:37">
      <c r="C8" s="46" t="s">
        <v>31</v>
      </c>
    </row>
    <row r="9" ht="19.5" customHeight="1" spans="1:37">
      <c r="C9" s="46" t="s">
        <v>32</v>
      </c>
    </row>
    <row r="10" ht="19.5" customHeight="1" spans="1:37">
      <c r="C10" s="46" t="s">
        <v>33</v>
      </c>
    </row>
    <row r="11" ht="19.5" customHeight="1" spans="1:37">
      <c r="C11" s="46" t="s">
        <v>34</v>
      </c>
    </row>
    <row r="12" ht="19.5" customHeight="1" spans="1:37">
      <c r="C12" s="46" t="s">
        <v>35</v>
      </c>
    </row>
    <row r="14" ht="19.5" customHeight="1" spans="1:37">
      <c r="B14" s="30" t="s">
        <v>36</v>
      </c>
    </row>
    <row r="15" ht="19.5" customHeight="1" spans="1:37">
      <c r="C15" s="47" t="s">
        <v>37</v>
      </c>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row>
    <row r="17" ht="19.5" customHeight="1" spans="2:33">
      <c r="B17" s="30" t="s">
        <v>38</v>
      </c>
    </row>
    <row r="19" ht="22.5" customHeight="1" spans="2:33">
      <c r="C19" s="49" t="s">
        <v>39</v>
      </c>
      <c r="D19" s="27" t="s">
        <v>40</v>
      </c>
      <c r="E19" s="2"/>
      <c r="F19" s="2"/>
      <c r="G19" s="2"/>
      <c r="H19" s="2"/>
      <c r="I19" s="2"/>
      <c r="J19" s="2"/>
      <c r="K19" s="2"/>
      <c r="L19" s="2"/>
      <c r="M19" s="2"/>
      <c r="N19" s="3"/>
      <c r="O19" s="27" t="s">
        <v>41</v>
      </c>
      <c r="P19" s="2"/>
      <c r="Q19" s="2"/>
      <c r="R19" s="2"/>
      <c r="S19" s="2"/>
      <c r="T19" s="2"/>
      <c r="U19" s="2"/>
      <c r="V19" s="2"/>
      <c r="W19" s="2"/>
      <c r="X19" s="2"/>
      <c r="Y19" s="2"/>
      <c r="Z19" s="2"/>
      <c r="AA19" s="2"/>
      <c r="AB19" s="2"/>
      <c r="AC19" s="2"/>
      <c r="AD19" s="2"/>
      <c r="AE19" s="2"/>
      <c r="AF19" s="2"/>
      <c r="AG19" s="3"/>
    </row>
    <row r="20" ht="22.5" customHeight="1" spans="2:33">
      <c r="C20" s="43">
        <v>1</v>
      </c>
      <c r="D20" s="4" t="s">
        <v>42</v>
      </c>
      <c r="E20" s="2"/>
      <c r="F20" s="2"/>
      <c r="G20" s="2"/>
      <c r="H20" s="2"/>
      <c r="I20" s="2"/>
      <c r="J20" s="2"/>
      <c r="K20" s="2"/>
      <c r="L20" s="2"/>
      <c r="M20" s="2"/>
      <c r="N20" s="3"/>
      <c r="O20" s="4" t="s">
        <v>43</v>
      </c>
      <c r="P20" s="2"/>
      <c r="Q20" s="2"/>
      <c r="R20" s="2"/>
      <c r="S20" s="2"/>
      <c r="T20" s="2"/>
      <c r="U20" s="2"/>
      <c r="V20" s="2"/>
      <c r="W20" s="2"/>
      <c r="X20" s="2"/>
      <c r="Y20" s="2"/>
      <c r="Z20" s="2"/>
      <c r="AA20" s="2"/>
      <c r="AB20" s="2"/>
      <c r="AC20" s="2"/>
      <c r="AD20" s="2"/>
      <c r="AE20" s="2"/>
      <c r="AF20" s="2"/>
      <c r="AG20" s="3"/>
    </row>
    <row r="21" ht="22.5" customHeight="1" spans="2:33">
      <c r="C21" s="43">
        <v>2</v>
      </c>
      <c r="D21" s="4" t="s">
        <v>44</v>
      </c>
      <c r="E21" s="2"/>
      <c r="F21" s="2"/>
      <c r="G21" s="2"/>
      <c r="H21" s="2"/>
      <c r="I21" s="2"/>
      <c r="J21" s="2"/>
      <c r="K21" s="2"/>
      <c r="L21" s="2"/>
      <c r="M21" s="2"/>
      <c r="N21" s="3"/>
      <c r="O21" s="4" t="s">
        <v>45</v>
      </c>
      <c r="P21" s="2"/>
      <c r="Q21" s="2"/>
      <c r="R21" s="2"/>
      <c r="S21" s="2"/>
      <c r="T21" s="2"/>
      <c r="U21" s="2"/>
      <c r="V21" s="2"/>
      <c r="W21" s="2"/>
      <c r="X21" s="2"/>
      <c r="Y21" s="2"/>
      <c r="Z21" s="2"/>
      <c r="AA21" s="2"/>
      <c r="AB21" s="2"/>
      <c r="AC21" s="2"/>
      <c r="AD21" s="2"/>
      <c r="AE21" s="2"/>
      <c r="AF21" s="2"/>
      <c r="AG21" s="3"/>
    </row>
    <row r="22" ht="22.5" customHeight="1" spans="2:33">
      <c r="C22" s="43">
        <v>3</v>
      </c>
      <c r="D22" s="4" t="s">
        <v>46</v>
      </c>
      <c r="E22" s="2"/>
      <c r="F22" s="2"/>
      <c r="G22" s="2"/>
      <c r="H22" s="2"/>
      <c r="I22" s="2"/>
      <c r="J22" s="2"/>
      <c r="K22" s="2"/>
      <c r="L22" s="2"/>
      <c r="M22" s="2"/>
      <c r="N22" s="3"/>
      <c r="O22" s="4" t="s">
        <v>47</v>
      </c>
      <c r="P22" s="2"/>
      <c r="Q22" s="2"/>
      <c r="R22" s="2"/>
      <c r="S22" s="2"/>
      <c r="T22" s="2"/>
      <c r="U22" s="2"/>
      <c r="V22" s="2"/>
      <c r="W22" s="2"/>
      <c r="X22" s="2"/>
      <c r="Y22" s="2"/>
      <c r="Z22" s="2"/>
      <c r="AA22" s="2"/>
      <c r="AB22" s="2"/>
      <c r="AC22" s="2"/>
      <c r="AD22" s="2"/>
      <c r="AE22" s="2"/>
      <c r="AF22" s="2"/>
      <c r="AG22" s="3"/>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A1:I1"/>
    <mergeCell ref="J1:P1"/>
    <mergeCell ref="Q1:U1"/>
    <mergeCell ref="V1:Y1"/>
    <mergeCell ref="Z1:AC1"/>
    <mergeCell ref="AD1:AG1"/>
    <mergeCell ref="AH1:AK1"/>
    <mergeCell ref="B5:AK5"/>
    <mergeCell ref="C6:AK6"/>
    <mergeCell ref="C7:AK7"/>
    <mergeCell ref="C8:AK8"/>
    <mergeCell ref="C9:AK9"/>
    <mergeCell ref="C10:AK10"/>
    <mergeCell ref="C11:AK11"/>
    <mergeCell ref="C12:AK12"/>
    <mergeCell ref="B14:AK14"/>
    <mergeCell ref="C15:AK15"/>
    <mergeCell ref="B17:AK17"/>
    <mergeCell ref="D19:N19"/>
    <mergeCell ref="O19:AG19"/>
    <mergeCell ref="D20:N20"/>
    <mergeCell ref="O20:AG20"/>
    <mergeCell ref="D21:N21"/>
    <mergeCell ref="O21:AG21"/>
    <mergeCell ref="D22:N22"/>
    <mergeCell ref="O22:AG22"/>
    <mergeCell ref="A2:I3"/>
    <mergeCell ref="J2:P3"/>
    <mergeCell ref="Q2:U3"/>
    <mergeCell ref="V2:Y3"/>
    <mergeCell ref="Z2:AC3"/>
    <mergeCell ref="AD2:AG3"/>
    <mergeCell ref="AH2:AK3"/>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AH1"/>
    </sheetView>
  </sheetViews>
  <sheetFormatPr defaultColWidth="14.4285714285714" defaultRowHeight="15" customHeight="1"/>
  <cols>
    <col min="1" max="1" width="13" customWidth="1"/>
    <col min="2" max="34" width="5" customWidth="1"/>
  </cols>
  <sheetData>
    <row r="1" ht="28.5" customHeight="1" spans="1:34">
      <c r="A1" s="39" t="s">
        <v>48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row>
    <row r="3" ht="22.5" customHeight="1" spans="1:34">
      <c r="A3" s="16" t="s">
        <v>49</v>
      </c>
      <c r="B3" s="2"/>
      <c r="C3" s="2"/>
      <c r="D3" s="2"/>
      <c r="E3" s="2"/>
      <c r="F3" s="3"/>
      <c r="G3" s="4" t="s">
        <v>0</v>
      </c>
      <c r="H3" s="2"/>
      <c r="I3" s="2"/>
      <c r="J3" s="2"/>
      <c r="K3" s="2"/>
      <c r="L3" s="2"/>
      <c r="M3" s="2"/>
      <c r="N3" s="2"/>
      <c r="O3" s="3"/>
      <c r="P3" s="16" t="s">
        <v>50</v>
      </c>
      <c r="Q3" s="2"/>
      <c r="R3" s="2"/>
      <c r="S3" s="2"/>
      <c r="T3" s="2"/>
      <c r="U3" s="2"/>
      <c r="V3" s="2"/>
      <c r="W3" s="3"/>
      <c r="X3" s="4" t="s">
        <v>18</v>
      </c>
      <c r="Y3" s="2"/>
      <c r="Z3" s="2"/>
      <c r="AA3" s="2"/>
      <c r="AB3" s="2"/>
      <c r="AC3" s="2"/>
      <c r="AD3" s="2"/>
      <c r="AE3" s="2"/>
      <c r="AF3" s="2"/>
      <c r="AG3" s="2"/>
      <c r="AH3" s="3"/>
    </row>
    <row r="4" ht="22.5" customHeight="1" spans="1:34">
      <c r="A4" s="16" t="s">
        <v>11</v>
      </c>
      <c r="B4" s="2"/>
      <c r="C4" s="2"/>
      <c r="D4" s="2"/>
      <c r="E4" s="2"/>
      <c r="F4" s="3"/>
      <c r="G4" s="4" t="s">
        <v>16</v>
      </c>
      <c r="H4" s="2"/>
      <c r="I4" s="2"/>
      <c r="J4" s="2"/>
      <c r="K4" s="2"/>
      <c r="L4" s="2"/>
      <c r="M4" s="2"/>
      <c r="N4" s="2"/>
      <c r="O4" s="3"/>
      <c r="P4" s="16" t="s">
        <v>22</v>
      </c>
      <c r="Q4" s="2"/>
      <c r="R4" s="2"/>
      <c r="S4" s="2"/>
      <c r="T4" s="2"/>
      <c r="U4" s="2"/>
      <c r="V4" s="2"/>
      <c r="W4" s="3"/>
      <c r="X4" s="5" t="s">
        <v>8</v>
      </c>
      <c r="Y4" s="2"/>
      <c r="Z4" s="2"/>
      <c r="AA4" s="2"/>
      <c r="AB4" s="2"/>
      <c r="AC4" s="2"/>
      <c r="AD4" s="2"/>
      <c r="AE4" s="2"/>
      <c r="AF4" s="2"/>
      <c r="AG4" s="2"/>
      <c r="AH4" s="3"/>
    </row>
    <row r="6" ht="22.5" customHeight="1" spans="1:34">
      <c r="A6" s="40" t="s">
        <v>51</v>
      </c>
      <c r="B6" s="41" t="s">
        <v>52</v>
      </c>
      <c r="C6" s="10"/>
      <c r="D6" s="10"/>
      <c r="E6" s="10"/>
      <c r="F6" s="10"/>
      <c r="G6" s="11"/>
      <c r="H6" s="36" t="s">
        <v>53</v>
      </c>
      <c r="I6" s="2"/>
      <c r="J6" s="2"/>
      <c r="K6" s="2"/>
      <c r="L6" s="2"/>
      <c r="M6" s="2"/>
      <c r="N6" s="2"/>
      <c r="O6" s="2"/>
      <c r="P6" s="3"/>
      <c r="Q6" s="41" t="s">
        <v>54</v>
      </c>
      <c r="R6" s="10"/>
      <c r="S6" s="11"/>
      <c r="T6" s="36" t="s">
        <v>55</v>
      </c>
      <c r="U6" s="2"/>
      <c r="V6" s="2"/>
      <c r="W6" s="2"/>
      <c r="X6" s="2"/>
      <c r="Y6" s="2"/>
      <c r="Z6" s="2"/>
      <c r="AA6" s="2"/>
      <c r="AB6" s="2"/>
      <c r="AC6" s="2"/>
      <c r="AD6" s="2"/>
      <c r="AE6" s="2"/>
      <c r="AF6" s="2"/>
      <c r="AG6" s="2"/>
      <c r="AH6" s="3"/>
    </row>
    <row r="7" ht="22.5" customHeight="1" spans="1:34">
      <c r="A7" s="12"/>
      <c r="B7" s="13"/>
      <c r="C7" s="14"/>
      <c r="D7" s="14"/>
      <c r="E7" s="14"/>
      <c r="F7" s="14"/>
      <c r="G7" s="15"/>
      <c r="H7" s="36" t="s">
        <v>56</v>
      </c>
      <c r="I7" s="2"/>
      <c r="J7" s="3"/>
      <c r="K7" s="36" t="s">
        <v>57</v>
      </c>
      <c r="L7" s="2"/>
      <c r="M7" s="3"/>
      <c r="N7" s="36" t="s">
        <v>58</v>
      </c>
      <c r="O7" s="2"/>
      <c r="P7" s="3"/>
      <c r="Q7" s="13"/>
      <c r="R7" s="14"/>
      <c r="S7" s="15"/>
      <c r="T7" s="36" t="s">
        <v>59</v>
      </c>
      <c r="U7" s="2"/>
      <c r="V7" s="3"/>
      <c r="W7" s="36" t="s">
        <v>60</v>
      </c>
      <c r="X7" s="2"/>
      <c r="Y7" s="3"/>
      <c r="Z7" s="36" t="s">
        <v>61</v>
      </c>
      <c r="AA7" s="2"/>
      <c r="AB7" s="3"/>
      <c r="AC7" s="36" t="s">
        <v>62</v>
      </c>
      <c r="AD7" s="2"/>
      <c r="AE7" s="3"/>
      <c r="AF7" s="36" t="s">
        <v>63</v>
      </c>
      <c r="AG7" s="2"/>
      <c r="AH7" s="3"/>
    </row>
    <row r="8" ht="22.5" customHeight="1" spans="1:34">
      <c r="A8" s="42" t="s">
        <v>64</v>
      </c>
    </row>
    <row r="9" ht="22.5" customHeight="1" spans="1:34">
      <c r="A9" s="43">
        <v>1</v>
      </c>
      <c r="B9" s="4" t="s">
        <v>65</v>
      </c>
      <c r="C9" s="2"/>
      <c r="D9" s="2"/>
      <c r="E9" s="2"/>
      <c r="F9" s="2"/>
      <c r="G9" s="3"/>
      <c r="H9" s="6">
        <f ca="1" t="array" ref="H9">INDIRECT("'"&amp;$B9&amp;"'!H7",TRUE)</f>
        <v>30</v>
      </c>
      <c r="I9" s="2"/>
      <c r="J9" s="3"/>
      <c r="K9" s="6">
        <f ca="1" t="array" ref="K9">INDIRECT("'"&amp;$B9&amp;"'!K7",TRUE)</f>
        <v>38</v>
      </c>
      <c r="L9" s="2"/>
      <c r="M9" s="3"/>
      <c r="N9" s="6">
        <f ca="1" t="array" ref="N9">INDIRECT("'"&amp;$B9&amp;"'!N7",TRUE)</f>
        <v>0</v>
      </c>
      <c r="O9" s="2"/>
      <c r="P9" s="3"/>
      <c r="Q9" s="6">
        <f ca="1" t="array" ref="Q9">INDIRECT("'"&amp;$B9&amp;"'!Q7",TRUE)</f>
        <v>68</v>
      </c>
      <c r="R9" s="2"/>
      <c r="S9" s="3"/>
      <c r="T9" s="6">
        <f ca="1" t="array" ref="T9">INDIRECT("'"&amp;$B9&amp;"'!T7",TRUE)</f>
        <v>66</v>
      </c>
      <c r="U9" s="2"/>
      <c r="V9" s="3"/>
      <c r="W9" s="6">
        <f ca="1" t="array" ref="W9">INDIRECT("'"&amp;$B9&amp;"'!W7",TRUE)</f>
        <v>0</v>
      </c>
      <c r="X9" s="2"/>
      <c r="Y9" s="3"/>
      <c r="Z9" s="6">
        <f ca="1" t="array" ref="Z9">INDIRECT("'"&amp;$B9&amp;"'!Z7",TRUE)</f>
        <v>0</v>
      </c>
      <c r="AA9" s="2"/>
      <c r="AB9" s="3"/>
      <c r="AC9" s="6">
        <f ca="1" t="array" ref="AC9">INDIRECT("'"&amp;$B9&amp;"'!AC7",TRUE)</f>
        <v>2</v>
      </c>
      <c r="AD9" s="2"/>
      <c r="AE9" s="3"/>
      <c r="AF9" s="44">
        <f ca="1">IFERROR((T9+W9+AC9)/Q9,0)</f>
        <v>1</v>
      </c>
      <c r="AG9" s="2"/>
      <c r="AH9" s="3"/>
    </row>
    <row r="10" ht="22.5" customHeight="1" spans="1:34">
      <c r="A10" s="43">
        <v>2</v>
      </c>
      <c r="B10" s="4"/>
      <c r="C10" s="2"/>
      <c r="D10" s="2"/>
      <c r="E10" s="2"/>
      <c r="F10" s="2"/>
      <c r="G10" s="3"/>
      <c r="H10" s="6"/>
      <c r="I10" s="2"/>
      <c r="J10" s="3"/>
      <c r="K10" s="6"/>
      <c r="L10" s="2"/>
      <c r="M10" s="3"/>
      <c r="N10" s="6"/>
      <c r="O10" s="2"/>
      <c r="P10" s="3"/>
      <c r="Q10" s="6"/>
      <c r="R10" s="2"/>
      <c r="S10" s="3"/>
      <c r="T10" s="6"/>
      <c r="U10" s="2"/>
      <c r="V10" s="3"/>
      <c r="W10" s="6"/>
      <c r="X10" s="2"/>
      <c r="Y10" s="3"/>
      <c r="Z10" s="6"/>
      <c r="AA10" s="2"/>
      <c r="AB10" s="3"/>
      <c r="AC10" s="6"/>
      <c r="AD10" s="2"/>
      <c r="AE10" s="3"/>
      <c r="AF10" s="44"/>
      <c r="AG10" s="2"/>
      <c r="AH10" s="3"/>
    </row>
    <row r="11" ht="22.5" customHeight="1" spans="1:34">
      <c r="A11" s="43"/>
      <c r="B11" s="36" t="s">
        <v>54</v>
      </c>
      <c r="C11" s="2"/>
      <c r="D11" s="2"/>
      <c r="E11" s="2"/>
      <c r="F11" s="2"/>
      <c r="G11" s="3"/>
      <c r="H11" s="7">
        <f ca="1">SUM(H9:J10)</f>
        <v>30</v>
      </c>
      <c r="I11" s="2"/>
      <c r="J11" s="3"/>
      <c r="K11" s="7">
        <f ca="1">SUM(K9:M10)</f>
        <v>38</v>
      </c>
      <c r="L11" s="2"/>
      <c r="M11" s="3"/>
      <c r="N11" s="7">
        <f ca="1">SUM(N9:P10)</f>
        <v>0</v>
      </c>
      <c r="O11" s="2"/>
      <c r="P11" s="3"/>
      <c r="Q11" s="7">
        <f ca="1">SUM(Q9:S10)</f>
        <v>68</v>
      </c>
      <c r="R11" s="2"/>
      <c r="S11" s="3"/>
      <c r="T11" s="7">
        <f ca="1">SUM(T9:V10)</f>
        <v>66</v>
      </c>
      <c r="U11" s="2"/>
      <c r="V11" s="3"/>
      <c r="W11" s="7">
        <f ca="1">SUM(W9:Y10)</f>
        <v>0</v>
      </c>
      <c r="X11" s="2"/>
      <c r="Y11" s="3"/>
      <c r="Z11" s="7">
        <f ca="1">SUM(Z9:AB10)</f>
        <v>0</v>
      </c>
      <c r="AA11" s="2"/>
      <c r="AB11" s="3"/>
      <c r="AC11" s="7">
        <f ca="1">SUM(AC9:AE10)</f>
        <v>2</v>
      </c>
      <c r="AD11" s="2"/>
      <c r="AE11" s="3"/>
      <c r="AF11" s="45">
        <f ca="1">IFERROR((T11+W11+AC11)/Q11,0)</f>
        <v>1</v>
      </c>
      <c r="AG11" s="2"/>
      <c r="AH11" s="3"/>
    </row>
    <row r="12" ht="22.5" customHeight="1" spans="1:34">
      <c r="A12" s="42" t="s">
        <v>66</v>
      </c>
    </row>
    <row r="13" ht="22.5" customHeight="1" spans="1:34">
      <c r="A13" s="43">
        <v>1</v>
      </c>
      <c r="B13" s="4" t="s">
        <v>65</v>
      </c>
      <c r="C13" s="2"/>
      <c r="D13" s="2"/>
      <c r="E13" s="2"/>
      <c r="F13" s="2"/>
      <c r="G13" s="3"/>
      <c r="H13" s="6">
        <f ca="1" t="array" ref="H13">INDIRECT("'"&amp;$B13&amp;"'!H8",TRUE)</f>
        <v>30</v>
      </c>
      <c r="I13" s="2"/>
      <c r="J13" s="3"/>
      <c r="K13" s="6">
        <f ca="1" t="array" ref="K13">INDIRECT("'"&amp;$B13&amp;"'!K8",TRUE)</f>
        <v>38</v>
      </c>
      <c r="L13" s="2"/>
      <c r="M13" s="3"/>
      <c r="N13" s="6">
        <f ca="1" t="array" ref="N13">INDIRECT("'"&amp;$B13&amp;"'!N8",TRUE)</f>
        <v>0</v>
      </c>
      <c r="O13" s="2"/>
      <c r="P13" s="3"/>
      <c r="Q13" s="6">
        <f ca="1" t="array" ref="Q13">INDIRECT("'"&amp;$B13&amp;"'!Q8",TRUE)</f>
        <v>68</v>
      </c>
      <c r="R13" s="2"/>
      <c r="S13" s="3"/>
      <c r="T13" s="6">
        <f ca="1" t="array" ref="T13">INDIRECT("'"&amp;$B13&amp;"'!T8",TRUE)</f>
        <v>66</v>
      </c>
      <c r="U13" s="2"/>
      <c r="V13" s="3"/>
      <c r="W13" s="6">
        <f ca="1" t="array" ref="W13">INDIRECT("'"&amp;$B13&amp;"'!W8",TRUE)</f>
        <v>0</v>
      </c>
      <c r="X13" s="2"/>
      <c r="Y13" s="3"/>
      <c r="Z13" s="6">
        <f ca="1" t="array" ref="Z13">INDIRECT("'"&amp;$B13&amp;"'!Z8",TRUE)</f>
        <v>0</v>
      </c>
      <c r="AA13" s="2"/>
      <c r="AB13" s="3"/>
      <c r="AC13" s="6">
        <f ca="1" t="array" ref="AC13">INDIRECT("'"&amp;$B13&amp;"'!AC8",TRUE)</f>
        <v>2</v>
      </c>
      <c r="AD13" s="2"/>
      <c r="AE13" s="3"/>
      <c r="AF13" s="44">
        <f ca="1">IFERROR((T13+W13+AC13)/Q13,0)</f>
        <v>1</v>
      </c>
      <c r="AG13" s="2"/>
      <c r="AH13" s="3"/>
    </row>
    <row r="14" ht="22.5" customHeight="1" spans="1:34">
      <c r="A14" s="43">
        <v>2</v>
      </c>
      <c r="B14" s="4"/>
      <c r="C14" s="2"/>
      <c r="D14" s="2"/>
      <c r="E14" s="2"/>
      <c r="F14" s="2"/>
      <c r="G14" s="3"/>
      <c r="H14" s="6"/>
      <c r="I14" s="2"/>
      <c r="J14" s="3"/>
      <c r="K14" s="6"/>
      <c r="L14" s="2"/>
      <c r="M14" s="3"/>
      <c r="N14" s="6"/>
      <c r="O14" s="2"/>
      <c r="P14" s="3"/>
      <c r="Q14" s="6"/>
      <c r="R14" s="2"/>
      <c r="S14" s="3"/>
      <c r="T14" s="6"/>
      <c r="U14" s="2"/>
      <c r="V14" s="3"/>
      <c r="W14" s="6"/>
      <c r="X14" s="2"/>
      <c r="Y14" s="3"/>
      <c r="Z14" s="6"/>
      <c r="AA14" s="2"/>
      <c r="AB14" s="3"/>
      <c r="AC14" s="6"/>
      <c r="AD14" s="2"/>
      <c r="AE14" s="3"/>
      <c r="AF14" s="44"/>
      <c r="AG14" s="2"/>
      <c r="AH14" s="3"/>
    </row>
    <row r="15" ht="22.5" customHeight="1" spans="1:34">
      <c r="A15" s="43"/>
      <c r="B15" s="36" t="s">
        <v>54</v>
      </c>
      <c r="C15" s="2"/>
      <c r="D15" s="2"/>
      <c r="E15" s="2"/>
      <c r="F15" s="2"/>
      <c r="G15" s="3"/>
      <c r="H15" s="7">
        <f ca="1">SUM(H13:J14)</f>
        <v>30</v>
      </c>
      <c r="I15" s="2"/>
      <c r="J15" s="3"/>
      <c r="K15" s="7">
        <f ca="1">SUM(K13:M14)</f>
        <v>38</v>
      </c>
      <c r="L15" s="2"/>
      <c r="M15" s="3"/>
      <c r="N15" s="7">
        <f ca="1">SUM(N13:P14)</f>
        <v>0</v>
      </c>
      <c r="O15" s="2"/>
      <c r="P15" s="3"/>
      <c r="Q15" s="7">
        <f ca="1">SUM(Q13:S14)</f>
        <v>68</v>
      </c>
      <c r="R15" s="2"/>
      <c r="S15" s="3"/>
      <c r="T15" s="7">
        <f ca="1">SUM(T13:V14)</f>
        <v>66</v>
      </c>
      <c r="U15" s="2"/>
      <c r="V15" s="3"/>
      <c r="W15" s="7">
        <f ca="1">SUM(W13:Y14)</f>
        <v>0</v>
      </c>
      <c r="X15" s="2"/>
      <c r="Y15" s="3"/>
      <c r="Z15" s="7">
        <f ca="1">SUM(Z13:AB14)</f>
        <v>0</v>
      </c>
      <c r="AA15" s="2"/>
      <c r="AB15" s="3"/>
      <c r="AC15" s="7">
        <f ca="1">SUM(AC13:AE14)</f>
        <v>2</v>
      </c>
      <c r="AD15" s="2"/>
      <c r="AE15" s="3"/>
      <c r="AF15" s="45">
        <f ca="1">IFERROR((T15+W15+AC15)/Q15,0)</f>
        <v>1</v>
      </c>
      <c r="AG15" s="2"/>
      <c r="AH1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A1:AH1"/>
    <mergeCell ref="A3:F3"/>
    <mergeCell ref="G3:O3"/>
    <mergeCell ref="P3:W3"/>
    <mergeCell ref="X3:AH3"/>
    <mergeCell ref="A4:F4"/>
    <mergeCell ref="G4:O4"/>
    <mergeCell ref="P4:W4"/>
    <mergeCell ref="X4:AH4"/>
    <mergeCell ref="H6:P6"/>
    <mergeCell ref="T6:AH6"/>
    <mergeCell ref="H7:J7"/>
    <mergeCell ref="K7:M7"/>
    <mergeCell ref="N7:P7"/>
    <mergeCell ref="T7:V7"/>
    <mergeCell ref="W7:Y7"/>
    <mergeCell ref="Z7:AB7"/>
    <mergeCell ref="AC7:AE7"/>
    <mergeCell ref="AF7:AH7"/>
    <mergeCell ref="B9:G9"/>
    <mergeCell ref="H9:J9"/>
    <mergeCell ref="K9:M9"/>
    <mergeCell ref="N9:P9"/>
    <mergeCell ref="Q9:S9"/>
    <mergeCell ref="T9:V9"/>
    <mergeCell ref="W9:Y9"/>
    <mergeCell ref="Z9:AB9"/>
    <mergeCell ref="AC9:AE9"/>
    <mergeCell ref="AF9:AH9"/>
    <mergeCell ref="B10:G10"/>
    <mergeCell ref="H10:J10"/>
    <mergeCell ref="K10:M10"/>
    <mergeCell ref="N10:P10"/>
    <mergeCell ref="Q10:S10"/>
    <mergeCell ref="T10:V10"/>
    <mergeCell ref="W10:Y10"/>
    <mergeCell ref="Z10:AB10"/>
    <mergeCell ref="AC10:AE10"/>
    <mergeCell ref="AF10:AH10"/>
    <mergeCell ref="B11:G11"/>
    <mergeCell ref="H11:J11"/>
    <mergeCell ref="K11:M11"/>
    <mergeCell ref="N11:P11"/>
    <mergeCell ref="Q11:S11"/>
    <mergeCell ref="T11:V11"/>
    <mergeCell ref="W11:Y11"/>
    <mergeCell ref="Z11:AB11"/>
    <mergeCell ref="AC11:AE11"/>
    <mergeCell ref="AF11:AH11"/>
    <mergeCell ref="B13:G13"/>
    <mergeCell ref="H13:J13"/>
    <mergeCell ref="K13:M13"/>
    <mergeCell ref="N13:P13"/>
    <mergeCell ref="Q13:S13"/>
    <mergeCell ref="T13:V13"/>
    <mergeCell ref="W13:Y13"/>
    <mergeCell ref="Z13:AB13"/>
    <mergeCell ref="AC13:AE13"/>
    <mergeCell ref="AF13:AH13"/>
    <mergeCell ref="B14:G14"/>
    <mergeCell ref="H14:J14"/>
    <mergeCell ref="K14:M14"/>
    <mergeCell ref="N14:P14"/>
    <mergeCell ref="Q14:S14"/>
    <mergeCell ref="T14:V14"/>
    <mergeCell ref="W14:Y14"/>
    <mergeCell ref="Z14:AB14"/>
    <mergeCell ref="AC14:AE14"/>
    <mergeCell ref="AF14:AH14"/>
    <mergeCell ref="B15:G15"/>
    <mergeCell ref="H15:J15"/>
    <mergeCell ref="K15:M15"/>
    <mergeCell ref="N15:P15"/>
    <mergeCell ref="Q15:S15"/>
    <mergeCell ref="T15:V15"/>
    <mergeCell ref="W15:Y15"/>
    <mergeCell ref="Z15:AB15"/>
    <mergeCell ref="AC15:AE15"/>
    <mergeCell ref="AF15:AH15"/>
    <mergeCell ref="A6:A7"/>
    <mergeCell ref="B6:G7"/>
    <mergeCell ref="Q6:S7"/>
  </mergeCells>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7" t="s">
        <v>19</v>
      </c>
      <c r="B1" s="2"/>
      <c r="C1" s="2"/>
      <c r="D1" s="2"/>
      <c r="E1" s="2"/>
      <c r="F1" s="2"/>
      <c r="G1" s="2"/>
      <c r="H1" s="2"/>
      <c r="I1" s="3"/>
      <c r="J1" s="27" t="s">
        <v>20</v>
      </c>
      <c r="K1" s="2"/>
      <c r="L1" s="2"/>
      <c r="M1" s="2"/>
      <c r="N1" s="2"/>
      <c r="O1" s="2"/>
      <c r="P1" s="3"/>
      <c r="Q1" s="27" t="s">
        <v>21</v>
      </c>
      <c r="R1" s="2"/>
      <c r="S1" s="2"/>
      <c r="T1" s="2"/>
      <c r="U1" s="3"/>
      <c r="V1" s="27" t="s">
        <v>22</v>
      </c>
      <c r="W1" s="2"/>
      <c r="X1" s="2"/>
      <c r="Y1" s="3"/>
      <c r="Z1" s="27" t="s">
        <v>23</v>
      </c>
      <c r="AA1" s="2"/>
      <c r="AB1" s="2"/>
      <c r="AC1" s="3"/>
      <c r="AD1" s="27" t="s">
        <v>24</v>
      </c>
      <c r="AE1" s="2"/>
      <c r="AF1" s="2"/>
      <c r="AG1" s="3"/>
      <c r="AH1" s="27" t="s">
        <v>25</v>
      </c>
      <c r="AI1" s="2"/>
      <c r="AJ1" s="2"/>
      <c r="AK1" s="3"/>
    </row>
    <row r="2" ht="19.5" customHeight="1" spans="1:37">
      <c r="A2" s="28" t="s">
        <v>0</v>
      </c>
      <c r="B2" s="10"/>
      <c r="C2" s="10"/>
      <c r="D2" s="10"/>
      <c r="E2" s="10"/>
      <c r="F2" s="10"/>
      <c r="G2" s="10"/>
      <c r="H2" s="10"/>
      <c r="I2" s="11"/>
      <c r="J2" s="28" t="s">
        <v>26</v>
      </c>
      <c r="K2" s="10"/>
      <c r="L2" s="10"/>
      <c r="M2" s="10"/>
      <c r="N2" s="10"/>
      <c r="O2" s="10"/>
      <c r="P2" s="11"/>
      <c r="Q2" s="28" t="s">
        <v>67</v>
      </c>
      <c r="R2" s="10"/>
      <c r="S2" s="10"/>
      <c r="T2" s="10"/>
      <c r="U2" s="11"/>
      <c r="V2" s="29" t="s">
        <v>8</v>
      </c>
      <c r="W2" s="10"/>
      <c r="X2" s="10"/>
      <c r="Y2" s="11"/>
      <c r="Z2" s="28" t="s">
        <v>16</v>
      </c>
      <c r="AA2" s="10"/>
      <c r="AB2" s="10"/>
      <c r="AC2" s="11"/>
      <c r="AD2" s="29" t="s">
        <v>8</v>
      </c>
      <c r="AE2" s="10"/>
      <c r="AF2" s="10"/>
      <c r="AG2" s="11"/>
      <c r="AH2" s="28"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30" t="s">
        <v>68</v>
      </c>
    </row>
    <row r="7" ht="28.5" customHeight="1" spans="1:37">
      <c r="B7" s="31" t="s">
        <v>51</v>
      </c>
      <c r="C7" s="1" t="s">
        <v>69</v>
      </c>
      <c r="D7" s="2"/>
      <c r="E7" s="3"/>
      <c r="F7" s="1" t="s">
        <v>70</v>
      </c>
      <c r="G7" s="2"/>
      <c r="H7" s="2"/>
      <c r="I7" s="2"/>
      <c r="J7" s="2"/>
      <c r="K7" s="2"/>
      <c r="L7" s="3"/>
      <c r="M7" s="1" t="s">
        <v>71</v>
      </c>
      <c r="N7" s="2"/>
      <c r="O7" s="2"/>
      <c r="P7" s="2"/>
      <c r="Q7" s="2"/>
      <c r="R7" s="2"/>
      <c r="S7" s="2"/>
      <c r="T7" s="3"/>
      <c r="U7" s="1" t="s">
        <v>72</v>
      </c>
      <c r="V7" s="3"/>
      <c r="W7" s="1" t="s">
        <v>73</v>
      </c>
      <c r="X7" s="2"/>
      <c r="Y7" s="2"/>
      <c r="Z7" s="2"/>
      <c r="AA7" s="2"/>
      <c r="AB7" s="2"/>
      <c r="AC7" s="3"/>
      <c r="AD7" s="1" t="s">
        <v>74</v>
      </c>
      <c r="AE7" s="2"/>
      <c r="AF7" s="3"/>
    </row>
    <row r="8" ht="30" customHeight="1" spans="1:37">
      <c r="B8" s="17">
        <v>1</v>
      </c>
      <c r="C8" s="19" t="s">
        <v>75</v>
      </c>
      <c r="D8" s="2"/>
      <c r="E8" s="3"/>
      <c r="F8" s="18" t="s">
        <v>76</v>
      </c>
      <c r="G8" s="2"/>
      <c r="H8" s="2"/>
      <c r="I8" s="2"/>
      <c r="J8" s="2"/>
      <c r="K8" s="2"/>
      <c r="L8" s="3"/>
      <c r="M8" s="18" t="s">
        <v>77</v>
      </c>
      <c r="N8" s="2"/>
      <c r="O8" s="2"/>
      <c r="P8" s="2"/>
      <c r="Q8" s="2"/>
      <c r="R8" s="2"/>
      <c r="S8" s="2"/>
      <c r="T8" s="3"/>
      <c r="U8" s="32" t="s">
        <v>78</v>
      </c>
      <c r="V8" s="3"/>
      <c r="W8" s="18" t="s">
        <v>79</v>
      </c>
      <c r="X8" s="2"/>
      <c r="Y8" s="2"/>
      <c r="Z8" s="2"/>
      <c r="AA8" s="2"/>
      <c r="AB8" s="2"/>
      <c r="AC8" s="3"/>
      <c r="AD8" s="19">
        <v>265</v>
      </c>
      <c r="AE8" s="2"/>
      <c r="AF8" s="3"/>
    </row>
    <row r="9" ht="30" customHeight="1" spans="1:37">
      <c r="B9" s="17">
        <v>2</v>
      </c>
      <c r="C9" s="19" t="s">
        <v>80</v>
      </c>
      <c r="D9" s="2"/>
      <c r="E9" s="3"/>
      <c r="F9" s="18" t="s">
        <v>76</v>
      </c>
      <c r="G9" s="2"/>
      <c r="H9" s="2"/>
      <c r="I9" s="2"/>
      <c r="J9" s="2"/>
      <c r="K9" s="2"/>
      <c r="L9" s="3"/>
      <c r="M9" s="18" t="s">
        <v>81</v>
      </c>
      <c r="N9" s="2"/>
      <c r="O9" s="2"/>
      <c r="P9" s="2"/>
      <c r="Q9" s="2"/>
      <c r="R9" s="2"/>
      <c r="S9" s="2"/>
      <c r="T9" s="3"/>
      <c r="U9" s="32" t="s">
        <v>78</v>
      </c>
      <c r="V9" s="3"/>
      <c r="W9" s="18" t="s">
        <v>82</v>
      </c>
      <c r="X9" s="2"/>
      <c r="Y9" s="2"/>
      <c r="Z9" s="2"/>
      <c r="AA9" s="2"/>
      <c r="AB9" s="2"/>
      <c r="AC9" s="3"/>
      <c r="AD9" s="19">
        <v>200</v>
      </c>
      <c r="AE9" s="2"/>
      <c r="AF9" s="3"/>
    </row>
    <row r="10" ht="36" customHeight="1" spans="1:37">
      <c r="B10" s="17">
        <v>3</v>
      </c>
      <c r="C10" s="19" t="s">
        <v>83</v>
      </c>
      <c r="D10" s="2"/>
      <c r="E10" s="3"/>
      <c r="F10" s="18" t="s">
        <v>76</v>
      </c>
      <c r="G10" s="2"/>
      <c r="H10" s="2"/>
      <c r="I10" s="2"/>
      <c r="J10" s="2"/>
      <c r="K10" s="2"/>
      <c r="L10" s="3"/>
      <c r="M10" s="18" t="s">
        <v>84</v>
      </c>
      <c r="N10" s="2"/>
      <c r="O10" s="2"/>
      <c r="P10" s="2"/>
      <c r="Q10" s="2"/>
      <c r="R10" s="2"/>
      <c r="S10" s="2"/>
      <c r="T10" s="3"/>
      <c r="U10" s="32" t="s">
        <v>78</v>
      </c>
      <c r="V10" s="3"/>
      <c r="W10" s="18" t="s">
        <v>85</v>
      </c>
      <c r="X10" s="2"/>
      <c r="Y10" s="2"/>
      <c r="Z10" s="2"/>
      <c r="AA10" s="2"/>
      <c r="AB10" s="2"/>
      <c r="AC10" s="3"/>
      <c r="AD10" s="19">
        <v>50</v>
      </c>
      <c r="AE10" s="2"/>
      <c r="AF10" s="3"/>
    </row>
    <row r="11" ht="30" customHeight="1" spans="1:37">
      <c r="B11" s="17">
        <v>4</v>
      </c>
      <c r="C11" s="19" t="s">
        <v>86</v>
      </c>
      <c r="D11" s="2"/>
      <c r="E11" s="3"/>
      <c r="F11" s="18" t="s">
        <v>76</v>
      </c>
      <c r="G11" s="2"/>
      <c r="H11" s="2"/>
      <c r="I11" s="2"/>
      <c r="J11" s="2"/>
      <c r="K11" s="2"/>
      <c r="L11" s="3"/>
      <c r="M11" s="18" t="s">
        <v>87</v>
      </c>
      <c r="N11" s="2"/>
      <c r="O11" s="2"/>
      <c r="P11" s="2"/>
      <c r="Q11" s="2"/>
      <c r="R11" s="2"/>
      <c r="S11" s="2"/>
      <c r="T11" s="3"/>
      <c r="U11" s="32" t="s">
        <v>78</v>
      </c>
      <c r="V11" s="3"/>
      <c r="W11" s="18" t="s">
        <v>79</v>
      </c>
      <c r="X11" s="2"/>
      <c r="Y11" s="2"/>
      <c r="Z11" s="2"/>
      <c r="AA11" s="2"/>
      <c r="AB11" s="2"/>
      <c r="AC11" s="3"/>
      <c r="AD11" s="19">
        <v>75</v>
      </c>
      <c r="AE11" s="2"/>
      <c r="AF11" s="3"/>
    </row>
    <row r="12" ht="30" customHeight="1" spans="1:37">
      <c r="B12" s="17">
        <v>5</v>
      </c>
      <c r="C12" s="19" t="s">
        <v>88</v>
      </c>
      <c r="D12" s="2"/>
      <c r="E12" s="3"/>
      <c r="F12" s="18" t="s">
        <v>76</v>
      </c>
      <c r="G12" s="2"/>
      <c r="H12" s="2"/>
      <c r="I12" s="2"/>
      <c r="J12" s="2"/>
      <c r="K12" s="2"/>
      <c r="L12" s="3"/>
      <c r="M12" s="18" t="s">
        <v>89</v>
      </c>
      <c r="N12" s="2"/>
      <c r="O12" s="2"/>
      <c r="P12" s="2"/>
      <c r="Q12" s="2"/>
      <c r="R12" s="2"/>
      <c r="S12" s="2"/>
      <c r="T12" s="3"/>
      <c r="U12" s="32" t="s">
        <v>78</v>
      </c>
      <c r="V12" s="3"/>
      <c r="W12" s="18" t="s">
        <v>90</v>
      </c>
      <c r="X12" s="2"/>
      <c r="Y12" s="2"/>
      <c r="Z12" s="2"/>
      <c r="AA12" s="2"/>
      <c r="AB12" s="2"/>
      <c r="AC12" s="3"/>
      <c r="AD12" s="19">
        <v>30</v>
      </c>
      <c r="AE12" s="2"/>
      <c r="AF12" s="3"/>
    </row>
    <row r="13" ht="30" customHeight="1" spans="1:37">
      <c r="B13" s="17">
        <v>6</v>
      </c>
      <c r="C13" s="19" t="s">
        <v>91</v>
      </c>
      <c r="D13" s="2"/>
      <c r="E13" s="3"/>
      <c r="F13" s="18" t="s">
        <v>76</v>
      </c>
      <c r="G13" s="2"/>
      <c r="H13" s="2"/>
      <c r="I13" s="2"/>
      <c r="J13" s="2"/>
      <c r="K13" s="2"/>
      <c r="L13" s="3"/>
      <c r="M13" s="18" t="s">
        <v>92</v>
      </c>
      <c r="N13" s="2"/>
      <c r="O13" s="2"/>
      <c r="P13" s="2"/>
      <c r="Q13" s="2"/>
      <c r="R13" s="2"/>
      <c r="S13" s="2"/>
      <c r="T13" s="3"/>
      <c r="U13" s="32" t="s">
        <v>78</v>
      </c>
      <c r="V13" s="3"/>
      <c r="W13" s="18" t="s">
        <v>93</v>
      </c>
      <c r="X13" s="2"/>
      <c r="Y13" s="2"/>
      <c r="Z13" s="2"/>
      <c r="AA13" s="2"/>
      <c r="AB13" s="2"/>
      <c r="AC13" s="3"/>
      <c r="AD13" s="19">
        <v>50</v>
      </c>
      <c r="AE13" s="2"/>
      <c r="AF13" s="3"/>
    </row>
    <row r="14" ht="30" customHeight="1" spans="1:37">
      <c r="B14" s="17">
        <v>7</v>
      </c>
      <c r="C14" s="19" t="s">
        <v>94</v>
      </c>
      <c r="D14" s="2"/>
      <c r="E14" s="3"/>
      <c r="F14" s="18" t="s">
        <v>76</v>
      </c>
      <c r="G14" s="2"/>
      <c r="H14" s="2"/>
      <c r="I14" s="2"/>
      <c r="J14" s="2"/>
      <c r="K14" s="2"/>
      <c r="L14" s="3"/>
      <c r="M14" s="18" t="s">
        <v>95</v>
      </c>
      <c r="N14" s="2"/>
      <c r="O14" s="2"/>
      <c r="P14" s="2"/>
      <c r="Q14" s="2"/>
      <c r="R14" s="2"/>
      <c r="S14" s="2"/>
      <c r="T14" s="3"/>
      <c r="U14" s="32" t="s">
        <v>78</v>
      </c>
      <c r="V14" s="3"/>
      <c r="W14" s="18" t="s">
        <v>90</v>
      </c>
      <c r="X14" s="2"/>
      <c r="Y14" s="2"/>
      <c r="Z14" s="2"/>
      <c r="AA14" s="2"/>
      <c r="AB14" s="2"/>
      <c r="AC14" s="3"/>
      <c r="AD14" s="19">
        <v>10</v>
      </c>
      <c r="AE14" s="2"/>
      <c r="AF14" s="3"/>
    </row>
    <row r="15" ht="30" customHeight="1" spans="1:37">
      <c r="B15" s="17">
        <v>8</v>
      </c>
      <c r="C15" s="19" t="s">
        <v>96</v>
      </c>
      <c r="D15" s="2"/>
      <c r="E15" s="3"/>
      <c r="F15" s="18" t="s">
        <v>76</v>
      </c>
      <c r="G15" s="2"/>
      <c r="H15" s="2"/>
      <c r="I15" s="2"/>
      <c r="J15" s="2"/>
      <c r="K15" s="2"/>
      <c r="L15" s="3"/>
      <c r="M15" s="18" t="s">
        <v>97</v>
      </c>
      <c r="N15" s="2"/>
      <c r="O15" s="2"/>
      <c r="P15" s="2"/>
      <c r="Q15" s="2"/>
      <c r="R15" s="2"/>
      <c r="S15" s="2"/>
      <c r="T15" s="3"/>
      <c r="U15" s="33" t="s">
        <v>98</v>
      </c>
      <c r="V15" s="3"/>
      <c r="W15" s="18" t="s">
        <v>99</v>
      </c>
      <c r="X15" s="2"/>
      <c r="Y15" s="2"/>
      <c r="Z15" s="2"/>
      <c r="AA15" s="2"/>
      <c r="AB15" s="2"/>
      <c r="AC15" s="3"/>
      <c r="AD15" s="19">
        <v>20</v>
      </c>
      <c r="AE15" s="2"/>
      <c r="AF15" s="3"/>
    </row>
    <row r="16" ht="30" customHeight="1" spans="1:37">
      <c r="B16" s="17">
        <v>9</v>
      </c>
      <c r="C16" s="19" t="s">
        <v>100</v>
      </c>
      <c r="D16" s="2"/>
      <c r="E16" s="3"/>
      <c r="F16" s="18" t="s">
        <v>76</v>
      </c>
      <c r="G16" s="2"/>
      <c r="H16" s="2"/>
      <c r="I16" s="2"/>
      <c r="J16" s="2"/>
      <c r="K16" s="2"/>
      <c r="L16" s="3"/>
      <c r="M16" s="18" t="s">
        <v>101</v>
      </c>
      <c r="N16" s="2"/>
      <c r="O16" s="2"/>
      <c r="P16" s="2"/>
      <c r="Q16" s="2"/>
      <c r="R16" s="2"/>
      <c r="S16" s="2"/>
      <c r="T16" s="3"/>
      <c r="U16" s="32" t="s">
        <v>78</v>
      </c>
      <c r="V16" s="3"/>
      <c r="W16" s="18" t="s">
        <v>102</v>
      </c>
      <c r="X16" s="2"/>
      <c r="Y16" s="2"/>
      <c r="Z16" s="2"/>
      <c r="AA16" s="2"/>
      <c r="AB16" s="2"/>
      <c r="AC16" s="3"/>
      <c r="AD16" s="19">
        <v>8</v>
      </c>
      <c r="AE16" s="2"/>
      <c r="AF16" s="3"/>
    </row>
    <row r="17" ht="30" customHeight="1" spans="2:32">
      <c r="B17" s="17">
        <v>10</v>
      </c>
      <c r="C17" s="19" t="s">
        <v>103</v>
      </c>
      <c r="D17" s="2"/>
      <c r="E17" s="3"/>
      <c r="F17" s="18" t="s">
        <v>76</v>
      </c>
      <c r="G17" s="2"/>
      <c r="H17" s="2"/>
      <c r="I17" s="2"/>
      <c r="J17" s="2"/>
      <c r="K17" s="2"/>
      <c r="L17" s="3"/>
      <c r="M17" s="18" t="s">
        <v>104</v>
      </c>
      <c r="N17" s="2"/>
      <c r="O17" s="2"/>
      <c r="P17" s="2"/>
      <c r="Q17" s="2"/>
      <c r="R17" s="2"/>
      <c r="S17" s="2"/>
      <c r="T17" s="3"/>
      <c r="U17" s="32" t="s">
        <v>78</v>
      </c>
      <c r="V17" s="3"/>
      <c r="W17" s="18" t="s">
        <v>105</v>
      </c>
      <c r="X17" s="2"/>
      <c r="Y17" s="2"/>
      <c r="Z17" s="2"/>
      <c r="AA17" s="2"/>
      <c r="AB17" s="2"/>
      <c r="AC17" s="3"/>
      <c r="AD17" s="19">
        <v>30</v>
      </c>
      <c r="AE17" s="2"/>
      <c r="AF17" s="3"/>
    </row>
    <row r="18" ht="30" customHeight="1" spans="2:32">
      <c r="B18" s="17">
        <v>11</v>
      </c>
      <c r="C18" s="19" t="s">
        <v>106</v>
      </c>
      <c r="D18" s="2"/>
      <c r="E18" s="3"/>
      <c r="F18" s="18" t="s">
        <v>107</v>
      </c>
      <c r="G18" s="2"/>
      <c r="H18" s="2"/>
      <c r="I18" s="2"/>
      <c r="J18" s="2"/>
      <c r="K18" s="2"/>
      <c r="L18" s="3"/>
      <c r="M18" s="18" t="s">
        <v>108</v>
      </c>
      <c r="N18" s="2"/>
      <c r="O18" s="2"/>
      <c r="P18" s="2"/>
      <c r="Q18" s="2"/>
      <c r="R18" s="2"/>
      <c r="S18" s="2"/>
      <c r="T18" s="3"/>
      <c r="U18" s="33" t="s">
        <v>98</v>
      </c>
      <c r="V18" s="3"/>
      <c r="W18" s="18" t="s">
        <v>109</v>
      </c>
      <c r="X18" s="2"/>
      <c r="Y18" s="2"/>
      <c r="Z18" s="2"/>
      <c r="AA18" s="2"/>
      <c r="AB18" s="2"/>
      <c r="AC18" s="3"/>
      <c r="AD18" s="19">
        <v>100</v>
      </c>
      <c r="AE18" s="2"/>
      <c r="AF18" s="3"/>
    </row>
    <row r="19" ht="30" customHeight="1" spans="2:32">
      <c r="B19" s="17">
        <v>12</v>
      </c>
      <c r="C19" s="19" t="s">
        <v>110</v>
      </c>
      <c r="D19" s="2"/>
      <c r="E19" s="3"/>
      <c r="F19" s="18" t="s">
        <v>107</v>
      </c>
      <c r="G19" s="2"/>
      <c r="H19" s="2"/>
      <c r="I19" s="2"/>
      <c r="J19" s="2"/>
      <c r="K19" s="2"/>
      <c r="L19" s="3"/>
      <c r="M19" s="18" t="s">
        <v>111</v>
      </c>
      <c r="N19" s="2"/>
      <c r="O19" s="2"/>
      <c r="P19" s="2"/>
      <c r="Q19" s="2"/>
      <c r="R19" s="2"/>
      <c r="S19" s="2"/>
      <c r="T19" s="3"/>
      <c r="U19" s="33" t="s">
        <v>98</v>
      </c>
      <c r="V19" s="3"/>
      <c r="W19" s="18" t="s">
        <v>109</v>
      </c>
      <c r="X19" s="2"/>
      <c r="Y19" s="2"/>
      <c r="Z19" s="2"/>
      <c r="AA19" s="2"/>
      <c r="AB19" s="2"/>
      <c r="AC19" s="3"/>
      <c r="AD19" s="19">
        <v>80</v>
      </c>
      <c r="AE19" s="2"/>
      <c r="AF19" s="3"/>
    </row>
    <row r="20" ht="30" customHeight="1" spans="2:32">
      <c r="B20" s="17">
        <v>13</v>
      </c>
      <c r="C20" s="19" t="s">
        <v>112</v>
      </c>
      <c r="D20" s="2"/>
      <c r="E20" s="3"/>
      <c r="F20" s="18" t="s">
        <v>107</v>
      </c>
      <c r="G20" s="2"/>
      <c r="H20" s="2"/>
      <c r="I20" s="2"/>
      <c r="J20" s="2"/>
      <c r="K20" s="2"/>
      <c r="L20" s="3"/>
      <c r="M20" s="18" t="s">
        <v>113</v>
      </c>
      <c r="N20" s="2"/>
      <c r="O20" s="2"/>
      <c r="P20" s="2"/>
      <c r="Q20" s="2"/>
      <c r="R20" s="2"/>
      <c r="S20" s="2"/>
      <c r="T20" s="3"/>
      <c r="U20" s="33" t="s">
        <v>98</v>
      </c>
      <c r="V20" s="3"/>
      <c r="W20" s="18" t="s">
        <v>93</v>
      </c>
      <c r="X20" s="2"/>
      <c r="Y20" s="2"/>
      <c r="Z20" s="2"/>
      <c r="AA20" s="2"/>
      <c r="AB20" s="2"/>
      <c r="AC20" s="3"/>
      <c r="AD20" s="19">
        <v>60</v>
      </c>
      <c r="AE20" s="2"/>
      <c r="AF20" s="3"/>
    </row>
    <row r="21" ht="30" customHeight="1" spans="2:32">
      <c r="B21" s="17">
        <v>14</v>
      </c>
      <c r="C21" s="19" t="s">
        <v>114</v>
      </c>
      <c r="D21" s="2"/>
      <c r="E21" s="3"/>
      <c r="F21" s="18" t="s">
        <v>107</v>
      </c>
      <c r="G21" s="2"/>
      <c r="H21" s="2"/>
      <c r="I21" s="2"/>
      <c r="J21" s="2"/>
      <c r="K21" s="2"/>
      <c r="L21" s="3"/>
      <c r="M21" s="18" t="s">
        <v>115</v>
      </c>
      <c r="N21" s="2"/>
      <c r="O21" s="2"/>
      <c r="P21" s="2"/>
      <c r="Q21" s="2"/>
      <c r="R21" s="2"/>
      <c r="S21" s="2"/>
      <c r="T21" s="3"/>
      <c r="U21" s="33" t="s">
        <v>98</v>
      </c>
      <c r="V21" s="3"/>
      <c r="W21" s="18" t="s">
        <v>109</v>
      </c>
      <c r="X21" s="2"/>
      <c r="Y21" s="2"/>
      <c r="Z21" s="2"/>
      <c r="AA21" s="2"/>
      <c r="AB21" s="2"/>
      <c r="AC21" s="3"/>
      <c r="AD21" s="19">
        <v>50</v>
      </c>
      <c r="AE21" s="2"/>
      <c r="AF21" s="3"/>
    </row>
    <row r="22" ht="30" customHeight="1" spans="2:32">
      <c r="B22" s="17">
        <v>15</v>
      </c>
      <c r="C22" s="19" t="s">
        <v>116</v>
      </c>
      <c r="D22" s="2"/>
      <c r="E22" s="3"/>
      <c r="F22" s="18" t="s">
        <v>107</v>
      </c>
      <c r="G22" s="2"/>
      <c r="H22" s="2"/>
      <c r="I22" s="2"/>
      <c r="J22" s="2"/>
      <c r="K22" s="2"/>
      <c r="L22" s="3"/>
      <c r="M22" s="18" t="s">
        <v>117</v>
      </c>
      <c r="N22" s="2"/>
      <c r="O22" s="2"/>
      <c r="P22" s="2"/>
      <c r="Q22" s="2"/>
      <c r="R22" s="2"/>
      <c r="S22" s="2"/>
      <c r="T22" s="3"/>
      <c r="U22" s="33" t="s">
        <v>98</v>
      </c>
      <c r="V22" s="3"/>
      <c r="W22" s="18" t="s">
        <v>118</v>
      </c>
      <c r="X22" s="2"/>
      <c r="Y22" s="2"/>
      <c r="Z22" s="2"/>
      <c r="AA22" s="2"/>
      <c r="AB22" s="2"/>
      <c r="AC22" s="3"/>
      <c r="AD22" s="19">
        <v>30</v>
      </c>
      <c r="AE22" s="2"/>
      <c r="AF22" s="3"/>
    </row>
    <row r="23" ht="30" customHeight="1" spans="2:32">
      <c r="B23" s="17">
        <v>16</v>
      </c>
      <c r="C23" s="19" t="s">
        <v>119</v>
      </c>
      <c r="D23" s="2"/>
      <c r="E23" s="3"/>
      <c r="F23" s="18" t="s">
        <v>107</v>
      </c>
      <c r="G23" s="2"/>
      <c r="H23" s="2"/>
      <c r="I23" s="2"/>
      <c r="J23" s="2"/>
      <c r="K23" s="2"/>
      <c r="L23" s="3"/>
      <c r="M23" s="18" t="s">
        <v>120</v>
      </c>
      <c r="N23" s="2"/>
      <c r="O23" s="2"/>
      <c r="P23" s="2"/>
      <c r="Q23" s="2"/>
      <c r="R23" s="2"/>
      <c r="S23" s="2"/>
      <c r="T23" s="3"/>
      <c r="U23" s="32" t="s">
        <v>78</v>
      </c>
      <c r="V23" s="3"/>
      <c r="W23" s="18" t="s">
        <v>121</v>
      </c>
      <c r="X23" s="2"/>
      <c r="Y23" s="2"/>
      <c r="Z23" s="2"/>
      <c r="AA23" s="2"/>
      <c r="AB23" s="2"/>
      <c r="AC23" s="3"/>
      <c r="AD23" s="19">
        <v>15</v>
      </c>
      <c r="AE23" s="2"/>
      <c r="AF23" s="3"/>
    </row>
    <row r="24" ht="36" customHeight="1" spans="2:32">
      <c r="B24" s="17">
        <v>17</v>
      </c>
      <c r="C24" s="19" t="s">
        <v>122</v>
      </c>
      <c r="D24" s="2"/>
      <c r="E24" s="3"/>
      <c r="F24" s="18" t="s">
        <v>107</v>
      </c>
      <c r="G24" s="2"/>
      <c r="H24" s="2"/>
      <c r="I24" s="2"/>
      <c r="J24" s="2"/>
      <c r="K24" s="2"/>
      <c r="L24" s="3"/>
      <c r="M24" s="18" t="s">
        <v>123</v>
      </c>
      <c r="N24" s="2"/>
      <c r="O24" s="2"/>
      <c r="P24" s="2"/>
      <c r="Q24" s="2"/>
      <c r="R24" s="2"/>
      <c r="S24" s="2"/>
      <c r="T24" s="3"/>
      <c r="U24" s="33" t="s">
        <v>98</v>
      </c>
      <c r="V24" s="3"/>
      <c r="W24" s="18" t="s">
        <v>124</v>
      </c>
      <c r="X24" s="2"/>
      <c r="Y24" s="2"/>
      <c r="Z24" s="2"/>
      <c r="AA24" s="2"/>
      <c r="AB24" s="2"/>
      <c r="AC24" s="3"/>
      <c r="AD24" s="19">
        <v>45</v>
      </c>
      <c r="AE24" s="2"/>
      <c r="AF24" s="3"/>
    </row>
    <row r="25" ht="30" customHeight="1" spans="2:32">
      <c r="B25" s="17">
        <v>18</v>
      </c>
      <c r="C25" s="19" t="s">
        <v>125</v>
      </c>
      <c r="D25" s="2"/>
      <c r="E25" s="3"/>
      <c r="F25" s="18" t="s">
        <v>107</v>
      </c>
      <c r="G25" s="2"/>
      <c r="H25" s="2"/>
      <c r="I25" s="2"/>
      <c r="J25" s="2"/>
      <c r="K25" s="2"/>
      <c r="L25" s="3"/>
      <c r="M25" s="18" t="s">
        <v>126</v>
      </c>
      <c r="N25" s="2"/>
      <c r="O25" s="2"/>
      <c r="P25" s="2"/>
      <c r="Q25" s="2"/>
      <c r="R25" s="2"/>
      <c r="S25" s="2"/>
      <c r="T25" s="3"/>
      <c r="U25" s="33" t="s">
        <v>98</v>
      </c>
      <c r="V25" s="3"/>
      <c r="W25" s="18" t="s">
        <v>127</v>
      </c>
      <c r="X25" s="2"/>
      <c r="Y25" s="2"/>
      <c r="Z25" s="2"/>
      <c r="AA25" s="2"/>
      <c r="AB25" s="2"/>
      <c r="AC25" s="3"/>
      <c r="AD25" s="19">
        <v>30</v>
      </c>
      <c r="AE25" s="2"/>
      <c r="AF25" s="3"/>
    </row>
    <row r="26" ht="36" customHeight="1" spans="2:32">
      <c r="B26" s="17">
        <v>19</v>
      </c>
      <c r="C26" s="19" t="s">
        <v>128</v>
      </c>
      <c r="D26" s="2"/>
      <c r="E26" s="3"/>
      <c r="F26" s="18" t="s">
        <v>107</v>
      </c>
      <c r="G26" s="2"/>
      <c r="H26" s="2"/>
      <c r="I26" s="2"/>
      <c r="J26" s="2"/>
      <c r="K26" s="2"/>
      <c r="L26" s="3"/>
      <c r="M26" s="18" t="s">
        <v>129</v>
      </c>
      <c r="N26" s="2"/>
      <c r="O26" s="2"/>
      <c r="P26" s="2"/>
      <c r="Q26" s="2"/>
      <c r="R26" s="2"/>
      <c r="S26" s="2"/>
      <c r="T26" s="3"/>
      <c r="U26" s="33" t="s">
        <v>98</v>
      </c>
      <c r="V26" s="3"/>
      <c r="W26" s="18" t="s">
        <v>130</v>
      </c>
      <c r="X26" s="2"/>
      <c r="Y26" s="2"/>
      <c r="Z26" s="2"/>
      <c r="AA26" s="2"/>
      <c r="AB26" s="2"/>
      <c r="AC26" s="3"/>
      <c r="AD26" s="19">
        <v>25</v>
      </c>
      <c r="AE26" s="2"/>
      <c r="AF26" s="3"/>
    </row>
    <row r="27" ht="30" customHeight="1" spans="2:32">
      <c r="B27" s="17">
        <v>20</v>
      </c>
      <c r="C27" s="19" t="s">
        <v>131</v>
      </c>
      <c r="D27" s="2"/>
      <c r="E27" s="3"/>
      <c r="F27" s="18" t="s">
        <v>132</v>
      </c>
      <c r="G27" s="2"/>
      <c r="H27" s="2"/>
      <c r="I27" s="2"/>
      <c r="J27" s="2"/>
      <c r="K27" s="2"/>
      <c r="L27" s="3"/>
      <c r="M27" s="18" t="s">
        <v>133</v>
      </c>
      <c r="N27" s="2"/>
      <c r="O27" s="2"/>
      <c r="P27" s="2"/>
      <c r="Q27" s="2"/>
      <c r="R27" s="2"/>
      <c r="S27" s="2"/>
      <c r="T27" s="3"/>
      <c r="U27" s="32" t="s">
        <v>78</v>
      </c>
      <c r="V27" s="3"/>
      <c r="W27" s="18" t="s">
        <v>127</v>
      </c>
      <c r="X27" s="2"/>
      <c r="Y27" s="2"/>
      <c r="Z27" s="2"/>
      <c r="AA27" s="2"/>
      <c r="AB27" s="2"/>
      <c r="AC27" s="3"/>
      <c r="AD27" s="19">
        <v>60</v>
      </c>
      <c r="AE27" s="2"/>
      <c r="AF27" s="3"/>
    </row>
    <row r="28" ht="30" customHeight="1" spans="2:32">
      <c r="B28" s="17">
        <v>21</v>
      </c>
      <c r="C28" s="19" t="s">
        <v>134</v>
      </c>
      <c r="D28" s="2"/>
      <c r="E28" s="3"/>
      <c r="F28" s="18" t="s">
        <v>132</v>
      </c>
      <c r="G28" s="2"/>
      <c r="H28" s="2"/>
      <c r="I28" s="2"/>
      <c r="J28" s="2"/>
      <c r="K28" s="2"/>
      <c r="L28" s="3"/>
      <c r="M28" s="18" t="s">
        <v>135</v>
      </c>
      <c r="N28" s="2"/>
      <c r="O28" s="2"/>
      <c r="P28" s="2"/>
      <c r="Q28" s="2"/>
      <c r="R28" s="2"/>
      <c r="S28" s="2"/>
      <c r="T28" s="3"/>
      <c r="U28" s="33" t="s">
        <v>98</v>
      </c>
      <c r="V28" s="3"/>
      <c r="W28" s="18" t="s">
        <v>136</v>
      </c>
      <c r="X28" s="2"/>
      <c r="Y28" s="2"/>
      <c r="Z28" s="2"/>
      <c r="AA28" s="2"/>
      <c r="AB28" s="2"/>
      <c r="AC28" s="3"/>
      <c r="AD28" s="19">
        <v>16</v>
      </c>
      <c r="AE28" s="2"/>
      <c r="AF28" s="3"/>
    </row>
    <row r="29" ht="30" customHeight="1" spans="2:32">
      <c r="B29" s="17">
        <v>22</v>
      </c>
      <c r="C29" s="19" t="s">
        <v>137</v>
      </c>
      <c r="D29" s="2"/>
      <c r="E29" s="3"/>
      <c r="F29" s="18" t="s">
        <v>132</v>
      </c>
      <c r="G29" s="2"/>
      <c r="H29" s="2"/>
      <c r="I29" s="2"/>
      <c r="J29" s="2"/>
      <c r="K29" s="2"/>
      <c r="L29" s="3"/>
      <c r="M29" s="18" t="s">
        <v>138</v>
      </c>
      <c r="N29" s="2"/>
      <c r="O29" s="2"/>
      <c r="P29" s="2"/>
      <c r="Q29" s="2"/>
      <c r="R29" s="2"/>
      <c r="S29" s="2"/>
      <c r="T29" s="3"/>
      <c r="U29" s="32" t="s">
        <v>78</v>
      </c>
      <c r="V29" s="3"/>
      <c r="W29" s="18" t="s">
        <v>139</v>
      </c>
      <c r="X29" s="2"/>
      <c r="Y29" s="2"/>
      <c r="Z29" s="2"/>
      <c r="AA29" s="2"/>
      <c r="AB29" s="2"/>
      <c r="AC29" s="3"/>
      <c r="AD29" s="19">
        <v>18</v>
      </c>
      <c r="AE29" s="2"/>
      <c r="AF29" s="3"/>
    </row>
    <row r="30" ht="30" customHeight="1" spans="2:32">
      <c r="B30" s="17">
        <v>23</v>
      </c>
      <c r="C30" s="19" t="s">
        <v>140</v>
      </c>
      <c r="D30" s="2"/>
      <c r="E30" s="3"/>
      <c r="F30" s="18" t="s">
        <v>132</v>
      </c>
      <c r="G30" s="2"/>
      <c r="H30" s="2"/>
      <c r="I30" s="2"/>
      <c r="J30" s="2"/>
      <c r="K30" s="2"/>
      <c r="L30" s="3"/>
      <c r="M30" s="18" t="s">
        <v>141</v>
      </c>
      <c r="N30" s="2"/>
      <c r="O30" s="2"/>
      <c r="P30" s="2"/>
      <c r="Q30" s="2"/>
      <c r="R30" s="2"/>
      <c r="S30" s="2"/>
      <c r="T30" s="3"/>
      <c r="U30" s="33" t="s">
        <v>98</v>
      </c>
      <c r="V30" s="3"/>
      <c r="W30" s="18" t="s">
        <v>142</v>
      </c>
      <c r="X30" s="2"/>
      <c r="Y30" s="2"/>
      <c r="Z30" s="2"/>
      <c r="AA30" s="2"/>
      <c r="AB30" s="2"/>
      <c r="AC30" s="3"/>
      <c r="AD30" s="19">
        <v>8</v>
      </c>
      <c r="AE30" s="2"/>
      <c r="AF30" s="3"/>
    </row>
    <row r="31" ht="30" customHeight="1" spans="2:32">
      <c r="B31" s="17">
        <v>24</v>
      </c>
      <c r="C31" s="19" t="s">
        <v>143</v>
      </c>
      <c r="D31" s="2"/>
      <c r="E31" s="3"/>
      <c r="F31" s="18" t="s">
        <v>132</v>
      </c>
      <c r="G31" s="2"/>
      <c r="H31" s="2"/>
      <c r="I31" s="2"/>
      <c r="J31" s="2"/>
      <c r="K31" s="2"/>
      <c r="L31" s="3"/>
      <c r="M31" s="18" t="s">
        <v>144</v>
      </c>
      <c r="N31" s="2"/>
      <c r="O31" s="2"/>
      <c r="P31" s="2"/>
      <c r="Q31" s="2"/>
      <c r="R31" s="2"/>
      <c r="S31" s="2"/>
      <c r="T31" s="3"/>
      <c r="U31" s="32" t="s">
        <v>78</v>
      </c>
      <c r="V31" s="3"/>
      <c r="W31" s="18" t="s">
        <v>145</v>
      </c>
      <c r="X31" s="2"/>
      <c r="Y31" s="2"/>
      <c r="Z31" s="2"/>
      <c r="AA31" s="2"/>
      <c r="AB31" s="2"/>
      <c r="AC31" s="3"/>
      <c r="AD31" s="19">
        <v>10</v>
      </c>
      <c r="AE31" s="2"/>
      <c r="AF31" s="3"/>
    </row>
    <row r="32" ht="30" customHeight="1" spans="2:32">
      <c r="B32" s="17">
        <v>25</v>
      </c>
      <c r="C32" s="19" t="s">
        <v>146</v>
      </c>
      <c r="D32" s="2"/>
      <c r="E32" s="3"/>
      <c r="F32" s="18" t="s">
        <v>132</v>
      </c>
      <c r="G32" s="2"/>
      <c r="H32" s="2"/>
      <c r="I32" s="2"/>
      <c r="J32" s="2"/>
      <c r="K32" s="2"/>
      <c r="L32" s="3"/>
      <c r="M32" s="18" t="s">
        <v>147</v>
      </c>
      <c r="N32" s="2"/>
      <c r="O32" s="2"/>
      <c r="P32" s="2"/>
      <c r="Q32" s="2"/>
      <c r="R32" s="2"/>
      <c r="S32" s="2"/>
      <c r="T32" s="3"/>
      <c r="U32" s="33" t="s">
        <v>98</v>
      </c>
      <c r="V32" s="3"/>
      <c r="W32" s="18" t="s">
        <v>148</v>
      </c>
      <c r="X32" s="2"/>
      <c r="Y32" s="2"/>
      <c r="Z32" s="2"/>
      <c r="AA32" s="2"/>
      <c r="AB32" s="2"/>
      <c r="AC32" s="3"/>
      <c r="AD32" s="19">
        <v>30</v>
      </c>
      <c r="AE32" s="2"/>
      <c r="AF32" s="3"/>
    </row>
    <row r="33" ht="30" customHeight="1" spans="2:32">
      <c r="B33" s="17">
        <v>26</v>
      </c>
      <c r="C33" s="19" t="s">
        <v>149</v>
      </c>
      <c r="D33" s="2"/>
      <c r="E33" s="3"/>
      <c r="F33" s="18" t="s">
        <v>132</v>
      </c>
      <c r="G33" s="2"/>
      <c r="H33" s="2"/>
      <c r="I33" s="2"/>
      <c r="J33" s="2"/>
      <c r="K33" s="2"/>
      <c r="L33" s="3"/>
      <c r="M33" s="18" t="s">
        <v>150</v>
      </c>
      <c r="N33" s="2"/>
      <c r="O33" s="2"/>
      <c r="P33" s="2"/>
      <c r="Q33" s="2"/>
      <c r="R33" s="2"/>
      <c r="S33" s="2"/>
      <c r="T33" s="3"/>
      <c r="U33" s="32" t="s">
        <v>78</v>
      </c>
      <c r="V33" s="3"/>
      <c r="W33" s="18" t="s">
        <v>151</v>
      </c>
      <c r="X33" s="2"/>
      <c r="Y33" s="2"/>
      <c r="Z33" s="2"/>
      <c r="AA33" s="2"/>
      <c r="AB33" s="2"/>
      <c r="AC33" s="3"/>
      <c r="AD33" s="19">
        <v>15</v>
      </c>
      <c r="AE33" s="2"/>
      <c r="AF33" s="3"/>
    </row>
    <row r="34" ht="30" customHeight="1" spans="2:32">
      <c r="B34" s="17">
        <v>27</v>
      </c>
      <c r="C34" s="19" t="s">
        <v>152</v>
      </c>
      <c r="D34" s="2"/>
      <c r="E34" s="3"/>
      <c r="F34" s="18" t="s">
        <v>132</v>
      </c>
      <c r="G34" s="2"/>
      <c r="H34" s="2"/>
      <c r="I34" s="2"/>
      <c r="J34" s="2"/>
      <c r="K34" s="2"/>
      <c r="L34" s="3"/>
      <c r="M34" s="18" t="s">
        <v>153</v>
      </c>
      <c r="N34" s="2"/>
      <c r="O34" s="2"/>
      <c r="P34" s="2"/>
      <c r="Q34" s="2"/>
      <c r="R34" s="2"/>
      <c r="S34" s="2"/>
      <c r="T34" s="3"/>
      <c r="U34" s="32" t="s">
        <v>78</v>
      </c>
      <c r="V34" s="3"/>
      <c r="W34" s="18" t="s">
        <v>154</v>
      </c>
      <c r="X34" s="2"/>
      <c r="Y34" s="2"/>
      <c r="Z34" s="2"/>
      <c r="AA34" s="2"/>
      <c r="AB34" s="2"/>
      <c r="AC34" s="3"/>
      <c r="AD34" s="19">
        <v>18</v>
      </c>
      <c r="AE34" s="2"/>
      <c r="AF34" s="3"/>
    </row>
    <row r="35" ht="30" customHeight="1" spans="2:32">
      <c r="B35" s="17">
        <v>28</v>
      </c>
      <c r="C35" s="19" t="s">
        <v>155</v>
      </c>
      <c r="D35" s="2"/>
      <c r="E35" s="3"/>
      <c r="F35" s="18" t="s">
        <v>156</v>
      </c>
      <c r="G35" s="2"/>
      <c r="H35" s="2"/>
      <c r="I35" s="2"/>
      <c r="J35" s="2"/>
      <c r="K35" s="2"/>
      <c r="L35" s="3"/>
      <c r="M35" s="18" t="s">
        <v>157</v>
      </c>
      <c r="N35" s="2"/>
      <c r="O35" s="2"/>
      <c r="P35" s="2"/>
      <c r="Q35" s="2"/>
      <c r="R35" s="2"/>
      <c r="S35" s="2"/>
      <c r="T35" s="3"/>
      <c r="U35" s="32" t="s">
        <v>78</v>
      </c>
      <c r="V35" s="3"/>
      <c r="W35" s="18" t="s">
        <v>158</v>
      </c>
      <c r="X35" s="2"/>
      <c r="Y35" s="2"/>
      <c r="Z35" s="2"/>
      <c r="AA35" s="2"/>
      <c r="AB35" s="2"/>
      <c r="AC35" s="3"/>
      <c r="AD35" s="19">
        <v>25</v>
      </c>
      <c r="AE35" s="2"/>
      <c r="AF35" s="3"/>
    </row>
    <row r="36" ht="30" customHeight="1" spans="2:32">
      <c r="B36" s="17">
        <v>29</v>
      </c>
      <c r="C36" s="19" t="s">
        <v>159</v>
      </c>
      <c r="D36" s="2"/>
      <c r="E36" s="3"/>
      <c r="F36" s="18" t="s">
        <v>156</v>
      </c>
      <c r="G36" s="2"/>
      <c r="H36" s="2"/>
      <c r="I36" s="2"/>
      <c r="J36" s="2"/>
      <c r="K36" s="2"/>
      <c r="L36" s="3"/>
      <c r="M36" s="18" t="s">
        <v>160</v>
      </c>
      <c r="N36" s="2"/>
      <c r="O36" s="2"/>
      <c r="P36" s="2"/>
      <c r="Q36" s="2"/>
      <c r="R36" s="2"/>
      <c r="S36" s="2"/>
      <c r="T36" s="3"/>
      <c r="U36" s="32" t="s">
        <v>78</v>
      </c>
      <c r="V36" s="3"/>
      <c r="W36" s="18" t="s">
        <v>90</v>
      </c>
      <c r="X36" s="2"/>
      <c r="Y36" s="2"/>
      <c r="Z36" s="2"/>
      <c r="AA36" s="2"/>
      <c r="AB36" s="2"/>
      <c r="AC36" s="3"/>
      <c r="AD36" s="19">
        <v>8</v>
      </c>
      <c r="AE36" s="2"/>
      <c r="AF36" s="3"/>
    </row>
    <row r="37" ht="30" customHeight="1" spans="2:32">
      <c r="B37" s="17">
        <v>30</v>
      </c>
      <c r="C37" s="19" t="s">
        <v>161</v>
      </c>
      <c r="D37" s="2"/>
      <c r="E37" s="3"/>
      <c r="F37" s="18" t="s">
        <v>156</v>
      </c>
      <c r="G37" s="2"/>
      <c r="H37" s="2"/>
      <c r="I37" s="2"/>
      <c r="J37" s="2"/>
      <c r="K37" s="2"/>
      <c r="L37" s="3"/>
      <c r="M37" s="18" t="s">
        <v>162</v>
      </c>
      <c r="N37" s="2"/>
      <c r="O37" s="2"/>
      <c r="P37" s="2"/>
      <c r="Q37" s="2"/>
      <c r="R37" s="2"/>
      <c r="S37" s="2"/>
      <c r="T37" s="3"/>
      <c r="U37" s="32" t="s">
        <v>78</v>
      </c>
      <c r="V37" s="3"/>
      <c r="W37" s="18" t="s">
        <v>163</v>
      </c>
      <c r="X37" s="2"/>
      <c r="Y37" s="2"/>
      <c r="Z37" s="2"/>
      <c r="AA37" s="2"/>
      <c r="AB37" s="2"/>
      <c r="AC37" s="3"/>
      <c r="AD37" s="19">
        <v>15</v>
      </c>
      <c r="AE37" s="2"/>
      <c r="AF37" s="3"/>
    </row>
    <row r="38" ht="30" customHeight="1" spans="2:32">
      <c r="B38" s="17">
        <v>31</v>
      </c>
      <c r="C38" s="19" t="s">
        <v>164</v>
      </c>
      <c r="D38" s="2"/>
      <c r="E38" s="3"/>
      <c r="F38" s="18" t="s">
        <v>156</v>
      </c>
      <c r="G38" s="2"/>
      <c r="H38" s="2"/>
      <c r="I38" s="2"/>
      <c r="J38" s="2"/>
      <c r="K38" s="2"/>
      <c r="L38" s="3"/>
      <c r="M38" s="18" t="s">
        <v>165</v>
      </c>
      <c r="N38" s="2"/>
      <c r="O38" s="2"/>
      <c r="P38" s="2"/>
      <c r="Q38" s="2"/>
      <c r="R38" s="2"/>
      <c r="S38" s="2"/>
      <c r="T38" s="3"/>
      <c r="U38" s="32" t="s">
        <v>78</v>
      </c>
      <c r="V38" s="3"/>
      <c r="W38" s="18" t="s">
        <v>90</v>
      </c>
      <c r="X38" s="2"/>
      <c r="Y38" s="2"/>
      <c r="Z38" s="2"/>
      <c r="AA38" s="2"/>
      <c r="AB38" s="2"/>
      <c r="AC38" s="3"/>
      <c r="AD38" s="19">
        <v>40</v>
      </c>
      <c r="AE38" s="2"/>
      <c r="AF38" s="3"/>
    </row>
    <row r="39" ht="30" customHeight="1" spans="2:32">
      <c r="B39" s="17">
        <v>32</v>
      </c>
      <c r="C39" s="19" t="s">
        <v>166</v>
      </c>
      <c r="D39" s="2"/>
      <c r="E39" s="3"/>
      <c r="F39" s="18" t="s">
        <v>156</v>
      </c>
      <c r="G39" s="2"/>
      <c r="H39" s="2"/>
      <c r="I39" s="2"/>
      <c r="J39" s="2"/>
      <c r="K39" s="2"/>
      <c r="L39" s="3"/>
      <c r="M39" s="18" t="s">
        <v>167</v>
      </c>
      <c r="N39" s="2"/>
      <c r="O39" s="2"/>
      <c r="P39" s="2"/>
      <c r="Q39" s="2"/>
      <c r="R39" s="2"/>
      <c r="S39" s="2"/>
      <c r="T39" s="3"/>
      <c r="U39" s="33" t="s">
        <v>98</v>
      </c>
      <c r="V39" s="3"/>
      <c r="W39" s="18" t="s">
        <v>168</v>
      </c>
      <c r="X39" s="2"/>
      <c r="Y39" s="2"/>
      <c r="Z39" s="2"/>
      <c r="AA39" s="2"/>
      <c r="AB39" s="2"/>
      <c r="AC39" s="3"/>
      <c r="AD39" s="19">
        <v>20</v>
      </c>
      <c r="AE39" s="2"/>
      <c r="AF39" s="3"/>
    </row>
    <row r="40" ht="30" customHeight="1" spans="2:32">
      <c r="B40" s="17">
        <v>33</v>
      </c>
      <c r="C40" s="19" t="s">
        <v>169</v>
      </c>
      <c r="D40" s="2"/>
      <c r="E40" s="3"/>
      <c r="F40" s="18" t="s">
        <v>156</v>
      </c>
      <c r="G40" s="2"/>
      <c r="H40" s="2"/>
      <c r="I40" s="2"/>
      <c r="J40" s="2"/>
      <c r="K40" s="2"/>
      <c r="L40" s="3"/>
      <c r="M40" s="18" t="s">
        <v>170</v>
      </c>
      <c r="N40" s="2"/>
      <c r="O40" s="2"/>
      <c r="P40" s="2"/>
      <c r="Q40" s="2"/>
      <c r="R40" s="2"/>
      <c r="S40" s="2"/>
      <c r="T40" s="3"/>
      <c r="U40" s="33" t="s">
        <v>98</v>
      </c>
      <c r="V40" s="3"/>
      <c r="W40" s="18" t="s">
        <v>171</v>
      </c>
      <c r="X40" s="2"/>
      <c r="Y40" s="2"/>
      <c r="Z40" s="2"/>
      <c r="AA40" s="2"/>
      <c r="AB40" s="2"/>
      <c r="AC40" s="3"/>
      <c r="AD40" s="19">
        <v>12</v>
      </c>
      <c r="AE40" s="2"/>
      <c r="AF40" s="3"/>
    </row>
    <row r="41" ht="30" customHeight="1" spans="2:32">
      <c r="B41" s="17">
        <v>34</v>
      </c>
      <c r="C41" s="19" t="s">
        <v>172</v>
      </c>
      <c r="D41" s="2"/>
      <c r="E41" s="3"/>
      <c r="F41" s="18" t="s">
        <v>156</v>
      </c>
      <c r="G41" s="2"/>
      <c r="H41" s="2"/>
      <c r="I41" s="2"/>
      <c r="J41" s="2"/>
      <c r="K41" s="2"/>
      <c r="L41" s="3"/>
      <c r="M41" s="18" t="s">
        <v>173</v>
      </c>
      <c r="N41" s="2"/>
      <c r="O41" s="2"/>
      <c r="P41" s="2"/>
      <c r="Q41" s="2"/>
      <c r="R41" s="2"/>
      <c r="S41" s="2"/>
      <c r="T41" s="3"/>
      <c r="U41" s="32" t="s">
        <v>78</v>
      </c>
      <c r="V41" s="3"/>
      <c r="W41" s="18" t="s">
        <v>174</v>
      </c>
      <c r="X41" s="2"/>
      <c r="Y41" s="2"/>
      <c r="Z41" s="2"/>
      <c r="AA41" s="2"/>
      <c r="AB41" s="2"/>
      <c r="AC41" s="3"/>
      <c r="AD41" s="19">
        <v>15</v>
      </c>
      <c r="AE41" s="2"/>
      <c r="AF41" s="3"/>
    </row>
    <row r="42" ht="30" customHeight="1" spans="2:32">
      <c r="B42" s="17">
        <v>35</v>
      </c>
      <c r="C42" s="19" t="s">
        <v>175</v>
      </c>
      <c r="D42" s="2"/>
      <c r="E42" s="3"/>
      <c r="F42" s="18" t="s">
        <v>156</v>
      </c>
      <c r="G42" s="2"/>
      <c r="H42" s="2"/>
      <c r="I42" s="2"/>
      <c r="J42" s="2"/>
      <c r="K42" s="2"/>
      <c r="L42" s="3"/>
      <c r="M42" s="18" t="s">
        <v>176</v>
      </c>
      <c r="N42" s="2"/>
      <c r="O42" s="2"/>
      <c r="P42" s="2"/>
      <c r="Q42" s="2"/>
      <c r="R42" s="2"/>
      <c r="S42" s="2"/>
      <c r="T42" s="3"/>
      <c r="U42" s="33" t="s">
        <v>98</v>
      </c>
      <c r="V42" s="3"/>
      <c r="W42" s="18" t="s">
        <v>90</v>
      </c>
      <c r="X42" s="2"/>
      <c r="Y42" s="2"/>
      <c r="Z42" s="2"/>
      <c r="AA42" s="2"/>
      <c r="AB42" s="2"/>
      <c r="AC42" s="3"/>
      <c r="AD42" s="19">
        <v>30</v>
      </c>
      <c r="AE42" s="2"/>
      <c r="AF42" s="3"/>
    </row>
    <row r="43" ht="36" customHeight="1" spans="2:32">
      <c r="B43" s="17">
        <v>36</v>
      </c>
      <c r="C43" s="19" t="s">
        <v>177</v>
      </c>
      <c r="D43" s="2"/>
      <c r="E43" s="3"/>
      <c r="F43" s="18" t="s">
        <v>156</v>
      </c>
      <c r="G43" s="2"/>
      <c r="H43" s="2"/>
      <c r="I43" s="2"/>
      <c r="J43" s="2"/>
      <c r="K43" s="2"/>
      <c r="L43" s="3"/>
      <c r="M43" s="18" t="s">
        <v>178</v>
      </c>
      <c r="N43" s="2"/>
      <c r="O43" s="2"/>
      <c r="P43" s="2"/>
      <c r="Q43" s="2"/>
      <c r="R43" s="2"/>
      <c r="S43" s="2"/>
      <c r="T43" s="3"/>
      <c r="U43" s="32" t="s">
        <v>78</v>
      </c>
      <c r="V43" s="3"/>
      <c r="W43" s="18" t="s">
        <v>163</v>
      </c>
      <c r="X43" s="2"/>
      <c r="Y43" s="2"/>
      <c r="Z43" s="2"/>
      <c r="AA43" s="2"/>
      <c r="AB43" s="2"/>
      <c r="AC43" s="3"/>
      <c r="AD43" s="19">
        <v>6</v>
      </c>
      <c r="AE43" s="2"/>
      <c r="AF43" s="3"/>
    </row>
    <row r="44" ht="30" customHeight="1" spans="2:32">
      <c r="B44" s="17">
        <v>37</v>
      </c>
      <c r="C44" s="19" t="s">
        <v>179</v>
      </c>
      <c r="D44" s="2"/>
      <c r="E44" s="3"/>
      <c r="F44" s="18" t="s">
        <v>180</v>
      </c>
      <c r="G44" s="2"/>
      <c r="H44" s="2"/>
      <c r="I44" s="2"/>
      <c r="J44" s="2"/>
      <c r="K44" s="2"/>
      <c r="L44" s="3"/>
      <c r="M44" s="18" t="s">
        <v>181</v>
      </c>
      <c r="N44" s="2"/>
      <c r="O44" s="2"/>
      <c r="P44" s="2"/>
      <c r="Q44" s="2"/>
      <c r="R44" s="2"/>
      <c r="S44" s="2"/>
      <c r="T44" s="3"/>
      <c r="U44" s="34" t="s">
        <v>182</v>
      </c>
      <c r="V44" s="3"/>
      <c r="W44" s="18" t="s">
        <v>183</v>
      </c>
      <c r="X44" s="2"/>
      <c r="Y44" s="2"/>
      <c r="Z44" s="2"/>
      <c r="AA44" s="2"/>
      <c r="AB44" s="2"/>
      <c r="AC44" s="3"/>
      <c r="AD44" s="19">
        <v>60</v>
      </c>
      <c r="AE44" s="2"/>
      <c r="AF44" s="3"/>
    </row>
    <row r="45" ht="36" customHeight="1" spans="2:32">
      <c r="B45" s="17">
        <v>38</v>
      </c>
      <c r="C45" s="19" t="s">
        <v>184</v>
      </c>
      <c r="D45" s="2"/>
      <c r="E45" s="3"/>
      <c r="F45" s="18" t="s">
        <v>180</v>
      </c>
      <c r="G45" s="2"/>
      <c r="H45" s="2"/>
      <c r="I45" s="2"/>
      <c r="J45" s="2"/>
      <c r="K45" s="2"/>
      <c r="L45" s="3"/>
      <c r="M45" s="18" t="s">
        <v>185</v>
      </c>
      <c r="N45" s="2"/>
      <c r="O45" s="2"/>
      <c r="P45" s="2"/>
      <c r="Q45" s="2"/>
      <c r="R45" s="2"/>
      <c r="S45" s="2"/>
      <c r="T45" s="3"/>
      <c r="U45" s="34" t="s">
        <v>182</v>
      </c>
      <c r="V45" s="3"/>
      <c r="W45" s="18" t="s">
        <v>183</v>
      </c>
      <c r="X45" s="2"/>
      <c r="Y45" s="2"/>
      <c r="Z45" s="2"/>
      <c r="AA45" s="2"/>
      <c r="AB45" s="2"/>
      <c r="AC45" s="3"/>
      <c r="AD45" s="19">
        <v>40</v>
      </c>
      <c r="AE45" s="2"/>
      <c r="AF45" s="3"/>
    </row>
    <row r="46" ht="30" customHeight="1" spans="2:32">
      <c r="B46" s="17">
        <v>39</v>
      </c>
      <c r="C46" s="19" t="s">
        <v>186</v>
      </c>
      <c r="D46" s="2"/>
      <c r="E46" s="3"/>
      <c r="F46" s="18" t="s">
        <v>180</v>
      </c>
      <c r="G46" s="2"/>
      <c r="H46" s="2"/>
      <c r="I46" s="2"/>
      <c r="J46" s="2"/>
      <c r="K46" s="2"/>
      <c r="L46" s="3"/>
      <c r="M46" s="18" t="s">
        <v>187</v>
      </c>
      <c r="N46" s="2"/>
      <c r="O46" s="2"/>
      <c r="P46" s="2"/>
      <c r="Q46" s="2"/>
      <c r="R46" s="2"/>
      <c r="S46" s="2"/>
      <c r="T46" s="3"/>
      <c r="U46" s="34" t="s">
        <v>182</v>
      </c>
      <c r="V46" s="3"/>
      <c r="W46" s="18" t="s">
        <v>109</v>
      </c>
      <c r="X46" s="2"/>
      <c r="Y46" s="2"/>
      <c r="Z46" s="2"/>
      <c r="AA46" s="2"/>
      <c r="AB46" s="2"/>
      <c r="AC46" s="3"/>
      <c r="AD46" s="19">
        <v>25</v>
      </c>
      <c r="AE46" s="2"/>
      <c r="AF46" s="3"/>
    </row>
    <row r="47" ht="30" customHeight="1" spans="2:32">
      <c r="B47" s="17">
        <v>40</v>
      </c>
      <c r="C47" s="19" t="s">
        <v>188</v>
      </c>
      <c r="D47" s="2"/>
      <c r="E47" s="3"/>
      <c r="F47" s="18" t="s">
        <v>180</v>
      </c>
      <c r="G47" s="2"/>
      <c r="H47" s="2"/>
      <c r="I47" s="2"/>
      <c r="J47" s="2"/>
      <c r="K47" s="2"/>
      <c r="L47" s="3"/>
      <c r="M47" s="18" t="s">
        <v>189</v>
      </c>
      <c r="N47" s="2"/>
      <c r="O47" s="2"/>
      <c r="P47" s="2"/>
      <c r="Q47" s="2"/>
      <c r="R47" s="2"/>
      <c r="S47" s="2"/>
      <c r="T47" s="3"/>
      <c r="U47" s="34" t="s">
        <v>182</v>
      </c>
      <c r="V47" s="3"/>
      <c r="W47" s="18" t="s">
        <v>90</v>
      </c>
      <c r="X47" s="2"/>
      <c r="Y47" s="2"/>
      <c r="Z47" s="2"/>
      <c r="AA47" s="2"/>
      <c r="AB47" s="2"/>
      <c r="AC47" s="3"/>
      <c r="AD47" s="19">
        <v>5</v>
      </c>
      <c r="AE47" s="2"/>
      <c r="AF47" s="3"/>
    </row>
    <row r="48" ht="30" customHeight="1" spans="2:32">
      <c r="B48" s="17">
        <v>41</v>
      </c>
      <c r="C48" s="19" t="s">
        <v>190</v>
      </c>
      <c r="D48" s="2"/>
      <c r="E48" s="3"/>
      <c r="F48" s="18" t="s">
        <v>180</v>
      </c>
      <c r="G48" s="2"/>
      <c r="H48" s="2"/>
      <c r="I48" s="2"/>
      <c r="J48" s="2"/>
      <c r="K48" s="2"/>
      <c r="L48" s="3"/>
      <c r="M48" s="18" t="s">
        <v>191</v>
      </c>
      <c r="N48" s="2"/>
      <c r="O48" s="2"/>
      <c r="P48" s="2"/>
      <c r="Q48" s="2"/>
      <c r="R48" s="2"/>
      <c r="S48" s="2"/>
      <c r="T48" s="3"/>
      <c r="U48" s="32" t="s">
        <v>78</v>
      </c>
      <c r="V48" s="3"/>
      <c r="W48" s="18" t="s">
        <v>90</v>
      </c>
      <c r="X48" s="2"/>
      <c r="Y48" s="2"/>
      <c r="Z48" s="2"/>
      <c r="AA48" s="2"/>
      <c r="AB48" s="2"/>
      <c r="AC48" s="3"/>
      <c r="AD48" s="19">
        <v>5</v>
      </c>
      <c r="AE48" s="2"/>
      <c r="AF48" s="3"/>
    </row>
    <row r="49" ht="30" customHeight="1" spans="2:37">
      <c r="B49" s="17">
        <v>42</v>
      </c>
      <c r="C49" s="19" t="s">
        <v>192</v>
      </c>
      <c r="D49" s="2"/>
      <c r="E49" s="3"/>
      <c r="F49" s="18" t="s">
        <v>180</v>
      </c>
      <c r="G49" s="2"/>
      <c r="H49" s="2"/>
      <c r="I49" s="2"/>
      <c r="J49" s="2"/>
      <c r="K49" s="2"/>
      <c r="L49" s="3"/>
      <c r="M49" s="18" t="s">
        <v>193</v>
      </c>
      <c r="N49" s="2"/>
      <c r="O49" s="2"/>
      <c r="P49" s="2"/>
      <c r="Q49" s="2"/>
      <c r="R49" s="2"/>
      <c r="S49" s="2"/>
      <c r="T49" s="3"/>
      <c r="U49" s="33" t="s">
        <v>98</v>
      </c>
      <c r="V49" s="3"/>
      <c r="W49" s="18" t="s">
        <v>194</v>
      </c>
      <c r="X49" s="2"/>
      <c r="Y49" s="2"/>
      <c r="Z49" s="2"/>
      <c r="AA49" s="2"/>
      <c r="AB49" s="2"/>
      <c r="AC49" s="3"/>
      <c r="AD49" s="19">
        <v>8</v>
      </c>
      <c r="AE49" s="2"/>
      <c r="AF49" s="3"/>
    </row>
    <row r="50" ht="30" customHeight="1" spans="2:37">
      <c r="B50" s="17">
        <v>43</v>
      </c>
      <c r="C50" s="19" t="s">
        <v>195</v>
      </c>
      <c r="D50" s="2"/>
      <c r="E50" s="3"/>
      <c r="F50" s="18" t="s">
        <v>196</v>
      </c>
      <c r="G50" s="2"/>
      <c r="H50" s="2"/>
      <c r="I50" s="2"/>
      <c r="J50" s="2"/>
      <c r="K50" s="2"/>
      <c r="L50" s="3"/>
      <c r="M50" s="18" t="s">
        <v>197</v>
      </c>
      <c r="N50" s="2"/>
      <c r="O50" s="2"/>
      <c r="P50" s="2"/>
      <c r="Q50" s="2"/>
      <c r="R50" s="2"/>
      <c r="S50" s="2"/>
      <c r="T50" s="3"/>
      <c r="U50" s="33" t="s">
        <v>98</v>
      </c>
      <c r="V50" s="3"/>
      <c r="W50" s="18" t="s">
        <v>198</v>
      </c>
      <c r="X50" s="2"/>
      <c r="Y50" s="2"/>
      <c r="Z50" s="2"/>
      <c r="AA50" s="2"/>
      <c r="AB50" s="2"/>
      <c r="AC50" s="3"/>
      <c r="AD50" s="19">
        <v>12</v>
      </c>
      <c r="AE50" s="2"/>
      <c r="AF50" s="3"/>
    </row>
    <row r="51" ht="30" customHeight="1" spans="2:37">
      <c r="B51" s="17">
        <v>44</v>
      </c>
      <c r="C51" s="19" t="s">
        <v>199</v>
      </c>
      <c r="D51" s="2"/>
      <c r="E51" s="3"/>
      <c r="F51" s="18" t="s">
        <v>196</v>
      </c>
      <c r="G51" s="2"/>
      <c r="H51" s="2"/>
      <c r="I51" s="2"/>
      <c r="J51" s="2"/>
      <c r="K51" s="2"/>
      <c r="L51" s="3"/>
      <c r="M51" s="18" t="s">
        <v>200</v>
      </c>
      <c r="N51" s="2"/>
      <c r="O51" s="2"/>
      <c r="P51" s="2"/>
      <c r="Q51" s="2"/>
      <c r="R51" s="2"/>
      <c r="S51" s="2"/>
      <c r="T51" s="3"/>
      <c r="U51" s="33" t="s">
        <v>98</v>
      </c>
      <c r="V51" s="3"/>
      <c r="W51" s="18" t="s">
        <v>201</v>
      </c>
      <c r="X51" s="2"/>
      <c r="Y51" s="2"/>
      <c r="Z51" s="2"/>
      <c r="AA51" s="2"/>
      <c r="AB51" s="2"/>
      <c r="AC51" s="3"/>
      <c r="AD51" s="19">
        <v>8</v>
      </c>
      <c r="AE51" s="2"/>
      <c r="AF51" s="3"/>
    </row>
    <row r="52" ht="22.5" customHeight="1" spans="2:37">
      <c r="B52" s="35" t="s">
        <v>54</v>
      </c>
      <c r="C52" s="2"/>
      <c r="D52" s="2"/>
      <c r="E52" s="2"/>
      <c r="F52" s="2"/>
      <c r="G52" s="2"/>
      <c r="H52" s="2"/>
      <c r="I52" s="2"/>
      <c r="J52" s="2"/>
      <c r="K52" s="2"/>
      <c r="L52" s="2"/>
      <c r="M52" s="2"/>
      <c r="N52" s="2"/>
      <c r="O52" s="2"/>
      <c r="P52" s="2"/>
      <c r="Q52" s="2"/>
      <c r="R52" s="2"/>
      <c r="S52" s="2"/>
      <c r="T52" s="3"/>
      <c r="U52" s="36"/>
      <c r="V52" s="3"/>
      <c r="W52" s="36"/>
      <c r="X52" s="2"/>
      <c r="Y52" s="2"/>
      <c r="Z52" s="2"/>
      <c r="AA52" s="2"/>
      <c r="AB52" s="2"/>
      <c r="AC52" s="3"/>
      <c r="AD52" s="36">
        <f>SUM(AD8:AD51)</f>
        <v>1682</v>
      </c>
      <c r="AE52" s="2"/>
      <c r="AF52" s="3"/>
    </row>
    <row r="53" ht="15.75" customHeight="1"/>
    <row r="54" ht="19.5" customHeight="1" spans="2:37">
      <c r="B54" s="30" t="s">
        <v>202</v>
      </c>
    </row>
    <row r="55" ht="15.75" customHeight="1"/>
    <row r="56" ht="28.5" customHeight="1" spans="2:37">
      <c r="B56" s="1" t="s">
        <v>203</v>
      </c>
      <c r="C56" s="3"/>
      <c r="D56" s="1" t="s">
        <v>204</v>
      </c>
      <c r="E56" s="2"/>
      <c r="F56" s="3"/>
      <c r="G56" s="1" t="s">
        <v>205</v>
      </c>
      <c r="H56" s="2"/>
      <c r="I56" s="2"/>
      <c r="J56" s="2"/>
      <c r="K56" s="2"/>
      <c r="L56" s="3"/>
      <c r="M56" s="1" t="s">
        <v>206</v>
      </c>
      <c r="N56" s="3"/>
      <c r="O56" s="1" t="s">
        <v>207</v>
      </c>
      <c r="P56" s="2"/>
      <c r="Q56" s="3"/>
      <c r="R56" s="1" t="s">
        <v>208</v>
      </c>
      <c r="S56" s="2"/>
      <c r="T56" s="2"/>
      <c r="U56" s="2"/>
      <c r="V56" s="2"/>
      <c r="W56" s="2"/>
      <c r="X56" s="2"/>
      <c r="Y56" s="2"/>
      <c r="Z56" s="2"/>
      <c r="AA56" s="2"/>
      <c r="AB56" s="2"/>
      <c r="AC56" s="2"/>
      <c r="AD56" s="2"/>
      <c r="AE56" s="2"/>
      <c r="AF56" s="2"/>
      <c r="AG56" s="2"/>
      <c r="AH56" s="2"/>
      <c r="AI56" s="2"/>
      <c r="AJ56" s="2"/>
      <c r="AK56" s="3"/>
    </row>
    <row r="57" ht="36" customHeight="1" spans="2:37">
      <c r="B57" s="37" t="s">
        <v>209</v>
      </c>
      <c r="C57" s="3"/>
      <c r="D57" s="19" t="s">
        <v>210</v>
      </c>
      <c r="E57" s="2"/>
      <c r="F57" s="3"/>
      <c r="G57" s="18" t="s">
        <v>211</v>
      </c>
      <c r="H57" s="2"/>
      <c r="I57" s="2"/>
      <c r="J57" s="2"/>
      <c r="K57" s="2"/>
      <c r="L57" s="3"/>
      <c r="M57" s="19">
        <v>10</v>
      </c>
      <c r="N57" s="3"/>
      <c r="O57" s="19" t="s">
        <v>78</v>
      </c>
      <c r="P57" s="2"/>
      <c r="Q57" s="3"/>
      <c r="R57" s="18" t="s">
        <v>212</v>
      </c>
      <c r="S57" s="2"/>
      <c r="T57" s="2"/>
      <c r="U57" s="2"/>
      <c r="V57" s="2"/>
      <c r="W57" s="2"/>
      <c r="X57" s="2"/>
      <c r="Y57" s="2"/>
      <c r="Z57" s="2"/>
      <c r="AA57" s="2"/>
      <c r="AB57" s="2"/>
      <c r="AC57" s="2"/>
      <c r="AD57" s="2"/>
      <c r="AE57" s="2"/>
      <c r="AF57" s="2"/>
      <c r="AG57" s="2"/>
      <c r="AH57" s="2"/>
      <c r="AI57" s="2"/>
      <c r="AJ57" s="2"/>
      <c r="AK57" s="3"/>
    </row>
    <row r="58" ht="30" customHeight="1" spans="2:37">
      <c r="B58" s="37" t="s">
        <v>213</v>
      </c>
      <c r="C58" s="3"/>
      <c r="D58" s="19" t="s">
        <v>214</v>
      </c>
      <c r="E58" s="2"/>
      <c r="F58" s="3"/>
      <c r="G58" s="18" t="s">
        <v>215</v>
      </c>
      <c r="H58" s="2"/>
      <c r="I58" s="2"/>
      <c r="J58" s="2"/>
      <c r="K58" s="2"/>
      <c r="L58" s="3"/>
      <c r="M58" s="19">
        <v>9</v>
      </c>
      <c r="N58" s="3"/>
      <c r="O58" s="19" t="s">
        <v>98</v>
      </c>
      <c r="P58" s="2"/>
      <c r="Q58" s="3"/>
      <c r="R58" s="18" t="s">
        <v>216</v>
      </c>
      <c r="S58" s="2"/>
      <c r="T58" s="2"/>
      <c r="U58" s="2"/>
      <c r="V58" s="2"/>
      <c r="W58" s="2"/>
      <c r="X58" s="2"/>
      <c r="Y58" s="2"/>
      <c r="Z58" s="2"/>
      <c r="AA58" s="2"/>
      <c r="AB58" s="2"/>
      <c r="AC58" s="2"/>
      <c r="AD58" s="2"/>
      <c r="AE58" s="2"/>
      <c r="AF58" s="2"/>
      <c r="AG58" s="2"/>
      <c r="AH58" s="2"/>
      <c r="AI58" s="2"/>
      <c r="AJ58" s="2"/>
      <c r="AK58" s="3"/>
    </row>
    <row r="59" ht="36" customHeight="1" spans="2:37">
      <c r="B59" s="37" t="s">
        <v>217</v>
      </c>
      <c r="C59" s="3"/>
      <c r="D59" s="19" t="s">
        <v>218</v>
      </c>
      <c r="E59" s="2"/>
      <c r="F59" s="3"/>
      <c r="G59" s="18" t="s">
        <v>219</v>
      </c>
      <c r="H59" s="2"/>
      <c r="I59" s="2"/>
      <c r="J59" s="2"/>
      <c r="K59" s="2"/>
      <c r="L59" s="3"/>
      <c r="M59" s="19">
        <v>8</v>
      </c>
      <c r="N59" s="3"/>
      <c r="O59" s="19" t="s">
        <v>78</v>
      </c>
      <c r="P59" s="2"/>
      <c r="Q59" s="3"/>
      <c r="R59" s="18" t="s">
        <v>220</v>
      </c>
      <c r="S59" s="2"/>
      <c r="T59" s="2"/>
      <c r="U59" s="2"/>
      <c r="V59" s="2"/>
      <c r="W59" s="2"/>
      <c r="X59" s="2"/>
      <c r="Y59" s="2"/>
      <c r="Z59" s="2"/>
      <c r="AA59" s="2"/>
      <c r="AB59" s="2"/>
      <c r="AC59" s="2"/>
      <c r="AD59" s="2"/>
      <c r="AE59" s="2"/>
      <c r="AF59" s="2"/>
      <c r="AG59" s="2"/>
      <c r="AH59" s="2"/>
      <c r="AI59" s="2"/>
      <c r="AJ59" s="2"/>
      <c r="AK59" s="3"/>
    </row>
    <row r="60" ht="36" customHeight="1" spans="2:37">
      <c r="B60" s="37" t="s">
        <v>221</v>
      </c>
      <c r="C60" s="3"/>
      <c r="D60" s="19" t="s">
        <v>222</v>
      </c>
      <c r="E60" s="2"/>
      <c r="F60" s="3"/>
      <c r="G60" s="18" t="s">
        <v>223</v>
      </c>
      <c r="H60" s="2"/>
      <c r="I60" s="2"/>
      <c r="J60" s="2"/>
      <c r="K60" s="2"/>
      <c r="L60" s="3"/>
      <c r="M60" s="19">
        <v>9</v>
      </c>
      <c r="N60" s="3"/>
      <c r="O60" s="19" t="s">
        <v>78</v>
      </c>
      <c r="P60" s="2"/>
      <c r="Q60" s="3"/>
      <c r="R60" s="18" t="s">
        <v>224</v>
      </c>
      <c r="S60" s="2"/>
      <c r="T60" s="2"/>
      <c r="U60" s="2"/>
      <c r="V60" s="2"/>
      <c r="W60" s="2"/>
      <c r="X60" s="2"/>
      <c r="Y60" s="2"/>
      <c r="Z60" s="2"/>
      <c r="AA60" s="2"/>
      <c r="AB60" s="2"/>
      <c r="AC60" s="2"/>
      <c r="AD60" s="2"/>
      <c r="AE60" s="2"/>
      <c r="AF60" s="2"/>
      <c r="AG60" s="2"/>
      <c r="AH60" s="2"/>
      <c r="AI60" s="2"/>
      <c r="AJ60" s="2"/>
      <c r="AK60" s="3"/>
    </row>
    <row r="61" ht="36" customHeight="1" spans="2:37">
      <c r="B61" s="37" t="s">
        <v>225</v>
      </c>
      <c r="C61" s="3"/>
      <c r="D61" s="19" t="s">
        <v>226</v>
      </c>
      <c r="E61" s="2"/>
      <c r="F61" s="3"/>
      <c r="G61" s="18" t="s">
        <v>227</v>
      </c>
      <c r="H61" s="2"/>
      <c r="I61" s="2"/>
      <c r="J61" s="2"/>
      <c r="K61" s="2"/>
      <c r="L61" s="3"/>
      <c r="M61" s="19">
        <v>6</v>
      </c>
      <c r="N61" s="3"/>
      <c r="O61" s="19" t="s">
        <v>228</v>
      </c>
      <c r="P61" s="2"/>
      <c r="Q61" s="3"/>
      <c r="R61" s="18" t="s">
        <v>229</v>
      </c>
      <c r="S61" s="2"/>
      <c r="T61" s="2"/>
      <c r="U61" s="2"/>
      <c r="V61" s="2"/>
      <c r="W61" s="2"/>
      <c r="X61" s="2"/>
      <c r="Y61" s="2"/>
      <c r="Z61" s="2"/>
      <c r="AA61" s="2"/>
      <c r="AB61" s="2"/>
      <c r="AC61" s="2"/>
      <c r="AD61" s="2"/>
      <c r="AE61" s="2"/>
      <c r="AF61" s="2"/>
      <c r="AG61" s="2"/>
      <c r="AH61" s="2"/>
      <c r="AI61" s="2"/>
      <c r="AJ61" s="2"/>
      <c r="AK61" s="3"/>
    </row>
    <row r="62" ht="30" customHeight="1" spans="2:37">
      <c r="B62" s="37" t="s">
        <v>230</v>
      </c>
      <c r="C62" s="3"/>
      <c r="D62" s="19" t="s">
        <v>231</v>
      </c>
      <c r="E62" s="2"/>
      <c r="F62" s="3"/>
      <c r="G62" s="18" t="s">
        <v>232</v>
      </c>
      <c r="H62" s="2"/>
      <c r="I62" s="2"/>
      <c r="J62" s="2"/>
      <c r="K62" s="2"/>
      <c r="L62" s="3"/>
      <c r="M62" s="19">
        <v>2</v>
      </c>
      <c r="N62" s="3"/>
      <c r="O62" s="19" t="s">
        <v>98</v>
      </c>
      <c r="P62" s="2"/>
      <c r="Q62" s="3"/>
      <c r="R62" s="18" t="s">
        <v>233</v>
      </c>
      <c r="S62" s="2"/>
      <c r="T62" s="2"/>
      <c r="U62" s="2"/>
      <c r="V62" s="2"/>
      <c r="W62" s="2"/>
      <c r="X62" s="2"/>
      <c r="Y62" s="2"/>
      <c r="Z62" s="2"/>
      <c r="AA62" s="2"/>
      <c r="AB62" s="2"/>
      <c r="AC62" s="2"/>
      <c r="AD62" s="2"/>
      <c r="AE62" s="2"/>
      <c r="AF62" s="2"/>
      <c r="AG62" s="2"/>
      <c r="AH62" s="2"/>
      <c r="AI62" s="2"/>
      <c r="AJ62" s="2"/>
      <c r="AK62" s="3"/>
    </row>
    <row r="63" ht="15.75" customHeight="1"/>
    <row r="64" ht="30" customHeight="1" spans="2:37">
      <c r="B64" s="38" t="s">
        <v>234</v>
      </c>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3"/>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A1:I1"/>
    <mergeCell ref="J1:P1"/>
    <mergeCell ref="Q1:U1"/>
    <mergeCell ref="V1:Y1"/>
    <mergeCell ref="Z1:AC1"/>
    <mergeCell ref="AD1:AG1"/>
    <mergeCell ref="AH1:AK1"/>
    <mergeCell ref="B5:AK5"/>
    <mergeCell ref="C7:E7"/>
    <mergeCell ref="F7:L7"/>
    <mergeCell ref="M7:T7"/>
    <mergeCell ref="U7:V7"/>
    <mergeCell ref="W7:AC7"/>
    <mergeCell ref="AD7:AF7"/>
    <mergeCell ref="C8:E8"/>
    <mergeCell ref="F8:L8"/>
    <mergeCell ref="M8:T8"/>
    <mergeCell ref="U8:V8"/>
    <mergeCell ref="W8:AC8"/>
    <mergeCell ref="AD8:AF8"/>
    <mergeCell ref="C9:E9"/>
    <mergeCell ref="F9:L9"/>
    <mergeCell ref="M9:T9"/>
    <mergeCell ref="U9:V9"/>
    <mergeCell ref="W9:AC9"/>
    <mergeCell ref="AD9:AF9"/>
    <mergeCell ref="C10:E10"/>
    <mergeCell ref="F10:L10"/>
    <mergeCell ref="M10:T10"/>
    <mergeCell ref="U10:V10"/>
    <mergeCell ref="W10:AC10"/>
    <mergeCell ref="AD10:AF10"/>
    <mergeCell ref="C11:E11"/>
    <mergeCell ref="F11:L11"/>
    <mergeCell ref="M11:T11"/>
    <mergeCell ref="U11:V11"/>
    <mergeCell ref="W11:AC11"/>
    <mergeCell ref="AD11:AF11"/>
    <mergeCell ref="C12:E12"/>
    <mergeCell ref="F12:L12"/>
    <mergeCell ref="M12:T12"/>
    <mergeCell ref="U12:V12"/>
    <mergeCell ref="W12:AC12"/>
    <mergeCell ref="AD12:AF12"/>
    <mergeCell ref="C13:E13"/>
    <mergeCell ref="F13:L13"/>
    <mergeCell ref="M13:T13"/>
    <mergeCell ref="U13:V13"/>
    <mergeCell ref="W13:AC13"/>
    <mergeCell ref="AD13:AF13"/>
    <mergeCell ref="C14:E14"/>
    <mergeCell ref="F14:L14"/>
    <mergeCell ref="M14:T14"/>
    <mergeCell ref="U14:V14"/>
    <mergeCell ref="W14:AC14"/>
    <mergeCell ref="AD14:AF14"/>
    <mergeCell ref="C15:E15"/>
    <mergeCell ref="F15:L15"/>
    <mergeCell ref="M15:T15"/>
    <mergeCell ref="U15:V15"/>
    <mergeCell ref="W15:AC15"/>
    <mergeCell ref="AD15:AF15"/>
    <mergeCell ref="C16:E16"/>
    <mergeCell ref="F16:L16"/>
    <mergeCell ref="M16:T16"/>
    <mergeCell ref="U16:V16"/>
    <mergeCell ref="W16:AC16"/>
    <mergeCell ref="AD16:AF16"/>
    <mergeCell ref="C17:E17"/>
    <mergeCell ref="F17:L17"/>
    <mergeCell ref="M17:T17"/>
    <mergeCell ref="U17:V17"/>
    <mergeCell ref="W17:AC17"/>
    <mergeCell ref="AD17:AF17"/>
    <mergeCell ref="C18:E18"/>
    <mergeCell ref="F18:L18"/>
    <mergeCell ref="M18:T18"/>
    <mergeCell ref="U18:V18"/>
    <mergeCell ref="W18:AC18"/>
    <mergeCell ref="AD18:AF18"/>
    <mergeCell ref="C19:E19"/>
    <mergeCell ref="F19:L19"/>
    <mergeCell ref="M19:T19"/>
    <mergeCell ref="U19:V19"/>
    <mergeCell ref="W19:AC19"/>
    <mergeCell ref="AD19:AF19"/>
    <mergeCell ref="C20:E20"/>
    <mergeCell ref="F20:L20"/>
    <mergeCell ref="M20:T20"/>
    <mergeCell ref="U20:V20"/>
    <mergeCell ref="W20:AC20"/>
    <mergeCell ref="AD20:AF20"/>
    <mergeCell ref="C21:E21"/>
    <mergeCell ref="F21:L21"/>
    <mergeCell ref="M21:T21"/>
    <mergeCell ref="U21:V21"/>
    <mergeCell ref="W21:AC21"/>
    <mergeCell ref="AD21:AF21"/>
    <mergeCell ref="C22:E22"/>
    <mergeCell ref="F22:L22"/>
    <mergeCell ref="M22:T22"/>
    <mergeCell ref="U22:V22"/>
    <mergeCell ref="W22:AC22"/>
    <mergeCell ref="AD22:AF22"/>
    <mergeCell ref="C23:E23"/>
    <mergeCell ref="F23:L23"/>
    <mergeCell ref="M23:T23"/>
    <mergeCell ref="U23:V23"/>
    <mergeCell ref="W23:AC23"/>
    <mergeCell ref="AD23:AF23"/>
    <mergeCell ref="C24:E24"/>
    <mergeCell ref="F24:L24"/>
    <mergeCell ref="M24:T24"/>
    <mergeCell ref="U24:V24"/>
    <mergeCell ref="W24:AC24"/>
    <mergeCell ref="AD24:AF24"/>
    <mergeCell ref="C25:E25"/>
    <mergeCell ref="F25:L25"/>
    <mergeCell ref="M25:T25"/>
    <mergeCell ref="U25:V25"/>
    <mergeCell ref="W25:AC25"/>
    <mergeCell ref="AD25:AF25"/>
    <mergeCell ref="C26:E26"/>
    <mergeCell ref="F26:L26"/>
    <mergeCell ref="M26:T26"/>
    <mergeCell ref="U26:V26"/>
    <mergeCell ref="W26:AC26"/>
    <mergeCell ref="AD26:AF26"/>
    <mergeCell ref="C27:E27"/>
    <mergeCell ref="F27:L27"/>
    <mergeCell ref="M27:T27"/>
    <mergeCell ref="U27:V27"/>
    <mergeCell ref="W27:AC27"/>
    <mergeCell ref="AD27:AF27"/>
    <mergeCell ref="C28:E28"/>
    <mergeCell ref="F28:L28"/>
    <mergeCell ref="M28:T28"/>
    <mergeCell ref="U28:V28"/>
    <mergeCell ref="W28:AC28"/>
    <mergeCell ref="AD28:AF28"/>
    <mergeCell ref="C29:E29"/>
    <mergeCell ref="F29:L29"/>
    <mergeCell ref="M29:T29"/>
    <mergeCell ref="U29:V29"/>
    <mergeCell ref="W29:AC29"/>
    <mergeCell ref="AD29:AF29"/>
    <mergeCell ref="C30:E30"/>
    <mergeCell ref="F30:L30"/>
    <mergeCell ref="M30:T30"/>
    <mergeCell ref="U30:V30"/>
    <mergeCell ref="W30:AC30"/>
    <mergeCell ref="AD30:AF30"/>
    <mergeCell ref="C31:E31"/>
    <mergeCell ref="F31:L31"/>
    <mergeCell ref="M31:T31"/>
    <mergeCell ref="U31:V31"/>
    <mergeCell ref="W31:AC31"/>
    <mergeCell ref="AD31:AF31"/>
    <mergeCell ref="C32:E32"/>
    <mergeCell ref="F32:L32"/>
    <mergeCell ref="M32:T32"/>
    <mergeCell ref="U32:V32"/>
    <mergeCell ref="W32:AC32"/>
    <mergeCell ref="AD32:AF32"/>
    <mergeCell ref="C33:E33"/>
    <mergeCell ref="F33:L33"/>
    <mergeCell ref="M33:T33"/>
    <mergeCell ref="U33:V33"/>
    <mergeCell ref="W33:AC33"/>
    <mergeCell ref="AD33:AF33"/>
    <mergeCell ref="C34:E34"/>
    <mergeCell ref="F34:L34"/>
    <mergeCell ref="M34:T34"/>
    <mergeCell ref="U34:V34"/>
    <mergeCell ref="W34:AC34"/>
    <mergeCell ref="AD34:AF34"/>
    <mergeCell ref="C35:E35"/>
    <mergeCell ref="F35:L35"/>
    <mergeCell ref="M35:T35"/>
    <mergeCell ref="U35:V35"/>
    <mergeCell ref="W35:AC35"/>
    <mergeCell ref="AD35:AF35"/>
    <mergeCell ref="C36:E36"/>
    <mergeCell ref="F36:L36"/>
    <mergeCell ref="M36:T36"/>
    <mergeCell ref="U36:V36"/>
    <mergeCell ref="W36:AC36"/>
    <mergeCell ref="AD36:AF36"/>
    <mergeCell ref="C37:E37"/>
    <mergeCell ref="F37:L37"/>
    <mergeCell ref="M37:T37"/>
    <mergeCell ref="U37:V37"/>
    <mergeCell ref="W37:AC37"/>
    <mergeCell ref="AD37:AF37"/>
    <mergeCell ref="C38:E38"/>
    <mergeCell ref="F38:L38"/>
    <mergeCell ref="M38:T38"/>
    <mergeCell ref="U38:V38"/>
    <mergeCell ref="W38:AC38"/>
    <mergeCell ref="AD38:AF38"/>
    <mergeCell ref="C39:E39"/>
    <mergeCell ref="F39:L39"/>
    <mergeCell ref="M39:T39"/>
    <mergeCell ref="U39:V39"/>
    <mergeCell ref="W39:AC39"/>
    <mergeCell ref="AD39:AF39"/>
    <mergeCell ref="C40:E40"/>
    <mergeCell ref="F40:L40"/>
    <mergeCell ref="M40:T40"/>
    <mergeCell ref="U40:V40"/>
    <mergeCell ref="W40:AC40"/>
    <mergeCell ref="AD40:AF40"/>
    <mergeCell ref="C41:E41"/>
    <mergeCell ref="F41:L41"/>
    <mergeCell ref="M41:T41"/>
    <mergeCell ref="U41:V41"/>
    <mergeCell ref="W41:AC41"/>
    <mergeCell ref="AD41:AF41"/>
    <mergeCell ref="C42:E42"/>
    <mergeCell ref="F42:L42"/>
    <mergeCell ref="M42:T42"/>
    <mergeCell ref="U42:V42"/>
    <mergeCell ref="W42:AC42"/>
    <mergeCell ref="AD42:AF42"/>
    <mergeCell ref="C43:E43"/>
    <mergeCell ref="F43:L43"/>
    <mergeCell ref="M43:T43"/>
    <mergeCell ref="U43:V43"/>
    <mergeCell ref="W43:AC43"/>
    <mergeCell ref="AD43:AF43"/>
    <mergeCell ref="C44:E44"/>
    <mergeCell ref="F44:L44"/>
    <mergeCell ref="M44:T44"/>
    <mergeCell ref="U44:V44"/>
    <mergeCell ref="W44:AC44"/>
    <mergeCell ref="AD44:AF44"/>
    <mergeCell ref="C45:E45"/>
    <mergeCell ref="F45:L45"/>
    <mergeCell ref="M45:T45"/>
    <mergeCell ref="U45:V45"/>
    <mergeCell ref="W45:AC45"/>
    <mergeCell ref="AD45:AF45"/>
    <mergeCell ref="C46:E46"/>
    <mergeCell ref="F46:L46"/>
    <mergeCell ref="M46:T46"/>
    <mergeCell ref="U46:V46"/>
    <mergeCell ref="W46:AC46"/>
    <mergeCell ref="AD46:AF46"/>
    <mergeCell ref="C47:E47"/>
    <mergeCell ref="F47:L47"/>
    <mergeCell ref="M47:T47"/>
    <mergeCell ref="U47:V47"/>
    <mergeCell ref="W47:AC47"/>
    <mergeCell ref="AD47:AF47"/>
    <mergeCell ref="C48:E48"/>
    <mergeCell ref="F48:L48"/>
    <mergeCell ref="M48:T48"/>
    <mergeCell ref="U48:V48"/>
    <mergeCell ref="W48:AC48"/>
    <mergeCell ref="AD48:AF48"/>
    <mergeCell ref="C49:E49"/>
    <mergeCell ref="F49:L49"/>
    <mergeCell ref="M49:T49"/>
    <mergeCell ref="U49:V49"/>
    <mergeCell ref="W49:AC49"/>
    <mergeCell ref="AD49:AF49"/>
    <mergeCell ref="C50:E50"/>
    <mergeCell ref="F50:L50"/>
    <mergeCell ref="M50:T50"/>
    <mergeCell ref="U50:V50"/>
    <mergeCell ref="W50:AC50"/>
    <mergeCell ref="AD50:AF50"/>
    <mergeCell ref="C51:E51"/>
    <mergeCell ref="F51:L51"/>
    <mergeCell ref="M51:T51"/>
    <mergeCell ref="U51:V51"/>
    <mergeCell ref="W51:AC51"/>
    <mergeCell ref="AD51:AF51"/>
    <mergeCell ref="B52:T52"/>
    <mergeCell ref="U52:V52"/>
    <mergeCell ref="W52:AC52"/>
    <mergeCell ref="AD52:AF52"/>
    <mergeCell ref="B54:AK54"/>
    <mergeCell ref="B56:C56"/>
    <mergeCell ref="D56:F56"/>
    <mergeCell ref="G56:L56"/>
    <mergeCell ref="M56:N56"/>
    <mergeCell ref="O56:Q56"/>
    <mergeCell ref="R56:AK56"/>
    <mergeCell ref="B57:C57"/>
    <mergeCell ref="D57:F57"/>
    <mergeCell ref="G57:L57"/>
    <mergeCell ref="M57:N57"/>
    <mergeCell ref="O57:Q57"/>
    <mergeCell ref="R57:AK57"/>
    <mergeCell ref="B58:C58"/>
    <mergeCell ref="D58:F58"/>
    <mergeCell ref="G58:L58"/>
    <mergeCell ref="M58:N58"/>
    <mergeCell ref="O58:Q58"/>
    <mergeCell ref="R58:AK58"/>
    <mergeCell ref="B59:C59"/>
    <mergeCell ref="D59:F59"/>
    <mergeCell ref="G59:L59"/>
    <mergeCell ref="M59:N59"/>
    <mergeCell ref="O59:Q59"/>
    <mergeCell ref="R59:AK59"/>
    <mergeCell ref="B60:C60"/>
    <mergeCell ref="D60:F60"/>
    <mergeCell ref="G60:L60"/>
    <mergeCell ref="M60:N60"/>
    <mergeCell ref="O60:Q60"/>
    <mergeCell ref="R60:AK60"/>
    <mergeCell ref="B61:C61"/>
    <mergeCell ref="D61:F61"/>
    <mergeCell ref="G61:L61"/>
    <mergeCell ref="M61:N61"/>
    <mergeCell ref="O61:Q61"/>
    <mergeCell ref="R61:AK61"/>
    <mergeCell ref="B62:C62"/>
    <mergeCell ref="D62:F62"/>
    <mergeCell ref="G62:L62"/>
    <mergeCell ref="M62:N62"/>
    <mergeCell ref="O62:Q62"/>
    <mergeCell ref="R62:AK62"/>
    <mergeCell ref="B64:AK64"/>
    <mergeCell ref="J2:P3"/>
    <mergeCell ref="Q2:U3"/>
    <mergeCell ref="V2:Y3"/>
    <mergeCell ref="Z2:AC3"/>
    <mergeCell ref="AD2:AG3"/>
    <mergeCell ref="AH2:AK3"/>
    <mergeCell ref="A2:I3"/>
  </mergeCells>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00"/>
  <sheetViews>
    <sheetView showGridLines="0" tabSelected="1" topLeftCell="A58" workbookViewId="0">
      <selection activeCell="AS60" sqref="AS60:AU60"/>
    </sheetView>
  </sheetViews>
  <sheetFormatPr defaultColWidth="14.4285714285714" defaultRowHeight="15" customHeight="1"/>
  <cols>
    <col min="1" max="69" width="4" customWidth="1"/>
  </cols>
  <sheetData>
    <row r="1" ht="22.5" customHeight="1" spans="1:69">
      <c r="A1" s="1" t="s">
        <v>235</v>
      </c>
      <c r="B1" s="2"/>
      <c r="C1" s="2"/>
      <c r="D1" s="2"/>
      <c r="E1" s="3"/>
      <c r="F1" s="4" t="s">
        <v>236</v>
      </c>
      <c r="G1" s="2"/>
      <c r="H1" s="2"/>
      <c r="I1" s="2"/>
      <c r="J1" s="2"/>
      <c r="K1" s="2"/>
      <c r="L1" s="2"/>
      <c r="M1" s="2"/>
      <c r="N1" s="2"/>
      <c r="O1" s="2"/>
      <c r="P1" s="2"/>
      <c r="Q1" s="3"/>
      <c r="R1" s="1" t="s">
        <v>237</v>
      </c>
      <c r="S1" s="2"/>
      <c r="T1" s="2"/>
      <c r="U1" s="2"/>
      <c r="V1" s="3"/>
      <c r="W1" s="4" t="s">
        <v>238</v>
      </c>
      <c r="X1" s="2"/>
      <c r="Y1" s="2"/>
      <c r="Z1" s="2"/>
      <c r="AA1" s="2"/>
      <c r="AB1" s="2"/>
      <c r="AC1" s="2"/>
      <c r="AD1" s="2"/>
      <c r="AE1" s="2"/>
      <c r="AF1" s="2"/>
      <c r="AG1" s="2"/>
      <c r="AH1" s="3"/>
    </row>
    <row r="2" ht="22.5" customHeight="1" spans="1:69">
      <c r="A2" s="1" t="s">
        <v>23</v>
      </c>
      <c r="B2" s="2"/>
      <c r="C2" s="2"/>
      <c r="D2" s="2"/>
      <c r="E2" s="3"/>
      <c r="F2" s="4" t="s">
        <v>16</v>
      </c>
      <c r="G2" s="2"/>
      <c r="H2" s="2"/>
      <c r="I2" s="2"/>
      <c r="J2" s="2"/>
      <c r="K2" s="2"/>
      <c r="L2" s="2"/>
      <c r="M2" s="2"/>
      <c r="N2" s="2"/>
      <c r="O2" s="2"/>
      <c r="P2" s="2"/>
      <c r="Q2" s="3"/>
      <c r="R2" s="1" t="s">
        <v>22</v>
      </c>
      <c r="S2" s="2"/>
      <c r="T2" s="2"/>
      <c r="U2" s="2"/>
      <c r="V2" s="3"/>
      <c r="W2" s="5" t="s">
        <v>8</v>
      </c>
      <c r="X2" s="2"/>
      <c r="Y2" s="2"/>
      <c r="Z2" s="2"/>
      <c r="AA2" s="2"/>
      <c r="AB2" s="2"/>
      <c r="AC2" s="2"/>
      <c r="AD2" s="2"/>
      <c r="AE2" s="2"/>
      <c r="AF2" s="2"/>
      <c r="AG2" s="2"/>
      <c r="AH2" s="3"/>
    </row>
    <row r="3" ht="22.5" customHeight="1" spans="1:69">
      <c r="A3" s="1" t="s">
        <v>13</v>
      </c>
      <c r="B3" s="2"/>
      <c r="C3" s="2"/>
      <c r="D3" s="2"/>
      <c r="E3" s="3"/>
      <c r="F3" s="4" t="s">
        <v>18</v>
      </c>
      <c r="G3" s="2"/>
      <c r="H3" s="2"/>
      <c r="I3" s="2"/>
      <c r="J3" s="2"/>
      <c r="K3" s="2"/>
      <c r="L3" s="2"/>
      <c r="M3" s="2"/>
      <c r="N3" s="2"/>
      <c r="O3" s="2"/>
      <c r="P3" s="2"/>
      <c r="Q3" s="3"/>
      <c r="R3" s="1" t="s">
        <v>239</v>
      </c>
      <c r="S3" s="2"/>
      <c r="T3" s="2"/>
      <c r="U3" s="2"/>
      <c r="V3" s="3"/>
      <c r="W3" s="5"/>
      <c r="X3" s="2"/>
      <c r="Y3" s="2"/>
      <c r="Z3" s="2"/>
      <c r="AA3" s="2"/>
      <c r="AB3" s="2"/>
      <c r="AC3" s="2"/>
      <c r="AD3" s="2"/>
      <c r="AE3" s="2"/>
      <c r="AF3" s="2"/>
      <c r="AG3" s="2"/>
      <c r="AH3" s="3"/>
    </row>
    <row r="4" ht="22.5" customHeight="1" spans="1:69">
      <c r="A4" s="1" t="s">
        <v>240</v>
      </c>
      <c r="B4" s="2"/>
      <c r="C4" s="2"/>
      <c r="D4" s="2"/>
      <c r="E4" s="3"/>
      <c r="F4" s="4" t="s">
        <v>241</v>
      </c>
      <c r="G4" s="2"/>
      <c r="H4" s="2"/>
      <c r="I4" s="2"/>
      <c r="J4" s="2"/>
      <c r="K4" s="2"/>
      <c r="L4" s="2"/>
      <c r="M4" s="2"/>
      <c r="N4" s="2"/>
      <c r="O4" s="2"/>
      <c r="P4" s="2"/>
      <c r="Q4" s="2"/>
      <c r="R4" s="2"/>
      <c r="S4" s="2"/>
      <c r="T4" s="2"/>
      <c r="U4" s="2"/>
      <c r="V4" s="2"/>
      <c r="W4" s="2"/>
      <c r="X4" s="2"/>
      <c r="Y4" s="2"/>
      <c r="Z4" s="2"/>
      <c r="AA4" s="2"/>
      <c r="AB4" s="2"/>
      <c r="AC4" s="2"/>
      <c r="AD4" s="2"/>
      <c r="AE4" s="2"/>
      <c r="AF4" s="2"/>
      <c r="AG4" s="2"/>
      <c r="AH4" s="3"/>
    </row>
    <row r="5" ht="22.5" customHeight="1" spans="1:69">
      <c r="A5" s="1" t="s">
        <v>242</v>
      </c>
      <c r="B5" s="2"/>
      <c r="C5" s="2"/>
      <c r="D5" s="2"/>
      <c r="E5" s="2"/>
      <c r="F5" s="2"/>
      <c r="G5" s="2"/>
      <c r="H5" s="2"/>
      <c r="I5" s="2"/>
      <c r="J5" s="2"/>
      <c r="K5" s="2"/>
      <c r="L5" s="2"/>
      <c r="M5" s="2"/>
      <c r="N5" s="2"/>
      <c r="O5" s="2"/>
      <c r="P5" s="2"/>
      <c r="Q5" s="2"/>
      <c r="R5" s="2"/>
      <c r="S5" s="3"/>
      <c r="T5" s="1" t="s">
        <v>55</v>
      </c>
      <c r="U5" s="2"/>
      <c r="V5" s="2"/>
      <c r="W5" s="2"/>
      <c r="X5" s="2"/>
      <c r="Y5" s="2"/>
      <c r="Z5" s="2"/>
      <c r="AA5" s="2"/>
      <c r="AB5" s="2"/>
      <c r="AC5" s="2"/>
      <c r="AD5" s="2"/>
      <c r="AE5" s="2"/>
      <c r="AF5" s="2"/>
      <c r="AG5" s="2"/>
      <c r="AH5" s="3"/>
    </row>
    <row r="6" ht="22.5" customHeight="1" spans="1:69">
      <c r="A6" s="1" t="s">
        <v>243</v>
      </c>
      <c r="B6" s="2"/>
      <c r="C6" s="2"/>
      <c r="D6" s="2"/>
      <c r="E6" s="2"/>
      <c r="F6" s="2"/>
      <c r="G6" s="3"/>
      <c r="H6" s="1" t="s">
        <v>56</v>
      </c>
      <c r="I6" s="2"/>
      <c r="J6" s="3"/>
      <c r="K6" s="1" t="s">
        <v>57</v>
      </c>
      <c r="L6" s="2"/>
      <c r="M6" s="3"/>
      <c r="N6" s="1" t="s">
        <v>244</v>
      </c>
      <c r="O6" s="2"/>
      <c r="P6" s="3"/>
      <c r="Q6" s="1" t="s">
        <v>54</v>
      </c>
      <c r="R6" s="2"/>
      <c r="S6" s="3"/>
      <c r="T6" s="1" t="s">
        <v>59</v>
      </c>
      <c r="U6" s="2"/>
      <c r="V6" s="3"/>
      <c r="W6" s="1" t="s">
        <v>60</v>
      </c>
      <c r="X6" s="2"/>
      <c r="Y6" s="3"/>
      <c r="Z6" s="1" t="s">
        <v>61</v>
      </c>
      <c r="AA6" s="2"/>
      <c r="AB6" s="3"/>
      <c r="AC6" s="1" t="s">
        <v>62</v>
      </c>
      <c r="AD6" s="2"/>
      <c r="AE6" s="3"/>
      <c r="AF6" s="1" t="s">
        <v>54</v>
      </c>
      <c r="AG6" s="2"/>
      <c r="AH6" s="3"/>
    </row>
    <row r="7" ht="22.5" customHeight="1" spans="1:69">
      <c r="A7" s="1" t="s">
        <v>245</v>
      </c>
      <c r="B7" s="2"/>
      <c r="C7" s="2"/>
      <c r="D7" s="2"/>
      <c r="E7" s="2"/>
      <c r="F7" s="2"/>
      <c r="G7" s="3"/>
      <c r="H7" s="6">
        <f t="shared" ref="H7:H8" si="0">COUNTIF($AE$12:$AF$1049,"N")</f>
        <v>30</v>
      </c>
      <c r="I7" s="2"/>
      <c r="J7" s="3"/>
      <c r="K7" s="6">
        <f t="shared" ref="K7:K8" si="1">COUNTIF($AE$12:$AF$1049,"A")</f>
        <v>38</v>
      </c>
      <c r="L7" s="2"/>
      <c r="M7" s="3"/>
      <c r="N7" s="6">
        <f t="shared" ref="N7:N8" si="2">COUNTIF($AE$12:$AF$1049,"B")</f>
        <v>0</v>
      </c>
      <c r="O7" s="2"/>
      <c r="P7" s="3"/>
      <c r="Q7" s="7">
        <f t="shared" ref="Q7:Q8" si="3">SUM(H7:P7)</f>
        <v>68</v>
      </c>
      <c r="R7" s="2"/>
      <c r="S7" s="3"/>
      <c r="T7" s="6">
        <f>COUNTIF($AG$12:$AI$1049,T$6)</f>
        <v>66</v>
      </c>
      <c r="U7" s="2"/>
      <c r="V7" s="3"/>
      <c r="W7" s="6">
        <f>COUNTIF($AG$12:$AI$1049,W$6)</f>
        <v>0</v>
      </c>
      <c r="X7" s="2"/>
      <c r="Y7" s="3"/>
      <c r="Z7" s="6">
        <f>COUNTIF($AG$12:$AI$1049,Z$6)</f>
        <v>0</v>
      </c>
      <c r="AA7" s="2"/>
      <c r="AB7" s="3"/>
      <c r="AC7" s="6">
        <f>COUNTIF($AG$12:$AI$1049,AC$6)</f>
        <v>2</v>
      </c>
      <c r="AD7" s="2"/>
      <c r="AE7" s="3"/>
      <c r="AF7" s="7">
        <f t="shared" ref="AF7:AF8" si="4">SUM(T7:AE7)</f>
        <v>68</v>
      </c>
      <c r="AG7" s="2"/>
      <c r="AH7" s="3"/>
    </row>
    <row r="8" ht="22.5" customHeight="1" spans="1:69">
      <c r="A8" s="1" t="s">
        <v>246</v>
      </c>
      <c r="B8" s="2"/>
      <c r="C8" s="2"/>
      <c r="D8" s="2"/>
      <c r="E8" s="2"/>
      <c r="F8" s="2"/>
      <c r="G8" s="3"/>
      <c r="H8" s="6">
        <f t="shared" si="0"/>
        <v>30</v>
      </c>
      <c r="I8" s="2"/>
      <c r="J8" s="3"/>
      <c r="K8" s="6">
        <f t="shared" si="1"/>
        <v>38</v>
      </c>
      <c r="L8" s="2"/>
      <c r="M8" s="3"/>
      <c r="N8" s="6">
        <f t="shared" si="2"/>
        <v>0</v>
      </c>
      <c r="O8" s="2"/>
      <c r="P8" s="3"/>
      <c r="Q8" s="7">
        <f t="shared" si="3"/>
        <v>68</v>
      </c>
      <c r="R8" s="2"/>
      <c r="S8" s="3"/>
      <c r="T8" s="6">
        <f>COUNTIF($AV$12:$AX$1049,T$6)</f>
        <v>66</v>
      </c>
      <c r="U8" s="2"/>
      <c r="V8" s="3"/>
      <c r="W8" s="6">
        <f>COUNTIF($AV$12:$AX$1049,W$6)</f>
        <v>0</v>
      </c>
      <c r="X8" s="2"/>
      <c r="Y8" s="3"/>
      <c r="Z8" s="6">
        <f>COUNTIF($AV$12:$AX$1049,Z$6)</f>
        <v>0</v>
      </c>
      <c r="AA8" s="2"/>
      <c r="AB8" s="3"/>
      <c r="AC8" s="6">
        <f>COUNTIF($AV$12:$AX$1049,AC$6)</f>
        <v>2</v>
      </c>
      <c r="AD8" s="2"/>
      <c r="AE8" s="3"/>
      <c r="AF8" s="7">
        <f t="shared" si="4"/>
        <v>68</v>
      </c>
      <c r="AG8" s="2"/>
      <c r="AH8" s="3"/>
    </row>
    <row r="9" ht="12.75" customHeight="1"/>
    <row r="10" ht="36" customHeight="1" spans="1:69">
      <c r="A10" s="8" t="s">
        <v>51</v>
      </c>
      <c r="B10" s="9" t="s">
        <v>247</v>
      </c>
      <c r="C10" s="10"/>
      <c r="D10" s="11"/>
      <c r="E10" s="9" t="s">
        <v>248</v>
      </c>
      <c r="F10" s="10"/>
      <c r="G10" s="10"/>
      <c r="H10" s="10"/>
      <c r="I10" s="11"/>
      <c r="J10" s="9" t="s">
        <v>249</v>
      </c>
      <c r="K10" s="10"/>
      <c r="L10" s="10"/>
      <c r="M10" s="10"/>
      <c r="N10" s="10"/>
      <c r="O10" s="10"/>
      <c r="P10" s="11"/>
      <c r="Q10" s="9" t="s">
        <v>250</v>
      </c>
      <c r="R10" s="10"/>
      <c r="S10" s="10"/>
      <c r="T10" s="10"/>
      <c r="U10" s="10"/>
      <c r="V10" s="10"/>
      <c r="W10" s="11"/>
      <c r="X10" s="9" t="s">
        <v>251</v>
      </c>
      <c r="Y10" s="10"/>
      <c r="Z10" s="10"/>
      <c r="AA10" s="10"/>
      <c r="AB10" s="10"/>
      <c r="AC10" s="10"/>
      <c r="AD10" s="11"/>
      <c r="AE10" s="9" t="s">
        <v>252</v>
      </c>
      <c r="AF10" s="11"/>
      <c r="AG10" s="1" t="s">
        <v>253</v>
      </c>
      <c r="AH10" s="2"/>
      <c r="AI10" s="2"/>
      <c r="AJ10" s="2"/>
      <c r="AK10" s="2"/>
      <c r="AL10" s="2"/>
      <c r="AM10" s="2"/>
      <c r="AN10" s="2"/>
      <c r="AO10" s="2"/>
      <c r="AP10" s="2"/>
      <c r="AQ10" s="2"/>
      <c r="AR10" s="2"/>
      <c r="AS10" s="2"/>
      <c r="AT10" s="2"/>
      <c r="AU10" s="3"/>
      <c r="AV10" s="1" t="s">
        <v>254</v>
      </c>
      <c r="AW10" s="2"/>
      <c r="AX10" s="2"/>
      <c r="AY10" s="2"/>
      <c r="AZ10" s="2"/>
      <c r="BA10" s="2"/>
      <c r="BB10" s="2"/>
      <c r="BC10" s="2"/>
      <c r="BD10" s="2"/>
      <c r="BE10" s="2"/>
      <c r="BF10" s="2"/>
      <c r="BG10" s="2"/>
      <c r="BH10" s="2"/>
      <c r="BI10" s="2"/>
      <c r="BJ10" s="3"/>
      <c r="BK10" s="9" t="s">
        <v>255</v>
      </c>
      <c r="BL10" s="10"/>
      <c r="BM10" s="10"/>
      <c r="BN10" s="10"/>
      <c r="BO10" s="10"/>
      <c r="BP10" s="10"/>
      <c r="BQ10" s="11"/>
    </row>
    <row r="11" ht="36" customHeight="1" spans="1:69">
      <c r="A11" s="12"/>
      <c r="B11" s="13"/>
      <c r="C11" s="14"/>
      <c r="D11" s="15"/>
      <c r="E11" s="13"/>
      <c r="F11" s="14"/>
      <c r="G11" s="14"/>
      <c r="H11" s="14"/>
      <c r="I11" s="15"/>
      <c r="J11" s="13"/>
      <c r="K11" s="14"/>
      <c r="L11" s="14"/>
      <c r="M11" s="14"/>
      <c r="N11" s="14"/>
      <c r="O11" s="14"/>
      <c r="P11" s="15"/>
      <c r="Q11" s="13"/>
      <c r="R11" s="14"/>
      <c r="S11" s="14"/>
      <c r="T11" s="14"/>
      <c r="U11" s="14"/>
      <c r="V11" s="14"/>
      <c r="W11" s="15"/>
      <c r="X11" s="13"/>
      <c r="Y11" s="14"/>
      <c r="Z11" s="14"/>
      <c r="AA11" s="14"/>
      <c r="AB11" s="14"/>
      <c r="AC11" s="14"/>
      <c r="AD11" s="15"/>
      <c r="AE11" s="13"/>
      <c r="AF11" s="15"/>
      <c r="AG11" s="1" t="s">
        <v>256</v>
      </c>
      <c r="AH11" s="2"/>
      <c r="AI11" s="3"/>
      <c r="AJ11" s="1" t="s">
        <v>257</v>
      </c>
      <c r="AK11" s="2"/>
      <c r="AL11" s="3"/>
      <c r="AM11" s="1" t="s">
        <v>11</v>
      </c>
      <c r="AN11" s="2"/>
      <c r="AO11" s="3"/>
      <c r="AP11" s="1" t="s">
        <v>258</v>
      </c>
      <c r="AQ11" s="2"/>
      <c r="AR11" s="3"/>
      <c r="AS11" s="1" t="s">
        <v>259</v>
      </c>
      <c r="AT11" s="2"/>
      <c r="AU11" s="3"/>
      <c r="AV11" s="1" t="s">
        <v>256</v>
      </c>
      <c r="AW11" s="2"/>
      <c r="AX11" s="3"/>
      <c r="AY11" s="1" t="s">
        <v>257</v>
      </c>
      <c r="AZ11" s="2"/>
      <c r="BA11" s="3"/>
      <c r="BB11" s="1" t="s">
        <v>11</v>
      </c>
      <c r="BC11" s="2"/>
      <c r="BD11" s="3"/>
      <c r="BE11" s="1" t="s">
        <v>258</v>
      </c>
      <c r="BF11" s="2"/>
      <c r="BG11" s="3"/>
      <c r="BH11" s="1" t="s">
        <v>259</v>
      </c>
      <c r="BI11" s="2"/>
      <c r="BJ11" s="3"/>
      <c r="BK11" s="13"/>
      <c r="BL11" s="14"/>
      <c r="BM11" s="14"/>
      <c r="BN11" s="14"/>
      <c r="BO11" s="14"/>
      <c r="BP11" s="14"/>
      <c r="BQ11" s="15"/>
    </row>
    <row r="12" ht="22.5" customHeight="1" spans="1:69">
      <c r="A12" s="16" t="s">
        <v>260</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3"/>
    </row>
    <row r="13" ht="409.5" customHeight="1" spans="1:69">
      <c r="A13" s="17">
        <v>1</v>
      </c>
      <c r="B13" s="18" t="s">
        <v>261</v>
      </c>
      <c r="C13" s="2"/>
      <c r="D13" s="3"/>
      <c r="E13" s="18" t="s">
        <v>262</v>
      </c>
      <c r="F13" s="2"/>
      <c r="G13" s="2"/>
      <c r="H13" s="2"/>
      <c r="I13" s="3"/>
      <c r="J13" s="18" t="s">
        <v>263</v>
      </c>
      <c r="K13" s="2"/>
      <c r="L13" s="2"/>
      <c r="M13" s="2"/>
      <c r="N13" s="2"/>
      <c r="O13" s="2"/>
      <c r="P13" s="3"/>
      <c r="Q13" s="18" t="s">
        <v>264</v>
      </c>
      <c r="R13" s="2"/>
      <c r="S13" s="2"/>
      <c r="T13" s="2"/>
      <c r="U13" s="2"/>
      <c r="V13" s="2"/>
      <c r="W13" s="3"/>
      <c r="X13" s="18" t="s">
        <v>265</v>
      </c>
      <c r="Y13" s="2"/>
      <c r="Z13" s="2"/>
      <c r="AA13" s="2"/>
      <c r="AB13" s="2"/>
      <c r="AC13" s="2"/>
      <c r="AD13" s="3"/>
      <c r="AE13" s="19" t="s">
        <v>266</v>
      </c>
      <c r="AF13" s="3"/>
      <c r="AG13" s="19" t="s">
        <v>59</v>
      </c>
      <c r="AH13" s="2"/>
      <c r="AI13" s="3"/>
      <c r="AJ13" s="19"/>
      <c r="AK13" s="2"/>
      <c r="AL13" s="3"/>
      <c r="AM13" s="19"/>
      <c r="AN13" s="2"/>
      <c r="AO13" s="3"/>
      <c r="AP13" s="19"/>
      <c r="AQ13" s="2"/>
      <c r="AR13" s="3"/>
      <c r="AS13" s="19"/>
      <c r="AT13" s="2"/>
      <c r="AU13" s="3"/>
      <c r="AV13" s="19" t="s">
        <v>59</v>
      </c>
      <c r="AW13" s="2"/>
      <c r="AX13" s="3"/>
      <c r="AY13" s="19"/>
      <c r="AZ13" s="2"/>
      <c r="BA13" s="3"/>
      <c r="BB13" s="19" t="s">
        <v>267</v>
      </c>
      <c r="BC13" s="2"/>
      <c r="BD13" s="3"/>
      <c r="BE13" s="20">
        <v>46244</v>
      </c>
      <c r="BF13" s="2"/>
      <c r="BG13" s="3"/>
      <c r="BH13" s="19"/>
      <c r="BI13" s="2"/>
      <c r="BJ13" s="3"/>
      <c r="BK13" s="18" t="s">
        <v>268</v>
      </c>
      <c r="BL13" s="2"/>
      <c r="BM13" s="2"/>
      <c r="BN13" s="2"/>
      <c r="BO13" s="2"/>
      <c r="BP13" s="2"/>
      <c r="BQ13" s="3"/>
    </row>
    <row r="14" ht="409.5" customHeight="1" spans="1:69">
      <c r="A14" s="17">
        <v>2</v>
      </c>
      <c r="B14" s="18" t="s">
        <v>269</v>
      </c>
      <c r="C14" s="2"/>
      <c r="D14" s="3"/>
      <c r="E14" s="18" t="s">
        <v>270</v>
      </c>
      <c r="F14" s="2"/>
      <c r="G14" s="2"/>
      <c r="H14" s="2"/>
      <c r="I14" s="3"/>
      <c r="J14" s="18" t="s">
        <v>271</v>
      </c>
      <c r="K14" s="2"/>
      <c r="L14" s="2"/>
      <c r="M14" s="2"/>
      <c r="N14" s="2"/>
      <c r="O14" s="2"/>
      <c r="P14" s="3"/>
      <c r="Q14" s="18" t="s">
        <v>272</v>
      </c>
      <c r="R14" s="2"/>
      <c r="S14" s="2"/>
      <c r="T14" s="2"/>
      <c r="U14" s="2"/>
      <c r="V14" s="2"/>
      <c r="W14" s="3"/>
      <c r="X14" s="18" t="s">
        <v>273</v>
      </c>
      <c r="Y14" s="2"/>
      <c r="Z14" s="2"/>
      <c r="AA14" s="2"/>
      <c r="AB14" s="2"/>
      <c r="AC14" s="2"/>
      <c r="AD14" s="3"/>
      <c r="AE14" s="19" t="s">
        <v>209</v>
      </c>
      <c r="AF14" s="3"/>
      <c r="AG14" s="19" t="s">
        <v>59</v>
      </c>
      <c r="AH14" s="2"/>
      <c r="AI14" s="3"/>
      <c r="AJ14" s="19"/>
      <c r="AK14" s="2"/>
      <c r="AL14" s="3"/>
      <c r="AM14" s="19"/>
      <c r="AN14" s="2"/>
      <c r="AO14" s="3"/>
      <c r="AP14" s="19"/>
      <c r="AQ14" s="2"/>
      <c r="AR14" s="3"/>
      <c r="AS14" s="19"/>
      <c r="AT14" s="2"/>
      <c r="AU14" s="3"/>
      <c r="AV14" s="19" t="s">
        <v>59</v>
      </c>
      <c r="AW14" s="2"/>
      <c r="AX14" s="3"/>
      <c r="AY14" s="19"/>
      <c r="AZ14" s="2"/>
      <c r="BA14" s="3"/>
      <c r="BB14" s="19" t="s">
        <v>267</v>
      </c>
      <c r="BC14" s="2"/>
      <c r="BD14" s="3"/>
      <c r="BE14" s="20">
        <v>46244</v>
      </c>
      <c r="BF14" s="2"/>
      <c r="BG14" s="3"/>
      <c r="BH14" s="19"/>
      <c r="BI14" s="2"/>
      <c r="BJ14" s="3"/>
      <c r="BK14" s="18" t="s">
        <v>274</v>
      </c>
      <c r="BL14" s="2"/>
      <c r="BM14" s="2"/>
      <c r="BN14" s="2"/>
      <c r="BO14" s="2"/>
      <c r="BP14" s="2"/>
      <c r="BQ14" s="3"/>
    </row>
    <row r="15" ht="336" customHeight="1" spans="1:69">
      <c r="A15" s="17">
        <v>3</v>
      </c>
      <c r="B15" s="18" t="s">
        <v>275</v>
      </c>
      <c r="C15" s="2"/>
      <c r="D15" s="3"/>
      <c r="E15" s="18" t="s">
        <v>276</v>
      </c>
      <c r="F15" s="2"/>
      <c r="G15" s="2"/>
      <c r="H15" s="2"/>
      <c r="I15" s="3"/>
      <c r="J15" s="18" t="s">
        <v>277</v>
      </c>
      <c r="K15" s="2"/>
      <c r="L15" s="2"/>
      <c r="M15" s="2"/>
      <c r="N15" s="2"/>
      <c r="O15" s="2"/>
      <c r="P15" s="3"/>
      <c r="Q15" s="18" t="s">
        <v>278</v>
      </c>
      <c r="R15" s="2"/>
      <c r="S15" s="2"/>
      <c r="T15" s="2"/>
      <c r="U15" s="2"/>
      <c r="V15" s="2"/>
      <c r="W15" s="3"/>
      <c r="X15" s="18" t="s">
        <v>279</v>
      </c>
      <c r="Y15" s="2"/>
      <c r="Z15" s="2"/>
      <c r="AA15" s="2"/>
      <c r="AB15" s="2"/>
      <c r="AC15" s="2"/>
      <c r="AD15" s="3"/>
      <c r="AE15" s="19" t="s">
        <v>209</v>
      </c>
      <c r="AF15" s="3"/>
      <c r="AG15" s="19" t="s">
        <v>59</v>
      </c>
      <c r="AH15" s="2"/>
      <c r="AI15" s="3"/>
      <c r="AJ15" s="19"/>
      <c r="AK15" s="2"/>
      <c r="AL15" s="3"/>
      <c r="AM15" s="19"/>
      <c r="AN15" s="2"/>
      <c r="AO15" s="3"/>
      <c r="AP15" s="19"/>
      <c r="AQ15" s="2"/>
      <c r="AR15" s="3"/>
      <c r="AS15" s="19"/>
      <c r="AT15" s="2"/>
      <c r="AU15" s="3"/>
      <c r="AV15" s="19" t="s">
        <v>59</v>
      </c>
      <c r="AW15" s="2"/>
      <c r="AX15" s="3"/>
      <c r="AY15" s="19"/>
      <c r="AZ15" s="2"/>
      <c r="BA15" s="3"/>
      <c r="BB15" s="19" t="s">
        <v>267</v>
      </c>
      <c r="BC15" s="2"/>
      <c r="BD15" s="3"/>
      <c r="BE15" s="20">
        <v>46244</v>
      </c>
      <c r="BF15" s="2"/>
      <c r="BG15" s="3"/>
      <c r="BH15" s="19"/>
      <c r="BI15" s="2"/>
      <c r="BJ15" s="3"/>
      <c r="BK15" s="18" t="s">
        <v>280</v>
      </c>
      <c r="BL15" s="2"/>
      <c r="BM15" s="2"/>
      <c r="BN15" s="2"/>
      <c r="BO15" s="2"/>
      <c r="BP15" s="2"/>
      <c r="BQ15" s="3"/>
    </row>
    <row r="16" ht="336" customHeight="1" spans="1:69">
      <c r="A16" s="17">
        <v>4</v>
      </c>
      <c r="B16" s="18" t="s">
        <v>281</v>
      </c>
      <c r="C16" s="2"/>
      <c r="D16" s="3"/>
      <c r="E16" s="18" t="s">
        <v>282</v>
      </c>
      <c r="F16" s="2"/>
      <c r="G16" s="2"/>
      <c r="H16" s="2"/>
      <c r="I16" s="3"/>
      <c r="J16" s="18" t="s">
        <v>283</v>
      </c>
      <c r="K16" s="2"/>
      <c r="L16" s="2"/>
      <c r="M16" s="2"/>
      <c r="N16" s="2"/>
      <c r="O16" s="2"/>
      <c r="P16" s="3"/>
      <c r="Q16" s="18" t="s">
        <v>278</v>
      </c>
      <c r="R16" s="2"/>
      <c r="S16" s="2"/>
      <c r="T16" s="2"/>
      <c r="U16" s="2"/>
      <c r="V16" s="2"/>
      <c r="W16" s="3"/>
      <c r="X16" s="18" t="s">
        <v>284</v>
      </c>
      <c r="Y16" s="2"/>
      <c r="Z16" s="2"/>
      <c r="AA16" s="2"/>
      <c r="AB16" s="2"/>
      <c r="AC16" s="2"/>
      <c r="AD16" s="3"/>
      <c r="AE16" s="19" t="s">
        <v>209</v>
      </c>
      <c r="AF16" s="3"/>
      <c r="AG16" s="19" t="s">
        <v>59</v>
      </c>
      <c r="AH16" s="2"/>
      <c r="AI16" s="3"/>
      <c r="AJ16" s="19"/>
      <c r="AK16" s="2"/>
      <c r="AL16" s="3"/>
      <c r="AM16" s="19"/>
      <c r="AN16" s="2"/>
      <c r="AO16" s="3"/>
      <c r="AP16" s="19"/>
      <c r="AQ16" s="2"/>
      <c r="AR16" s="3"/>
      <c r="AS16" s="19"/>
      <c r="AT16" s="2"/>
      <c r="AU16" s="3"/>
      <c r="AV16" s="19" t="s">
        <v>59</v>
      </c>
      <c r="AW16" s="2"/>
      <c r="AX16" s="3"/>
      <c r="AY16" s="19"/>
      <c r="AZ16" s="2"/>
      <c r="BA16" s="3"/>
      <c r="BB16" s="19" t="s">
        <v>267</v>
      </c>
      <c r="BC16" s="2"/>
      <c r="BD16" s="3"/>
      <c r="BE16" s="20">
        <v>46244</v>
      </c>
      <c r="BF16" s="2"/>
      <c r="BG16" s="3"/>
      <c r="BH16" s="19"/>
      <c r="BI16" s="2"/>
      <c r="BJ16" s="3"/>
      <c r="BK16" s="18" t="s">
        <v>280</v>
      </c>
      <c r="BL16" s="2"/>
      <c r="BM16" s="2"/>
      <c r="BN16" s="2"/>
      <c r="BO16" s="2"/>
      <c r="BP16" s="2"/>
      <c r="BQ16" s="3"/>
    </row>
    <row r="17" ht="336" customHeight="1" spans="1:69">
      <c r="A17" s="17">
        <v>5</v>
      </c>
      <c r="B17" s="18" t="s">
        <v>285</v>
      </c>
      <c r="C17" s="2"/>
      <c r="D17" s="3"/>
      <c r="E17" s="18" t="s">
        <v>286</v>
      </c>
      <c r="F17" s="2"/>
      <c r="G17" s="2"/>
      <c r="H17" s="2"/>
      <c r="I17" s="3"/>
      <c r="J17" s="18" t="s">
        <v>287</v>
      </c>
      <c r="K17" s="2"/>
      <c r="L17" s="2"/>
      <c r="M17" s="2"/>
      <c r="N17" s="2"/>
      <c r="O17" s="2"/>
      <c r="P17" s="3"/>
      <c r="Q17" s="18" t="s">
        <v>278</v>
      </c>
      <c r="R17" s="2"/>
      <c r="S17" s="2"/>
      <c r="T17" s="2"/>
      <c r="U17" s="2"/>
      <c r="V17" s="2"/>
      <c r="W17" s="3"/>
      <c r="X17" s="18" t="s">
        <v>288</v>
      </c>
      <c r="Y17" s="2"/>
      <c r="Z17" s="2"/>
      <c r="AA17" s="2"/>
      <c r="AB17" s="2"/>
      <c r="AC17" s="2"/>
      <c r="AD17" s="3"/>
      <c r="AE17" s="19" t="s">
        <v>209</v>
      </c>
      <c r="AF17" s="3"/>
      <c r="AG17" s="19" t="s">
        <v>59</v>
      </c>
      <c r="AH17" s="2"/>
      <c r="AI17" s="3"/>
      <c r="AJ17" s="19"/>
      <c r="AK17" s="2"/>
      <c r="AL17" s="3"/>
      <c r="AM17" s="19"/>
      <c r="AN17" s="2"/>
      <c r="AO17" s="3"/>
      <c r="AP17" s="19"/>
      <c r="AQ17" s="2"/>
      <c r="AR17" s="3"/>
      <c r="AS17" s="19"/>
      <c r="AT17" s="2"/>
      <c r="AU17" s="3"/>
      <c r="AV17" s="19" t="s">
        <v>59</v>
      </c>
      <c r="AW17" s="2"/>
      <c r="AX17" s="3"/>
      <c r="AY17" s="19"/>
      <c r="AZ17" s="2"/>
      <c r="BA17" s="3"/>
      <c r="BB17" s="19" t="s">
        <v>267</v>
      </c>
      <c r="BC17" s="2"/>
      <c r="BD17" s="3"/>
      <c r="BE17" s="20">
        <v>46244</v>
      </c>
      <c r="BF17" s="2"/>
      <c r="BG17" s="3"/>
      <c r="BH17" s="19"/>
      <c r="BI17" s="2"/>
      <c r="BJ17" s="3"/>
      <c r="BK17" s="18" t="s">
        <v>289</v>
      </c>
      <c r="BL17" s="2"/>
      <c r="BM17" s="2"/>
      <c r="BN17" s="2"/>
      <c r="BO17" s="2"/>
      <c r="BP17" s="2"/>
      <c r="BQ17" s="3"/>
    </row>
    <row r="18" ht="22.5" customHeight="1" spans="1:69">
      <c r="A18" s="16" t="s">
        <v>290</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3"/>
    </row>
    <row r="19" ht="399.75" customHeight="1" spans="1:69">
      <c r="A19" s="17">
        <v>6</v>
      </c>
      <c r="B19" s="18" t="s">
        <v>291</v>
      </c>
      <c r="C19" s="2"/>
      <c r="D19" s="3"/>
      <c r="E19" s="18" t="s">
        <v>292</v>
      </c>
      <c r="F19" s="2"/>
      <c r="G19" s="2"/>
      <c r="H19" s="2"/>
      <c r="I19" s="3"/>
      <c r="J19" s="18" t="s">
        <v>293</v>
      </c>
      <c r="K19" s="2"/>
      <c r="L19" s="2"/>
      <c r="M19" s="2"/>
      <c r="N19" s="2"/>
      <c r="O19" s="2"/>
      <c r="P19" s="3"/>
      <c r="Q19" s="18" t="s">
        <v>294</v>
      </c>
      <c r="R19" s="2"/>
      <c r="S19" s="2"/>
      <c r="T19" s="2"/>
      <c r="U19" s="2"/>
      <c r="V19" s="2"/>
      <c r="W19" s="3"/>
      <c r="X19" s="18" t="s">
        <v>295</v>
      </c>
      <c r="Y19" s="2"/>
      <c r="Z19" s="2"/>
      <c r="AA19" s="2"/>
      <c r="AB19" s="2"/>
      <c r="AC19" s="2"/>
      <c r="AD19" s="3"/>
      <c r="AE19" s="19" t="s">
        <v>266</v>
      </c>
      <c r="AF19" s="3"/>
      <c r="AG19" s="19" t="s">
        <v>59</v>
      </c>
      <c r="AH19" s="2"/>
      <c r="AI19" s="3"/>
      <c r="AJ19" s="19"/>
      <c r="AK19" s="2"/>
      <c r="AL19" s="3"/>
      <c r="AM19" s="19"/>
      <c r="AN19" s="2"/>
      <c r="AO19" s="3"/>
      <c r="AP19" s="19"/>
      <c r="AQ19" s="2"/>
      <c r="AR19" s="3"/>
      <c r="AS19" s="19"/>
      <c r="AT19" s="2"/>
      <c r="AU19" s="3"/>
      <c r="AV19" s="19" t="s">
        <v>59</v>
      </c>
      <c r="AW19" s="2"/>
      <c r="AX19" s="3"/>
      <c r="AY19" s="19"/>
      <c r="AZ19" s="2"/>
      <c r="BA19" s="3"/>
      <c r="BB19" s="19" t="s">
        <v>267</v>
      </c>
      <c r="BC19" s="2"/>
      <c r="BD19" s="3"/>
      <c r="BE19" s="20">
        <v>46244</v>
      </c>
      <c r="BF19" s="2"/>
      <c r="BG19" s="3"/>
      <c r="BH19" s="19"/>
      <c r="BI19" s="2"/>
      <c r="BJ19" s="3"/>
      <c r="BK19" s="18" t="s">
        <v>296</v>
      </c>
      <c r="BL19" s="2"/>
      <c r="BM19" s="2"/>
      <c r="BN19" s="2"/>
      <c r="BO19" s="2"/>
      <c r="BP19" s="2"/>
      <c r="BQ19" s="3"/>
    </row>
    <row r="20" ht="409.5" customHeight="1" spans="1:69">
      <c r="A20" s="17">
        <v>7</v>
      </c>
      <c r="B20" s="18" t="s">
        <v>297</v>
      </c>
      <c r="C20" s="2"/>
      <c r="D20" s="3"/>
      <c r="E20" s="18" t="s">
        <v>298</v>
      </c>
      <c r="F20" s="2"/>
      <c r="G20" s="2"/>
      <c r="H20" s="2"/>
      <c r="I20" s="3"/>
      <c r="J20" s="18" t="s">
        <v>299</v>
      </c>
      <c r="K20" s="2"/>
      <c r="L20" s="2"/>
      <c r="M20" s="2"/>
      <c r="N20" s="2"/>
      <c r="O20" s="2"/>
      <c r="P20" s="3"/>
      <c r="Q20" s="18" t="s">
        <v>300</v>
      </c>
      <c r="R20" s="2"/>
      <c r="S20" s="2"/>
      <c r="T20" s="2"/>
      <c r="U20" s="2"/>
      <c r="V20" s="2"/>
      <c r="W20" s="3"/>
      <c r="X20" s="18" t="s">
        <v>301</v>
      </c>
      <c r="Y20" s="2"/>
      <c r="Z20" s="2"/>
      <c r="AA20" s="2"/>
      <c r="AB20" s="2"/>
      <c r="AC20" s="2"/>
      <c r="AD20" s="3"/>
      <c r="AE20" s="19" t="s">
        <v>266</v>
      </c>
      <c r="AF20" s="3"/>
      <c r="AG20" s="19" t="s">
        <v>59</v>
      </c>
      <c r="AH20" s="2"/>
      <c r="AI20" s="3"/>
      <c r="AJ20" s="19"/>
      <c r="AK20" s="2"/>
      <c r="AL20" s="3"/>
      <c r="AM20" s="19"/>
      <c r="AN20" s="2"/>
      <c r="AO20" s="3"/>
      <c r="AP20" s="19"/>
      <c r="AQ20" s="2"/>
      <c r="AR20" s="3"/>
      <c r="AS20" s="19"/>
      <c r="AT20" s="2"/>
      <c r="AU20" s="3"/>
      <c r="AV20" s="19" t="s">
        <v>59</v>
      </c>
      <c r="AW20" s="2"/>
      <c r="AX20" s="3"/>
      <c r="AY20" s="19"/>
      <c r="AZ20" s="2"/>
      <c r="BA20" s="3"/>
      <c r="BB20" s="19" t="s">
        <v>267</v>
      </c>
      <c r="BC20" s="2"/>
      <c r="BD20" s="3"/>
      <c r="BE20" s="20">
        <v>46244</v>
      </c>
      <c r="BF20" s="2"/>
      <c r="BG20" s="3"/>
      <c r="BH20" s="19"/>
      <c r="BI20" s="2"/>
      <c r="BJ20" s="3"/>
      <c r="BK20" s="18" t="s">
        <v>302</v>
      </c>
      <c r="BL20" s="2"/>
      <c r="BM20" s="2"/>
      <c r="BN20" s="2"/>
      <c r="BO20" s="2"/>
      <c r="BP20" s="2"/>
      <c r="BQ20" s="3"/>
    </row>
    <row r="21" ht="384" customHeight="1" spans="1:69">
      <c r="A21" s="17">
        <v>8</v>
      </c>
      <c r="B21" s="18" t="s">
        <v>303</v>
      </c>
      <c r="C21" s="2"/>
      <c r="D21" s="3"/>
      <c r="E21" s="18" t="s">
        <v>304</v>
      </c>
      <c r="F21" s="2"/>
      <c r="G21" s="2"/>
      <c r="H21" s="2"/>
      <c r="I21" s="3"/>
      <c r="J21" s="18" t="s">
        <v>293</v>
      </c>
      <c r="K21" s="2"/>
      <c r="L21" s="2"/>
      <c r="M21" s="2"/>
      <c r="N21" s="2"/>
      <c r="O21" s="2"/>
      <c r="P21" s="3"/>
      <c r="Q21" s="18" t="s">
        <v>305</v>
      </c>
      <c r="R21" s="2"/>
      <c r="S21" s="2"/>
      <c r="T21" s="2"/>
      <c r="U21" s="2"/>
      <c r="V21" s="2"/>
      <c r="W21" s="3"/>
      <c r="X21" s="18" t="s">
        <v>306</v>
      </c>
      <c r="Y21" s="2"/>
      <c r="Z21" s="2"/>
      <c r="AA21" s="2"/>
      <c r="AB21" s="2"/>
      <c r="AC21" s="2"/>
      <c r="AD21" s="3"/>
      <c r="AE21" s="19" t="s">
        <v>266</v>
      </c>
      <c r="AF21" s="3"/>
      <c r="AG21" s="19" t="s">
        <v>59</v>
      </c>
      <c r="AH21" s="2"/>
      <c r="AI21" s="3"/>
      <c r="AJ21" s="19"/>
      <c r="AK21" s="2"/>
      <c r="AL21" s="3"/>
      <c r="AM21" s="19"/>
      <c r="AN21" s="2"/>
      <c r="AO21" s="3"/>
      <c r="AP21" s="19"/>
      <c r="AQ21" s="2"/>
      <c r="AR21" s="3"/>
      <c r="AS21" s="19"/>
      <c r="AT21" s="2"/>
      <c r="AU21" s="3"/>
      <c r="AV21" s="19" t="s">
        <v>59</v>
      </c>
      <c r="AW21" s="2"/>
      <c r="AX21" s="3"/>
      <c r="AY21" s="19"/>
      <c r="AZ21" s="2"/>
      <c r="BA21" s="3"/>
      <c r="BB21" s="19" t="s">
        <v>267</v>
      </c>
      <c r="BC21" s="2"/>
      <c r="BD21" s="3"/>
      <c r="BE21" s="20">
        <v>46244</v>
      </c>
      <c r="BF21" s="2"/>
      <c r="BG21" s="3"/>
      <c r="BH21" s="19"/>
      <c r="BI21" s="2"/>
      <c r="BJ21" s="3"/>
      <c r="BK21" s="18" t="s">
        <v>307</v>
      </c>
      <c r="BL21" s="2"/>
      <c r="BM21" s="2"/>
      <c r="BN21" s="2"/>
      <c r="BO21" s="2"/>
      <c r="BP21" s="2"/>
      <c r="BQ21" s="3"/>
    </row>
    <row r="22" ht="367.5" customHeight="1" spans="1:69">
      <c r="A22" s="17">
        <v>9</v>
      </c>
      <c r="B22" s="18" t="s">
        <v>308</v>
      </c>
      <c r="C22" s="2"/>
      <c r="D22" s="3"/>
      <c r="E22" s="18" t="s">
        <v>309</v>
      </c>
      <c r="F22" s="2"/>
      <c r="G22" s="2"/>
      <c r="H22" s="2"/>
      <c r="I22" s="3"/>
      <c r="J22" s="18" t="s">
        <v>293</v>
      </c>
      <c r="K22" s="2"/>
      <c r="L22" s="2"/>
      <c r="M22" s="2"/>
      <c r="N22" s="2"/>
      <c r="O22" s="2"/>
      <c r="P22" s="3"/>
      <c r="Q22" s="18" t="s">
        <v>310</v>
      </c>
      <c r="R22" s="2"/>
      <c r="S22" s="2"/>
      <c r="T22" s="2"/>
      <c r="U22" s="2"/>
      <c r="V22" s="2"/>
      <c r="W22" s="3"/>
      <c r="X22" s="18" t="s">
        <v>311</v>
      </c>
      <c r="Y22" s="2"/>
      <c r="Z22" s="2"/>
      <c r="AA22" s="2"/>
      <c r="AB22" s="2"/>
      <c r="AC22" s="2"/>
      <c r="AD22" s="3"/>
      <c r="AE22" s="19" t="s">
        <v>266</v>
      </c>
      <c r="AF22" s="3"/>
      <c r="AG22" s="19" t="s">
        <v>59</v>
      </c>
      <c r="AH22" s="2"/>
      <c r="AI22" s="3"/>
      <c r="AJ22" s="19"/>
      <c r="AK22" s="2"/>
      <c r="AL22" s="3"/>
      <c r="AM22" s="19"/>
      <c r="AN22" s="2"/>
      <c r="AO22" s="3"/>
      <c r="AP22" s="19"/>
      <c r="AQ22" s="2"/>
      <c r="AR22" s="3"/>
      <c r="AS22" s="19"/>
      <c r="AT22" s="2"/>
      <c r="AU22" s="3"/>
      <c r="AV22" s="19" t="s">
        <v>59</v>
      </c>
      <c r="AW22" s="2"/>
      <c r="AX22" s="3"/>
      <c r="AY22" s="19"/>
      <c r="AZ22" s="2"/>
      <c r="BA22" s="3"/>
      <c r="BB22" s="19" t="s">
        <v>267</v>
      </c>
      <c r="BC22" s="2"/>
      <c r="BD22" s="3"/>
      <c r="BE22" s="20">
        <v>46244</v>
      </c>
      <c r="BF22" s="2"/>
      <c r="BG22" s="3"/>
      <c r="BH22" s="19"/>
      <c r="BI22" s="2"/>
      <c r="BJ22" s="3"/>
      <c r="BK22" s="18" t="s">
        <v>312</v>
      </c>
      <c r="BL22" s="2"/>
      <c r="BM22" s="2"/>
      <c r="BN22" s="2"/>
      <c r="BO22" s="2"/>
      <c r="BP22" s="2"/>
      <c r="BQ22" s="3"/>
    </row>
    <row r="23" ht="409.5" customHeight="1" spans="1:69">
      <c r="A23" s="17">
        <v>10</v>
      </c>
      <c r="B23" s="18" t="s">
        <v>313</v>
      </c>
      <c r="C23" s="2"/>
      <c r="D23" s="3"/>
      <c r="E23" s="18" t="s">
        <v>314</v>
      </c>
      <c r="F23" s="2"/>
      <c r="G23" s="2"/>
      <c r="H23" s="2"/>
      <c r="I23" s="3"/>
      <c r="J23" s="18" t="s">
        <v>293</v>
      </c>
      <c r="K23" s="2"/>
      <c r="L23" s="2"/>
      <c r="M23" s="2"/>
      <c r="N23" s="2"/>
      <c r="O23" s="2"/>
      <c r="P23" s="3"/>
      <c r="Q23" s="18" t="s">
        <v>315</v>
      </c>
      <c r="R23" s="2"/>
      <c r="S23" s="2"/>
      <c r="T23" s="2"/>
      <c r="U23" s="2"/>
      <c r="V23" s="2"/>
      <c r="W23" s="3"/>
      <c r="X23" s="18" t="s">
        <v>316</v>
      </c>
      <c r="Y23" s="2"/>
      <c r="Z23" s="2"/>
      <c r="AA23" s="2"/>
      <c r="AB23" s="2"/>
      <c r="AC23" s="2"/>
      <c r="AD23" s="3"/>
      <c r="AE23" s="19" t="s">
        <v>266</v>
      </c>
      <c r="AF23" s="3"/>
      <c r="AG23" s="19" t="s">
        <v>59</v>
      </c>
      <c r="AH23" s="2"/>
      <c r="AI23" s="3"/>
      <c r="AJ23" s="19"/>
      <c r="AK23" s="2"/>
      <c r="AL23" s="3"/>
      <c r="AM23" s="19"/>
      <c r="AN23" s="2"/>
      <c r="AO23" s="3"/>
      <c r="AP23" s="19"/>
      <c r="AQ23" s="2"/>
      <c r="AR23" s="3"/>
      <c r="AS23" s="19"/>
      <c r="AT23" s="2"/>
      <c r="AU23" s="3"/>
      <c r="AV23" s="19" t="s">
        <v>59</v>
      </c>
      <c r="AW23" s="2"/>
      <c r="AX23" s="3"/>
      <c r="AY23" s="19"/>
      <c r="AZ23" s="2"/>
      <c r="BA23" s="3"/>
      <c r="BB23" s="19" t="s">
        <v>267</v>
      </c>
      <c r="BC23" s="2"/>
      <c r="BD23" s="3"/>
      <c r="BE23" s="20">
        <v>46244</v>
      </c>
      <c r="BF23" s="2"/>
      <c r="BG23" s="3"/>
      <c r="BH23" s="19"/>
      <c r="BI23" s="2"/>
      <c r="BJ23" s="3"/>
      <c r="BK23" s="18" t="s">
        <v>317</v>
      </c>
      <c r="BL23" s="2"/>
      <c r="BM23" s="2"/>
      <c r="BN23" s="2"/>
      <c r="BO23" s="2"/>
      <c r="BP23" s="2"/>
      <c r="BQ23" s="3"/>
    </row>
    <row r="24" ht="240" customHeight="1" spans="1:69">
      <c r="A24" s="17">
        <v>11</v>
      </c>
      <c r="B24" s="18" t="s">
        <v>318</v>
      </c>
      <c r="C24" s="2"/>
      <c r="D24" s="3"/>
      <c r="E24" s="18" t="s">
        <v>319</v>
      </c>
      <c r="F24" s="2"/>
      <c r="G24" s="2"/>
      <c r="H24" s="2"/>
      <c r="I24" s="3"/>
      <c r="J24" s="18" t="s">
        <v>293</v>
      </c>
      <c r="K24" s="2"/>
      <c r="L24" s="2"/>
      <c r="M24" s="2"/>
      <c r="N24" s="2"/>
      <c r="O24" s="2"/>
      <c r="P24" s="3"/>
      <c r="Q24" s="18" t="s">
        <v>320</v>
      </c>
      <c r="R24" s="2"/>
      <c r="S24" s="2"/>
      <c r="T24" s="2"/>
      <c r="U24" s="2"/>
      <c r="V24" s="2"/>
      <c r="W24" s="3"/>
      <c r="X24" s="18" t="s">
        <v>321</v>
      </c>
      <c r="Y24" s="2"/>
      <c r="Z24" s="2"/>
      <c r="AA24" s="2"/>
      <c r="AB24" s="2"/>
      <c r="AC24" s="2"/>
      <c r="AD24" s="3"/>
      <c r="AE24" s="19" t="s">
        <v>266</v>
      </c>
      <c r="AF24" s="3"/>
      <c r="AG24" s="19" t="s">
        <v>59</v>
      </c>
      <c r="AH24" s="2"/>
      <c r="AI24" s="3"/>
      <c r="AJ24" s="19"/>
      <c r="AK24" s="2"/>
      <c r="AL24" s="3"/>
      <c r="AM24" s="19"/>
      <c r="AN24" s="2"/>
      <c r="AO24" s="3"/>
      <c r="AP24" s="19"/>
      <c r="AQ24" s="2"/>
      <c r="AR24" s="3"/>
      <c r="AS24" s="19"/>
      <c r="AT24" s="2"/>
      <c r="AU24" s="3"/>
      <c r="AV24" s="19" t="s">
        <v>59</v>
      </c>
      <c r="AW24" s="2"/>
      <c r="AX24" s="3"/>
      <c r="AY24" s="19"/>
      <c r="AZ24" s="2"/>
      <c r="BA24" s="3"/>
      <c r="BB24" s="19" t="s">
        <v>267</v>
      </c>
      <c r="BC24" s="2"/>
      <c r="BD24" s="3"/>
      <c r="BE24" s="20">
        <v>46244</v>
      </c>
      <c r="BF24" s="2"/>
      <c r="BG24" s="3"/>
      <c r="BH24" s="19"/>
      <c r="BI24" s="2"/>
      <c r="BJ24" s="3"/>
      <c r="BK24" s="18" t="s">
        <v>322</v>
      </c>
      <c r="BL24" s="2"/>
      <c r="BM24" s="2"/>
      <c r="BN24" s="2"/>
      <c r="BO24" s="2"/>
      <c r="BP24" s="2"/>
      <c r="BQ24" s="3"/>
    </row>
    <row r="25" ht="336" customHeight="1" spans="1:69">
      <c r="A25" s="17">
        <v>12</v>
      </c>
      <c r="B25" s="18" t="s">
        <v>323</v>
      </c>
      <c r="C25" s="2"/>
      <c r="D25" s="3"/>
      <c r="E25" s="18" t="s">
        <v>324</v>
      </c>
      <c r="F25" s="2"/>
      <c r="G25" s="2"/>
      <c r="H25" s="2"/>
      <c r="I25" s="3"/>
      <c r="J25" s="18" t="s">
        <v>293</v>
      </c>
      <c r="K25" s="2"/>
      <c r="L25" s="2"/>
      <c r="M25" s="2"/>
      <c r="N25" s="2"/>
      <c r="O25" s="2"/>
      <c r="P25" s="3"/>
      <c r="Q25" s="18" t="s">
        <v>325</v>
      </c>
      <c r="R25" s="2"/>
      <c r="S25" s="2"/>
      <c r="T25" s="2"/>
      <c r="U25" s="2"/>
      <c r="V25" s="2"/>
      <c r="W25" s="3"/>
      <c r="X25" s="18" t="s">
        <v>326</v>
      </c>
      <c r="Y25" s="2"/>
      <c r="Z25" s="2"/>
      <c r="AA25" s="2"/>
      <c r="AB25" s="2"/>
      <c r="AC25" s="2"/>
      <c r="AD25" s="3"/>
      <c r="AE25" s="19" t="s">
        <v>266</v>
      </c>
      <c r="AF25" s="3"/>
      <c r="AG25" s="19" t="s">
        <v>59</v>
      </c>
      <c r="AH25" s="2"/>
      <c r="AI25" s="3"/>
      <c r="AJ25" s="19"/>
      <c r="AK25" s="2"/>
      <c r="AL25" s="3"/>
      <c r="AM25" s="19"/>
      <c r="AN25" s="2"/>
      <c r="AO25" s="3"/>
      <c r="AP25" s="19"/>
      <c r="AQ25" s="2"/>
      <c r="AR25" s="3"/>
      <c r="AS25" s="19"/>
      <c r="AT25" s="2"/>
      <c r="AU25" s="3"/>
      <c r="AV25" s="19" t="s">
        <v>59</v>
      </c>
      <c r="AW25" s="2"/>
      <c r="AX25" s="3"/>
      <c r="AY25" s="19"/>
      <c r="AZ25" s="2"/>
      <c r="BA25" s="3"/>
      <c r="BB25" s="19" t="s">
        <v>267</v>
      </c>
      <c r="BC25" s="2"/>
      <c r="BD25" s="3"/>
      <c r="BE25" s="20">
        <v>46244</v>
      </c>
      <c r="BF25" s="2"/>
      <c r="BG25" s="3"/>
      <c r="BH25" s="19"/>
      <c r="BI25" s="2"/>
      <c r="BJ25" s="3"/>
      <c r="BK25" s="18" t="s">
        <v>327</v>
      </c>
      <c r="BL25" s="2"/>
      <c r="BM25" s="2"/>
      <c r="BN25" s="2"/>
      <c r="BO25" s="2"/>
      <c r="BP25" s="2"/>
      <c r="BQ25" s="3"/>
    </row>
    <row r="26" ht="22.5" customHeight="1" spans="1:69">
      <c r="A26" s="16" t="s">
        <v>328</v>
      </c>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3"/>
    </row>
    <row r="27" ht="207.75" customHeight="1" spans="1:69">
      <c r="A27" s="17">
        <v>13</v>
      </c>
      <c r="B27" s="18" t="s">
        <v>329</v>
      </c>
      <c r="C27" s="2"/>
      <c r="D27" s="3"/>
      <c r="E27" s="18" t="s">
        <v>330</v>
      </c>
      <c r="F27" s="2"/>
      <c r="G27" s="2"/>
      <c r="H27" s="2"/>
      <c r="I27" s="3"/>
      <c r="J27" s="18" t="s">
        <v>331</v>
      </c>
      <c r="K27" s="2"/>
      <c r="L27" s="2"/>
      <c r="M27" s="2"/>
      <c r="N27" s="2"/>
      <c r="O27" s="2"/>
      <c r="P27" s="3"/>
      <c r="Q27" s="18" t="s">
        <v>332</v>
      </c>
      <c r="R27" s="2"/>
      <c r="S27" s="2"/>
      <c r="T27" s="2"/>
      <c r="U27" s="2"/>
      <c r="V27" s="2"/>
      <c r="W27" s="3"/>
      <c r="X27" s="18" t="s">
        <v>333</v>
      </c>
      <c r="Y27" s="2"/>
      <c r="Z27" s="2"/>
      <c r="AA27" s="2"/>
      <c r="AB27" s="2"/>
      <c r="AC27" s="2"/>
      <c r="AD27" s="3"/>
      <c r="AE27" s="19" t="s">
        <v>266</v>
      </c>
      <c r="AF27" s="3"/>
      <c r="AG27" s="19" t="s">
        <v>59</v>
      </c>
      <c r="AH27" s="2"/>
      <c r="AI27" s="3"/>
      <c r="AJ27" s="19"/>
      <c r="AK27" s="2"/>
      <c r="AL27" s="3"/>
      <c r="AM27" s="19"/>
      <c r="AN27" s="2"/>
      <c r="AO27" s="3"/>
      <c r="AP27" s="19"/>
      <c r="AQ27" s="2"/>
      <c r="AR27" s="3"/>
      <c r="AS27" s="19"/>
      <c r="AT27" s="2"/>
      <c r="AU27" s="3"/>
      <c r="AV27" s="19" t="s">
        <v>59</v>
      </c>
      <c r="AW27" s="2"/>
      <c r="AX27" s="3"/>
      <c r="AY27" s="19"/>
      <c r="AZ27" s="2"/>
      <c r="BA27" s="3"/>
      <c r="BB27" s="19" t="s">
        <v>267</v>
      </c>
      <c r="BC27" s="2"/>
      <c r="BD27" s="3"/>
      <c r="BE27" s="20">
        <v>46244</v>
      </c>
      <c r="BF27" s="2"/>
      <c r="BG27" s="3"/>
      <c r="BH27" s="19"/>
      <c r="BI27" s="2"/>
      <c r="BJ27" s="3"/>
      <c r="BK27" s="18" t="s">
        <v>334</v>
      </c>
      <c r="BL27" s="2"/>
      <c r="BM27" s="2"/>
      <c r="BN27" s="2"/>
      <c r="BO27" s="2"/>
      <c r="BP27" s="2"/>
      <c r="BQ27" s="3"/>
    </row>
    <row r="28" ht="288" customHeight="1" spans="1:69">
      <c r="A28" s="17">
        <v>14</v>
      </c>
      <c r="B28" s="18" t="s">
        <v>335</v>
      </c>
      <c r="C28" s="2"/>
      <c r="D28" s="3"/>
      <c r="E28" s="18" t="s">
        <v>336</v>
      </c>
      <c r="F28" s="2"/>
      <c r="G28" s="2"/>
      <c r="H28" s="2"/>
      <c r="I28" s="3"/>
      <c r="J28" s="18" t="s">
        <v>293</v>
      </c>
      <c r="K28" s="2"/>
      <c r="L28" s="2"/>
      <c r="M28" s="2"/>
      <c r="N28" s="2"/>
      <c r="O28" s="2"/>
      <c r="P28" s="3"/>
      <c r="Q28" s="18" t="s">
        <v>337</v>
      </c>
      <c r="R28" s="2"/>
      <c r="S28" s="2"/>
      <c r="T28" s="2"/>
      <c r="U28" s="2"/>
      <c r="V28" s="2"/>
      <c r="W28" s="3"/>
      <c r="X28" s="18" t="s">
        <v>338</v>
      </c>
      <c r="Y28" s="2"/>
      <c r="Z28" s="2"/>
      <c r="AA28" s="2"/>
      <c r="AB28" s="2"/>
      <c r="AC28" s="2"/>
      <c r="AD28" s="3"/>
      <c r="AE28" s="19" t="s">
        <v>266</v>
      </c>
      <c r="AF28" s="3"/>
      <c r="AG28" s="19" t="s">
        <v>59</v>
      </c>
      <c r="AH28" s="2"/>
      <c r="AI28" s="3"/>
      <c r="AJ28" s="19"/>
      <c r="AK28" s="2"/>
      <c r="AL28" s="3"/>
      <c r="AM28" s="19"/>
      <c r="AN28" s="2"/>
      <c r="AO28" s="3"/>
      <c r="AP28" s="19"/>
      <c r="AQ28" s="2"/>
      <c r="AR28" s="3"/>
      <c r="AS28" s="19"/>
      <c r="AT28" s="2"/>
      <c r="AU28" s="3"/>
      <c r="AV28" s="19" t="s">
        <v>59</v>
      </c>
      <c r="AW28" s="2"/>
      <c r="AX28" s="3"/>
      <c r="AY28" s="19"/>
      <c r="AZ28" s="2"/>
      <c r="BA28" s="3"/>
      <c r="BB28" s="19" t="s">
        <v>267</v>
      </c>
      <c r="BC28" s="2"/>
      <c r="BD28" s="3"/>
      <c r="BE28" s="20">
        <v>46244</v>
      </c>
      <c r="BF28" s="2"/>
      <c r="BG28" s="3"/>
      <c r="BH28" s="19"/>
      <c r="BI28" s="2"/>
      <c r="BJ28" s="3"/>
      <c r="BK28" s="18" t="s">
        <v>339</v>
      </c>
      <c r="BL28" s="2"/>
      <c r="BM28" s="2"/>
      <c r="BN28" s="2"/>
      <c r="BO28" s="2"/>
      <c r="BP28" s="2"/>
      <c r="BQ28" s="3"/>
    </row>
    <row r="29" ht="223.5" customHeight="1" spans="1:69">
      <c r="A29" s="17">
        <v>15</v>
      </c>
      <c r="B29" s="18" t="s">
        <v>340</v>
      </c>
      <c r="C29" s="2"/>
      <c r="D29" s="3"/>
      <c r="E29" s="18" t="s">
        <v>341</v>
      </c>
      <c r="F29" s="2"/>
      <c r="G29" s="2"/>
      <c r="H29" s="2"/>
      <c r="I29" s="3"/>
      <c r="J29" s="18" t="s">
        <v>342</v>
      </c>
      <c r="K29" s="2"/>
      <c r="L29" s="2"/>
      <c r="M29" s="2"/>
      <c r="N29" s="2"/>
      <c r="O29" s="2"/>
      <c r="P29" s="3"/>
      <c r="Q29" s="18" t="s">
        <v>343</v>
      </c>
      <c r="R29" s="2"/>
      <c r="S29" s="2"/>
      <c r="T29" s="2"/>
      <c r="U29" s="2"/>
      <c r="V29" s="2"/>
      <c r="W29" s="3"/>
      <c r="X29" s="18" t="s">
        <v>344</v>
      </c>
      <c r="Y29" s="2"/>
      <c r="Z29" s="2"/>
      <c r="AA29" s="2"/>
      <c r="AB29" s="2"/>
      <c r="AC29" s="2"/>
      <c r="AD29" s="3"/>
      <c r="AE29" s="19" t="s">
        <v>266</v>
      </c>
      <c r="AF29" s="3"/>
      <c r="AG29" s="19" t="s">
        <v>59</v>
      </c>
      <c r="AH29" s="2"/>
      <c r="AI29" s="3"/>
      <c r="AJ29" s="19"/>
      <c r="AK29" s="2"/>
      <c r="AL29" s="3"/>
      <c r="AM29" s="19"/>
      <c r="AN29" s="2"/>
      <c r="AO29" s="3"/>
      <c r="AP29" s="19"/>
      <c r="AQ29" s="2"/>
      <c r="AR29" s="3"/>
      <c r="AS29" s="19"/>
      <c r="AT29" s="2"/>
      <c r="AU29" s="3"/>
      <c r="AV29" s="19" t="s">
        <v>59</v>
      </c>
      <c r="AW29" s="2"/>
      <c r="AX29" s="3"/>
      <c r="AY29" s="19"/>
      <c r="AZ29" s="2"/>
      <c r="BA29" s="3"/>
      <c r="BB29" s="19" t="s">
        <v>267</v>
      </c>
      <c r="BC29" s="2"/>
      <c r="BD29" s="3"/>
      <c r="BE29" s="20">
        <v>46244</v>
      </c>
      <c r="BF29" s="2"/>
      <c r="BG29" s="3"/>
      <c r="BH29" s="19"/>
      <c r="BI29" s="2"/>
      <c r="BJ29" s="3"/>
      <c r="BK29" s="18" t="s">
        <v>345</v>
      </c>
      <c r="BL29" s="2"/>
      <c r="BM29" s="2"/>
      <c r="BN29" s="2"/>
      <c r="BO29" s="2"/>
      <c r="BP29" s="2"/>
      <c r="BQ29" s="3"/>
    </row>
    <row r="30" ht="22.5" customHeight="1" spans="1:69">
      <c r="A30" s="16" t="s">
        <v>346</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3"/>
    </row>
    <row r="31" ht="271.5" customHeight="1" spans="1:69">
      <c r="A31" s="17">
        <v>16</v>
      </c>
      <c r="B31" s="18" t="s">
        <v>347</v>
      </c>
      <c r="C31" s="2"/>
      <c r="D31" s="3"/>
      <c r="E31" s="18" t="s">
        <v>348</v>
      </c>
      <c r="F31" s="2"/>
      <c r="G31" s="2"/>
      <c r="H31" s="2"/>
      <c r="I31" s="3"/>
      <c r="J31" s="18" t="s">
        <v>293</v>
      </c>
      <c r="K31" s="2"/>
      <c r="L31" s="2"/>
      <c r="M31" s="2"/>
      <c r="N31" s="2"/>
      <c r="O31" s="2"/>
      <c r="P31" s="3"/>
      <c r="Q31" s="18" t="s">
        <v>349</v>
      </c>
      <c r="R31" s="2"/>
      <c r="S31" s="2"/>
      <c r="T31" s="2"/>
      <c r="U31" s="2"/>
      <c r="V31" s="2"/>
      <c r="W31" s="3"/>
      <c r="X31" s="18" t="s">
        <v>350</v>
      </c>
      <c r="Y31" s="2"/>
      <c r="Z31" s="2"/>
      <c r="AA31" s="2"/>
      <c r="AB31" s="2"/>
      <c r="AC31" s="2"/>
      <c r="AD31" s="3"/>
      <c r="AE31" s="19" t="s">
        <v>209</v>
      </c>
      <c r="AF31" s="3"/>
      <c r="AG31" s="19" t="s">
        <v>59</v>
      </c>
      <c r="AH31" s="2"/>
      <c r="AI31" s="3"/>
      <c r="AJ31" s="19"/>
      <c r="AK31" s="2"/>
      <c r="AL31" s="3"/>
      <c r="AM31" s="19"/>
      <c r="AN31" s="2"/>
      <c r="AO31" s="3"/>
      <c r="AP31" s="19"/>
      <c r="AQ31" s="2"/>
      <c r="AR31" s="3"/>
      <c r="AS31" s="19"/>
      <c r="AT31" s="2"/>
      <c r="AU31" s="3"/>
      <c r="AV31" s="19" t="s">
        <v>59</v>
      </c>
      <c r="AW31" s="2"/>
      <c r="AX31" s="3"/>
      <c r="AY31" s="19"/>
      <c r="AZ31" s="2"/>
      <c r="BA31" s="3"/>
      <c r="BB31" s="19" t="s">
        <v>267</v>
      </c>
      <c r="BC31" s="2"/>
      <c r="BD31" s="3"/>
      <c r="BE31" s="20">
        <v>46244</v>
      </c>
      <c r="BF31" s="2"/>
      <c r="BG31" s="3"/>
      <c r="BH31" s="19"/>
      <c r="BI31" s="2"/>
      <c r="BJ31" s="3"/>
      <c r="BK31" s="18" t="s">
        <v>351</v>
      </c>
      <c r="BL31" s="2"/>
      <c r="BM31" s="2"/>
      <c r="BN31" s="2"/>
      <c r="BO31" s="2"/>
      <c r="BP31" s="2"/>
      <c r="BQ31" s="3"/>
    </row>
    <row r="32" ht="240" customHeight="1" spans="1:69">
      <c r="A32" s="17">
        <v>17</v>
      </c>
      <c r="B32" s="18" t="s">
        <v>352</v>
      </c>
      <c r="C32" s="2"/>
      <c r="D32" s="3"/>
      <c r="E32" s="18" t="s">
        <v>353</v>
      </c>
      <c r="F32" s="2"/>
      <c r="G32" s="2"/>
      <c r="H32" s="2"/>
      <c r="I32" s="3"/>
      <c r="J32" s="18" t="s">
        <v>293</v>
      </c>
      <c r="K32" s="2"/>
      <c r="L32" s="2"/>
      <c r="M32" s="2"/>
      <c r="N32" s="2"/>
      <c r="O32" s="2"/>
      <c r="P32" s="3"/>
      <c r="Q32" s="18" t="s">
        <v>354</v>
      </c>
      <c r="R32" s="2"/>
      <c r="S32" s="2"/>
      <c r="T32" s="2"/>
      <c r="U32" s="2"/>
      <c r="V32" s="2"/>
      <c r="W32" s="3"/>
      <c r="X32" s="18" t="s">
        <v>355</v>
      </c>
      <c r="Y32" s="2"/>
      <c r="Z32" s="2"/>
      <c r="AA32" s="2"/>
      <c r="AB32" s="2"/>
      <c r="AC32" s="2"/>
      <c r="AD32" s="3"/>
      <c r="AE32" s="19" t="s">
        <v>209</v>
      </c>
      <c r="AF32" s="3"/>
      <c r="AG32" s="19" t="s">
        <v>59</v>
      </c>
      <c r="AH32" s="2"/>
      <c r="AI32" s="3"/>
      <c r="AJ32" s="19"/>
      <c r="AK32" s="2"/>
      <c r="AL32" s="3"/>
      <c r="AM32" s="19"/>
      <c r="AN32" s="2"/>
      <c r="AO32" s="3"/>
      <c r="AP32" s="19"/>
      <c r="AQ32" s="2"/>
      <c r="AR32" s="3"/>
      <c r="AS32" s="19"/>
      <c r="AT32" s="2"/>
      <c r="AU32" s="3"/>
      <c r="AV32" s="19" t="s">
        <v>59</v>
      </c>
      <c r="AW32" s="2"/>
      <c r="AX32" s="3"/>
      <c r="AY32" s="19"/>
      <c r="AZ32" s="2"/>
      <c r="BA32" s="3"/>
      <c r="BB32" s="19" t="s">
        <v>267</v>
      </c>
      <c r="BC32" s="2"/>
      <c r="BD32" s="3"/>
      <c r="BE32" s="20">
        <v>46244</v>
      </c>
      <c r="BF32" s="2"/>
      <c r="BG32" s="3"/>
      <c r="BH32" s="19"/>
      <c r="BI32" s="2"/>
      <c r="BJ32" s="3"/>
      <c r="BK32" s="18" t="s">
        <v>356</v>
      </c>
      <c r="BL32" s="2"/>
      <c r="BM32" s="2"/>
      <c r="BN32" s="2"/>
      <c r="BO32" s="2"/>
      <c r="BP32" s="2"/>
      <c r="BQ32" s="3"/>
    </row>
    <row r="33" ht="175.5" customHeight="1" spans="1:69">
      <c r="A33" s="17">
        <v>18</v>
      </c>
      <c r="B33" s="18" t="s">
        <v>357</v>
      </c>
      <c r="C33" s="2"/>
      <c r="D33" s="3"/>
      <c r="E33" s="18" t="s">
        <v>358</v>
      </c>
      <c r="F33" s="2"/>
      <c r="G33" s="2"/>
      <c r="H33" s="2"/>
      <c r="I33" s="3"/>
      <c r="J33" s="18" t="s">
        <v>293</v>
      </c>
      <c r="K33" s="2"/>
      <c r="L33" s="2"/>
      <c r="M33" s="2"/>
      <c r="N33" s="2"/>
      <c r="O33" s="2"/>
      <c r="P33" s="3"/>
      <c r="Q33" s="18" t="s">
        <v>359</v>
      </c>
      <c r="R33" s="2"/>
      <c r="S33" s="2"/>
      <c r="T33" s="2"/>
      <c r="U33" s="2"/>
      <c r="V33" s="2"/>
      <c r="W33" s="3"/>
      <c r="X33" s="18" t="s">
        <v>360</v>
      </c>
      <c r="Y33" s="2"/>
      <c r="Z33" s="2"/>
      <c r="AA33" s="2"/>
      <c r="AB33" s="2"/>
      <c r="AC33" s="2"/>
      <c r="AD33" s="3"/>
      <c r="AE33" s="19" t="s">
        <v>209</v>
      </c>
      <c r="AF33" s="3"/>
      <c r="AG33" s="19" t="s">
        <v>59</v>
      </c>
      <c r="AH33" s="2"/>
      <c r="AI33" s="3"/>
      <c r="AJ33" s="19"/>
      <c r="AK33" s="2"/>
      <c r="AL33" s="3"/>
      <c r="AM33" s="19"/>
      <c r="AN33" s="2"/>
      <c r="AO33" s="3"/>
      <c r="AP33" s="19"/>
      <c r="AQ33" s="2"/>
      <c r="AR33" s="3"/>
      <c r="AS33" s="19"/>
      <c r="AT33" s="2"/>
      <c r="AU33" s="3"/>
      <c r="AV33" s="19" t="s">
        <v>59</v>
      </c>
      <c r="AW33" s="2"/>
      <c r="AX33" s="3"/>
      <c r="AY33" s="19"/>
      <c r="AZ33" s="2"/>
      <c r="BA33" s="3"/>
      <c r="BB33" s="19" t="s">
        <v>267</v>
      </c>
      <c r="BC33" s="2"/>
      <c r="BD33" s="3"/>
      <c r="BE33" s="20">
        <v>46244</v>
      </c>
      <c r="BF33" s="2"/>
      <c r="BG33" s="3"/>
      <c r="BH33" s="19"/>
      <c r="BI33" s="2"/>
      <c r="BJ33" s="3"/>
      <c r="BK33" s="18" t="s">
        <v>351</v>
      </c>
      <c r="BL33" s="2"/>
      <c r="BM33" s="2"/>
      <c r="BN33" s="2"/>
      <c r="BO33" s="2"/>
      <c r="BP33" s="2"/>
      <c r="BQ33" s="3"/>
    </row>
    <row r="34" ht="175.5" customHeight="1" spans="1:69">
      <c r="A34" s="17">
        <v>19</v>
      </c>
      <c r="B34" s="18" t="s">
        <v>361</v>
      </c>
      <c r="C34" s="2"/>
      <c r="D34" s="3"/>
      <c r="E34" s="18" t="s">
        <v>362</v>
      </c>
      <c r="F34" s="2"/>
      <c r="G34" s="2"/>
      <c r="H34" s="2"/>
      <c r="I34" s="3"/>
      <c r="J34" s="18" t="s">
        <v>293</v>
      </c>
      <c r="K34" s="2"/>
      <c r="L34" s="2"/>
      <c r="M34" s="2"/>
      <c r="N34" s="2"/>
      <c r="O34" s="2"/>
      <c r="P34" s="3"/>
      <c r="Q34" s="18" t="s">
        <v>363</v>
      </c>
      <c r="R34" s="2"/>
      <c r="S34" s="2"/>
      <c r="T34" s="2"/>
      <c r="U34" s="2"/>
      <c r="V34" s="2"/>
      <c r="W34" s="3"/>
      <c r="X34" s="18" t="s">
        <v>364</v>
      </c>
      <c r="Y34" s="2"/>
      <c r="Z34" s="2"/>
      <c r="AA34" s="2"/>
      <c r="AB34" s="2"/>
      <c r="AC34" s="2"/>
      <c r="AD34" s="3"/>
      <c r="AE34" s="19" t="s">
        <v>209</v>
      </c>
      <c r="AF34" s="3"/>
      <c r="AG34" s="19" t="s">
        <v>59</v>
      </c>
      <c r="AH34" s="2"/>
      <c r="AI34" s="3"/>
      <c r="AJ34" s="19"/>
      <c r="AK34" s="2"/>
      <c r="AL34" s="3"/>
      <c r="AM34" s="19"/>
      <c r="AN34" s="2"/>
      <c r="AO34" s="3"/>
      <c r="AP34" s="19"/>
      <c r="AQ34" s="2"/>
      <c r="AR34" s="3"/>
      <c r="AS34" s="19"/>
      <c r="AT34" s="2"/>
      <c r="AU34" s="3"/>
      <c r="AV34" s="19" t="s">
        <v>59</v>
      </c>
      <c r="AW34" s="2"/>
      <c r="AX34" s="3"/>
      <c r="AY34" s="19"/>
      <c r="AZ34" s="2"/>
      <c r="BA34" s="3"/>
      <c r="BB34" s="19" t="s">
        <v>267</v>
      </c>
      <c r="BC34" s="2"/>
      <c r="BD34" s="3"/>
      <c r="BE34" s="20">
        <v>46244</v>
      </c>
      <c r="BF34" s="2"/>
      <c r="BG34" s="3"/>
      <c r="BH34" s="19"/>
      <c r="BI34" s="2"/>
      <c r="BJ34" s="3"/>
      <c r="BK34" s="18" t="s">
        <v>351</v>
      </c>
      <c r="BL34" s="2"/>
      <c r="BM34" s="2"/>
      <c r="BN34" s="2"/>
      <c r="BO34" s="2"/>
      <c r="BP34" s="2"/>
      <c r="BQ34" s="3"/>
    </row>
    <row r="35" ht="271.5" customHeight="1" spans="1:69">
      <c r="A35" s="17">
        <v>20</v>
      </c>
      <c r="B35" s="18" t="s">
        <v>365</v>
      </c>
      <c r="C35" s="2"/>
      <c r="D35" s="3"/>
      <c r="E35" s="18" t="s">
        <v>366</v>
      </c>
      <c r="F35" s="2"/>
      <c r="G35" s="2"/>
      <c r="H35" s="2"/>
      <c r="I35" s="3"/>
      <c r="J35" s="18" t="s">
        <v>293</v>
      </c>
      <c r="K35" s="2"/>
      <c r="L35" s="2"/>
      <c r="M35" s="2"/>
      <c r="N35" s="2"/>
      <c r="O35" s="2"/>
      <c r="P35" s="3"/>
      <c r="Q35" s="18" t="s">
        <v>367</v>
      </c>
      <c r="R35" s="2"/>
      <c r="S35" s="2"/>
      <c r="T35" s="2"/>
      <c r="U35" s="2"/>
      <c r="V35" s="2"/>
      <c r="W35" s="3"/>
      <c r="X35" s="18" t="s">
        <v>368</v>
      </c>
      <c r="Y35" s="2"/>
      <c r="Z35" s="2"/>
      <c r="AA35" s="2"/>
      <c r="AB35" s="2"/>
      <c r="AC35" s="2"/>
      <c r="AD35" s="3"/>
      <c r="AE35" s="19" t="s">
        <v>209</v>
      </c>
      <c r="AF35" s="3"/>
      <c r="AG35" s="19" t="s">
        <v>59</v>
      </c>
      <c r="AH35" s="2"/>
      <c r="AI35" s="3"/>
      <c r="AJ35" s="19"/>
      <c r="AK35" s="2"/>
      <c r="AL35" s="3"/>
      <c r="AM35" s="19"/>
      <c r="AN35" s="2"/>
      <c r="AO35" s="3"/>
      <c r="AP35" s="19"/>
      <c r="AQ35" s="2"/>
      <c r="AR35" s="3"/>
      <c r="AS35" s="19"/>
      <c r="AT35" s="2"/>
      <c r="AU35" s="3"/>
      <c r="AV35" s="19" t="s">
        <v>59</v>
      </c>
      <c r="AW35" s="2"/>
      <c r="AX35" s="3"/>
      <c r="AY35" s="19"/>
      <c r="AZ35" s="2"/>
      <c r="BA35" s="3"/>
      <c r="BB35" s="19" t="s">
        <v>267</v>
      </c>
      <c r="BC35" s="2"/>
      <c r="BD35" s="3"/>
      <c r="BE35" s="20">
        <v>46244</v>
      </c>
      <c r="BF35" s="2"/>
      <c r="BG35" s="3"/>
      <c r="BH35" s="19"/>
      <c r="BI35" s="2"/>
      <c r="BJ35" s="3"/>
      <c r="BK35" s="18" t="s">
        <v>369</v>
      </c>
      <c r="BL35" s="2"/>
      <c r="BM35" s="2"/>
      <c r="BN35" s="2"/>
      <c r="BO35" s="2"/>
      <c r="BP35" s="2"/>
      <c r="BQ35" s="3"/>
    </row>
    <row r="36" ht="255.75" customHeight="1" spans="1:69">
      <c r="A36" s="17">
        <v>21</v>
      </c>
      <c r="B36" s="18" t="s">
        <v>370</v>
      </c>
      <c r="C36" s="2"/>
      <c r="D36" s="3"/>
      <c r="E36" s="18" t="s">
        <v>371</v>
      </c>
      <c r="F36" s="2"/>
      <c r="G36" s="2"/>
      <c r="H36" s="2"/>
      <c r="I36" s="3"/>
      <c r="J36" s="18" t="s">
        <v>293</v>
      </c>
      <c r="K36" s="2"/>
      <c r="L36" s="2"/>
      <c r="M36" s="2"/>
      <c r="N36" s="2"/>
      <c r="O36" s="2"/>
      <c r="P36" s="3"/>
      <c r="Q36" s="18" t="s">
        <v>372</v>
      </c>
      <c r="R36" s="2"/>
      <c r="S36" s="2"/>
      <c r="T36" s="2"/>
      <c r="U36" s="2"/>
      <c r="V36" s="2"/>
      <c r="W36" s="3"/>
      <c r="X36" s="18" t="s">
        <v>373</v>
      </c>
      <c r="Y36" s="2"/>
      <c r="Z36" s="2"/>
      <c r="AA36" s="2"/>
      <c r="AB36" s="2"/>
      <c r="AC36" s="2"/>
      <c r="AD36" s="3"/>
      <c r="AE36" s="19" t="s">
        <v>209</v>
      </c>
      <c r="AF36" s="3"/>
      <c r="AG36" s="19" t="s">
        <v>59</v>
      </c>
      <c r="AH36" s="2"/>
      <c r="AI36" s="3"/>
      <c r="AJ36" s="19"/>
      <c r="AK36" s="2"/>
      <c r="AL36" s="3"/>
      <c r="AM36" s="19"/>
      <c r="AN36" s="2"/>
      <c r="AO36" s="3"/>
      <c r="AP36" s="19"/>
      <c r="AQ36" s="2"/>
      <c r="AR36" s="3"/>
      <c r="AS36" s="19"/>
      <c r="AT36" s="2"/>
      <c r="AU36" s="3"/>
      <c r="AV36" s="19" t="s">
        <v>59</v>
      </c>
      <c r="AW36" s="2"/>
      <c r="AX36" s="3"/>
      <c r="AY36" s="19"/>
      <c r="AZ36" s="2"/>
      <c r="BA36" s="3"/>
      <c r="BB36" s="19" t="s">
        <v>267</v>
      </c>
      <c r="BC36" s="2"/>
      <c r="BD36" s="3"/>
      <c r="BE36" s="20">
        <v>46244</v>
      </c>
      <c r="BF36" s="2"/>
      <c r="BG36" s="3"/>
      <c r="BH36" s="19"/>
      <c r="BI36" s="2"/>
      <c r="BJ36" s="3"/>
      <c r="BK36" s="18" t="s">
        <v>374</v>
      </c>
      <c r="BL36" s="2"/>
      <c r="BM36" s="2"/>
      <c r="BN36" s="2"/>
      <c r="BO36" s="2"/>
      <c r="BP36" s="2"/>
      <c r="BQ36" s="3"/>
    </row>
    <row r="37" ht="271.5" customHeight="1" spans="1:69">
      <c r="A37" s="17">
        <v>22</v>
      </c>
      <c r="B37" s="18" t="s">
        <v>375</v>
      </c>
      <c r="C37" s="2"/>
      <c r="D37" s="3"/>
      <c r="E37" s="18" t="s">
        <v>376</v>
      </c>
      <c r="F37" s="2"/>
      <c r="G37" s="2"/>
      <c r="H37" s="2"/>
      <c r="I37" s="3"/>
      <c r="J37" s="18" t="s">
        <v>293</v>
      </c>
      <c r="K37" s="2"/>
      <c r="L37" s="2"/>
      <c r="M37" s="2"/>
      <c r="N37" s="2"/>
      <c r="O37" s="2"/>
      <c r="P37" s="3"/>
      <c r="Q37" s="18" t="s">
        <v>377</v>
      </c>
      <c r="R37" s="2"/>
      <c r="S37" s="2"/>
      <c r="T37" s="2"/>
      <c r="U37" s="2"/>
      <c r="V37" s="2"/>
      <c r="W37" s="3"/>
      <c r="X37" s="18" t="s">
        <v>378</v>
      </c>
      <c r="Y37" s="2"/>
      <c r="Z37" s="2"/>
      <c r="AA37" s="2"/>
      <c r="AB37" s="2"/>
      <c r="AC37" s="2"/>
      <c r="AD37" s="3"/>
      <c r="AE37" s="19" t="s">
        <v>209</v>
      </c>
      <c r="AF37" s="3"/>
      <c r="AG37" s="19" t="s">
        <v>59</v>
      </c>
      <c r="AH37" s="2"/>
      <c r="AI37" s="3"/>
      <c r="AJ37" s="19"/>
      <c r="AK37" s="2"/>
      <c r="AL37" s="3"/>
      <c r="AM37" s="19"/>
      <c r="AN37" s="2"/>
      <c r="AO37" s="3"/>
      <c r="AP37" s="19"/>
      <c r="AQ37" s="2"/>
      <c r="AR37" s="3"/>
      <c r="AS37" s="19"/>
      <c r="AT37" s="2"/>
      <c r="AU37" s="3"/>
      <c r="AV37" s="19" t="s">
        <v>59</v>
      </c>
      <c r="AW37" s="2"/>
      <c r="AX37" s="3"/>
      <c r="AY37" s="19"/>
      <c r="AZ37" s="2"/>
      <c r="BA37" s="3"/>
      <c r="BB37" s="19" t="s">
        <v>267</v>
      </c>
      <c r="BC37" s="2"/>
      <c r="BD37" s="3"/>
      <c r="BE37" s="20">
        <v>46244</v>
      </c>
      <c r="BF37" s="2"/>
      <c r="BG37" s="3"/>
      <c r="BH37" s="19"/>
      <c r="BI37" s="2"/>
      <c r="BJ37" s="3"/>
      <c r="BK37" s="18" t="s">
        <v>379</v>
      </c>
      <c r="BL37" s="2"/>
      <c r="BM37" s="2"/>
      <c r="BN37" s="2"/>
      <c r="BO37" s="2"/>
      <c r="BP37" s="2"/>
      <c r="BQ37" s="3"/>
    </row>
    <row r="38" ht="192" customHeight="1" spans="1:69">
      <c r="A38" s="17">
        <v>23</v>
      </c>
      <c r="B38" s="18" t="s">
        <v>380</v>
      </c>
      <c r="C38" s="2"/>
      <c r="D38" s="3"/>
      <c r="E38" s="18" t="s">
        <v>381</v>
      </c>
      <c r="F38" s="2"/>
      <c r="G38" s="2"/>
      <c r="H38" s="2"/>
      <c r="I38" s="3"/>
      <c r="J38" s="18" t="s">
        <v>293</v>
      </c>
      <c r="K38" s="2"/>
      <c r="L38" s="2"/>
      <c r="M38" s="2"/>
      <c r="N38" s="2"/>
      <c r="O38" s="2"/>
      <c r="P38" s="3"/>
      <c r="Q38" s="18" t="s">
        <v>382</v>
      </c>
      <c r="R38" s="2"/>
      <c r="S38" s="2"/>
      <c r="T38" s="2"/>
      <c r="U38" s="2"/>
      <c r="V38" s="2"/>
      <c r="W38" s="3"/>
      <c r="X38" s="18" t="s">
        <v>383</v>
      </c>
      <c r="Y38" s="2"/>
      <c r="Z38" s="2"/>
      <c r="AA38" s="2"/>
      <c r="AB38" s="2"/>
      <c r="AC38" s="2"/>
      <c r="AD38" s="3"/>
      <c r="AE38" s="19" t="s">
        <v>209</v>
      </c>
      <c r="AF38" s="3"/>
      <c r="AG38" s="19" t="s">
        <v>59</v>
      </c>
      <c r="AH38" s="2"/>
      <c r="AI38" s="3"/>
      <c r="AJ38" s="19"/>
      <c r="AK38" s="2"/>
      <c r="AL38" s="3"/>
      <c r="AM38" s="19"/>
      <c r="AN38" s="2"/>
      <c r="AO38" s="3"/>
      <c r="AP38" s="19"/>
      <c r="AQ38" s="2"/>
      <c r="AR38" s="3"/>
      <c r="AS38" s="19"/>
      <c r="AT38" s="2"/>
      <c r="AU38" s="3"/>
      <c r="AV38" s="19" t="s">
        <v>59</v>
      </c>
      <c r="AW38" s="2"/>
      <c r="AX38" s="3"/>
      <c r="AY38" s="19"/>
      <c r="AZ38" s="2"/>
      <c r="BA38" s="3"/>
      <c r="BB38" s="19" t="s">
        <v>267</v>
      </c>
      <c r="BC38" s="2"/>
      <c r="BD38" s="3"/>
      <c r="BE38" s="20">
        <v>46244</v>
      </c>
      <c r="BF38" s="2"/>
      <c r="BG38" s="3"/>
      <c r="BH38" s="19"/>
      <c r="BI38" s="2"/>
      <c r="BJ38" s="3"/>
      <c r="BK38" s="18" t="s">
        <v>384</v>
      </c>
      <c r="BL38" s="2"/>
      <c r="BM38" s="2"/>
      <c r="BN38" s="2"/>
      <c r="BO38" s="2"/>
      <c r="BP38" s="2"/>
      <c r="BQ38" s="3"/>
    </row>
    <row r="39" ht="207.75" customHeight="1" spans="1:69">
      <c r="A39" s="17">
        <v>24</v>
      </c>
      <c r="B39" s="18" t="s">
        <v>385</v>
      </c>
      <c r="C39" s="2"/>
      <c r="D39" s="3"/>
      <c r="E39" s="18" t="s">
        <v>386</v>
      </c>
      <c r="F39" s="2"/>
      <c r="G39" s="2"/>
      <c r="H39" s="2"/>
      <c r="I39" s="3"/>
      <c r="J39" s="18" t="s">
        <v>293</v>
      </c>
      <c r="K39" s="2"/>
      <c r="L39" s="2"/>
      <c r="M39" s="2"/>
      <c r="N39" s="2"/>
      <c r="O39" s="2"/>
      <c r="P39" s="3"/>
      <c r="Q39" s="18" t="s">
        <v>387</v>
      </c>
      <c r="R39" s="2"/>
      <c r="S39" s="2"/>
      <c r="T39" s="2"/>
      <c r="U39" s="2"/>
      <c r="V39" s="2"/>
      <c r="W39" s="3"/>
      <c r="X39" s="18" t="s">
        <v>388</v>
      </c>
      <c r="Y39" s="2"/>
      <c r="Z39" s="2"/>
      <c r="AA39" s="2"/>
      <c r="AB39" s="2"/>
      <c r="AC39" s="2"/>
      <c r="AD39" s="3"/>
      <c r="AE39" s="19" t="s">
        <v>209</v>
      </c>
      <c r="AF39" s="3"/>
      <c r="AG39" s="19" t="s">
        <v>59</v>
      </c>
      <c r="AH39" s="2"/>
      <c r="AI39" s="3"/>
      <c r="AJ39" s="19"/>
      <c r="AK39" s="2"/>
      <c r="AL39" s="3"/>
      <c r="AM39" s="19"/>
      <c r="AN39" s="2"/>
      <c r="AO39" s="3"/>
      <c r="AP39" s="19"/>
      <c r="AQ39" s="2"/>
      <c r="AR39" s="3"/>
      <c r="AS39" s="19"/>
      <c r="AT39" s="2"/>
      <c r="AU39" s="3"/>
      <c r="AV39" s="19" t="s">
        <v>59</v>
      </c>
      <c r="AW39" s="2"/>
      <c r="AX39" s="3"/>
      <c r="AY39" s="19"/>
      <c r="AZ39" s="2"/>
      <c r="BA39" s="3"/>
      <c r="BB39" s="19" t="s">
        <v>267</v>
      </c>
      <c r="BC39" s="2"/>
      <c r="BD39" s="3"/>
      <c r="BE39" s="20">
        <v>46244</v>
      </c>
      <c r="BF39" s="2"/>
      <c r="BG39" s="3"/>
      <c r="BH39" s="19"/>
      <c r="BI39" s="2"/>
      <c r="BJ39" s="3"/>
      <c r="BK39" s="18" t="s">
        <v>384</v>
      </c>
      <c r="BL39" s="2"/>
      <c r="BM39" s="2"/>
      <c r="BN39" s="2"/>
      <c r="BO39" s="2"/>
      <c r="BP39" s="2"/>
      <c r="BQ39" s="3"/>
    </row>
    <row r="40" ht="192" customHeight="1" spans="1:69">
      <c r="A40" s="17">
        <v>25</v>
      </c>
      <c r="B40" s="18" t="s">
        <v>389</v>
      </c>
      <c r="C40" s="2"/>
      <c r="D40" s="3"/>
      <c r="E40" s="18" t="s">
        <v>390</v>
      </c>
      <c r="F40" s="2"/>
      <c r="G40" s="2"/>
      <c r="H40" s="2"/>
      <c r="I40" s="3"/>
      <c r="J40" s="18" t="s">
        <v>293</v>
      </c>
      <c r="K40" s="2"/>
      <c r="L40" s="2"/>
      <c r="M40" s="2"/>
      <c r="N40" s="2"/>
      <c r="O40" s="2"/>
      <c r="P40" s="3"/>
      <c r="Q40" s="18" t="s">
        <v>391</v>
      </c>
      <c r="R40" s="2"/>
      <c r="S40" s="2"/>
      <c r="T40" s="2"/>
      <c r="U40" s="2"/>
      <c r="V40" s="2"/>
      <c r="W40" s="3"/>
      <c r="X40" s="18" t="s">
        <v>392</v>
      </c>
      <c r="Y40" s="2"/>
      <c r="Z40" s="2"/>
      <c r="AA40" s="2"/>
      <c r="AB40" s="2"/>
      <c r="AC40" s="2"/>
      <c r="AD40" s="3"/>
      <c r="AE40" s="19" t="s">
        <v>266</v>
      </c>
      <c r="AF40" s="3"/>
      <c r="AG40" s="19" t="s">
        <v>59</v>
      </c>
      <c r="AH40" s="2"/>
      <c r="AI40" s="3"/>
      <c r="AJ40" s="19"/>
      <c r="AK40" s="2"/>
      <c r="AL40" s="3"/>
      <c r="AM40" s="19"/>
      <c r="AN40" s="2"/>
      <c r="AO40" s="3"/>
      <c r="AP40" s="19"/>
      <c r="AQ40" s="2"/>
      <c r="AR40" s="3"/>
      <c r="AS40" s="19"/>
      <c r="AT40" s="2"/>
      <c r="AU40" s="3"/>
      <c r="AV40" s="19" t="s">
        <v>59</v>
      </c>
      <c r="AW40" s="2"/>
      <c r="AX40" s="3"/>
      <c r="AY40" s="19"/>
      <c r="AZ40" s="2"/>
      <c r="BA40" s="3"/>
      <c r="BB40" s="19" t="s">
        <v>267</v>
      </c>
      <c r="BC40" s="2"/>
      <c r="BD40" s="3"/>
      <c r="BE40" s="20">
        <v>46244</v>
      </c>
      <c r="BF40" s="2"/>
      <c r="BG40" s="3"/>
      <c r="BH40" s="19"/>
      <c r="BI40" s="2"/>
      <c r="BJ40" s="3"/>
      <c r="BK40" s="18" t="s">
        <v>393</v>
      </c>
      <c r="BL40" s="2"/>
      <c r="BM40" s="2"/>
      <c r="BN40" s="2"/>
      <c r="BO40" s="2"/>
      <c r="BP40" s="2"/>
      <c r="BQ40" s="3"/>
    </row>
    <row r="41" ht="271.5" customHeight="1" spans="1:69">
      <c r="A41" s="17">
        <v>26</v>
      </c>
      <c r="B41" s="18" t="s">
        <v>394</v>
      </c>
      <c r="C41" s="2"/>
      <c r="D41" s="3"/>
      <c r="E41" s="18" t="s">
        <v>395</v>
      </c>
      <c r="F41" s="2"/>
      <c r="G41" s="2"/>
      <c r="H41" s="2"/>
      <c r="I41" s="3"/>
      <c r="J41" s="18" t="s">
        <v>293</v>
      </c>
      <c r="K41" s="2"/>
      <c r="L41" s="2"/>
      <c r="M41" s="2"/>
      <c r="N41" s="2"/>
      <c r="O41" s="2"/>
      <c r="P41" s="3"/>
      <c r="Q41" s="18" t="s">
        <v>396</v>
      </c>
      <c r="R41" s="2"/>
      <c r="S41" s="2"/>
      <c r="T41" s="2"/>
      <c r="U41" s="2"/>
      <c r="V41" s="2"/>
      <c r="W41" s="3"/>
      <c r="X41" s="18" t="s">
        <v>397</v>
      </c>
      <c r="Y41" s="2"/>
      <c r="Z41" s="2"/>
      <c r="AA41" s="2"/>
      <c r="AB41" s="2"/>
      <c r="AC41" s="2"/>
      <c r="AD41" s="3"/>
      <c r="AE41" s="19" t="s">
        <v>209</v>
      </c>
      <c r="AF41" s="3"/>
      <c r="AG41" s="19" t="s">
        <v>59</v>
      </c>
      <c r="AH41" s="2"/>
      <c r="AI41" s="3"/>
      <c r="AJ41" s="19"/>
      <c r="AK41" s="2"/>
      <c r="AL41" s="3"/>
      <c r="AM41" s="19"/>
      <c r="AN41" s="2"/>
      <c r="AO41" s="3"/>
      <c r="AP41" s="19"/>
      <c r="AQ41" s="2"/>
      <c r="AR41" s="3"/>
      <c r="AS41" s="19"/>
      <c r="AT41" s="2"/>
      <c r="AU41" s="3"/>
      <c r="AV41" s="19" t="s">
        <v>59</v>
      </c>
      <c r="AW41" s="2"/>
      <c r="AX41" s="3"/>
      <c r="AY41" s="19"/>
      <c r="AZ41" s="2"/>
      <c r="BA41" s="3"/>
      <c r="BB41" s="19" t="s">
        <v>267</v>
      </c>
      <c r="BC41" s="2"/>
      <c r="BD41" s="3"/>
      <c r="BE41" s="20">
        <v>46244</v>
      </c>
      <c r="BF41" s="2"/>
      <c r="BG41" s="3"/>
      <c r="BH41" s="19"/>
      <c r="BI41" s="2"/>
      <c r="BJ41" s="3"/>
      <c r="BK41" s="18" t="s">
        <v>398</v>
      </c>
      <c r="BL41" s="2"/>
      <c r="BM41" s="2"/>
      <c r="BN41" s="2"/>
      <c r="BO41" s="2"/>
      <c r="BP41" s="2"/>
      <c r="BQ41" s="3"/>
    </row>
    <row r="42" ht="207.75" customHeight="1" spans="1:69">
      <c r="A42" s="17">
        <v>27</v>
      </c>
      <c r="B42" s="18" t="s">
        <v>399</v>
      </c>
      <c r="C42" s="2"/>
      <c r="D42" s="3"/>
      <c r="E42" s="18" t="s">
        <v>400</v>
      </c>
      <c r="F42" s="2"/>
      <c r="G42" s="2"/>
      <c r="H42" s="2"/>
      <c r="I42" s="3"/>
      <c r="J42" s="18" t="s">
        <v>293</v>
      </c>
      <c r="K42" s="2"/>
      <c r="L42" s="2"/>
      <c r="M42" s="2"/>
      <c r="N42" s="2"/>
      <c r="O42" s="2"/>
      <c r="P42" s="3"/>
      <c r="Q42" s="18" t="s">
        <v>401</v>
      </c>
      <c r="R42" s="2"/>
      <c r="S42" s="2"/>
      <c r="T42" s="2"/>
      <c r="U42" s="2"/>
      <c r="V42" s="2"/>
      <c r="W42" s="3"/>
      <c r="X42" s="18" t="s">
        <v>402</v>
      </c>
      <c r="Y42" s="2"/>
      <c r="Z42" s="2"/>
      <c r="AA42" s="2"/>
      <c r="AB42" s="2"/>
      <c r="AC42" s="2"/>
      <c r="AD42" s="3"/>
      <c r="AE42" s="19" t="s">
        <v>209</v>
      </c>
      <c r="AF42" s="3"/>
      <c r="AG42" s="19" t="s">
        <v>59</v>
      </c>
      <c r="AH42" s="2"/>
      <c r="AI42" s="3"/>
      <c r="AJ42" s="19"/>
      <c r="AK42" s="2"/>
      <c r="AL42" s="3"/>
      <c r="AM42" s="19"/>
      <c r="AN42" s="2"/>
      <c r="AO42" s="3"/>
      <c r="AP42" s="19"/>
      <c r="AQ42" s="2"/>
      <c r="AR42" s="3"/>
      <c r="AS42" s="19"/>
      <c r="AT42" s="2"/>
      <c r="AU42" s="3"/>
      <c r="AV42" s="19" t="s">
        <v>59</v>
      </c>
      <c r="AW42" s="2"/>
      <c r="AX42" s="3"/>
      <c r="AY42" s="19"/>
      <c r="AZ42" s="2"/>
      <c r="BA42" s="3"/>
      <c r="BB42" s="19" t="s">
        <v>267</v>
      </c>
      <c r="BC42" s="2"/>
      <c r="BD42" s="3"/>
      <c r="BE42" s="20">
        <v>46244</v>
      </c>
      <c r="BF42" s="2"/>
      <c r="BG42" s="3"/>
      <c r="BH42" s="19"/>
      <c r="BI42" s="2"/>
      <c r="BJ42" s="3"/>
      <c r="BK42" s="18" t="s">
        <v>403</v>
      </c>
      <c r="BL42" s="2"/>
      <c r="BM42" s="2"/>
      <c r="BN42" s="2"/>
      <c r="BO42" s="2"/>
      <c r="BP42" s="2"/>
      <c r="BQ42" s="3"/>
    </row>
    <row r="43" ht="207.75" customHeight="1" spans="1:69">
      <c r="A43" s="17">
        <v>28</v>
      </c>
      <c r="B43" s="18" t="s">
        <v>404</v>
      </c>
      <c r="C43" s="2"/>
      <c r="D43" s="3"/>
      <c r="E43" s="18" t="s">
        <v>405</v>
      </c>
      <c r="F43" s="2"/>
      <c r="G43" s="2"/>
      <c r="H43" s="2"/>
      <c r="I43" s="3"/>
      <c r="J43" s="18" t="s">
        <v>293</v>
      </c>
      <c r="K43" s="2"/>
      <c r="L43" s="2"/>
      <c r="M43" s="2"/>
      <c r="N43" s="2"/>
      <c r="O43" s="2"/>
      <c r="P43" s="3"/>
      <c r="Q43" s="18" t="s">
        <v>406</v>
      </c>
      <c r="R43" s="2"/>
      <c r="S43" s="2"/>
      <c r="T43" s="2"/>
      <c r="U43" s="2"/>
      <c r="V43" s="2"/>
      <c r="W43" s="3"/>
      <c r="X43" s="18" t="s">
        <v>407</v>
      </c>
      <c r="Y43" s="2"/>
      <c r="Z43" s="2"/>
      <c r="AA43" s="2"/>
      <c r="AB43" s="2"/>
      <c r="AC43" s="2"/>
      <c r="AD43" s="3"/>
      <c r="AE43" s="19" t="s">
        <v>209</v>
      </c>
      <c r="AF43" s="3"/>
      <c r="AG43" s="19" t="s">
        <v>59</v>
      </c>
      <c r="AH43" s="2"/>
      <c r="AI43" s="3"/>
      <c r="AJ43" s="19"/>
      <c r="AK43" s="2"/>
      <c r="AL43" s="3"/>
      <c r="AM43" s="19"/>
      <c r="AN43" s="2"/>
      <c r="AO43" s="3"/>
      <c r="AP43" s="19"/>
      <c r="AQ43" s="2"/>
      <c r="AR43" s="3"/>
      <c r="AS43" s="19"/>
      <c r="AT43" s="2"/>
      <c r="AU43" s="3"/>
      <c r="AV43" s="19" t="s">
        <v>59</v>
      </c>
      <c r="AW43" s="2"/>
      <c r="AX43" s="3"/>
      <c r="AY43" s="19"/>
      <c r="AZ43" s="2"/>
      <c r="BA43" s="3"/>
      <c r="BB43" s="19" t="s">
        <v>267</v>
      </c>
      <c r="BC43" s="2"/>
      <c r="BD43" s="3"/>
      <c r="BE43" s="20">
        <v>46244</v>
      </c>
      <c r="BF43" s="2"/>
      <c r="BG43" s="3"/>
      <c r="BH43" s="19"/>
      <c r="BI43" s="2"/>
      <c r="BJ43" s="3"/>
      <c r="BK43" s="18" t="s">
        <v>408</v>
      </c>
      <c r="BL43" s="2"/>
      <c r="BM43" s="2"/>
      <c r="BN43" s="2"/>
      <c r="BO43" s="2"/>
      <c r="BP43" s="2"/>
      <c r="BQ43" s="3"/>
    </row>
    <row r="44" ht="207.75" customHeight="1" spans="1:69">
      <c r="A44" s="17">
        <v>29</v>
      </c>
      <c r="B44" s="18" t="s">
        <v>409</v>
      </c>
      <c r="C44" s="2"/>
      <c r="D44" s="3"/>
      <c r="E44" s="18" t="s">
        <v>410</v>
      </c>
      <c r="F44" s="2"/>
      <c r="G44" s="2"/>
      <c r="H44" s="2"/>
      <c r="I44" s="3"/>
      <c r="J44" s="18" t="s">
        <v>293</v>
      </c>
      <c r="K44" s="2"/>
      <c r="L44" s="2"/>
      <c r="M44" s="2"/>
      <c r="N44" s="2"/>
      <c r="O44" s="2"/>
      <c r="P44" s="3"/>
      <c r="Q44" s="18" t="s">
        <v>411</v>
      </c>
      <c r="R44" s="2"/>
      <c r="S44" s="2"/>
      <c r="T44" s="2"/>
      <c r="U44" s="2"/>
      <c r="V44" s="2"/>
      <c r="W44" s="3"/>
      <c r="X44" s="18" t="s">
        <v>412</v>
      </c>
      <c r="Y44" s="2"/>
      <c r="Z44" s="2"/>
      <c r="AA44" s="2"/>
      <c r="AB44" s="2"/>
      <c r="AC44" s="2"/>
      <c r="AD44" s="3"/>
      <c r="AE44" s="19" t="s">
        <v>209</v>
      </c>
      <c r="AF44" s="3"/>
      <c r="AG44" s="19" t="s">
        <v>59</v>
      </c>
      <c r="AH44" s="2"/>
      <c r="AI44" s="3"/>
      <c r="AJ44" s="19"/>
      <c r="AK44" s="2"/>
      <c r="AL44" s="3"/>
      <c r="AM44" s="19"/>
      <c r="AN44" s="2"/>
      <c r="AO44" s="3"/>
      <c r="AP44" s="19"/>
      <c r="AQ44" s="2"/>
      <c r="AR44" s="3"/>
      <c r="AS44" s="19"/>
      <c r="AT44" s="2"/>
      <c r="AU44" s="3"/>
      <c r="AV44" s="19" t="s">
        <v>59</v>
      </c>
      <c r="AW44" s="2"/>
      <c r="AX44" s="3"/>
      <c r="AY44" s="19"/>
      <c r="AZ44" s="2"/>
      <c r="BA44" s="3"/>
      <c r="BB44" s="19" t="s">
        <v>267</v>
      </c>
      <c r="BC44" s="2"/>
      <c r="BD44" s="3"/>
      <c r="BE44" s="20">
        <v>46244</v>
      </c>
      <c r="BF44" s="2"/>
      <c r="BG44" s="3"/>
      <c r="BH44" s="19"/>
      <c r="BI44" s="2"/>
      <c r="BJ44" s="3"/>
      <c r="BK44" s="18" t="s">
        <v>403</v>
      </c>
      <c r="BL44" s="2"/>
      <c r="BM44" s="2"/>
      <c r="BN44" s="2"/>
      <c r="BO44" s="2"/>
      <c r="BP44" s="2"/>
      <c r="BQ44" s="3"/>
    </row>
    <row r="45" ht="207.75" customHeight="1" spans="1:69">
      <c r="A45" s="17">
        <v>30</v>
      </c>
      <c r="B45" s="18" t="s">
        <v>413</v>
      </c>
      <c r="C45" s="2"/>
      <c r="D45" s="3"/>
      <c r="E45" s="18" t="s">
        <v>414</v>
      </c>
      <c r="F45" s="2"/>
      <c r="G45" s="2"/>
      <c r="H45" s="2"/>
      <c r="I45" s="3"/>
      <c r="J45" s="18" t="s">
        <v>293</v>
      </c>
      <c r="K45" s="2"/>
      <c r="L45" s="2"/>
      <c r="M45" s="2"/>
      <c r="N45" s="2"/>
      <c r="O45" s="2"/>
      <c r="P45" s="3"/>
      <c r="Q45" s="18" t="s">
        <v>415</v>
      </c>
      <c r="R45" s="2"/>
      <c r="S45" s="2"/>
      <c r="T45" s="2"/>
      <c r="U45" s="2"/>
      <c r="V45" s="2"/>
      <c r="W45" s="3"/>
      <c r="X45" s="18" t="s">
        <v>416</v>
      </c>
      <c r="Y45" s="2"/>
      <c r="Z45" s="2"/>
      <c r="AA45" s="2"/>
      <c r="AB45" s="2"/>
      <c r="AC45" s="2"/>
      <c r="AD45" s="3"/>
      <c r="AE45" s="19" t="s">
        <v>209</v>
      </c>
      <c r="AF45" s="3"/>
      <c r="AG45" s="19" t="s">
        <v>59</v>
      </c>
      <c r="AH45" s="2"/>
      <c r="AI45" s="3"/>
      <c r="AJ45" s="19"/>
      <c r="AK45" s="2"/>
      <c r="AL45" s="3"/>
      <c r="AM45" s="19"/>
      <c r="AN45" s="2"/>
      <c r="AO45" s="3"/>
      <c r="AP45" s="19"/>
      <c r="AQ45" s="2"/>
      <c r="AR45" s="3"/>
      <c r="AS45" s="19"/>
      <c r="AT45" s="2"/>
      <c r="AU45" s="3"/>
      <c r="AV45" s="19" t="s">
        <v>59</v>
      </c>
      <c r="AW45" s="2"/>
      <c r="AX45" s="3"/>
      <c r="AY45" s="19"/>
      <c r="AZ45" s="2"/>
      <c r="BA45" s="3"/>
      <c r="BB45" s="19" t="s">
        <v>267</v>
      </c>
      <c r="BC45" s="2"/>
      <c r="BD45" s="3"/>
      <c r="BE45" s="20">
        <v>46244</v>
      </c>
      <c r="BF45" s="2"/>
      <c r="BG45" s="3"/>
      <c r="BH45" s="19"/>
      <c r="BI45" s="2"/>
      <c r="BJ45" s="3"/>
      <c r="BK45" s="18" t="s">
        <v>403</v>
      </c>
      <c r="BL45" s="2"/>
      <c r="BM45" s="2"/>
      <c r="BN45" s="2"/>
      <c r="BO45" s="2"/>
      <c r="BP45" s="2"/>
      <c r="BQ45" s="3"/>
    </row>
    <row r="46" ht="192" customHeight="1" spans="1:69">
      <c r="A46" s="17">
        <v>31</v>
      </c>
      <c r="B46" s="18" t="s">
        <v>417</v>
      </c>
      <c r="C46" s="2"/>
      <c r="D46" s="3"/>
      <c r="E46" s="18" t="s">
        <v>418</v>
      </c>
      <c r="F46" s="2"/>
      <c r="G46" s="2"/>
      <c r="H46" s="2"/>
      <c r="I46" s="3"/>
      <c r="J46" s="18" t="s">
        <v>293</v>
      </c>
      <c r="K46" s="2"/>
      <c r="L46" s="2"/>
      <c r="M46" s="2"/>
      <c r="N46" s="2"/>
      <c r="O46" s="2"/>
      <c r="P46" s="3"/>
      <c r="Q46" s="18" t="s">
        <v>419</v>
      </c>
      <c r="R46" s="2"/>
      <c r="S46" s="2"/>
      <c r="T46" s="2"/>
      <c r="U46" s="2"/>
      <c r="V46" s="2"/>
      <c r="W46" s="3"/>
      <c r="X46" s="18" t="s">
        <v>420</v>
      </c>
      <c r="Y46" s="2"/>
      <c r="Z46" s="2"/>
      <c r="AA46" s="2"/>
      <c r="AB46" s="2"/>
      <c r="AC46" s="2"/>
      <c r="AD46" s="3"/>
      <c r="AE46" s="19" t="s">
        <v>266</v>
      </c>
      <c r="AF46" s="3"/>
      <c r="AG46" s="19" t="s">
        <v>59</v>
      </c>
      <c r="AH46" s="2"/>
      <c r="AI46" s="3"/>
      <c r="AJ46" s="19"/>
      <c r="AK46" s="2"/>
      <c r="AL46" s="3"/>
      <c r="AM46" s="19"/>
      <c r="AN46" s="2"/>
      <c r="AO46" s="3"/>
      <c r="AP46" s="19"/>
      <c r="AQ46" s="2"/>
      <c r="AR46" s="3"/>
      <c r="AS46" s="19"/>
      <c r="AT46" s="2"/>
      <c r="AU46" s="3"/>
      <c r="AV46" s="19" t="s">
        <v>59</v>
      </c>
      <c r="AW46" s="2"/>
      <c r="AX46" s="3"/>
      <c r="AY46" s="19"/>
      <c r="AZ46" s="2"/>
      <c r="BA46" s="3"/>
      <c r="BB46" s="19" t="s">
        <v>267</v>
      </c>
      <c r="BC46" s="2"/>
      <c r="BD46" s="3"/>
      <c r="BE46" s="20">
        <v>46244</v>
      </c>
      <c r="BF46" s="2"/>
      <c r="BG46" s="3"/>
      <c r="BH46" s="19"/>
      <c r="BI46" s="2"/>
      <c r="BJ46" s="3"/>
      <c r="BK46" s="18" t="s">
        <v>421</v>
      </c>
      <c r="BL46" s="2"/>
      <c r="BM46" s="2"/>
      <c r="BN46" s="2"/>
      <c r="BO46" s="2"/>
      <c r="BP46" s="2"/>
      <c r="BQ46" s="3"/>
    </row>
    <row r="47" ht="144" customHeight="1" spans="1:69">
      <c r="A47" s="17">
        <v>32</v>
      </c>
      <c r="B47" s="18" t="s">
        <v>422</v>
      </c>
      <c r="C47" s="2"/>
      <c r="D47" s="3"/>
      <c r="E47" s="18" t="s">
        <v>423</v>
      </c>
      <c r="F47" s="2"/>
      <c r="G47" s="2"/>
      <c r="H47" s="2"/>
      <c r="I47" s="3"/>
      <c r="J47" s="18" t="s">
        <v>293</v>
      </c>
      <c r="K47" s="2"/>
      <c r="L47" s="2"/>
      <c r="M47" s="2"/>
      <c r="N47" s="2"/>
      <c r="O47" s="2"/>
      <c r="P47" s="3"/>
      <c r="Q47" s="18" t="s">
        <v>424</v>
      </c>
      <c r="R47" s="2"/>
      <c r="S47" s="2"/>
      <c r="T47" s="2"/>
      <c r="U47" s="2"/>
      <c r="V47" s="2"/>
      <c r="W47" s="3"/>
      <c r="X47" s="18" t="s">
        <v>425</v>
      </c>
      <c r="Y47" s="2"/>
      <c r="Z47" s="2"/>
      <c r="AA47" s="2"/>
      <c r="AB47" s="2"/>
      <c r="AC47" s="2"/>
      <c r="AD47" s="3"/>
      <c r="AE47" s="19" t="s">
        <v>266</v>
      </c>
      <c r="AF47" s="3"/>
      <c r="AG47" s="19" t="s">
        <v>59</v>
      </c>
      <c r="AH47" s="2"/>
      <c r="AI47" s="3"/>
      <c r="AJ47" s="19"/>
      <c r="AK47" s="2"/>
      <c r="AL47" s="3"/>
      <c r="AM47" s="19"/>
      <c r="AN47" s="2"/>
      <c r="AO47" s="3"/>
      <c r="AP47" s="19"/>
      <c r="AQ47" s="2"/>
      <c r="AR47" s="3"/>
      <c r="AS47" s="19"/>
      <c r="AT47" s="2"/>
      <c r="AU47" s="3"/>
      <c r="AV47" s="19" t="s">
        <v>59</v>
      </c>
      <c r="AW47" s="2"/>
      <c r="AX47" s="3"/>
      <c r="AY47" s="19"/>
      <c r="AZ47" s="2"/>
      <c r="BA47" s="3"/>
      <c r="BB47" s="19" t="s">
        <v>267</v>
      </c>
      <c r="BC47" s="2"/>
      <c r="BD47" s="3"/>
      <c r="BE47" s="20">
        <v>46244</v>
      </c>
      <c r="BF47" s="2"/>
      <c r="BG47" s="3"/>
      <c r="BH47" s="19"/>
      <c r="BI47" s="2"/>
      <c r="BJ47" s="3"/>
      <c r="BK47" s="18" t="s">
        <v>426</v>
      </c>
      <c r="BL47" s="2"/>
      <c r="BM47" s="2"/>
      <c r="BN47" s="2"/>
      <c r="BO47" s="2"/>
      <c r="BP47" s="2"/>
      <c r="BQ47" s="3"/>
    </row>
    <row r="48" ht="192" customHeight="1" spans="1:69">
      <c r="A48" s="17">
        <v>33</v>
      </c>
      <c r="B48" s="18" t="s">
        <v>427</v>
      </c>
      <c r="C48" s="2"/>
      <c r="D48" s="3"/>
      <c r="E48" s="18" t="s">
        <v>428</v>
      </c>
      <c r="F48" s="2"/>
      <c r="G48" s="2"/>
      <c r="H48" s="2"/>
      <c r="I48" s="3"/>
      <c r="J48" s="18" t="s">
        <v>293</v>
      </c>
      <c r="K48" s="2"/>
      <c r="L48" s="2"/>
      <c r="M48" s="2"/>
      <c r="N48" s="2"/>
      <c r="O48" s="2"/>
      <c r="P48" s="3"/>
      <c r="Q48" s="18" t="s">
        <v>429</v>
      </c>
      <c r="R48" s="2"/>
      <c r="S48" s="2"/>
      <c r="T48" s="2"/>
      <c r="U48" s="2"/>
      <c r="V48" s="2"/>
      <c r="W48" s="3"/>
      <c r="X48" s="18" t="s">
        <v>430</v>
      </c>
      <c r="Y48" s="2"/>
      <c r="Z48" s="2"/>
      <c r="AA48" s="2"/>
      <c r="AB48" s="2"/>
      <c r="AC48" s="2"/>
      <c r="AD48" s="3"/>
      <c r="AE48" s="19" t="s">
        <v>266</v>
      </c>
      <c r="AF48" s="3"/>
      <c r="AG48" s="19" t="s">
        <v>59</v>
      </c>
      <c r="AH48" s="2"/>
      <c r="AI48" s="3"/>
      <c r="AJ48" s="19"/>
      <c r="AK48" s="2"/>
      <c r="AL48" s="3"/>
      <c r="AM48" s="19"/>
      <c r="AN48" s="2"/>
      <c r="AO48" s="3"/>
      <c r="AP48" s="19"/>
      <c r="AQ48" s="2"/>
      <c r="AR48" s="3"/>
      <c r="AS48" s="19"/>
      <c r="AT48" s="2"/>
      <c r="AU48" s="3"/>
      <c r="AV48" s="19" t="s">
        <v>59</v>
      </c>
      <c r="AW48" s="2"/>
      <c r="AX48" s="3"/>
      <c r="AY48" s="19"/>
      <c r="AZ48" s="2"/>
      <c r="BA48" s="3"/>
      <c r="BB48" s="19" t="s">
        <v>267</v>
      </c>
      <c r="BC48" s="2"/>
      <c r="BD48" s="3"/>
      <c r="BE48" s="20">
        <v>46244</v>
      </c>
      <c r="BF48" s="2"/>
      <c r="BG48" s="3"/>
      <c r="BH48" s="19"/>
      <c r="BI48" s="2"/>
      <c r="BJ48" s="3"/>
      <c r="BK48" s="18" t="s">
        <v>431</v>
      </c>
      <c r="BL48" s="2"/>
      <c r="BM48" s="2"/>
      <c r="BN48" s="2"/>
      <c r="BO48" s="2"/>
      <c r="BP48" s="2"/>
      <c r="BQ48" s="3"/>
    </row>
    <row r="49" ht="175.5" customHeight="1" spans="1:69">
      <c r="A49" s="17">
        <v>34</v>
      </c>
      <c r="B49" s="18" t="s">
        <v>432</v>
      </c>
      <c r="C49" s="2"/>
      <c r="D49" s="3"/>
      <c r="E49" s="18" t="s">
        <v>433</v>
      </c>
      <c r="F49" s="2"/>
      <c r="G49" s="2"/>
      <c r="H49" s="2"/>
      <c r="I49" s="3"/>
      <c r="J49" s="18" t="s">
        <v>293</v>
      </c>
      <c r="K49" s="2"/>
      <c r="L49" s="2"/>
      <c r="M49" s="2"/>
      <c r="N49" s="2"/>
      <c r="O49" s="2"/>
      <c r="P49" s="3"/>
      <c r="Q49" s="18" t="s">
        <v>434</v>
      </c>
      <c r="R49" s="2"/>
      <c r="S49" s="2"/>
      <c r="T49" s="2"/>
      <c r="U49" s="2"/>
      <c r="V49" s="2"/>
      <c r="W49" s="3"/>
      <c r="X49" s="18" t="s">
        <v>435</v>
      </c>
      <c r="Y49" s="2"/>
      <c r="Z49" s="2"/>
      <c r="AA49" s="2"/>
      <c r="AB49" s="2"/>
      <c r="AC49" s="2"/>
      <c r="AD49" s="3"/>
      <c r="AE49" s="19" t="s">
        <v>209</v>
      </c>
      <c r="AF49" s="3"/>
      <c r="AG49" s="19" t="s">
        <v>59</v>
      </c>
      <c r="AH49" s="2"/>
      <c r="AI49" s="3"/>
      <c r="AJ49" s="19"/>
      <c r="AK49" s="2"/>
      <c r="AL49" s="3"/>
      <c r="AM49" s="19"/>
      <c r="AN49" s="2"/>
      <c r="AO49" s="3"/>
      <c r="AP49" s="19"/>
      <c r="AQ49" s="2"/>
      <c r="AR49" s="3"/>
      <c r="AS49" s="19"/>
      <c r="AT49" s="2"/>
      <c r="AU49" s="3"/>
      <c r="AV49" s="19" t="s">
        <v>59</v>
      </c>
      <c r="AW49" s="2"/>
      <c r="AX49" s="3"/>
      <c r="AY49" s="19"/>
      <c r="AZ49" s="2"/>
      <c r="BA49" s="3"/>
      <c r="BB49" s="19" t="s">
        <v>267</v>
      </c>
      <c r="BC49" s="2"/>
      <c r="BD49" s="3"/>
      <c r="BE49" s="20">
        <v>46244</v>
      </c>
      <c r="BF49" s="2"/>
      <c r="BG49" s="3"/>
      <c r="BH49" s="19"/>
      <c r="BI49" s="2"/>
      <c r="BJ49" s="3"/>
      <c r="BK49" s="18" t="s">
        <v>436</v>
      </c>
      <c r="BL49" s="2"/>
      <c r="BM49" s="2"/>
      <c r="BN49" s="2"/>
      <c r="BO49" s="2"/>
      <c r="BP49" s="2"/>
      <c r="BQ49" s="3"/>
    </row>
    <row r="50" ht="175.5" customHeight="1" spans="1:69">
      <c r="A50" s="17">
        <v>35</v>
      </c>
      <c r="B50" s="18" t="s">
        <v>437</v>
      </c>
      <c r="C50" s="2"/>
      <c r="D50" s="3"/>
      <c r="E50" s="18" t="s">
        <v>438</v>
      </c>
      <c r="F50" s="2"/>
      <c r="G50" s="2"/>
      <c r="H50" s="2"/>
      <c r="I50" s="3"/>
      <c r="J50" s="18" t="s">
        <v>293</v>
      </c>
      <c r="K50" s="2"/>
      <c r="L50" s="2"/>
      <c r="M50" s="2"/>
      <c r="N50" s="2"/>
      <c r="O50" s="2"/>
      <c r="P50" s="3"/>
      <c r="Q50" s="18" t="s">
        <v>439</v>
      </c>
      <c r="R50" s="2"/>
      <c r="S50" s="2"/>
      <c r="T50" s="2"/>
      <c r="U50" s="2"/>
      <c r="V50" s="2"/>
      <c r="W50" s="3"/>
      <c r="X50" s="18" t="s">
        <v>440</v>
      </c>
      <c r="Y50" s="2"/>
      <c r="Z50" s="2"/>
      <c r="AA50" s="2"/>
      <c r="AB50" s="2"/>
      <c r="AC50" s="2"/>
      <c r="AD50" s="3"/>
      <c r="AE50" s="19" t="s">
        <v>209</v>
      </c>
      <c r="AF50" s="3"/>
      <c r="AG50" s="19" t="s">
        <v>59</v>
      </c>
      <c r="AH50" s="2"/>
      <c r="AI50" s="3"/>
      <c r="AJ50" s="19"/>
      <c r="AK50" s="2"/>
      <c r="AL50" s="3"/>
      <c r="AM50" s="19"/>
      <c r="AN50" s="2"/>
      <c r="AO50" s="3"/>
      <c r="AP50" s="19"/>
      <c r="AQ50" s="2"/>
      <c r="AR50" s="3"/>
      <c r="AS50" s="19"/>
      <c r="AT50" s="2"/>
      <c r="AU50" s="3"/>
      <c r="AV50" s="19" t="s">
        <v>59</v>
      </c>
      <c r="AW50" s="2"/>
      <c r="AX50" s="3"/>
      <c r="AY50" s="19"/>
      <c r="AZ50" s="2"/>
      <c r="BA50" s="3"/>
      <c r="BB50" s="19" t="s">
        <v>267</v>
      </c>
      <c r="BC50" s="2"/>
      <c r="BD50" s="3"/>
      <c r="BE50" s="20">
        <v>46244</v>
      </c>
      <c r="BF50" s="2"/>
      <c r="BG50" s="3"/>
      <c r="BH50" s="19"/>
      <c r="BI50" s="2"/>
      <c r="BJ50" s="3"/>
      <c r="BK50" s="18" t="s">
        <v>436</v>
      </c>
      <c r="BL50" s="2"/>
      <c r="BM50" s="2"/>
      <c r="BN50" s="2"/>
      <c r="BO50" s="2"/>
      <c r="BP50" s="2"/>
      <c r="BQ50" s="3"/>
    </row>
    <row r="51" ht="192" customHeight="1" spans="1:69">
      <c r="A51" s="17">
        <v>36</v>
      </c>
      <c r="B51" s="18" t="s">
        <v>441</v>
      </c>
      <c r="C51" s="2"/>
      <c r="D51" s="3"/>
      <c r="E51" s="18" t="s">
        <v>442</v>
      </c>
      <c r="F51" s="2"/>
      <c r="G51" s="2"/>
      <c r="H51" s="2"/>
      <c r="I51" s="3"/>
      <c r="J51" s="18" t="s">
        <v>293</v>
      </c>
      <c r="K51" s="2"/>
      <c r="L51" s="2"/>
      <c r="M51" s="2"/>
      <c r="N51" s="2"/>
      <c r="O51" s="2"/>
      <c r="P51" s="3"/>
      <c r="Q51" s="18" t="s">
        <v>443</v>
      </c>
      <c r="R51" s="2"/>
      <c r="S51" s="2"/>
      <c r="T51" s="2"/>
      <c r="U51" s="2"/>
      <c r="V51" s="2"/>
      <c r="W51" s="3"/>
      <c r="X51" s="18" t="s">
        <v>444</v>
      </c>
      <c r="Y51" s="2"/>
      <c r="Z51" s="2"/>
      <c r="AA51" s="2"/>
      <c r="AB51" s="2"/>
      <c r="AC51" s="2"/>
      <c r="AD51" s="3"/>
      <c r="AE51" s="19" t="s">
        <v>209</v>
      </c>
      <c r="AF51" s="3"/>
      <c r="AG51" s="19" t="s">
        <v>59</v>
      </c>
      <c r="AH51" s="2"/>
      <c r="AI51" s="3"/>
      <c r="AJ51" s="19"/>
      <c r="AK51" s="2"/>
      <c r="AL51" s="3"/>
      <c r="AM51" s="19"/>
      <c r="AN51" s="2"/>
      <c r="AO51" s="3"/>
      <c r="AP51" s="19"/>
      <c r="AQ51" s="2"/>
      <c r="AR51" s="3"/>
      <c r="AS51" s="19"/>
      <c r="AT51" s="2"/>
      <c r="AU51" s="3"/>
      <c r="AV51" s="19" t="s">
        <v>59</v>
      </c>
      <c r="AW51" s="2"/>
      <c r="AX51" s="3"/>
      <c r="AY51" s="19"/>
      <c r="AZ51" s="2"/>
      <c r="BA51" s="3"/>
      <c r="BB51" s="19" t="s">
        <v>267</v>
      </c>
      <c r="BC51" s="2"/>
      <c r="BD51" s="3"/>
      <c r="BE51" s="20">
        <v>46244</v>
      </c>
      <c r="BF51" s="2"/>
      <c r="BG51" s="3"/>
      <c r="BH51" s="19"/>
      <c r="BI51" s="2"/>
      <c r="BJ51" s="3"/>
      <c r="BK51" s="18" t="s">
        <v>436</v>
      </c>
      <c r="BL51" s="2"/>
      <c r="BM51" s="2"/>
      <c r="BN51" s="2"/>
      <c r="BO51" s="2"/>
      <c r="BP51" s="2"/>
      <c r="BQ51" s="3"/>
    </row>
    <row r="52" ht="223.5" customHeight="1" spans="1:69">
      <c r="A52" s="17">
        <v>37</v>
      </c>
      <c r="B52" s="18" t="s">
        <v>445</v>
      </c>
      <c r="C52" s="2"/>
      <c r="D52" s="3"/>
      <c r="E52" s="18" t="s">
        <v>446</v>
      </c>
      <c r="F52" s="2"/>
      <c r="G52" s="2"/>
      <c r="H52" s="2"/>
      <c r="I52" s="3"/>
      <c r="J52" s="18" t="s">
        <v>293</v>
      </c>
      <c r="K52" s="2"/>
      <c r="L52" s="2"/>
      <c r="M52" s="2"/>
      <c r="N52" s="2"/>
      <c r="O52" s="2"/>
      <c r="P52" s="3"/>
      <c r="Q52" s="18" t="s">
        <v>447</v>
      </c>
      <c r="R52" s="2"/>
      <c r="S52" s="2"/>
      <c r="T52" s="2"/>
      <c r="U52" s="2"/>
      <c r="V52" s="2"/>
      <c r="W52" s="3"/>
      <c r="X52" s="18" t="s">
        <v>448</v>
      </c>
      <c r="Y52" s="2"/>
      <c r="Z52" s="2"/>
      <c r="AA52" s="2"/>
      <c r="AB52" s="2"/>
      <c r="AC52" s="2"/>
      <c r="AD52" s="3"/>
      <c r="AE52" s="19" t="s">
        <v>209</v>
      </c>
      <c r="AF52" s="3"/>
      <c r="AG52" s="19" t="s">
        <v>59</v>
      </c>
      <c r="AH52" s="2"/>
      <c r="AI52" s="3"/>
      <c r="AJ52" s="19"/>
      <c r="AK52" s="2"/>
      <c r="AL52" s="3"/>
      <c r="AM52" s="19"/>
      <c r="AN52" s="2"/>
      <c r="AO52" s="3"/>
      <c r="AP52" s="19"/>
      <c r="AQ52" s="2"/>
      <c r="AR52" s="3"/>
      <c r="AS52" s="19"/>
      <c r="AT52" s="2"/>
      <c r="AU52" s="3"/>
      <c r="AV52" s="19" t="s">
        <v>59</v>
      </c>
      <c r="AW52" s="2"/>
      <c r="AX52" s="3"/>
      <c r="AY52" s="19" t="s">
        <v>267</v>
      </c>
      <c r="AZ52" s="2"/>
      <c r="BA52" s="3"/>
      <c r="BB52" s="20">
        <v>46244</v>
      </c>
      <c r="BC52" s="2"/>
      <c r="BD52" s="3"/>
      <c r="BE52" s="19"/>
      <c r="BF52" s="2"/>
      <c r="BG52" s="3"/>
      <c r="BH52" s="19"/>
      <c r="BI52" s="2"/>
      <c r="BJ52" s="3"/>
      <c r="BK52" s="18" t="s">
        <v>436</v>
      </c>
      <c r="BL52" s="2"/>
      <c r="BM52" s="2"/>
      <c r="BN52" s="2"/>
      <c r="BO52" s="2"/>
      <c r="BP52" s="2"/>
      <c r="BQ52" s="3"/>
    </row>
    <row r="53" ht="175.5" customHeight="1" spans="1:69">
      <c r="A53" s="17">
        <v>38</v>
      </c>
      <c r="B53" s="18" t="s">
        <v>449</v>
      </c>
      <c r="C53" s="2"/>
      <c r="D53" s="3"/>
      <c r="E53" s="18" t="s">
        <v>450</v>
      </c>
      <c r="F53" s="2"/>
      <c r="G53" s="2"/>
      <c r="H53" s="2"/>
      <c r="I53" s="3"/>
      <c r="J53" s="18" t="s">
        <v>293</v>
      </c>
      <c r="K53" s="2"/>
      <c r="L53" s="2"/>
      <c r="M53" s="2"/>
      <c r="N53" s="2"/>
      <c r="O53" s="2"/>
      <c r="P53" s="3"/>
      <c r="Q53" s="18" t="s">
        <v>451</v>
      </c>
      <c r="R53" s="2"/>
      <c r="S53" s="2"/>
      <c r="T53" s="2"/>
      <c r="U53" s="2"/>
      <c r="V53" s="2"/>
      <c r="W53" s="3"/>
      <c r="X53" s="18" t="s">
        <v>452</v>
      </c>
      <c r="Y53" s="2"/>
      <c r="Z53" s="2"/>
      <c r="AA53" s="2"/>
      <c r="AB53" s="2"/>
      <c r="AC53" s="2"/>
      <c r="AD53" s="3"/>
      <c r="AE53" s="19" t="s">
        <v>266</v>
      </c>
      <c r="AF53" s="3"/>
      <c r="AG53" s="19" t="s">
        <v>59</v>
      </c>
      <c r="AH53" s="2"/>
      <c r="AI53" s="3"/>
      <c r="AJ53" s="19"/>
      <c r="AK53" s="2"/>
      <c r="AL53" s="3"/>
      <c r="AM53" s="19"/>
      <c r="AN53" s="2"/>
      <c r="AO53" s="3"/>
      <c r="AP53" s="19"/>
      <c r="AQ53" s="2"/>
      <c r="AR53" s="3"/>
      <c r="AS53" s="19"/>
      <c r="AT53" s="2"/>
      <c r="AU53" s="3"/>
      <c r="AV53" s="19" t="s">
        <v>59</v>
      </c>
      <c r="AW53" s="2"/>
      <c r="AX53" s="3"/>
      <c r="AY53" s="19"/>
      <c r="AZ53" s="2"/>
      <c r="BA53" s="3"/>
      <c r="BB53" s="19" t="s">
        <v>267</v>
      </c>
      <c r="BC53" s="2"/>
      <c r="BD53" s="3"/>
      <c r="BE53" s="20">
        <v>46244</v>
      </c>
      <c r="BF53" s="2"/>
      <c r="BG53" s="3"/>
      <c r="BH53" s="19"/>
      <c r="BI53" s="2"/>
      <c r="BJ53" s="3"/>
      <c r="BK53" s="18" t="s">
        <v>453</v>
      </c>
      <c r="BL53" s="2"/>
      <c r="BM53" s="2"/>
      <c r="BN53" s="2"/>
      <c r="BO53" s="2"/>
      <c r="BP53" s="2"/>
      <c r="BQ53" s="3"/>
    </row>
    <row r="54" ht="207.75" customHeight="1" spans="1:69">
      <c r="A54" s="17">
        <v>39</v>
      </c>
      <c r="B54" s="18" t="s">
        <v>454</v>
      </c>
      <c r="C54" s="2"/>
      <c r="D54" s="3"/>
      <c r="E54" s="18" t="s">
        <v>455</v>
      </c>
      <c r="F54" s="2"/>
      <c r="G54" s="2"/>
      <c r="H54" s="2"/>
      <c r="I54" s="3"/>
      <c r="J54" s="18" t="s">
        <v>293</v>
      </c>
      <c r="K54" s="2"/>
      <c r="L54" s="2"/>
      <c r="M54" s="2"/>
      <c r="N54" s="2"/>
      <c r="O54" s="2"/>
      <c r="P54" s="3"/>
      <c r="Q54" s="18" t="s">
        <v>456</v>
      </c>
      <c r="R54" s="2"/>
      <c r="S54" s="2"/>
      <c r="T54" s="2"/>
      <c r="U54" s="2"/>
      <c r="V54" s="2"/>
      <c r="W54" s="3"/>
      <c r="X54" s="18" t="s">
        <v>457</v>
      </c>
      <c r="Y54" s="2"/>
      <c r="Z54" s="2"/>
      <c r="AA54" s="2"/>
      <c r="AB54" s="2"/>
      <c r="AC54" s="2"/>
      <c r="AD54" s="3"/>
      <c r="AE54" s="19" t="s">
        <v>209</v>
      </c>
      <c r="AF54" s="3"/>
      <c r="AG54" s="19" t="s">
        <v>59</v>
      </c>
      <c r="AH54" s="2"/>
      <c r="AI54" s="3"/>
      <c r="AJ54" s="19"/>
      <c r="AK54" s="2"/>
      <c r="AL54" s="3"/>
      <c r="AM54" s="19"/>
      <c r="AN54" s="2"/>
      <c r="AO54" s="3"/>
      <c r="AP54" s="19"/>
      <c r="AQ54" s="2"/>
      <c r="AR54" s="3"/>
      <c r="AS54" s="19"/>
      <c r="AT54" s="2"/>
      <c r="AU54" s="3"/>
      <c r="AV54" s="19" t="s">
        <v>59</v>
      </c>
      <c r="AW54" s="2"/>
      <c r="AX54" s="3"/>
      <c r="AY54" s="19"/>
      <c r="AZ54" s="2"/>
      <c r="BA54" s="3"/>
      <c r="BB54" s="19" t="s">
        <v>267</v>
      </c>
      <c r="BC54" s="2"/>
      <c r="BD54" s="3"/>
      <c r="BE54" s="20">
        <v>46244</v>
      </c>
      <c r="BF54" s="2"/>
      <c r="BG54" s="3"/>
      <c r="BH54" s="19"/>
      <c r="BI54" s="2"/>
      <c r="BJ54" s="3"/>
      <c r="BK54" s="18" t="s">
        <v>458</v>
      </c>
      <c r="BL54" s="2"/>
      <c r="BM54" s="2"/>
      <c r="BN54" s="2"/>
      <c r="BO54" s="2"/>
      <c r="BP54" s="2"/>
      <c r="BQ54" s="3"/>
    </row>
    <row r="55" ht="240" customHeight="1" spans="1:69">
      <c r="A55" s="17">
        <v>40</v>
      </c>
      <c r="B55" s="18" t="s">
        <v>459</v>
      </c>
      <c r="C55" s="2"/>
      <c r="D55" s="3"/>
      <c r="E55" s="18" t="s">
        <v>460</v>
      </c>
      <c r="F55" s="2"/>
      <c r="G55" s="2"/>
      <c r="H55" s="2"/>
      <c r="I55" s="3"/>
      <c r="J55" s="18" t="s">
        <v>293</v>
      </c>
      <c r="K55" s="2"/>
      <c r="L55" s="2"/>
      <c r="M55" s="2"/>
      <c r="N55" s="2"/>
      <c r="O55" s="2"/>
      <c r="P55" s="3"/>
      <c r="Q55" s="18" t="s">
        <v>461</v>
      </c>
      <c r="R55" s="2"/>
      <c r="S55" s="2"/>
      <c r="T55" s="2"/>
      <c r="U55" s="2"/>
      <c r="V55" s="2"/>
      <c r="W55" s="3"/>
      <c r="X55" s="18" t="s">
        <v>462</v>
      </c>
      <c r="Y55" s="2"/>
      <c r="Z55" s="2"/>
      <c r="AA55" s="2"/>
      <c r="AB55" s="2"/>
      <c r="AC55" s="2"/>
      <c r="AD55" s="3"/>
      <c r="AE55" s="19" t="s">
        <v>209</v>
      </c>
      <c r="AF55" s="3"/>
      <c r="AG55" s="19" t="s">
        <v>59</v>
      </c>
      <c r="AH55" s="2"/>
      <c r="AI55" s="3"/>
      <c r="AJ55" s="19"/>
      <c r="AK55" s="2"/>
      <c r="AL55" s="3"/>
      <c r="AM55" s="19"/>
      <c r="AN55" s="2"/>
      <c r="AO55" s="3"/>
      <c r="AP55" s="19"/>
      <c r="AQ55" s="2"/>
      <c r="AR55" s="3"/>
      <c r="AS55" s="19"/>
      <c r="AT55" s="2"/>
      <c r="AU55" s="3"/>
      <c r="AV55" s="19" t="s">
        <v>59</v>
      </c>
      <c r="AW55" s="2"/>
      <c r="AX55" s="3"/>
      <c r="AY55" s="19"/>
      <c r="AZ55" s="2"/>
      <c r="BA55" s="3"/>
      <c r="BB55" s="19" t="s">
        <v>267</v>
      </c>
      <c r="BC55" s="2"/>
      <c r="BD55" s="3"/>
      <c r="BE55" s="20">
        <v>46244</v>
      </c>
      <c r="BF55" s="2"/>
      <c r="BG55" s="3"/>
      <c r="BH55" s="19"/>
      <c r="BI55" s="2"/>
      <c r="BJ55" s="3"/>
      <c r="BK55" s="18" t="s">
        <v>463</v>
      </c>
      <c r="BL55" s="2"/>
      <c r="BM55" s="2"/>
      <c r="BN55" s="2"/>
      <c r="BO55" s="2"/>
      <c r="BP55" s="2"/>
      <c r="BQ55" s="3"/>
    </row>
    <row r="56" ht="255.75" customHeight="1" spans="1:69">
      <c r="A56" s="17">
        <v>41</v>
      </c>
      <c r="B56" s="18" t="s">
        <v>464</v>
      </c>
      <c r="C56" s="2"/>
      <c r="D56" s="3"/>
      <c r="E56" s="18" t="s">
        <v>465</v>
      </c>
      <c r="F56" s="2"/>
      <c r="G56" s="2"/>
      <c r="H56" s="2"/>
      <c r="I56" s="3"/>
      <c r="J56" s="18" t="s">
        <v>466</v>
      </c>
      <c r="K56" s="2"/>
      <c r="L56" s="2"/>
      <c r="M56" s="2"/>
      <c r="N56" s="2"/>
      <c r="O56" s="2"/>
      <c r="P56" s="3"/>
      <c r="Q56" s="18" t="s">
        <v>467</v>
      </c>
      <c r="R56" s="2"/>
      <c r="S56" s="2"/>
      <c r="T56" s="2"/>
      <c r="U56" s="2"/>
      <c r="V56" s="2"/>
      <c r="W56" s="3"/>
      <c r="X56" s="18" t="s">
        <v>468</v>
      </c>
      <c r="Y56" s="2"/>
      <c r="Z56" s="2"/>
      <c r="AA56" s="2"/>
      <c r="AB56" s="2"/>
      <c r="AC56" s="2"/>
      <c r="AD56" s="3"/>
      <c r="AE56" s="19" t="s">
        <v>209</v>
      </c>
      <c r="AF56" s="3"/>
      <c r="AG56" s="19" t="s">
        <v>59</v>
      </c>
      <c r="AH56" s="2"/>
      <c r="AI56" s="3"/>
      <c r="AJ56" s="19"/>
      <c r="AK56" s="2"/>
      <c r="AL56" s="3"/>
      <c r="AM56" s="19"/>
      <c r="AN56" s="2"/>
      <c r="AO56" s="3"/>
      <c r="AP56" s="19"/>
      <c r="AQ56" s="2"/>
      <c r="AR56" s="3"/>
      <c r="AS56" s="19"/>
      <c r="AT56" s="2"/>
      <c r="AU56" s="3"/>
      <c r="AV56" s="19" t="s">
        <v>59</v>
      </c>
      <c r="AW56" s="2"/>
      <c r="AX56" s="3"/>
      <c r="AY56" s="19"/>
      <c r="AZ56" s="2"/>
      <c r="BA56" s="3"/>
      <c r="BB56" s="19" t="s">
        <v>267</v>
      </c>
      <c r="BC56" s="2"/>
      <c r="BD56" s="3"/>
      <c r="BE56" s="20">
        <v>46244</v>
      </c>
      <c r="BF56" s="2"/>
      <c r="BG56" s="3"/>
      <c r="BH56" s="19"/>
      <c r="BI56" s="2"/>
      <c r="BJ56" s="3"/>
      <c r="BK56" s="18" t="s">
        <v>469</v>
      </c>
      <c r="BL56" s="2"/>
      <c r="BM56" s="2"/>
      <c r="BN56" s="2"/>
      <c r="BO56" s="2"/>
      <c r="BP56" s="2"/>
      <c r="BQ56" s="3"/>
    </row>
    <row r="57" ht="367.5" customHeight="1" spans="1:69">
      <c r="A57" s="17">
        <v>42</v>
      </c>
      <c r="B57" s="18" t="s">
        <v>470</v>
      </c>
      <c r="C57" s="2"/>
      <c r="D57" s="3"/>
      <c r="E57" s="18" t="s">
        <v>471</v>
      </c>
      <c r="F57" s="2"/>
      <c r="G57" s="2"/>
      <c r="H57" s="2"/>
      <c r="I57" s="3"/>
      <c r="J57" s="18" t="s">
        <v>293</v>
      </c>
      <c r="K57" s="2"/>
      <c r="L57" s="2"/>
      <c r="M57" s="2"/>
      <c r="N57" s="2"/>
      <c r="O57" s="2"/>
      <c r="P57" s="3"/>
      <c r="Q57" s="18" t="s">
        <v>472</v>
      </c>
      <c r="R57" s="2"/>
      <c r="S57" s="2"/>
      <c r="T57" s="2"/>
      <c r="U57" s="2"/>
      <c r="V57" s="2"/>
      <c r="W57" s="3"/>
      <c r="X57" s="18" t="s">
        <v>473</v>
      </c>
      <c r="Y57" s="2"/>
      <c r="Z57" s="2"/>
      <c r="AA57" s="2"/>
      <c r="AB57" s="2"/>
      <c r="AC57" s="2"/>
      <c r="AD57" s="3"/>
      <c r="AE57" s="19" t="s">
        <v>266</v>
      </c>
      <c r="AF57" s="3"/>
      <c r="AG57" s="19" t="s">
        <v>59</v>
      </c>
      <c r="AH57" s="2"/>
      <c r="AI57" s="3"/>
      <c r="AJ57" s="19"/>
      <c r="AK57" s="2"/>
      <c r="AL57" s="3"/>
      <c r="AM57" s="19"/>
      <c r="AN57" s="2"/>
      <c r="AO57" s="3"/>
      <c r="AP57" s="19"/>
      <c r="AQ57" s="2"/>
      <c r="AR57" s="3"/>
      <c r="AS57" s="19"/>
      <c r="AT57" s="2"/>
      <c r="AU57" s="3"/>
      <c r="AV57" s="19" t="s">
        <v>59</v>
      </c>
      <c r="AW57" s="2"/>
      <c r="AX57" s="3"/>
      <c r="AY57" s="19"/>
      <c r="AZ57" s="2"/>
      <c r="BA57" s="3"/>
      <c r="BB57" s="19" t="s">
        <v>267</v>
      </c>
      <c r="BC57" s="2"/>
      <c r="BD57" s="3"/>
      <c r="BE57" s="20">
        <v>46244</v>
      </c>
      <c r="BF57" s="2"/>
      <c r="BG57" s="3"/>
      <c r="BH57" s="19"/>
      <c r="BI57" s="2"/>
      <c r="BJ57" s="3"/>
      <c r="BK57" s="18" t="s">
        <v>474</v>
      </c>
      <c r="BL57" s="2"/>
      <c r="BM57" s="2"/>
      <c r="BN57" s="2"/>
      <c r="BO57" s="2"/>
      <c r="BP57" s="2"/>
      <c r="BQ57" s="3"/>
    </row>
    <row r="58" ht="255.75" customHeight="1" spans="1:69">
      <c r="A58" s="17">
        <v>43</v>
      </c>
      <c r="B58" s="18" t="s">
        <v>475</v>
      </c>
      <c r="C58" s="2"/>
      <c r="D58" s="3"/>
      <c r="E58" s="18" t="s">
        <v>476</v>
      </c>
      <c r="F58" s="2"/>
      <c r="G58" s="2"/>
      <c r="H58" s="2"/>
      <c r="I58" s="3"/>
      <c r="J58" s="18" t="s">
        <v>293</v>
      </c>
      <c r="K58" s="2"/>
      <c r="L58" s="2"/>
      <c r="M58" s="2"/>
      <c r="N58" s="2"/>
      <c r="O58" s="2"/>
      <c r="P58" s="3"/>
      <c r="Q58" s="18" t="s">
        <v>477</v>
      </c>
      <c r="R58" s="2"/>
      <c r="S58" s="2"/>
      <c r="T58" s="2"/>
      <c r="U58" s="2"/>
      <c r="V58" s="2"/>
      <c r="W58" s="3"/>
      <c r="X58" s="18" t="s">
        <v>478</v>
      </c>
      <c r="Y58" s="2"/>
      <c r="Z58" s="2"/>
      <c r="AA58" s="2"/>
      <c r="AB58" s="2"/>
      <c r="AC58" s="2"/>
      <c r="AD58" s="3"/>
      <c r="AE58" s="19" t="s">
        <v>266</v>
      </c>
      <c r="AF58" s="3"/>
      <c r="AG58" s="19" t="s">
        <v>59</v>
      </c>
      <c r="AH58" s="2"/>
      <c r="AI58" s="3"/>
      <c r="AJ58" s="19"/>
      <c r="AK58" s="2"/>
      <c r="AL58" s="3"/>
      <c r="AM58" s="19"/>
      <c r="AN58" s="2"/>
      <c r="AO58" s="3"/>
      <c r="AP58" s="19"/>
      <c r="AQ58" s="2"/>
      <c r="AR58" s="3"/>
      <c r="AS58" s="19"/>
      <c r="AT58" s="2"/>
      <c r="AU58" s="3"/>
      <c r="AV58" s="19" t="s">
        <v>59</v>
      </c>
      <c r="AW58" s="2"/>
      <c r="AX58" s="3"/>
      <c r="AY58" s="19"/>
      <c r="AZ58" s="2"/>
      <c r="BA58" s="3"/>
      <c r="BB58" s="19" t="s">
        <v>267</v>
      </c>
      <c r="BC58" s="2"/>
      <c r="BD58" s="3"/>
      <c r="BE58" s="20">
        <v>46244</v>
      </c>
      <c r="BF58" s="2"/>
      <c r="BG58" s="3"/>
      <c r="BH58" s="19"/>
      <c r="BI58" s="2"/>
      <c r="BJ58" s="3"/>
      <c r="BK58" s="18" t="s">
        <v>479</v>
      </c>
      <c r="BL58" s="2"/>
      <c r="BM58" s="2"/>
      <c r="BN58" s="2"/>
      <c r="BO58" s="2"/>
      <c r="BP58" s="2"/>
      <c r="BQ58" s="3"/>
    </row>
    <row r="59" ht="351.75" customHeight="1" spans="1:69">
      <c r="A59" s="21">
        <v>44</v>
      </c>
      <c r="B59" s="22" t="s">
        <v>480</v>
      </c>
      <c r="C59" s="2"/>
      <c r="D59" s="3"/>
      <c r="E59" s="22" t="s">
        <v>481</v>
      </c>
      <c r="F59" s="2"/>
      <c r="G59" s="2"/>
      <c r="H59" s="2"/>
      <c r="I59" s="3"/>
      <c r="J59" s="22" t="s">
        <v>293</v>
      </c>
      <c r="K59" s="2"/>
      <c r="L59" s="2"/>
      <c r="M59" s="2"/>
      <c r="N59" s="2"/>
      <c r="O59" s="2"/>
      <c r="P59" s="3"/>
      <c r="Q59" s="22" t="s">
        <v>482</v>
      </c>
      <c r="R59" s="2"/>
      <c r="S59" s="2"/>
      <c r="T59" s="2"/>
      <c r="U59" s="2"/>
      <c r="V59" s="2"/>
      <c r="W59" s="3"/>
      <c r="X59" s="22" t="s">
        <v>483</v>
      </c>
      <c r="Y59" s="2"/>
      <c r="Z59" s="2"/>
      <c r="AA59" s="2"/>
      <c r="AB59" s="2"/>
      <c r="AC59" s="2"/>
      <c r="AD59" s="3"/>
      <c r="AE59" s="23" t="s">
        <v>209</v>
      </c>
      <c r="AF59" s="3"/>
      <c r="AG59" s="19" t="s">
        <v>59</v>
      </c>
      <c r="AH59" s="2"/>
      <c r="AI59" s="3"/>
      <c r="AJ59" s="23"/>
      <c r="AK59" s="2"/>
      <c r="AL59" s="3"/>
      <c r="AM59" s="23"/>
      <c r="AN59" s="2"/>
      <c r="AO59" s="3"/>
      <c r="AP59" s="23"/>
      <c r="AQ59" s="2"/>
      <c r="AR59" s="3"/>
      <c r="AS59" s="23"/>
      <c r="AT59" s="2"/>
      <c r="AU59" s="3"/>
      <c r="AV59" s="19" t="s">
        <v>59</v>
      </c>
      <c r="AW59" s="2"/>
      <c r="AX59" s="3"/>
      <c r="AY59" s="23"/>
      <c r="AZ59" s="2"/>
      <c r="BA59" s="3"/>
      <c r="BB59" s="23"/>
      <c r="BC59" s="2"/>
      <c r="BD59" s="3"/>
      <c r="BE59" s="23"/>
      <c r="BF59" s="2"/>
      <c r="BG59" s="3"/>
      <c r="BH59" s="23"/>
      <c r="BI59" s="2"/>
      <c r="BJ59" s="3"/>
      <c r="BK59" s="22" t="s">
        <v>484</v>
      </c>
      <c r="BL59" s="2"/>
      <c r="BM59" s="2"/>
      <c r="BN59" s="2"/>
      <c r="BO59" s="2"/>
      <c r="BP59" s="2"/>
      <c r="BQ59" s="3"/>
    </row>
    <row r="60" ht="399.75" customHeight="1" spans="1:69">
      <c r="A60" s="24">
        <v>45</v>
      </c>
      <c r="B60" s="25" t="s">
        <v>485</v>
      </c>
      <c r="C60" s="2"/>
      <c r="D60" s="3"/>
      <c r="E60" s="25" t="s">
        <v>486</v>
      </c>
      <c r="F60" s="2"/>
      <c r="G60" s="2"/>
      <c r="H60" s="2"/>
      <c r="I60" s="3"/>
      <c r="J60" s="25" t="s">
        <v>487</v>
      </c>
      <c r="K60" s="2"/>
      <c r="L60" s="2"/>
      <c r="M60" s="2"/>
      <c r="N60" s="2"/>
      <c r="O60" s="2"/>
      <c r="P60" s="3"/>
      <c r="Q60" s="25" t="s">
        <v>488</v>
      </c>
      <c r="R60" s="2"/>
      <c r="S60" s="2"/>
      <c r="T60" s="2"/>
      <c r="U60" s="2"/>
      <c r="V60" s="2"/>
      <c r="W60" s="3"/>
      <c r="X60" s="25" t="s">
        <v>489</v>
      </c>
      <c r="Y60" s="2"/>
      <c r="Z60" s="2"/>
      <c r="AA60" s="2"/>
      <c r="AB60" s="2"/>
      <c r="AC60" s="2"/>
      <c r="AD60" s="3"/>
      <c r="AE60" s="26" t="s">
        <v>266</v>
      </c>
      <c r="AF60" s="3"/>
      <c r="AG60" s="26" t="s">
        <v>62</v>
      </c>
      <c r="AH60" s="2"/>
      <c r="AI60" s="3"/>
      <c r="AJ60" s="26"/>
      <c r="AK60" s="2"/>
      <c r="AL60" s="3"/>
      <c r="AM60" s="26"/>
      <c r="AN60" s="2"/>
      <c r="AO60" s="3"/>
      <c r="AP60" s="26"/>
      <c r="AQ60" s="2"/>
      <c r="AR60" s="3"/>
      <c r="AS60" s="26"/>
      <c r="AT60" s="2"/>
      <c r="AU60" s="3"/>
      <c r="AV60" s="26" t="s">
        <v>62</v>
      </c>
      <c r="AW60" s="2"/>
      <c r="AX60" s="3"/>
      <c r="AY60" s="26"/>
      <c r="AZ60" s="2"/>
      <c r="BA60" s="3"/>
      <c r="BB60" s="19" t="s">
        <v>267</v>
      </c>
      <c r="BC60" s="2"/>
      <c r="BD60" s="3"/>
      <c r="BE60" s="20">
        <v>46244</v>
      </c>
      <c r="BF60" s="2"/>
      <c r="BG60" s="3"/>
      <c r="BH60" s="26"/>
      <c r="BI60" s="2"/>
      <c r="BJ60" s="3"/>
      <c r="BK60" s="25" t="s">
        <v>490</v>
      </c>
      <c r="BL60" s="2"/>
      <c r="BM60" s="2"/>
      <c r="BN60" s="2"/>
      <c r="BO60" s="2"/>
      <c r="BP60" s="2"/>
      <c r="BQ60" s="3"/>
    </row>
    <row r="61" ht="22.5" customHeight="1" spans="1:69">
      <c r="A61" s="16" t="s">
        <v>491</v>
      </c>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3"/>
    </row>
    <row r="62" ht="409.5" customHeight="1" spans="1:69">
      <c r="A62" s="17">
        <v>46</v>
      </c>
      <c r="B62" s="18" t="s">
        <v>492</v>
      </c>
      <c r="C62" s="2"/>
      <c r="D62" s="3"/>
      <c r="E62" s="18" t="s">
        <v>493</v>
      </c>
      <c r="F62" s="2"/>
      <c r="G62" s="2"/>
      <c r="H62" s="2"/>
      <c r="I62" s="3"/>
      <c r="J62" s="18" t="s">
        <v>293</v>
      </c>
      <c r="K62" s="2"/>
      <c r="L62" s="2"/>
      <c r="M62" s="2"/>
      <c r="N62" s="2"/>
      <c r="O62" s="2"/>
      <c r="P62" s="3"/>
      <c r="Q62" s="18" t="s">
        <v>494</v>
      </c>
      <c r="R62" s="2"/>
      <c r="S62" s="2"/>
      <c r="T62" s="2"/>
      <c r="U62" s="2"/>
      <c r="V62" s="2"/>
      <c r="W62" s="3"/>
      <c r="X62" s="18" t="s">
        <v>495</v>
      </c>
      <c r="Y62" s="2"/>
      <c r="Z62" s="2"/>
      <c r="AA62" s="2"/>
      <c r="AB62" s="2"/>
      <c r="AC62" s="2"/>
      <c r="AD62" s="3"/>
      <c r="AE62" s="19" t="s">
        <v>266</v>
      </c>
      <c r="AF62" s="3"/>
      <c r="AG62" s="19" t="s">
        <v>59</v>
      </c>
      <c r="AH62" s="2"/>
      <c r="AI62" s="3"/>
      <c r="AJ62" s="19"/>
      <c r="AK62" s="2"/>
      <c r="AL62" s="3"/>
      <c r="AM62" s="19"/>
      <c r="AN62" s="2"/>
      <c r="AO62" s="3"/>
      <c r="AP62" s="19"/>
      <c r="AQ62" s="2"/>
      <c r="AR62" s="3"/>
      <c r="AS62" s="19"/>
      <c r="AT62" s="2"/>
      <c r="AU62" s="3"/>
      <c r="AV62" s="19" t="s">
        <v>59</v>
      </c>
      <c r="AW62" s="2"/>
      <c r="AX62" s="3"/>
      <c r="AY62" s="19"/>
      <c r="AZ62" s="2"/>
      <c r="BA62" s="3"/>
      <c r="BB62" s="19" t="s">
        <v>267</v>
      </c>
      <c r="BC62" s="2"/>
      <c r="BD62" s="3"/>
      <c r="BE62" s="20">
        <v>46244</v>
      </c>
      <c r="BF62" s="2"/>
      <c r="BG62" s="3"/>
      <c r="BH62" s="19"/>
      <c r="BI62" s="2"/>
      <c r="BJ62" s="3"/>
      <c r="BK62" s="18" t="s">
        <v>496</v>
      </c>
      <c r="BL62" s="2"/>
      <c r="BM62" s="2"/>
      <c r="BN62" s="2"/>
      <c r="BO62" s="2"/>
      <c r="BP62" s="2"/>
      <c r="BQ62" s="3"/>
    </row>
    <row r="63" ht="303.75" customHeight="1" spans="1:69">
      <c r="A63" s="17">
        <v>47</v>
      </c>
      <c r="B63" s="18" t="s">
        <v>497</v>
      </c>
      <c r="C63" s="2"/>
      <c r="D63" s="3"/>
      <c r="E63" s="18" t="s">
        <v>498</v>
      </c>
      <c r="F63" s="2"/>
      <c r="G63" s="2"/>
      <c r="H63" s="2"/>
      <c r="I63" s="3"/>
      <c r="J63" s="18" t="s">
        <v>293</v>
      </c>
      <c r="K63" s="2"/>
      <c r="L63" s="2"/>
      <c r="M63" s="2"/>
      <c r="N63" s="2"/>
      <c r="O63" s="2"/>
      <c r="P63" s="3"/>
      <c r="Q63" s="18" t="s">
        <v>499</v>
      </c>
      <c r="R63" s="2"/>
      <c r="S63" s="2"/>
      <c r="T63" s="2"/>
      <c r="U63" s="2"/>
      <c r="V63" s="2"/>
      <c r="W63" s="3"/>
      <c r="X63" s="18" t="s">
        <v>500</v>
      </c>
      <c r="Y63" s="2"/>
      <c r="Z63" s="2"/>
      <c r="AA63" s="2"/>
      <c r="AB63" s="2"/>
      <c r="AC63" s="2"/>
      <c r="AD63" s="3"/>
      <c r="AE63" s="19" t="s">
        <v>266</v>
      </c>
      <c r="AF63" s="3"/>
      <c r="AG63" s="19" t="s">
        <v>59</v>
      </c>
      <c r="AH63" s="2"/>
      <c r="AI63" s="3"/>
      <c r="AJ63" s="19"/>
      <c r="AK63" s="2"/>
      <c r="AL63" s="3"/>
      <c r="AM63" s="19"/>
      <c r="AN63" s="2"/>
      <c r="AO63" s="3"/>
      <c r="AP63" s="19"/>
      <c r="AQ63" s="2"/>
      <c r="AR63" s="3"/>
      <c r="AS63" s="19"/>
      <c r="AT63" s="2"/>
      <c r="AU63" s="3"/>
      <c r="AV63" s="19" t="s">
        <v>59</v>
      </c>
      <c r="AW63" s="2"/>
      <c r="AX63" s="3"/>
      <c r="AY63" s="19"/>
      <c r="AZ63" s="2"/>
      <c r="BA63" s="3"/>
      <c r="BB63" s="19" t="s">
        <v>267</v>
      </c>
      <c r="BC63" s="2"/>
      <c r="BD63" s="3"/>
      <c r="BE63" s="20">
        <v>46244</v>
      </c>
      <c r="BF63" s="2"/>
      <c r="BG63" s="3"/>
      <c r="BH63" s="19"/>
      <c r="BI63" s="2"/>
      <c r="BJ63" s="3"/>
      <c r="BK63" s="18" t="s">
        <v>501</v>
      </c>
      <c r="BL63" s="2"/>
      <c r="BM63" s="2"/>
      <c r="BN63" s="2"/>
      <c r="BO63" s="2"/>
      <c r="BP63" s="2"/>
      <c r="BQ63" s="3"/>
    </row>
    <row r="64" ht="271.5" customHeight="1" spans="1:69">
      <c r="A64" s="17">
        <v>48</v>
      </c>
      <c r="B64" s="18" t="s">
        <v>502</v>
      </c>
      <c r="C64" s="2"/>
      <c r="D64" s="3"/>
      <c r="E64" s="18" t="s">
        <v>503</v>
      </c>
      <c r="F64" s="2"/>
      <c r="G64" s="2"/>
      <c r="H64" s="2"/>
      <c r="I64" s="3"/>
      <c r="J64" s="18" t="s">
        <v>293</v>
      </c>
      <c r="K64" s="2"/>
      <c r="L64" s="2"/>
      <c r="M64" s="2"/>
      <c r="N64" s="2"/>
      <c r="O64" s="2"/>
      <c r="P64" s="3"/>
      <c r="Q64" s="18" t="s">
        <v>504</v>
      </c>
      <c r="R64" s="2"/>
      <c r="S64" s="2"/>
      <c r="T64" s="2"/>
      <c r="U64" s="2"/>
      <c r="V64" s="2"/>
      <c r="W64" s="3"/>
      <c r="X64" s="18" t="s">
        <v>505</v>
      </c>
      <c r="Y64" s="2"/>
      <c r="Z64" s="2"/>
      <c r="AA64" s="2"/>
      <c r="AB64" s="2"/>
      <c r="AC64" s="2"/>
      <c r="AD64" s="3"/>
      <c r="AE64" s="19" t="s">
        <v>266</v>
      </c>
      <c r="AF64" s="3"/>
      <c r="AG64" s="19" t="s">
        <v>59</v>
      </c>
      <c r="AH64" s="2"/>
      <c r="AI64" s="3"/>
      <c r="AJ64" s="19"/>
      <c r="AK64" s="2"/>
      <c r="AL64" s="3"/>
      <c r="AM64" s="19"/>
      <c r="AN64" s="2"/>
      <c r="AO64" s="3"/>
      <c r="AP64" s="19"/>
      <c r="AQ64" s="2"/>
      <c r="AR64" s="3"/>
      <c r="AS64" s="19"/>
      <c r="AT64" s="2"/>
      <c r="AU64" s="3"/>
      <c r="AV64" s="19" t="s">
        <v>59</v>
      </c>
      <c r="AW64" s="2"/>
      <c r="AX64" s="3"/>
      <c r="AY64" s="19"/>
      <c r="AZ64" s="2"/>
      <c r="BA64" s="3"/>
      <c r="BB64" s="19" t="s">
        <v>267</v>
      </c>
      <c r="BC64" s="2"/>
      <c r="BD64" s="3"/>
      <c r="BE64" s="20">
        <v>46244</v>
      </c>
      <c r="BF64" s="2"/>
      <c r="BG64" s="3"/>
      <c r="BH64" s="19"/>
      <c r="BI64" s="2"/>
      <c r="BJ64" s="3"/>
      <c r="BK64" s="18" t="s">
        <v>506</v>
      </c>
      <c r="BL64" s="2"/>
      <c r="BM64" s="2"/>
      <c r="BN64" s="2"/>
      <c r="BO64" s="2"/>
      <c r="BP64" s="2"/>
      <c r="BQ64" s="3"/>
    </row>
    <row r="65" ht="288" customHeight="1" spans="1:69">
      <c r="A65" s="17">
        <v>49</v>
      </c>
      <c r="B65" s="18" t="s">
        <v>507</v>
      </c>
      <c r="C65" s="2"/>
      <c r="D65" s="3"/>
      <c r="E65" s="18" t="s">
        <v>508</v>
      </c>
      <c r="F65" s="2"/>
      <c r="G65" s="2"/>
      <c r="H65" s="2"/>
      <c r="I65" s="3"/>
      <c r="J65" s="18" t="s">
        <v>509</v>
      </c>
      <c r="K65" s="2"/>
      <c r="L65" s="2"/>
      <c r="M65" s="2"/>
      <c r="N65" s="2"/>
      <c r="O65" s="2"/>
      <c r="P65" s="3"/>
      <c r="Q65" s="18" t="s">
        <v>510</v>
      </c>
      <c r="R65" s="2"/>
      <c r="S65" s="2"/>
      <c r="T65" s="2"/>
      <c r="U65" s="2"/>
      <c r="V65" s="2"/>
      <c r="W65" s="3"/>
      <c r="X65" s="18" t="s">
        <v>511</v>
      </c>
      <c r="Y65" s="2"/>
      <c r="Z65" s="2"/>
      <c r="AA65" s="2"/>
      <c r="AB65" s="2"/>
      <c r="AC65" s="2"/>
      <c r="AD65" s="3"/>
      <c r="AE65" s="19" t="s">
        <v>209</v>
      </c>
      <c r="AF65" s="3"/>
      <c r="AG65" s="19" t="s">
        <v>59</v>
      </c>
      <c r="AH65" s="2"/>
      <c r="AI65" s="3"/>
      <c r="AJ65" s="19"/>
      <c r="AK65" s="2"/>
      <c r="AL65" s="3"/>
      <c r="AM65" s="19"/>
      <c r="AN65" s="2"/>
      <c r="AO65" s="3"/>
      <c r="AP65" s="19"/>
      <c r="AQ65" s="2"/>
      <c r="AR65" s="3"/>
      <c r="AS65" s="19"/>
      <c r="AT65" s="2"/>
      <c r="AU65" s="3"/>
      <c r="AV65" s="19" t="s">
        <v>59</v>
      </c>
      <c r="AW65" s="2"/>
      <c r="AX65" s="3"/>
      <c r="AY65" s="19"/>
      <c r="AZ65" s="2"/>
      <c r="BA65" s="3"/>
      <c r="BB65" s="19" t="s">
        <v>267</v>
      </c>
      <c r="BC65" s="2"/>
      <c r="BD65" s="3"/>
      <c r="BE65" s="20">
        <v>46244</v>
      </c>
      <c r="BF65" s="2"/>
      <c r="BG65" s="3"/>
      <c r="BH65" s="19"/>
      <c r="BI65" s="2"/>
      <c r="BJ65" s="3"/>
      <c r="BK65" s="18" t="s">
        <v>512</v>
      </c>
      <c r="BL65" s="2"/>
      <c r="BM65" s="2"/>
      <c r="BN65" s="2"/>
      <c r="BO65" s="2"/>
      <c r="BP65" s="2"/>
      <c r="BQ65" s="3"/>
    </row>
    <row r="66" ht="319.5" customHeight="1" spans="1:69">
      <c r="A66" s="17">
        <v>50</v>
      </c>
      <c r="B66" s="18" t="s">
        <v>513</v>
      </c>
      <c r="C66" s="2"/>
      <c r="D66" s="3"/>
      <c r="E66" s="18" t="s">
        <v>514</v>
      </c>
      <c r="F66" s="2"/>
      <c r="G66" s="2"/>
      <c r="H66" s="2"/>
      <c r="I66" s="3"/>
      <c r="J66" s="18" t="s">
        <v>293</v>
      </c>
      <c r="K66" s="2"/>
      <c r="L66" s="2"/>
      <c r="M66" s="2"/>
      <c r="N66" s="2"/>
      <c r="O66" s="2"/>
      <c r="P66" s="3"/>
      <c r="Q66" s="18" t="s">
        <v>515</v>
      </c>
      <c r="R66" s="2"/>
      <c r="S66" s="2"/>
      <c r="T66" s="2"/>
      <c r="U66" s="2"/>
      <c r="V66" s="2"/>
      <c r="W66" s="3"/>
      <c r="X66" s="18" t="s">
        <v>516</v>
      </c>
      <c r="Y66" s="2"/>
      <c r="Z66" s="2"/>
      <c r="AA66" s="2"/>
      <c r="AB66" s="2"/>
      <c r="AC66" s="2"/>
      <c r="AD66" s="3"/>
      <c r="AE66" s="19" t="s">
        <v>266</v>
      </c>
      <c r="AF66" s="3"/>
      <c r="AG66" s="19" t="s">
        <v>59</v>
      </c>
      <c r="AH66" s="2"/>
      <c r="AI66" s="3"/>
      <c r="AJ66" s="19"/>
      <c r="AK66" s="2"/>
      <c r="AL66" s="3"/>
      <c r="AM66" s="19"/>
      <c r="AN66" s="2"/>
      <c r="AO66" s="3"/>
      <c r="AP66" s="19"/>
      <c r="AQ66" s="2"/>
      <c r="AR66" s="3"/>
      <c r="AS66" s="19"/>
      <c r="AT66" s="2"/>
      <c r="AU66" s="3"/>
      <c r="AV66" s="19" t="s">
        <v>59</v>
      </c>
      <c r="AW66" s="2"/>
      <c r="AX66" s="3"/>
      <c r="AY66" s="19"/>
      <c r="AZ66" s="2"/>
      <c r="BA66" s="3"/>
      <c r="BB66" s="19" t="s">
        <v>267</v>
      </c>
      <c r="BC66" s="2"/>
      <c r="BD66" s="3"/>
      <c r="BE66" s="20">
        <v>46244</v>
      </c>
      <c r="BF66" s="2"/>
      <c r="BG66" s="3"/>
      <c r="BH66" s="19"/>
      <c r="BI66" s="2"/>
      <c r="BJ66" s="3"/>
      <c r="BK66" s="18" t="s">
        <v>517</v>
      </c>
      <c r="BL66" s="2"/>
      <c r="BM66" s="2"/>
      <c r="BN66" s="2"/>
      <c r="BO66" s="2"/>
      <c r="BP66" s="2"/>
      <c r="BQ66" s="3"/>
    </row>
    <row r="67" ht="207.75" customHeight="1" spans="1:69">
      <c r="A67" s="17">
        <v>51</v>
      </c>
      <c r="B67" s="18" t="s">
        <v>518</v>
      </c>
      <c r="C67" s="2"/>
      <c r="D67" s="3"/>
      <c r="E67" s="18" t="s">
        <v>519</v>
      </c>
      <c r="F67" s="2"/>
      <c r="G67" s="2"/>
      <c r="H67" s="2"/>
      <c r="I67" s="3"/>
      <c r="J67" s="18" t="s">
        <v>293</v>
      </c>
      <c r="K67" s="2"/>
      <c r="L67" s="2"/>
      <c r="M67" s="2"/>
      <c r="N67" s="2"/>
      <c r="O67" s="2"/>
      <c r="P67" s="3"/>
      <c r="Q67" s="18" t="s">
        <v>520</v>
      </c>
      <c r="R67" s="2"/>
      <c r="S67" s="2"/>
      <c r="T67" s="2"/>
      <c r="U67" s="2"/>
      <c r="V67" s="2"/>
      <c r="W67" s="3"/>
      <c r="X67" s="18" t="s">
        <v>521</v>
      </c>
      <c r="Y67" s="2"/>
      <c r="Z67" s="2"/>
      <c r="AA67" s="2"/>
      <c r="AB67" s="2"/>
      <c r="AC67" s="2"/>
      <c r="AD67" s="3"/>
      <c r="AE67" s="19" t="s">
        <v>266</v>
      </c>
      <c r="AF67" s="3"/>
      <c r="AG67" s="19" t="s">
        <v>59</v>
      </c>
      <c r="AH67" s="2"/>
      <c r="AI67" s="3"/>
      <c r="AJ67" s="19"/>
      <c r="AK67" s="2"/>
      <c r="AL67" s="3"/>
      <c r="AM67" s="19"/>
      <c r="AN67" s="2"/>
      <c r="AO67" s="3"/>
      <c r="AP67" s="19"/>
      <c r="AQ67" s="2"/>
      <c r="AR67" s="3"/>
      <c r="AS67" s="19"/>
      <c r="AT67" s="2"/>
      <c r="AU67" s="3"/>
      <c r="AV67" s="19" t="s">
        <v>59</v>
      </c>
      <c r="AW67" s="2"/>
      <c r="AX67" s="3"/>
      <c r="AY67" s="19"/>
      <c r="AZ67" s="2"/>
      <c r="BA67" s="3"/>
      <c r="BB67" s="19" t="s">
        <v>267</v>
      </c>
      <c r="BC67" s="2"/>
      <c r="BD67" s="3"/>
      <c r="BE67" s="20">
        <v>46244</v>
      </c>
      <c r="BF67" s="2"/>
      <c r="BG67" s="3"/>
      <c r="BH67" s="19"/>
      <c r="BI67" s="2"/>
      <c r="BJ67" s="3"/>
      <c r="BK67" s="18" t="s">
        <v>522</v>
      </c>
      <c r="BL67" s="2"/>
      <c r="BM67" s="2"/>
      <c r="BN67" s="2"/>
      <c r="BO67" s="2"/>
      <c r="BP67" s="2"/>
      <c r="BQ67" s="3"/>
    </row>
    <row r="68" ht="271.5" customHeight="1" spans="1:69">
      <c r="A68" s="17">
        <v>52</v>
      </c>
      <c r="B68" s="18" t="s">
        <v>523</v>
      </c>
      <c r="C68" s="2"/>
      <c r="D68" s="3"/>
      <c r="E68" s="18" t="s">
        <v>524</v>
      </c>
      <c r="F68" s="2"/>
      <c r="G68" s="2"/>
      <c r="H68" s="2"/>
      <c r="I68" s="3"/>
      <c r="J68" s="18" t="s">
        <v>293</v>
      </c>
      <c r="K68" s="2"/>
      <c r="L68" s="2"/>
      <c r="M68" s="2"/>
      <c r="N68" s="2"/>
      <c r="O68" s="2"/>
      <c r="P68" s="3"/>
      <c r="Q68" s="18" t="s">
        <v>525</v>
      </c>
      <c r="R68" s="2"/>
      <c r="S68" s="2"/>
      <c r="T68" s="2"/>
      <c r="U68" s="2"/>
      <c r="V68" s="2"/>
      <c r="W68" s="3"/>
      <c r="X68" s="18" t="s">
        <v>526</v>
      </c>
      <c r="Y68" s="2"/>
      <c r="Z68" s="2"/>
      <c r="AA68" s="2"/>
      <c r="AB68" s="2"/>
      <c r="AC68" s="2"/>
      <c r="AD68" s="3"/>
      <c r="AE68" s="19" t="s">
        <v>209</v>
      </c>
      <c r="AF68" s="3"/>
      <c r="AG68" s="19" t="s">
        <v>59</v>
      </c>
      <c r="AH68" s="2"/>
      <c r="AI68" s="3"/>
      <c r="AJ68" s="19"/>
      <c r="AK68" s="2"/>
      <c r="AL68" s="3"/>
      <c r="AM68" s="19"/>
      <c r="AN68" s="2"/>
      <c r="AO68" s="3"/>
      <c r="AP68" s="19"/>
      <c r="AQ68" s="2"/>
      <c r="AR68" s="3"/>
      <c r="AS68" s="19"/>
      <c r="AT68" s="2"/>
      <c r="AU68" s="3"/>
      <c r="AV68" s="19" t="s">
        <v>59</v>
      </c>
      <c r="AW68" s="2"/>
      <c r="AX68" s="3"/>
      <c r="AY68" s="19"/>
      <c r="AZ68" s="2"/>
      <c r="BA68" s="3"/>
      <c r="BB68" s="19" t="s">
        <v>267</v>
      </c>
      <c r="BC68" s="2"/>
      <c r="BD68" s="3"/>
      <c r="BE68" s="20">
        <v>46244</v>
      </c>
      <c r="BF68" s="2"/>
      <c r="BG68" s="3"/>
      <c r="BH68" s="19"/>
      <c r="BI68" s="2"/>
      <c r="BJ68" s="3"/>
      <c r="BK68" s="18" t="s">
        <v>527</v>
      </c>
      <c r="BL68" s="2"/>
      <c r="BM68" s="2"/>
      <c r="BN68" s="2"/>
      <c r="BO68" s="2"/>
      <c r="BP68" s="2"/>
      <c r="BQ68" s="3"/>
    </row>
    <row r="69" ht="409.5" customHeight="1" spans="1:69">
      <c r="A69" s="17">
        <v>53</v>
      </c>
      <c r="B69" s="18" t="s">
        <v>528</v>
      </c>
      <c r="C69" s="2"/>
      <c r="D69" s="3"/>
      <c r="E69" s="18" t="s">
        <v>529</v>
      </c>
      <c r="F69" s="2"/>
      <c r="G69" s="2"/>
      <c r="H69" s="2"/>
      <c r="I69" s="3"/>
      <c r="J69" s="18" t="s">
        <v>530</v>
      </c>
      <c r="K69" s="2"/>
      <c r="L69" s="2"/>
      <c r="M69" s="2"/>
      <c r="N69" s="2"/>
      <c r="O69" s="2"/>
      <c r="P69" s="3"/>
      <c r="Q69" s="18" t="s">
        <v>531</v>
      </c>
      <c r="R69" s="2"/>
      <c r="S69" s="2"/>
      <c r="T69" s="2"/>
      <c r="U69" s="2"/>
      <c r="V69" s="2"/>
      <c r="W69" s="3"/>
      <c r="X69" s="18" t="s">
        <v>532</v>
      </c>
      <c r="Y69" s="2"/>
      <c r="Z69" s="2"/>
      <c r="AA69" s="2"/>
      <c r="AB69" s="2"/>
      <c r="AC69" s="2"/>
      <c r="AD69" s="3"/>
      <c r="AE69" s="19" t="s">
        <v>266</v>
      </c>
      <c r="AF69" s="3"/>
      <c r="AG69" s="19" t="s">
        <v>59</v>
      </c>
      <c r="AH69" s="2"/>
      <c r="AI69" s="3"/>
      <c r="AJ69" s="19"/>
      <c r="AK69" s="2"/>
      <c r="AL69" s="3"/>
      <c r="AM69" s="19"/>
      <c r="AN69" s="2"/>
      <c r="AO69" s="3"/>
      <c r="AP69" s="19"/>
      <c r="AQ69" s="2"/>
      <c r="AR69" s="3"/>
      <c r="AS69" s="19"/>
      <c r="AT69" s="2"/>
      <c r="AU69" s="3"/>
      <c r="AV69" s="19" t="s">
        <v>59</v>
      </c>
      <c r="AW69" s="2"/>
      <c r="AX69" s="3"/>
      <c r="AY69" s="19"/>
      <c r="AZ69" s="2"/>
      <c r="BA69" s="3"/>
      <c r="BB69" s="19" t="s">
        <v>267</v>
      </c>
      <c r="BC69" s="2"/>
      <c r="BD69" s="3"/>
      <c r="BE69" s="20">
        <v>46244</v>
      </c>
      <c r="BF69" s="2"/>
      <c r="BG69" s="3"/>
      <c r="BH69" s="19"/>
      <c r="BI69" s="2"/>
      <c r="BJ69" s="3"/>
      <c r="BK69" s="18" t="s">
        <v>533</v>
      </c>
      <c r="BL69" s="2"/>
      <c r="BM69" s="2"/>
      <c r="BN69" s="2"/>
      <c r="BO69" s="2"/>
      <c r="BP69" s="2"/>
      <c r="BQ69" s="3"/>
    </row>
    <row r="70" ht="22.5" customHeight="1" spans="1:69">
      <c r="A70" s="16" t="s">
        <v>534</v>
      </c>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3"/>
    </row>
    <row r="71" ht="409.5" customHeight="1" spans="1:69">
      <c r="A71" s="17">
        <v>54</v>
      </c>
      <c r="B71" s="18" t="s">
        <v>535</v>
      </c>
      <c r="C71" s="2"/>
      <c r="D71" s="3"/>
      <c r="E71" s="18" t="s">
        <v>536</v>
      </c>
      <c r="F71" s="2"/>
      <c r="G71" s="2"/>
      <c r="H71" s="2"/>
      <c r="I71" s="3"/>
      <c r="J71" s="18" t="s">
        <v>537</v>
      </c>
      <c r="K71" s="2"/>
      <c r="L71" s="2"/>
      <c r="M71" s="2"/>
      <c r="N71" s="2"/>
      <c r="O71" s="2"/>
      <c r="P71" s="3"/>
      <c r="Q71" s="18" t="s">
        <v>538</v>
      </c>
      <c r="R71" s="2"/>
      <c r="S71" s="2"/>
      <c r="T71" s="2"/>
      <c r="U71" s="2"/>
      <c r="V71" s="2"/>
      <c r="W71" s="3"/>
      <c r="X71" s="18" t="s">
        <v>539</v>
      </c>
      <c r="Y71" s="2"/>
      <c r="Z71" s="2"/>
      <c r="AA71" s="2"/>
      <c r="AB71" s="2"/>
      <c r="AC71" s="2"/>
      <c r="AD71" s="3"/>
      <c r="AE71" s="19" t="s">
        <v>266</v>
      </c>
      <c r="AF71" s="3"/>
      <c r="AG71" s="19" t="s">
        <v>59</v>
      </c>
      <c r="AH71" s="2"/>
      <c r="AI71" s="3"/>
      <c r="AJ71" s="19"/>
      <c r="AK71" s="2"/>
      <c r="AL71" s="3"/>
      <c r="AM71" s="19"/>
      <c r="AN71" s="2"/>
      <c r="AO71" s="3"/>
      <c r="AP71" s="19"/>
      <c r="AQ71" s="2"/>
      <c r="AR71" s="3"/>
      <c r="AS71" s="19"/>
      <c r="AT71" s="2"/>
      <c r="AU71" s="3"/>
      <c r="AV71" s="19" t="s">
        <v>59</v>
      </c>
      <c r="AW71" s="2"/>
      <c r="AX71" s="3"/>
      <c r="AY71" s="19"/>
      <c r="AZ71" s="2"/>
      <c r="BA71" s="3"/>
      <c r="BB71" s="19" t="s">
        <v>267</v>
      </c>
      <c r="BC71" s="2"/>
      <c r="BD71" s="3"/>
      <c r="BE71" s="20">
        <v>46244</v>
      </c>
      <c r="BF71" s="2"/>
      <c r="BG71" s="3"/>
      <c r="BH71" s="19"/>
      <c r="BI71" s="2"/>
      <c r="BJ71" s="3"/>
      <c r="BK71" s="18" t="s">
        <v>540</v>
      </c>
      <c r="BL71" s="2"/>
      <c r="BM71" s="2"/>
      <c r="BN71" s="2"/>
      <c r="BO71" s="2"/>
      <c r="BP71" s="2"/>
      <c r="BQ71" s="3"/>
    </row>
    <row r="72" ht="336" customHeight="1" spans="1:69">
      <c r="A72" s="17">
        <v>55</v>
      </c>
      <c r="B72" s="18" t="s">
        <v>541</v>
      </c>
      <c r="C72" s="2"/>
      <c r="D72" s="3"/>
      <c r="E72" s="18" t="s">
        <v>542</v>
      </c>
      <c r="F72" s="2"/>
      <c r="G72" s="2"/>
      <c r="H72" s="2"/>
      <c r="I72" s="3"/>
      <c r="J72" s="18" t="s">
        <v>543</v>
      </c>
      <c r="K72" s="2"/>
      <c r="L72" s="2"/>
      <c r="M72" s="2"/>
      <c r="N72" s="2"/>
      <c r="O72" s="2"/>
      <c r="P72" s="3"/>
      <c r="Q72" s="18" t="s">
        <v>544</v>
      </c>
      <c r="R72" s="2"/>
      <c r="S72" s="2"/>
      <c r="T72" s="2"/>
      <c r="U72" s="2"/>
      <c r="V72" s="2"/>
      <c r="W72" s="3"/>
      <c r="X72" s="18" t="s">
        <v>545</v>
      </c>
      <c r="Y72" s="2"/>
      <c r="Z72" s="2"/>
      <c r="AA72" s="2"/>
      <c r="AB72" s="2"/>
      <c r="AC72" s="2"/>
      <c r="AD72" s="3"/>
      <c r="AE72" s="19" t="s">
        <v>266</v>
      </c>
      <c r="AF72" s="3"/>
      <c r="AG72" s="19" t="s">
        <v>59</v>
      </c>
      <c r="AH72" s="2"/>
      <c r="AI72" s="3"/>
      <c r="AJ72" s="19"/>
      <c r="AK72" s="2"/>
      <c r="AL72" s="3"/>
      <c r="AM72" s="19"/>
      <c r="AN72" s="2"/>
      <c r="AO72" s="3"/>
      <c r="AP72" s="19"/>
      <c r="AQ72" s="2"/>
      <c r="AR72" s="3"/>
      <c r="AS72" s="19"/>
      <c r="AT72" s="2"/>
      <c r="AU72" s="3"/>
      <c r="AV72" s="19" t="s">
        <v>59</v>
      </c>
      <c r="AW72" s="2"/>
      <c r="AX72" s="3"/>
      <c r="AY72" s="19"/>
      <c r="AZ72" s="2"/>
      <c r="BA72" s="3"/>
      <c r="BB72" s="19" t="s">
        <v>267</v>
      </c>
      <c r="BC72" s="2"/>
      <c r="BD72" s="3"/>
      <c r="BE72" s="20">
        <v>46244</v>
      </c>
      <c r="BF72" s="2"/>
      <c r="BG72" s="3"/>
      <c r="BH72" s="19"/>
      <c r="BI72" s="2"/>
      <c r="BJ72" s="3"/>
      <c r="BK72" s="18" t="s">
        <v>546</v>
      </c>
      <c r="BL72" s="2"/>
      <c r="BM72" s="2"/>
      <c r="BN72" s="2"/>
      <c r="BO72" s="2"/>
      <c r="BP72" s="2"/>
      <c r="BQ72" s="3"/>
    </row>
    <row r="73" ht="319.5" customHeight="1" spans="1:69">
      <c r="A73" s="17">
        <v>56</v>
      </c>
      <c r="B73" s="18" t="s">
        <v>547</v>
      </c>
      <c r="C73" s="2"/>
      <c r="D73" s="3"/>
      <c r="E73" s="18" t="s">
        <v>548</v>
      </c>
      <c r="F73" s="2"/>
      <c r="G73" s="2"/>
      <c r="H73" s="2"/>
      <c r="I73" s="3"/>
      <c r="J73" s="18" t="s">
        <v>549</v>
      </c>
      <c r="K73" s="2"/>
      <c r="L73" s="2"/>
      <c r="M73" s="2"/>
      <c r="N73" s="2"/>
      <c r="O73" s="2"/>
      <c r="P73" s="3"/>
      <c r="Q73" s="18" t="s">
        <v>550</v>
      </c>
      <c r="R73" s="2"/>
      <c r="S73" s="2"/>
      <c r="T73" s="2"/>
      <c r="U73" s="2"/>
      <c r="V73" s="2"/>
      <c r="W73" s="3"/>
      <c r="X73" s="18" t="s">
        <v>551</v>
      </c>
      <c r="Y73" s="2"/>
      <c r="Z73" s="2"/>
      <c r="AA73" s="2"/>
      <c r="AB73" s="2"/>
      <c r="AC73" s="2"/>
      <c r="AD73" s="3"/>
      <c r="AE73" s="19" t="s">
        <v>266</v>
      </c>
      <c r="AF73" s="3"/>
      <c r="AG73" s="19" t="s">
        <v>59</v>
      </c>
      <c r="AH73" s="2"/>
      <c r="AI73" s="3"/>
      <c r="AJ73" s="19"/>
      <c r="AK73" s="2"/>
      <c r="AL73" s="3"/>
      <c r="AM73" s="19"/>
      <c r="AN73" s="2"/>
      <c r="AO73" s="3"/>
      <c r="AP73" s="19"/>
      <c r="AQ73" s="2"/>
      <c r="AR73" s="3"/>
      <c r="AS73" s="19"/>
      <c r="AT73" s="2"/>
      <c r="AU73" s="3"/>
      <c r="AV73" s="19" t="s">
        <v>59</v>
      </c>
      <c r="AW73" s="2"/>
      <c r="AX73" s="3"/>
      <c r="AY73" s="19"/>
      <c r="AZ73" s="2"/>
      <c r="BA73" s="3"/>
      <c r="BB73" s="19" t="s">
        <v>267</v>
      </c>
      <c r="BC73" s="2"/>
      <c r="BD73" s="3"/>
      <c r="BE73" s="20">
        <v>46244</v>
      </c>
      <c r="BF73" s="2"/>
      <c r="BG73" s="3"/>
      <c r="BH73" s="19"/>
      <c r="BI73" s="2"/>
      <c r="BJ73" s="3"/>
      <c r="BK73" s="18" t="s">
        <v>552</v>
      </c>
      <c r="BL73" s="2"/>
      <c r="BM73" s="2"/>
      <c r="BN73" s="2"/>
      <c r="BO73" s="2"/>
      <c r="BP73" s="2"/>
      <c r="BQ73" s="3"/>
    </row>
    <row r="74" ht="303.75" customHeight="1" spans="1:69">
      <c r="A74" s="17">
        <v>57</v>
      </c>
      <c r="B74" s="18" t="s">
        <v>553</v>
      </c>
      <c r="C74" s="2"/>
      <c r="D74" s="3"/>
      <c r="E74" s="18" t="s">
        <v>554</v>
      </c>
      <c r="F74" s="2"/>
      <c r="G74" s="2"/>
      <c r="H74" s="2"/>
      <c r="I74" s="3"/>
      <c r="J74" s="18" t="s">
        <v>549</v>
      </c>
      <c r="K74" s="2"/>
      <c r="L74" s="2"/>
      <c r="M74" s="2"/>
      <c r="N74" s="2"/>
      <c r="O74" s="2"/>
      <c r="P74" s="3"/>
      <c r="Q74" s="18" t="s">
        <v>555</v>
      </c>
      <c r="R74" s="2"/>
      <c r="S74" s="2"/>
      <c r="T74" s="2"/>
      <c r="U74" s="2"/>
      <c r="V74" s="2"/>
      <c r="W74" s="3"/>
      <c r="X74" s="18" t="s">
        <v>556</v>
      </c>
      <c r="Y74" s="2"/>
      <c r="Z74" s="2"/>
      <c r="AA74" s="2"/>
      <c r="AB74" s="2"/>
      <c r="AC74" s="2"/>
      <c r="AD74" s="3"/>
      <c r="AE74" s="19" t="s">
        <v>209</v>
      </c>
      <c r="AF74" s="3"/>
      <c r="AG74" s="19" t="s">
        <v>59</v>
      </c>
      <c r="AH74" s="2"/>
      <c r="AI74" s="3"/>
      <c r="AJ74" s="19"/>
      <c r="AK74" s="2"/>
      <c r="AL74" s="3"/>
      <c r="AM74" s="19"/>
      <c r="AN74" s="2"/>
      <c r="AO74" s="3"/>
      <c r="AP74" s="19"/>
      <c r="AQ74" s="2"/>
      <c r="AR74" s="3"/>
      <c r="AS74" s="19"/>
      <c r="AT74" s="2"/>
      <c r="AU74" s="3"/>
      <c r="AV74" s="19" t="s">
        <v>59</v>
      </c>
      <c r="AW74" s="2"/>
      <c r="AX74" s="3"/>
      <c r="AY74" s="19"/>
      <c r="AZ74" s="2"/>
      <c r="BA74" s="3"/>
      <c r="BB74" s="19" t="s">
        <v>267</v>
      </c>
      <c r="BC74" s="2"/>
      <c r="BD74" s="3"/>
      <c r="BE74" s="20">
        <v>46244</v>
      </c>
      <c r="BF74" s="2"/>
      <c r="BG74" s="3"/>
      <c r="BH74" s="19"/>
      <c r="BI74" s="2"/>
      <c r="BJ74" s="3"/>
      <c r="BK74" s="18" t="s">
        <v>557</v>
      </c>
      <c r="BL74" s="2"/>
      <c r="BM74" s="2"/>
      <c r="BN74" s="2"/>
      <c r="BO74" s="2"/>
      <c r="BP74" s="2"/>
      <c r="BQ74" s="3"/>
    </row>
    <row r="75" ht="223.5" customHeight="1" spans="1:69">
      <c r="A75" s="17">
        <v>58</v>
      </c>
      <c r="B75" s="18" t="s">
        <v>558</v>
      </c>
      <c r="C75" s="2"/>
      <c r="D75" s="3"/>
      <c r="E75" s="18" t="s">
        <v>559</v>
      </c>
      <c r="F75" s="2"/>
      <c r="G75" s="2"/>
      <c r="H75" s="2"/>
      <c r="I75" s="3"/>
      <c r="J75" s="18" t="s">
        <v>560</v>
      </c>
      <c r="K75" s="2"/>
      <c r="L75" s="2"/>
      <c r="M75" s="2"/>
      <c r="N75" s="2"/>
      <c r="O75" s="2"/>
      <c r="P75" s="3"/>
      <c r="Q75" s="18" t="s">
        <v>561</v>
      </c>
      <c r="R75" s="2"/>
      <c r="S75" s="2"/>
      <c r="T75" s="2"/>
      <c r="U75" s="2"/>
      <c r="V75" s="2"/>
      <c r="W75" s="3"/>
      <c r="X75" s="18" t="s">
        <v>562</v>
      </c>
      <c r="Y75" s="2"/>
      <c r="Z75" s="2"/>
      <c r="AA75" s="2"/>
      <c r="AB75" s="2"/>
      <c r="AC75" s="2"/>
      <c r="AD75" s="3"/>
      <c r="AE75" s="19" t="s">
        <v>209</v>
      </c>
      <c r="AF75" s="3"/>
      <c r="AG75" s="19" t="s">
        <v>59</v>
      </c>
      <c r="AH75" s="2"/>
      <c r="AI75" s="3"/>
      <c r="AJ75" s="19"/>
      <c r="AK75" s="2"/>
      <c r="AL75" s="3"/>
      <c r="AM75" s="19"/>
      <c r="AN75" s="2"/>
      <c r="AO75" s="3"/>
      <c r="AP75" s="19"/>
      <c r="AQ75" s="2"/>
      <c r="AR75" s="3"/>
      <c r="AS75" s="19"/>
      <c r="AT75" s="2"/>
      <c r="AU75" s="3"/>
      <c r="AV75" s="19" t="s">
        <v>59</v>
      </c>
      <c r="AW75" s="2"/>
      <c r="AX75" s="3"/>
      <c r="AY75" s="19"/>
      <c r="AZ75" s="2"/>
      <c r="BA75" s="3"/>
      <c r="BB75" s="19" t="s">
        <v>267</v>
      </c>
      <c r="BC75" s="2"/>
      <c r="BD75" s="3"/>
      <c r="BE75" s="20">
        <v>46244</v>
      </c>
      <c r="BF75" s="2"/>
      <c r="BG75" s="3"/>
      <c r="BH75" s="19"/>
      <c r="BI75" s="2"/>
      <c r="BJ75" s="3"/>
      <c r="BK75" s="18" t="s">
        <v>563</v>
      </c>
      <c r="BL75" s="2"/>
      <c r="BM75" s="2"/>
      <c r="BN75" s="2"/>
      <c r="BO75" s="2"/>
      <c r="BP75" s="2"/>
      <c r="BQ75" s="3"/>
    </row>
    <row r="76" ht="223.5" customHeight="1" spans="1:69">
      <c r="A76" s="17">
        <v>59</v>
      </c>
      <c r="B76" s="18" t="s">
        <v>564</v>
      </c>
      <c r="C76" s="2"/>
      <c r="D76" s="3"/>
      <c r="E76" s="18" t="s">
        <v>565</v>
      </c>
      <c r="F76" s="2"/>
      <c r="G76" s="2"/>
      <c r="H76" s="2"/>
      <c r="I76" s="3"/>
      <c r="J76" s="18" t="s">
        <v>566</v>
      </c>
      <c r="K76" s="2"/>
      <c r="L76" s="2"/>
      <c r="M76" s="2"/>
      <c r="N76" s="2"/>
      <c r="O76" s="2"/>
      <c r="P76" s="3"/>
      <c r="Q76" s="18" t="s">
        <v>567</v>
      </c>
      <c r="R76" s="2"/>
      <c r="S76" s="2"/>
      <c r="T76" s="2"/>
      <c r="U76" s="2"/>
      <c r="V76" s="2"/>
      <c r="W76" s="3"/>
      <c r="X76" s="18" t="s">
        <v>568</v>
      </c>
      <c r="Y76" s="2"/>
      <c r="Z76" s="2"/>
      <c r="AA76" s="2"/>
      <c r="AB76" s="2"/>
      <c r="AC76" s="2"/>
      <c r="AD76" s="3"/>
      <c r="AE76" s="19" t="s">
        <v>209</v>
      </c>
      <c r="AF76" s="3"/>
      <c r="AG76" s="19" t="s">
        <v>59</v>
      </c>
      <c r="AH76" s="2"/>
      <c r="AI76" s="3"/>
      <c r="AJ76" s="19"/>
      <c r="AK76" s="2"/>
      <c r="AL76" s="3"/>
      <c r="AM76" s="19"/>
      <c r="AN76" s="2"/>
      <c r="AO76" s="3"/>
      <c r="AP76" s="19"/>
      <c r="AQ76" s="2"/>
      <c r="AR76" s="3"/>
      <c r="AS76" s="19"/>
      <c r="AT76" s="2"/>
      <c r="AU76" s="3"/>
      <c r="AV76" s="19" t="s">
        <v>59</v>
      </c>
      <c r="AW76" s="2"/>
      <c r="AX76" s="3"/>
      <c r="AY76" s="19"/>
      <c r="AZ76" s="2"/>
      <c r="BA76" s="3"/>
      <c r="BB76" s="19" t="s">
        <v>267</v>
      </c>
      <c r="BC76" s="2"/>
      <c r="BD76" s="3"/>
      <c r="BE76" s="20">
        <v>46244</v>
      </c>
      <c r="BF76" s="2"/>
      <c r="BG76" s="3"/>
      <c r="BH76" s="19"/>
      <c r="BI76" s="2"/>
      <c r="BJ76" s="3"/>
      <c r="BK76" s="18" t="s">
        <v>569</v>
      </c>
      <c r="BL76" s="2"/>
      <c r="BM76" s="2"/>
      <c r="BN76" s="2"/>
      <c r="BO76" s="2"/>
      <c r="BP76" s="2"/>
      <c r="BQ76" s="3"/>
    </row>
    <row r="77" ht="319.5" customHeight="1" spans="1:69">
      <c r="A77" s="17">
        <v>60</v>
      </c>
      <c r="B77" s="18" t="s">
        <v>570</v>
      </c>
      <c r="C77" s="2"/>
      <c r="D77" s="3"/>
      <c r="E77" s="18" t="s">
        <v>571</v>
      </c>
      <c r="F77" s="2"/>
      <c r="G77" s="2"/>
      <c r="H77" s="2"/>
      <c r="I77" s="3"/>
      <c r="J77" s="18" t="s">
        <v>572</v>
      </c>
      <c r="K77" s="2"/>
      <c r="L77" s="2"/>
      <c r="M77" s="2"/>
      <c r="N77" s="2"/>
      <c r="O77" s="2"/>
      <c r="P77" s="3"/>
      <c r="Q77" s="18" t="s">
        <v>573</v>
      </c>
      <c r="R77" s="2"/>
      <c r="S77" s="2"/>
      <c r="T77" s="2"/>
      <c r="U77" s="2"/>
      <c r="V77" s="2"/>
      <c r="W77" s="3"/>
      <c r="X77" s="18" t="s">
        <v>574</v>
      </c>
      <c r="Y77" s="2"/>
      <c r="Z77" s="2"/>
      <c r="AA77" s="2"/>
      <c r="AB77" s="2"/>
      <c r="AC77" s="2"/>
      <c r="AD77" s="3"/>
      <c r="AE77" s="19" t="s">
        <v>266</v>
      </c>
      <c r="AF77" s="3"/>
      <c r="AG77" s="19" t="s">
        <v>59</v>
      </c>
      <c r="AH77" s="2"/>
      <c r="AI77" s="3"/>
      <c r="AJ77" s="19"/>
      <c r="AK77" s="2"/>
      <c r="AL77" s="3"/>
      <c r="AM77" s="19"/>
      <c r="AN77" s="2"/>
      <c r="AO77" s="3"/>
      <c r="AP77" s="19"/>
      <c r="AQ77" s="2"/>
      <c r="AR77" s="3"/>
      <c r="AS77" s="19"/>
      <c r="AT77" s="2"/>
      <c r="AU77" s="3"/>
      <c r="AV77" s="19" t="s">
        <v>59</v>
      </c>
      <c r="AW77" s="2"/>
      <c r="AX77" s="3"/>
      <c r="AY77" s="19"/>
      <c r="AZ77" s="2"/>
      <c r="BA77" s="3"/>
      <c r="BB77" s="19" t="s">
        <v>267</v>
      </c>
      <c r="BC77" s="2"/>
      <c r="BD77" s="3"/>
      <c r="BE77" s="20">
        <v>46244</v>
      </c>
      <c r="BF77" s="2"/>
      <c r="BG77" s="3"/>
      <c r="BH77" s="19"/>
      <c r="BI77" s="2"/>
      <c r="BJ77" s="3"/>
      <c r="BK77" s="18" t="s">
        <v>575</v>
      </c>
      <c r="BL77" s="2"/>
      <c r="BM77" s="2"/>
      <c r="BN77" s="2"/>
      <c r="BO77" s="2"/>
      <c r="BP77" s="2"/>
      <c r="BQ77" s="3"/>
    </row>
    <row r="78" ht="409.5" customHeight="1" spans="1:69">
      <c r="A78" s="24">
        <v>61</v>
      </c>
      <c r="B78" s="25" t="s">
        <v>576</v>
      </c>
      <c r="C78" s="2"/>
      <c r="D78" s="3"/>
      <c r="E78" s="25" t="s">
        <v>577</v>
      </c>
      <c r="F78" s="2"/>
      <c r="G78" s="2"/>
      <c r="H78" s="2"/>
      <c r="I78" s="3"/>
      <c r="J78" s="25" t="s">
        <v>578</v>
      </c>
      <c r="K78" s="2"/>
      <c r="L78" s="2"/>
      <c r="M78" s="2"/>
      <c r="N78" s="2"/>
      <c r="O78" s="2"/>
      <c r="P78" s="3"/>
      <c r="Q78" s="25" t="s">
        <v>579</v>
      </c>
      <c r="R78" s="2"/>
      <c r="S78" s="2"/>
      <c r="T78" s="2"/>
      <c r="U78" s="2"/>
      <c r="V78" s="2"/>
      <c r="W78" s="3"/>
      <c r="X78" s="25" t="s">
        <v>580</v>
      </c>
      <c r="Y78" s="2"/>
      <c r="Z78" s="2"/>
      <c r="AA78" s="2"/>
      <c r="AB78" s="2"/>
      <c r="AC78" s="2"/>
      <c r="AD78" s="3"/>
      <c r="AE78" s="26" t="s">
        <v>209</v>
      </c>
      <c r="AF78" s="3"/>
      <c r="AG78" s="26" t="s">
        <v>62</v>
      </c>
      <c r="AH78" s="2"/>
      <c r="AI78" s="3"/>
      <c r="AJ78" s="26"/>
      <c r="AK78" s="2"/>
      <c r="AL78" s="3"/>
      <c r="AM78" s="26"/>
      <c r="AN78" s="2"/>
      <c r="AO78" s="3"/>
      <c r="AP78" s="26"/>
      <c r="AQ78" s="2"/>
      <c r="AR78" s="3"/>
      <c r="AS78" s="26"/>
      <c r="AT78" s="2"/>
      <c r="AU78" s="3"/>
      <c r="AV78" s="26" t="s">
        <v>62</v>
      </c>
      <c r="AW78" s="2"/>
      <c r="AX78" s="3"/>
      <c r="AY78" s="26"/>
      <c r="AZ78" s="2"/>
      <c r="BA78" s="3"/>
      <c r="BB78" s="26"/>
      <c r="BC78" s="2"/>
      <c r="BD78" s="3"/>
      <c r="BE78" s="26"/>
      <c r="BF78" s="2"/>
      <c r="BG78" s="3"/>
      <c r="BH78" s="26"/>
      <c r="BI78" s="2"/>
      <c r="BJ78" s="3"/>
      <c r="BK78" s="25" t="s">
        <v>581</v>
      </c>
      <c r="BL78" s="2"/>
      <c r="BM78" s="2"/>
      <c r="BN78" s="2"/>
      <c r="BO78" s="2"/>
      <c r="BP78" s="2"/>
      <c r="BQ78" s="3"/>
    </row>
    <row r="79" ht="22.5" customHeight="1" spans="1:69">
      <c r="A79" s="16" t="s">
        <v>582</v>
      </c>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3"/>
    </row>
    <row r="80" ht="288" customHeight="1" spans="1:69">
      <c r="A80" s="17">
        <v>62</v>
      </c>
      <c r="B80" s="18" t="s">
        <v>583</v>
      </c>
      <c r="C80" s="2"/>
      <c r="D80" s="3"/>
      <c r="E80" s="18" t="s">
        <v>584</v>
      </c>
      <c r="F80" s="2"/>
      <c r="G80" s="2"/>
      <c r="H80" s="2"/>
      <c r="I80" s="3"/>
      <c r="J80" s="18" t="s">
        <v>585</v>
      </c>
      <c r="K80" s="2"/>
      <c r="L80" s="2"/>
      <c r="M80" s="2"/>
      <c r="N80" s="2"/>
      <c r="O80" s="2"/>
      <c r="P80" s="3"/>
      <c r="Q80" s="18" t="s">
        <v>586</v>
      </c>
      <c r="R80" s="2"/>
      <c r="S80" s="2"/>
      <c r="T80" s="2"/>
      <c r="U80" s="2"/>
      <c r="V80" s="2"/>
      <c r="W80" s="3"/>
      <c r="X80" s="18" t="s">
        <v>587</v>
      </c>
      <c r="Y80" s="2"/>
      <c r="Z80" s="2"/>
      <c r="AA80" s="2"/>
      <c r="AB80" s="2"/>
      <c r="AC80" s="2"/>
      <c r="AD80" s="3"/>
      <c r="AE80" s="19" t="s">
        <v>209</v>
      </c>
      <c r="AF80" s="3"/>
      <c r="AG80" s="19" t="s">
        <v>59</v>
      </c>
      <c r="AH80" s="2"/>
      <c r="AI80" s="3"/>
      <c r="AJ80" s="19"/>
      <c r="AK80" s="2"/>
      <c r="AL80" s="3"/>
      <c r="AM80" s="19"/>
      <c r="AN80" s="2"/>
      <c r="AO80" s="3"/>
      <c r="AP80" s="19"/>
      <c r="AQ80" s="2"/>
      <c r="AR80" s="3"/>
      <c r="AS80" s="19"/>
      <c r="AT80" s="2"/>
      <c r="AU80" s="3"/>
      <c r="AV80" s="19" t="s">
        <v>59</v>
      </c>
      <c r="AW80" s="2"/>
      <c r="AX80" s="3"/>
      <c r="AY80" s="19"/>
      <c r="AZ80" s="2"/>
      <c r="BA80" s="3"/>
      <c r="BB80" s="19" t="s">
        <v>267</v>
      </c>
      <c r="BC80" s="2"/>
      <c r="BD80" s="3"/>
      <c r="BE80" s="20">
        <v>46244</v>
      </c>
      <c r="BF80" s="2"/>
      <c r="BG80" s="3"/>
      <c r="BH80" s="19"/>
      <c r="BI80" s="2"/>
      <c r="BJ80" s="3"/>
      <c r="BK80" s="18" t="s">
        <v>588</v>
      </c>
      <c r="BL80" s="2"/>
      <c r="BM80" s="2"/>
      <c r="BN80" s="2"/>
      <c r="BO80" s="2"/>
      <c r="BP80" s="2"/>
      <c r="BQ80" s="3"/>
    </row>
    <row r="81" ht="207.75" customHeight="1" spans="1:69">
      <c r="A81" s="17">
        <v>63</v>
      </c>
      <c r="B81" s="18" t="s">
        <v>589</v>
      </c>
      <c r="C81" s="2"/>
      <c r="D81" s="3"/>
      <c r="E81" s="18" t="s">
        <v>590</v>
      </c>
      <c r="F81" s="2"/>
      <c r="G81" s="2"/>
      <c r="H81" s="2"/>
      <c r="I81" s="3"/>
      <c r="J81" s="18" t="s">
        <v>331</v>
      </c>
      <c r="K81" s="2"/>
      <c r="L81" s="2"/>
      <c r="M81" s="2"/>
      <c r="N81" s="2"/>
      <c r="O81" s="2"/>
      <c r="P81" s="3"/>
      <c r="Q81" s="18" t="s">
        <v>591</v>
      </c>
      <c r="R81" s="2"/>
      <c r="S81" s="2"/>
      <c r="T81" s="2"/>
      <c r="U81" s="2"/>
      <c r="V81" s="2"/>
      <c r="W81" s="3"/>
      <c r="X81" s="18" t="s">
        <v>592</v>
      </c>
      <c r="Y81" s="2"/>
      <c r="Z81" s="2"/>
      <c r="AA81" s="2"/>
      <c r="AB81" s="2"/>
      <c r="AC81" s="2"/>
      <c r="AD81" s="3"/>
      <c r="AE81" s="19" t="s">
        <v>209</v>
      </c>
      <c r="AF81" s="3"/>
      <c r="AG81" s="19" t="s">
        <v>59</v>
      </c>
      <c r="AH81" s="2"/>
      <c r="AI81" s="3"/>
      <c r="AJ81" s="19"/>
      <c r="AK81" s="2"/>
      <c r="AL81" s="3"/>
      <c r="AM81" s="19"/>
      <c r="AN81" s="2"/>
      <c r="AO81" s="3"/>
      <c r="AP81" s="19"/>
      <c r="AQ81" s="2"/>
      <c r="AR81" s="3"/>
      <c r="AS81" s="19"/>
      <c r="AT81" s="2"/>
      <c r="AU81" s="3"/>
      <c r="AV81" s="19" t="s">
        <v>59</v>
      </c>
      <c r="AW81" s="2"/>
      <c r="AX81" s="3"/>
      <c r="AY81" s="19"/>
      <c r="AZ81" s="2"/>
      <c r="BA81" s="3"/>
      <c r="BB81" s="19" t="s">
        <v>267</v>
      </c>
      <c r="BC81" s="2"/>
      <c r="BD81" s="3"/>
      <c r="BE81" s="20">
        <v>46244</v>
      </c>
      <c r="BF81" s="2"/>
      <c r="BG81" s="3"/>
      <c r="BH81" s="19"/>
      <c r="BI81" s="2"/>
      <c r="BJ81" s="3"/>
      <c r="BK81" s="18" t="s">
        <v>593</v>
      </c>
      <c r="BL81" s="2"/>
      <c r="BM81" s="2"/>
      <c r="BN81" s="2"/>
      <c r="BO81" s="2"/>
      <c r="BP81" s="2"/>
      <c r="BQ81" s="3"/>
    </row>
    <row r="82" ht="336" customHeight="1" spans="1:69">
      <c r="A82" s="17">
        <v>64</v>
      </c>
      <c r="B82" s="18" t="s">
        <v>594</v>
      </c>
      <c r="C82" s="2"/>
      <c r="D82" s="3"/>
      <c r="E82" s="18" t="s">
        <v>595</v>
      </c>
      <c r="F82" s="2"/>
      <c r="G82" s="2"/>
      <c r="H82" s="2"/>
      <c r="I82" s="3"/>
      <c r="J82" s="18" t="s">
        <v>293</v>
      </c>
      <c r="K82" s="2"/>
      <c r="L82" s="2"/>
      <c r="M82" s="2"/>
      <c r="N82" s="2"/>
      <c r="O82" s="2"/>
      <c r="P82" s="3"/>
      <c r="Q82" s="18" t="s">
        <v>596</v>
      </c>
      <c r="R82" s="2"/>
      <c r="S82" s="2"/>
      <c r="T82" s="2"/>
      <c r="U82" s="2"/>
      <c r="V82" s="2"/>
      <c r="W82" s="3"/>
      <c r="X82" s="18" t="s">
        <v>597</v>
      </c>
      <c r="Y82" s="2"/>
      <c r="Z82" s="2"/>
      <c r="AA82" s="2"/>
      <c r="AB82" s="2"/>
      <c r="AC82" s="2"/>
      <c r="AD82" s="3"/>
      <c r="AE82" s="19" t="s">
        <v>209</v>
      </c>
      <c r="AF82" s="3"/>
      <c r="AG82" s="19" t="s">
        <v>59</v>
      </c>
      <c r="AH82" s="2"/>
      <c r="AI82" s="3"/>
      <c r="AJ82" s="19"/>
      <c r="AK82" s="2"/>
      <c r="AL82" s="3"/>
      <c r="AM82" s="19"/>
      <c r="AN82" s="2"/>
      <c r="AO82" s="3"/>
      <c r="AP82" s="19"/>
      <c r="AQ82" s="2"/>
      <c r="AR82" s="3"/>
      <c r="AS82" s="19"/>
      <c r="AT82" s="2"/>
      <c r="AU82" s="3"/>
      <c r="AV82" s="19" t="s">
        <v>59</v>
      </c>
      <c r="AW82" s="2"/>
      <c r="AX82" s="3"/>
      <c r="AY82" s="19"/>
      <c r="AZ82" s="2"/>
      <c r="BA82" s="3"/>
      <c r="BB82" s="19" t="s">
        <v>267</v>
      </c>
      <c r="BC82" s="2"/>
      <c r="BD82" s="3"/>
      <c r="BE82" s="20">
        <v>46244</v>
      </c>
      <c r="BF82" s="2"/>
      <c r="BG82" s="3"/>
      <c r="BH82" s="19"/>
      <c r="BI82" s="2"/>
      <c r="BJ82" s="3"/>
      <c r="BK82" s="18" t="s">
        <v>598</v>
      </c>
      <c r="BL82" s="2"/>
      <c r="BM82" s="2"/>
      <c r="BN82" s="2"/>
      <c r="BO82" s="2"/>
      <c r="BP82" s="2"/>
      <c r="BQ82" s="3"/>
    </row>
    <row r="83" ht="271.5" customHeight="1" spans="1:69">
      <c r="A83" s="17">
        <v>65</v>
      </c>
      <c r="B83" s="18" t="s">
        <v>599</v>
      </c>
      <c r="C83" s="2"/>
      <c r="D83" s="3"/>
      <c r="E83" s="18" t="s">
        <v>600</v>
      </c>
      <c r="F83" s="2"/>
      <c r="G83" s="2"/>
      <c r="H83" s="2"/>
      <c r="I83" s="3"/>
      <c r="J83" s="18" t="s">
        <v>293</v>
      </c>
      <c r="K83" s="2"/>
      <c r="L83" s="2"/>
      <c r="M83" s="2"/>
      <c r="N83" s="2"/>
      <c r="O83" s="2"/>
      <c r="P83" s="3"/>
      <c r="Q83" s="18" t="s">
        <v>601</v>
      </c>
      <c r="R83" s="2"/>
      <c r="S83" s="2"/>
      <c r="T83" s="2"/>
      <c r="U83" s="2"/>
      <c r="V83" s="2"/>
      <c r="W83" s="3"/>
      <c r="X83" s="18" t="s">
        <v>602</v>
      </c>
      <c r="Y83" s="2"/>
      <c r="Z83" s="2"/>
      <c r="AA83" s="2"/>
      <c r="AB83" s="2"/>
      <c r="AC83" s="2"/>
      <c r="AD83" s="3"/>
      <c r="AE83" s="19" t="s">
        <v>209</v>
      </c>
      <c r="AF83" s="3"/>
      <c r="AG83" s="19" t="s">
        <v>59</v>
      </c>
      <c r="AH83" s="2"/>
      <c r="AI83" s="3"/>
      <c r="AJ83" s="19"/>
      <c r="AK83" s="2"/>
      <c r="AL83" s="3"/>
      <c r="AM83" s="19"/>
      <c r="AN83" s="2"/>
      <c r="AO83" s="3"/>
      <c r="AP83" s="19"/>
      <c r="AQ83" s="2"/>
      <c r="AR83" s="3"/>
      <c r="AS83" s="19"/>
      <c r="AT83" s="2"/>
      <c r="AU83" s="3"/>
      <c r="AV83" s="19" t="s">
        <v>59</v>
      </c>
      <c r="AW83" s="2"/>
      <c r="AX83" s="3"/>
      <c r="AY83" s="19"/>
      <c r="AZ83" s="2"/>
      <c r="BA83" s="3"/>
      <c r="BB83" s="19" t="s">
        <v>267</v>
      </c>
      <c r="BC83" s="2"/>
      <c r="BD83" s="3"/>
      <c r="BE83" s="20">
        <v>46244</v>
      </c>
      <c r="BF83" s="2"/>
      <c r="BG83" s="3"/>
      <c r="BH83" s="19"/>
      <c r="BI83" s="2"/>
      <c r="BJ83" s="3"/>
      <c r="BK83" s="18" t="s">
        <v>603</v>
      </c>
      <c r="BL83" s="2"/>
      <c r="BM83" s="2"/>
      <c r="BN83" s="2"/>
      <c r="BO83" s="2"/>
      <c r="BP83" s="2"/>
      <c r="BQ83" s="3"/>
    </row>
    <row r="84" ht="367.5" customHeight="1" spans="1:69">
      <c r="A84" s="17">
        <v>66</v>
      </c>
      <c r="B84" s="18" t="s">
        <v>604</v>
      </c>
      <c r="C84" s="2"/>
      <c r="D84" s="3"/>
      <c r="E84" s="18" t="s">
        <v>605</v>
      </c>
      <c r="F84" s="2"/>
      <c r="G84" s="2"/>
      <c r="H84" s="2"/>
      <c r="I84" s="3"/>
      <c r="J84" s="18" t="s">
        <v>606</v>
      </c>
      <c r="K84" s="2"/>
      <c r="L84" s="2"/>
      <c r="M84" s="2"/>
      <c r="N84" s="2"/>
      <c r="O84" s="2"/>
      <c r="P84" s="3"/>
      <c r="Q84" s="18" t="s">
        <v>607</v>
      </c>
      <c r="R84" s="2"/>
      <c r="S84" s="2"/>
      <c r="T84" s="2"/>
      <c r="U84" s="2"/>
      <c r="V84" s="2"/>
      <c r="W84" s="3"/>
      <c r="X84" s="18" t="s">
        <v>608</v>
      </c>
      <c r="Y84" s="2"/>
      <c r="Z84" s="2"/>
      <c r="AA84" s="2"/>
      <c r="AB84" s="2"/>
      <c r="AC84" s="2"/>
      <c r="AD84" s="3"/>
      <c r="AE84" s="19" t="s">
        <v>209</v>
      </c>
      <c r="AF84" s="3"/>
      <c r="AG84" s="19" t="s">
        <v>59</v>
      </c>
      <c r="AH84" s="2"/>
      <c r="AI84" s="3"/>
      <c r="AJ84" s="19"/>
      <c r="AK84" s="2"/>
      <c r="AL84" s="3"/>
      <c r="AM84" s="19"/>
      <c r="AN84" s="2"/>
      <c r="AO84" s="3"/>
      <c r="AP84" s="19"/>
      <c r="AQ84" s="2"/>
      <c r="AR84" s="3"/>
      <c r="AS84" s="19"/>
      <c r="AT84" s="2"/>
      <c r="AU84" s="3"/>
      <c r="AV84" s="19" t="s">
        <v>59</v>
      </c>
      <c r="AW84" s="2"/>
      <c r="AX84" s="3"/>
      <c r="AY84" s="19"/>
      <c r="AZ84" s="2"/>
      <c r="BA84" s="3"/>
      <c r="BB84" s="19" t="s">
        <v>267</v>
      </c>
      <c r="BC84" s="2"/>
      <c r="BD84" s="3"/>
      <c r="BE84" s="20">
        <v>46244</v>
      </c>
      <c r="BF84" s="2"/>
      <c r="BG84" s="3"/>
      <c r="BH84" s="19"/>
      <c r="BI84" s="2"/>
      <c r="BJ84" s="3"/>
      <c r="BK84" s="18" t="s">
        <v>609</v>
      </c>
      <c r="BL84" s="2"/>
      <c r="BM84" s="2"/>
      <c r="BN84" s="2"/>
      <c r="BO84" s="2"/>
      <c r="BP84" s="2"/>
      <c r="BQ84" s="3"/>
    </row>
    <row r="85" ht="409.5" customHeight="1" spans="1:69">
      <c r="A85" s="17">
        <v>67</v>
      </c>
      <c r="B85" s="18" t="s">
        <v>610</v>
      </c>
      <c r="C85" s="2"/>
      <c r="D85" s="3"/>
      <c r="E85" s="18" t="s">
        <v>611</v>
      </c>
      <c r="F85" s="2"/>
      <c r="G85" s="2"/>
      <c r="H85" s="2"/>
      <c r="I85" s="3"/>
      <c r="J85" s="18" t="s">
        <v>293</v>
      </c>
      <c r="K85" s="2"/>
      <c r="L85" s="2"/>
      <c r="M85" s="2"/>
      <c r="N85" s="2"/>
      <c r="O85" s="2"/>
      <c r="P85" s="3"/>
      <c r="Q85" s="18" t="s">
        <v>612</v>
      </c>
      <c r="R85" s="2"/>
      <c r="S85" s="2"/>
      <c r="T85" s="2"/>
      <c r="U85" s="2"/>
      <c r="V85" s="2"/>
      <c r="W85" s="3"/>
      <c r="X85" s="18" t="s">
        <v>613</v>
      </c>
      <c r="Y85" s="2"/>
      <c r="Z85" s="2"/>
      <c r="AA85" s="2"/>
      <c r="AB85" s="2"/>
      <c r="AC85" s="2"/>
      <c r="AD85" s="3"/>
      <c r="AE85" s="19" t="s">
        <v>266</v>
      </c>
      <c r="AF85" s="3"/>
      <c r="AG85" s="19" t="s">
        <v>59</v>
      </c>
      <c r="AH85" s="2"/>
      <c r="AI85" s="3"/>
      <c r="AJ85" s="19"/>
      <c r="AK85" s="2"/>
      <c r="AL85" s="3"/>
      <c r="AM85" s="19"/>
      <c r="AN85" s="2"/>
      <c r="AO85" s="3"/>
      <c r="AP85" s="19"/>
      <c r="AQ85" s="2"/>
      <c r="AR85" s="3"/>
      <c r="AS85" s="19"/>
      <c r="AT85" s="2"/>
      <c r="AU85" s="3"/>
      <c r="AV85" s="19" t="s">
        <v>59</v>
      </c>
      <c r="AW85" s="2"/>
      <c r="AX85" s="3"/>
      <c r="AY85" s="19"/>
      <c r="AZ85" s="2"/>
      <c r="BA85" s="3"/>
      <c r="BB85" s="19" t="s">
        <v>267</v>
      </c>
      <c r="BC85" s="2"/>
      <c r="BD85" s="3"/>
      <c r="BE85" s="20">
        <v>46244</v>
      </c>
      <c r="BF85" s="2"/>
      <c r="BG85" s="3"/>
      <c r="BH85" s="19"/>
      <c r="BI85" s="2"/>
      <c r="BJ85" s="3"/>
      <c r="BK85" s="18" t="s">
        <v>614</v>
      </c>
      <c r="BL85" s="2"/>
      <c r="BM85" s="2"/>
      <c r="BN85" s="2"/>
      <c r="BO85" s="2"/>
      <c r="BP85" s="2"/>
      <c r="BQ85" s="3"/>
    </row>
    <row r="86" ht="288" customHeight="1" spans="1:69">
      <c r="A86" s="17">
        <v>68</v>
      </c>
      <c r="B86" s="18" t="s">
        <v>615</v>
      </c>
      <c r="C86" s="2"/>
      <c r="D86" s="3"/>
      <c r="E86" s="18" t="s">
        <v>616</v>
      </c>
      <c r="F86" s="2"/>
      <c r="G86" s="2"/>
      <c r="H86" s="2"/>
      <c r="I86" s="3"/>
      <c r="J86" s="18" t="s">
        <v>585</v>
      </c>
      <c r="K86" s="2"/>
      <c r="L86" s="2"/>
      <c r="M86" s="2"/>
      <c r="N86" s="2"/>
      <c r="O86" s="2"/>
      <c r="P86" s="3"/>
      <c r="Q86" s="18" t="s">
        <v>617</v>
      </c>
      <c r="R86" s="2"/>
      <c r="S86" s="2"/>
      <c r="T86" s="2"/>
      <c r="U86" s="2"/>
      <c r="V86" s="2"/>
      <c r="W86" s="3"/>
      <c r="X86" s="18" t="s">
        <v>618</v>
      </c>
      <c r="Y86" s="2"/>
      <c r="Z86" s="2"/>
      <c r="AA86" s="2"/>
      <c r="AB86" s="2"/>
      <c r="AC86" s="2"/>
      <c r="AD86" s="3"/>
      <c r="AE86" s="19" t="s">
        <v>209</v>
      </c>
      <c r="AF86" s="3"/>
      <c r="AG86" s="19" t="s">
        <v>59</v>
      </c>
      <c r="AH86" s="2"/>
      <c r="AI86" s="3"/>
      <c r="AJ86" s="19"/>
      <c r="AK86" s="2"/>
      <c r="AL86" s="3"/>
      <c r="AM86" s="19"/>
      <c r="AN86" s="2"/>
      <c r="AO86" s="3"/>
      <c r="AP86" s="19"/>
      <c r="AQ86" s="2"/>
      <c r="AR86" s="3"/>
      <c r="AS86" s="19"/>
      <c r="AT86" s="2"/>
      <c r="AU86" s="3"/>
      <c r="AV86" s="19" t="s">
        <v>59</v>
      </c>
      <c r="AW86" s="2"/>
      <c r="AX86" s="3"/>
      <c r="AY86" s="19"/>
      <c r="AZ86" s="2"/>
      <c r="BA86" s="3"/>
      <c r="BB86" s="19" t="s">
        <v>267</v>
      </c>
      <c r="BC86" s="2"/>
      <c r="BD86" s="3"/>
      <c r="BE86" s="20">
        <v>46244</v>
      </c>
      <c r="BF86" s="2"/>
      <c r="BG86" s="3"/>
      <c r="BH86" s="19"/>
      <c r="BI86" s="2"/>
      <c r="BJ86" s="3"/>
      <c r="BK86" s="18" t="s">
        <v>619</v>
      </c>
      <c r="BL86" s="2"/>
      <c r="BM86" s="2"/>
      <c r="BN86" s="2"/>
      <c r="BO86" s="2"/>
      <c r="BP86" s="2"/>
      <c r="BQ86" s="3"/>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9">
    <mergeCell ref="A1:E1"/>
    <mergeCell ref="F1:Q1"/>
    <mergeCell ref="R1:V1"/>
    <mergeCell ref="W1:AH1"/>
    <mergeCell ref="A2:E2"/>
    <mergeCell ref="F2:Q2"/>
    <mergeCell ref="R2:V2"/>
    <mergeCell ref="W2:AH2"/>
    <mergeCell ref="A3:E3"/>
    <mergeCell ref="F3:Q3"/>
    <mergeCell ref="R3:V3"/>
    <mergeCell ref="W3:AH3"/>
    <mergeCell ref="A4:E4"/>
    <mergeCell ref="F4:AH4"/>
    <mergeCell ref="A5:S5"/>
    <mergeCell ref="T5:AH5"/>
    <mergeCell ref="A6:G6"/>
    <mergeCell ref="H6:J6"/>
    <mergeCell ref="K6:M6"/>
    <mergeCell ref="N6:P6"/>
    <mergeCell ref="Q6:S6"/>
    <mergeCell ref="T6:V6"/>
    <mergeCell ref="W6:Y6"/>
    <mergeCell ref="Z6:AB6"/>
    <mergeCell ref="AC6:AE6"/>
    <mergeCell ref="AF6:AH6"/>
    <mergeCell ref="A7:G7"/>
    <mergeCell ref="H7:J7"/>
    <mergeCell ref="K7:M7"/>
    <mergeCell ref="N7:P7"/>
    <mergeCell ref="Q7:S7"/>
    <mergeCell ref="T7:V7"/>
    <mergeCell ref="W7:Y7"/>
    <mergeCell ref="Z7:AB7"/>
    <mergeCell ref="AC7:AE7"/>
    <mergeCell ref="AF7:AH7"/>
    <mergeCell ref="A8:G8"/>
    <mergeCell ref="H8:J8"/>
    <mergeCell ref="K8:M8"/>
    <mergeCell ref="N8:P8"/>
    <mergeCell ref="Q8:S8"/>
    <mergeCell ref="T8:V8"/>
    <mergeCell ref="W8:Y8"/>
    <mergeCell ref="Z8:AB8"/>
    <mergeCell ref="AC8:AE8"/>
    <mergeCell ref="AF8:AH8"/>
    <mergeCell ref="AG10:AU10"/>
    <mergeCell ref="AV10:BJ10"/>
    <mergeCell ref="AG11:AI11"/>
    <mergeCell ref="AJ11:AL11"/>
    <mergeCell ref="AM11:AO11"/>
    <mergeCell ref="AP11:AR11"/>
    <mergeCell ref="AS11:AU11"/>
    <mergeCell ref="AV11:AX11"/>
    <mergeCell ref="AY11:BA11"/>
    <mergeCell ref="BB11:BD11"/>
    <mergeCell ref="BE11:BG11"/>
    <mergeCell ref="BH11:BJ11"/>
    <mergeCell ref="A12:BQ12"/>
    <mergeCell ref="B13:D13"/>
    <mergeCell ref="E13:I13"/>
    <mergeCell ref="J13:P13"/>
    <mergeCell ref="Q13:W13"/>
    <mergeCell ref="X13:AD13"/>
    <mergeCell ref="AE13:AF13"/>
    <mergeCell ref="AG13:AI13"/>
    <mergeCell ref="AJ13:AL13"/>
    <mergeCell ref="AM13:AO13"/>
    <mergeCell ref="AP13:AR13"/>
    <mergeCell ref="AS13:AU13"/>
    <mergeCell ref="AV13:AX13"/>
    <mergeCell ref="AY13:BA13"/>
    <mergeCell ref="BB13:BD13"/>
    <mergeCell ref="BE13:BG13"/>
    <mergeCell ref="BH13:BJ13"/>
    <mergeCell ref="BK13:BQ13"/>
    <mergeCell ref="B14:D14"/>
    <mergeCell ref="E14:I14"/>
    <mergeCell ref="J14:P14"/>
    <mergeCell ref="Q14:W14"/>
    <mergeCell ref="X14:AD14"/>
    <mergeCell ref="AE14:AF14"/>
    <mergeCell ref="AG14:AI14"/>
    <mergeCell ref="AJ14:AL14"/>
    <mergeCell ref="AM14:AO14"/>
    <mergeCell ref="AP14:AR14"/>
    <mergeCell ref="AS14:AU14"/>
    <mergeCell ref="AV14:AX14"/>
    <mergeCell ref="AY14:BA14"/>
    <mergeCell ref="BB14:BD14"/>
    <mergeCell ref="BE14:BG14"/>
    <mergeCell ref="BH14:BJ14"/>
    <mergeCell ref="BK14:BQ14"/>
    <mergeCell ref="B15:D15"/>
    <mergeCell ref="E15:I15"/>
    <mergeCell ref="J15:P15"/>
    <mergeCell ref="Q15:W15"/>
    <mergeCell ref="X15:AD15"/>
    <mergeCell ref="AE15:AF15"/>
    <mergeCell ref="AG15:AI15"/>
    <mergeCell ref="AJ15:AL15"/>
    <mergeCell ref="AM15:AO15"/>
    <mergeCell ref="AP15:AR15"/>
    <mergeCell ref="AS15:AU15"/>
    <mergeCell ref="AV15:AX15"/>
    <mergeCell ref="AY15:BA15"/>
    <mergeCell ref="BB15:BD15"/>
    <mergeCell ref="BE15:BG15"/>
    <mergeCell ref="BH15:BJ15"/>
    <mergeCell ref="BK15:BQ15"/>
    <mergeCell ref="B16:D16"/>
    <mergeCell ref="E16:I16"/>
    <mergeCell ref="J16:P16"/>
    <mergeCell ref="Q16:W16"/>
    <mergeCell ref="X16:AD16"/>
    <mergeCell ref="AE16:AF16"/>
    <mergeCell ref="AG16:AI16"/>
    <mergeCell ref="AJ16:AL16"/>
    <mergeCell ref="AM16:AO16"/>
    <mergeCell ref="AP16:AR16"/>
    <mergeCell ref="AS16:AU16"/>
    <mergeCell ref="AV16:AX16"/>
    <mergeCell ref="AY16:BA16"/>
    <mergeCell ref="BB16:BD16"/>
    <mergeCell ref="BE16:BG16"/>
    <mergeCell ref="BH16:BJ16"/>
    <mergeCell ref="BK16:BQ16"/>
    <mergeCell ref="B17:D17"/>
    <mergeCell ref="E17:I17"/>
    <mergeCell ref="J17:P17"/>
    <mergeCell ref="Q17:W17"/>
    <mergeCell ref="X17:AD17"/>
    <mergeCell ref="AE17:AF17"/>
    <mergeCell ref="AG17:AI17"/>
    <mergeCell ref="AJ17:AL17"/>
    <mergeCell ref="AM17:AO17"/>
    <mergeCell ref="AP17:AR17"/>
    <mergeCell ref="AS17:AU17"/>
    <mergeCell ref="AV17:AX17"/>
    <mergeCell ref="AY17:BA17"/>
    <mergeCell ref="BB17:BD17"/>
    <mergeCell ref="BE17:BG17"/>
    <mergeCell ref="BH17:BJ17"/>
    <mergeCell ref="BK17:BQ17"/>
    <mergeCell ref="A18:BQ18"/>
    <mergeCell ref="B19:D19"/>
    <mergeCell ref="E19:I19"/>
    <mergeCell ref="J19:P19"/>
    <mergeCell ref="Q19:W19"/>
    <mergeCell ref="X19:AD19"/>
    <mergeCell ref="AE19:AF19"/>
    <mergeCell ref="AG19:AI19"/>
    <mergeCell ref="AJ19:AL19"/>
    <mergeCell ref="AM19:AO19"/>
    <mergeCell ref="AP19:AR19"/>
    <mergeCell ref="AS19:AU19"/>
    <mergeCell ref="AV19:AX19"/>
    <mergeCell ref="AY19:BA19"/>
    <mergeCell ref="BB19:BD19"/>
    <mergeCell ref="BE19:BG19"/>
    <mergeCell ref="BH19:BJ19"/>
    <mergeCell ref="BK19:BQ19"/>
    <mergeCell ref="B20:D20"/>
    <mergeCell ref="E20:I20"/>
    <mergeCell ref="J20:P20"/>
    <mergeCell ref="Q20:W20"/>
    <mergeCell ref="X20:AD20"/>
    <mergeCell ref="AE20:AF20"/>
    <mergeCell ref="AG20:AI20"/>
    <mergeCell ref="AJ20:AL20"/>
    <mergeCell ref="AM20:AO20"/>
    <mergeCell ref="AP20:AR20"/>
    <mergeCell ref="AS20:AU20"/>
    <mergeCell ref="AV20:AX20"/>
    <mergeCell ref="AY20:BA20"/>
    <mergeCell ref="BB20:BD20"/>
    <mergeCell ref="BE20:BG20"/>
    <mergeCell ref="BH20:BJ20"/>
    <mergeCell ref="BK20:BQ20"/>
    <mergeCell ref="B21:D21"/>
    <mergeCell ref="E21:I21"/>
    <mergeCell ref="J21:P21"/>
    <mergeCell ref="Q21:W21"/>
    <mergeCell ref="X21:AD21"/>
    <mergeCell ref="AE21:AF21"/>
    <mergeCell ref="AG21:AI21"/>
    <mergeCell ref="AJ21:AL21"/>
    <mergeCell ref="AM21:AO21"/>
    <mergeCell ref="AP21:AR21"/>
    <mergeCell ref="AS21:AU21"/>
    <mergeCell ref="AV21:AX21"/>
    <mergeCell ref="AY21:BA21"/>
    <mergeCell ref="BB21:BD21"/>
    <mergeCell ref="BE21:BG21"/>
    <mergeCell ref="BH21:BJ21"/>
    <mergeCell ref="BK21:BQ21"/>
    <mergeCell ref="B22:D22"/>
    <mergeCell ref="E22:I22"/>
    <mergeCell ref="J22:P22"/>
    <mergeCell ref="Q22:W22"/>
    <mergeCell ref="X22:AD22"/>
    <mergeCell ref="AE22:AF22"/>
    <mergeCell ref="AG22:AI22"/>
    <mergeCell ref="AJ22:AL22"/>
    <mergeCell ref="AM22:AO22"/>
    <mergeCell ref="AP22:AR22"/>
    <mergeCell ref="AS22:AU22"/>
    <mergeCell ref="AV22:AX22"/>
    <mergeCell ref="AY22:BA22"/>
    <mergeCell ref="BB22:BD22"/>
    <mergeCell ref="BE22:BG22"/>
    <mergeCell ref="BH22:BJ22"/>
    <mergeCell ref="BK22:BQ22"/>
    <mergeCell ref="B23:D23"/>
    <mergeCell ref="E23:I23"/>
    <mergeCell ref="J23:P23"/>
    <mergeCell ref="Q23:W23"/>
    <mergeCell ref="X23:AD23"/>
    <mergeCell ref="AE23:AF23"/>
    <mergeCell ref="AG23:AI23"/>
    <mergeCell ref="AJ23:AL23"/>
    <mergeCell ref="AM23:AO23"/>
    <mergeCell ref="AP23:AR23"/>
    <mergeCell ref="AS23:AU23"/>
    <mergeCell ref="AV23:AX23"/>
    <mergeCell ref="AY23:BA23"/>
    <mergeCell ref="BB23:BD23"/>
    <mergeCell ref="BE23:BG23"/>
    <mergeCell ref="BH23:BJ23"/>
    <mergeCell ref="BK23:BQ23"/>
    <mergeCell ref="B24:D24"/>
    <mergeCell ref="E24:I24"/>
    <mergeCell ref="J24:P24"/>
    <mergeCell ref="Q24:W24"/>
    <mergeCell ref="X24:AD24"/>
    <mergeCell ref="AE24:AF24"/>
    <mergeCell ref="AG24:AI24"/>
    <mergeCell ref="AJ24:AL24"/>
    <mergeCell ref="AM24:AO24"/>
    <mergeCell ref="AP24:AR24"/>
    <mergeCell ref="AS24:AU24"/>
    <mergeCell ref="AV24:AX24"/>
    <mergeCell ref="AY24:BA24"/>
    <mergeCell ref="BB24:BD24"/>
    <mergeCell ref="BE24:BG24"/>
    <mergeCell ref="BH24:BJ24"/>
    <mergeCell ref="BK24:BQ24"/>
    <mergeCell ref="B25:D25"/>
    <mergeCell ref="E25:I25"/>
    <mergeCell ref="J25:P25"/>
    <mergeCell ref="Q25:W25"/>
    <mergeCell ref="X25:AD25"/>
    <mergeCell ref="AE25:AF25"/>
    <mergeCell ref="AG25:AI25"/>
    <mergeCell ref="AJ25:AL25"/>
    <mergeCell ref="AM25:AO25"/>
    <mergeCell ref="AP25:AR25"/>
    <mergeCell ref="AS25:AU25"/>
    <mergeCell ref="AV25:AX25"/>
    <mergeCell ref="AY25:BA25"/>
    <mergeCell ref="BB25:BD25"/>
    <mergeCell ref="BE25:BG25"/>
    <mergeCell ref="BH25:BJ25"/>
    <mergeCell ref="BK25:BQ25"/>
    <mergeCell ref="A26:BQ26"/>
    <mergeCell ref="B27:D27"/>
    <mergeCell ref="E27:I27"/>
    <mergeCell ref="J27:P27"/>
    <mergeCell ref="Q27:W27"/>
    <mergeCell ref="X27:AD27"/>
    <mergeCell ref="AE27:AF27"/>
    <mergeCell ref="AG27:AI27"/>
    <mergeCell ref="AJ27:AL27"/>
    <mergeCell ref="AM27:AO27"/>
    <mergeCell ref="AP27:AR27"/>
    <mergeCell ref="AS27:AU27"/>
    <mergeCell ref="AV27:AX27"/>
    <mergeCell ref="AY27:BA27"/>
    <mergeCell ref="BB27:BD27"/>
    <mergeCell ref="BE27:BG27"/>
    <mergeCell ref="BH27:BJ27"/>
    <mergeCell ref="BK27:BQ27"/>
    <mergeCell ref="B28:D28"/>
    <mergeCell ref="E28:I28"/>
    <mergeCell ref="J28:P28"/>
    <mergeCell ref="Q28:W28"/>
    <mergeCell ref="X28:AD28"/>
    <mergeCell ref="AE28:AF28"/>
    <mergeCell ref="AG28:AI28"/>
    <mergeCell ref="AJ28:AL28"/>
    <mergeCell ref="AM28:AO28"/>
    <mergeCell ref="AP28:AR28"/>
    <mergeCell ref="AS28:AU28"/>
    <mergeCell ref="AV28:AX28"/>
    <mergeCell ref="AY28:BA28"/>
    <mergeCell ref="BB28:BD28"/>
    <mergeCell ref="BE28:BG28"/>
    <mergeCell ref="BH28:BJ28"/>
    <mergeCell ref="BK28:BQ28"/>
    <mergeCell ref="B29:D29"/>
    <mergeCell ref="E29:I29"/>
    <mergeCell ref="J29:P29"/>
    <mergeCell ref="Q29:W29"/>
    <mergeCell ref="X29:AD29"/>
    <mergeCell ref="AE29:AF29"/>
    <mergeCell ref="AG29:AI29"/>
    <mergeCell ref="AJ29:AL29"/>
    <mergeCell ref="AM29:AO29"/>
    <mergeCell ref="AP29:AR29"/>
    <mergeCell ref="AS29:AU29"/>
    <mergeCell ref="AV29:AX29"/>
    <mergeCell ref="AY29:BA29"/>
    <mergeCell ref="BB29:BD29"/>
    <mergeCell ref="BE29:BG29"/>
    <mergeCell ref="BH29:BJ29"/>
    <mergeCell ref="BK29:BQ29"/>
    <mergeCell ref="A30:BQ30"/>
    <mergeCell ref="B31:D31"/>
    <mergeCell ref="E31:I31"/>
    <mergeCell ref="J31:P31"/>
    <mergeCell ref="Q31:W31"/>
    <mergeCell ref="X31:AD31"/>
    <mergeCell ref="AE31:AF31"/>
    <mergeCell ref="AG31:AI31"/>
    <mergeCell ref="AJ31:AL31"/>
    <mergeCell ref="AM31:AO31"/>
    <mergeCell ref="AP31:AR31"/>
    <mergeCell ref="AS31:AU31"/>
    <mergeCell ref="AV31:AX31"/>
    <mergeCell ref="AY31:BA31"/>
    <mergeCell ref="BB31:BD31"/>
    <mergeCell ref="BE31:BG31"/>
    <mergeCell ref="BH31:BJ31"/>
    <mergeCell ref="BK31:BQ31"/>
    <mergeCell ref="B32:D32"/>
    <mergeCell ref="E32:I32"/>
    <mergeCell ref="J32:P32"/>
    <mergeCell ref="Q32:W32"/>
    <mergeCell ref="X32:AD32"/>
    <mergeCell ref="AE32:AF32"/>
    <mergeCell ref="AG32:AI32"/>
    <mergeCell ref="AJ32:AL32"/>
    <mergeCell ref="AM32:AO32"/>
    <mergeCell ref="AP32:AR32"/>
    <mergeCell ref="AS32:AU32"/>
    <mergeCell ref="AV32:AX32"/>
    <mergeCell ref="AY32:BA32"/>
    <mergeCell ref="BB32:BD32"/>
    <mergeCell ref="BE32:BG32"/>
    <mergeCell ref="BH32:BJ32"/>
    <mergeCell ref="BK32:BQ32"/>
    <mergeCell ref="B33:D33"/>
    <mergeCell ref="E33:I33"/>
    <mergeCell ref="J33:P33"/>
    <mergeCell ref="Q33:W33"/>
    <mergeCell ref="X33:AD33"/>
    <mergeCell ref="AE33:AF33"/>
    <mergeCell ref="AG33:AI33"/>
    <mergeCell ref="AJ33:AL33"/>
    <mergeCell ref="AM33:AO33"/>
    <mergeCell ref="AP33:AR33"/>
    <mergeCell ref="AS33:AU33"/>
    <mergeCell ref="AV33:AX33"/>
    <mergeCell ref="AY33:BA33"/>
    <mergeCell ref="BB33:BD33"/>
    <mergeCell ref="BE33:BG33"/>
    <mergeCell ref="BH33:BJ33"/>
    <mergeCell ref="BK33:BQ33"/>
    <mergeCell ref="B34:D34"/>
    <mergeCell ref="E34:I34"/>
    <mergeCell ref="J34:P34"/>
    <mergeCell ref="Q34:W34"/>
    <mergeCell ref="X34:AD34"/>
    <mergeCell ref="AE34:AF34"/>
    <mergeCell ref="AG34:AI34"/>
    <mergeCell ref="AJ34:AL34"/>
    <mergeCell ref="AM34:AO34"/>
    <mergeCell ref="AP34:AR34"/>
    <mergeCell ref="AS34:AU34"/>
    <mergeCell ref="AV34:AX34"/>
    <mergeCell ref="AY34:BA34"/>
    <mergeCell ref="BB34:BD34"/>
    <mergeCell ref="BE34:BG34"/>
    <mergeCell ref="BH34:BJ34"/>
    <mergeCell ref="BK34:BQ34"/>
    <mergeCell ref="B35:D35"/>
    <mergeCell ref="E35:I35"/>
    <mergeCell ref="J35:P35"/>
    <mergeCell ref="Q35:W35"/>
    <mergeCell ref="X35:AD35"/>
    <mergeCell ref="AE35:AF35"/>
    <mergeCell ref="AG35:AI35"/>
    <mergeCell ref="AJ35:AL35"/>
    <mergeCell ref="AM35:AO35"/>
    <mergeCell ref="AP35:AR35"/>
    <mergeCell ref="AS35:AU35"/>
    <mergeCell ref="AV35:AX35"/>
    <mergeCell ref="AY35:BA35"/>
    <mergeCell ref="BB35:BD35"/>
    <mergeCell ref="BE35:BG35"/>
    <mergeCell ref="BH35:BJ35"/>
    <mergeCell ref="BK35:BQ35"/>
    <mergeCell ref="B36:D36"/>
    <mergeCell ref="E36:I36"/>
    <mergeCell ref="J36:P36"/>
    <mergeCell ref="Q36:W36"/>
    <mergeCell ref="X36:AD36"/>
    <mergeCell ref="AE36:AF36"/>
    <mergeCell ref="AG36:AI36"/>
    <mergeCell ref="AJ36:AL36"/>
    <mergeCell ref="AM36:AO36"/>
    <mergeCell ref="AP36:AR36"/>
    <mergeCell ref="AS36:AU36"/>
    <mergeCell ref="AV36:AX36"/>
    <mergeCell ref="AY36:BA36"/>
    <mergeCell ref="BB36:BD36"/>
    <mergeCell ref="BE36:BG36"/>
    <mergeCell ref="BH36:BJ36"/>
    <mergeCell ref="BK36:BQ36"/>
    <mergeCell ref="B37:D37"/>
    <mergeCell ref="E37:I37"/>
    <mergeCell ref="J37:P37"/>
    <mergeCell ref="Q37:W37"/>
    <mergeCell ref="X37:AD37"/>
    <mergeCell ref="AE37:AF37"/>
    <mergeCell ref="AG37:AI37"/>
    <mergeCell ref="AJ37:AL37"/>
    <mergeCell ref="AM37:AO37"/>
    <mergeCell ref="AP37:AR37"/>
    <mergeCell ref="AS37:AU37"/>
    <mergeCell ref="AV37:AX37"/>
    <mergeCell ref="AY37:BA37"/>
    <mergeCell ref="BB37:BD37"/>
    <mergeCell ref="BE37:BG37"/>
    <mergeCell ref="BH37:BJ37"/>
    <mergeCell ref="BK37:BQ37"/>
    <mergeCell ref="B38:D38"/>
    <mergeCell ref="E38:I38"/>
    <mergeCell ref="J38:P38"/>
    <mergeCell ref="Q38:W38"/>
    <mergeCell ref="X38:AD38"/>
    <mergeCell ref="AE38:AF38"/>
    <mergeCell ref="AG38:AI38"/>
    <mergeCell ref="AJ38:AL38"/>
    <mergeCell ref="AM38:AO38"/>
    <mergeCell ref="AP38:AR38"/>
    <mergeCell ref="AS38:AU38"/>
    <mergeCell ref="AV38:AX38"/>
    <mergeCell ref="AY38:BA38"/>
    <mergeCell ref="BB38:BD38"/>
    <mergeCell ref="BE38:BG38"/>
    <mergeCell ref="BH38:BJ38"/>
    <mergeCell ref="BK38:BQ38"/>
    <mergeCell ref="B39:D39"/>
    <mergeCell ref="E39:I39"/>
    <mergeCell ref="J39:P39"/>
    <mergeCell ref="Q39:W39"/>
    <mergeCell ref="X39:AD39"/>
    <mergeCell ref="AE39:AF39"/>
    <mergeCell ref="AG39:AI39"/>
    <mergeCell ref="AJ39:AL39"/>
    <mergeCell ref="AM39:AO39"/>
    <mergeCell ref="AP39:AR39"/>
    <mergeCell ref="AS39:AU39"/>
    <mergeCell ref="AV39:AX39"/>
    <mergeCell ref="AY39:BA39"/>
    <mergeCell ref="BB39:BD39"/>
    <mergeCell ref="BE39:BG39"/>
    <mergeCell ref="BH39:BJ39"/>
    <mergeCell ref="BK39:BQ39"/>
    <mergeCell ref="B40:D40"/>
    <mergeCell ref="E40:I40"/>
    <mergeCell ref="J40:P40"/>
    <mergeCell ref="Q40:W40"/>
    <mergeCell ref="X40:AD40"/>
    <mergeCell ref="AE40:AF40"/>
    <mergeCell ref="AG40:AI40"/>
    <mergeCell ref="AJ40:AL40"/>
    <mergeCell ref="AM40:AO40"/>
    <mergeCell ref="AP40:AR40"/>
    <mergeCell ref="AS40:AU40"/>
    <mergeCell ref="AV40:AX40"/>
    <mergeCell ref="AY40:BA40"/>
    <mergeCell ref="BB40:BD40"/>
    <mergeCell ref="BE40:BG40"/>
    <mergeCell ref="BH40:BJ40"/>
    <mergeCell ref="BK40:BQ40"/>
    <mergeCell ref="B41:D41"/>
    <mergeCell ref="E41:I41"/>
    <mergeCell ref="J41:P41"/>
    <mergeCell ref="Q41:W41"/>
    <mergeCell ref="X41:AD41"/>
    <mergeCell ref="AE41:AF41"/>
    <mergeCell ref="AG41:AI41"/>
    <mergeCell ref="AJ41:AL41"/>
    <mergeCell ref="AM41:AO41"/>
    <mergeCell ref="AP41:AR41"/>
    <mergeCell ref="AS41:AU41"/>
    <mergeCell ref="AV41:AX41"/>
    <mergeCell ref="AY41:BA41"/>
    <mergeCell ref="BB41:BD41"/>
    <mergeCell ref="BE41:BG41"/>
    <mergeCell ref="BH41:BJ41"/>
    <mergeCell ref="BK41:BQ41"/>
    <mergeCell ref="B42:D42"/>
    <mergeCell ref="E42:I42"/>
    <mergeCell ref="J42:P42"/>
    <mergeCell ref="Q42:W42"/>
    <mergeCell ref="X42:AD42"/>
    <mergeCell ref="AE42:AF42"/>
    <mergeCell ref="AG42:AI42"/>
    <mergeCell ref="AJ42:AL42"/>
    <mergeCell ref="AM42:AO42"/>
    <mergeCell ref="AP42:AR42"/>
    <mergeCell ref="AS42:AU42"/>
    <mergeCell ref="AV42:AX42"/>
    <mergeCell ref="AY42:BA42"/>
    <mergeCell ref="BB42:BD42"/>
    <mergeCell ref="BE42:BG42"/>
    <mergeCell ref="BH42:BJ42"/>
    <mergeCell ref="BK42:BQ42"/>
    <mergeCell ref="B43:D43"/>
    <mergeCell ref="E43:I43"/>
    <mergeCell ref="J43:P43"/>
    <mergeCell ref="Q43:W43"/>
    <mergeCell ref="X43:AD43"/>
    <mergeCell ref="AE43:AF43"/>
    <mergeCell ref="AG43:AI43"/>
    <mergeCell ref="AJ43:AL43"/>
    <mergeCell ref="AM43:AO43"/>
    <mergeCell ref="AP43:AR43"/>
    <mergeCell ref="AS43:AU43"/>
    <mergeCell ref="AV43:AX43"/>
    <mergeCell ref="AY43:BA43"/>
    <mergeCell ref="BB43:BD43"/>
    <mergeCell ref="BE43:BG43"/>
    <mergeCell ref="BH43:BJ43"/>
    <mergeCell ref="BK43:BQ43"/>
    <mergeCell ref="B44:D44"/>
    <mergeCell ref="E44:I44"/>
    <mergeCell ref="J44:P44"/>
    <mergeCell ref="Q44:W44"/>
    <mergeCell ref="X44:AD44"/>
    <mergeCell ref="AE44:AF44"/>
    <mergeCell ref="AG44:AI44"/>
    <mergeCell ref="AJ44:AL44"/>
    <mergeCell ref="AM44:AO44"/>
    <mergeCell ref="AP44:AR44"/>
    <mergeCell ref="AS44:AU44"/>
    <mergeCell ref="AV44:AX44"/>
    <mergeCell ref="AY44:BA44"/>
    <mergeCell ref="BB44:BD44"/>
    <mergeCell ref="BE44:BG44"/>
    <mergeCell ref="BH44:BJ44"/>
    <mergeCell ref="BK44:BQ44"/>
    <mergeCell ref="B45:D45"/>
    <mergeCell ref="E45:I45"/>
    <mergeCell ref="J45:P45"/>
    <mergeCell ref="Q45:W45"/>
    <mergeCell ref="X45:AD45"/>
    <mergeCell ref="AE45:AF45"/>
    <mergeCell ref="AG45:AI45"/>
    <mergeCell ref="AJ45:AL45"/>
    <mergeCell ref="AM45:AO45"/>
    <mergeCell ref="AP45:AR45"/>
    <mergeCell ref="AS45:AU45"/>
    <mergeCell ref="AV45:AX45"/>
    <mergeCell ref="AY45:BA45"/>
    <mergeCell ref="BB45:BD45"/>
    <mergeCell ref="BE45:BG45"/>
    <mergeCell ref="BH45:BJ45"/>
    <mergeCell ref="BK45:BQ45"/>
    <mergeCell ref="B46:D46"/>
    <mergeCell ref="E46:I46"/>
    <mergeCell ref="J46:P46"/>
    <mergeCell ref="Q46:W46"/>
    <mergeCell ref="X46:AD46"/>
    <mergeCell ref="AE46:AF46"/>
    <mergeCell ref="AG46:AI46"/>
    <mergeCell ref="AJ46:AL46"/>
    <mergeCell ref="AM46:AO46"/>
    <mergeCell ref="AP46:AR46"/>
    <mergeCell ref="AS46:AU46"/>
    <mergeCell ref="AV46:AX46"/>
    <mergeCell ref="AY46:BA46"/>
    <mergeCell ref="BB46:BD46"/>
    <mergeCell ref="BE46:BG46"/>
    <mergeCell ref="BH46:BJ46"/>
    <mergeCell ref="BK46:BQ46"/>
    <mergeCell ref="B47:D47"/>
    <mergeCell ref="E47:I47"/>
    <mergeCell ref="J47:P47"/>
    <mergeCell ref="Q47:W47"/>
    <mergeCell ref="X47:AD47"/>
    <mergeCell ref="AE47:AF47"/>
    <mergeCell ref="AG47:AI47"/>
    <mergeCell ref="AJ47:AL47"/>
    <mergeCell ref="AM47:AO47"/>
    <mergeCell ref="AP47:AR47"/>
    <mergeCell ref="AS47:AU47"/>
    <mergeCell ref="AV47:AX47"/>
    <mergeCell ref="AY47:BA47"/>
    <mergeCell ref="BB47:BD47"/>
    <mergeCell ref="BE47:BG47"/>
    <mergeCell ref="BH47:BJ47"/>
    <mergeCell ref="BK47:BQ47"/>
    <mergeCell ref="B48:D48"/>
    <mergeCell ref="E48:I48"/>
    <mergeCell ref="J48:P48"/>
    <mergeCell ref="Q48:W48"/>
    <mergeCell ref="X48:AD48"/>
    <mergeCell ref="AE48:AF48"/>
    <mergeCell ref="AG48:AI48"/>
    <mergeCell ref="AJ48:AL48"/>
    <mergeCell ref="AM48:AO48"/>
    <mergeCell ref="AP48:AR48"/>
    <mergeCell ref="AS48:AU48"/>
    <mergeCell ref="AV48:AX48"/>
    <mergeCell ref="AY48:BA48"/>
    <mergeCell ref="BB48:BD48"/>
    <mergeCell ref="BE48:BG48"/>
    <mergeCell ref="BH48:BJ48"/>
    <mergeCell ref="BK48:BQ48"/>
    <mergeCell ref="B49:D49"/>
    <mergeCell ref="E49:I49"/>
    <mergeCell ref="J49:P49"/>
    <mergeCell ref="Q49:W49"/>
    <mergeCell ref="X49:AD49"/>
    <mergeCell ref="AE49:AF49"/>
    <mergeCell ref="AG49:AI49"/>
    <mergeCell ref="AJ49:AL49"/>
    <mergeCell ref="AM49:AO49"/>
    <mergeCell ref="AP49:AR49"/>
    <mergeCell ref="AS49:AU49"/>
    <mergeCell ref="AV49:AX49"/>
    <mergeCell ref="AY49:BA49"/>
    <mergeCell ref="BB49:BD49"/>
    <mergeCell ref="BE49:BG49"/>
    <mergeCell ref="BH49:BJ49"/>
    <mergeCell ref="BK49:BQ49"/>
    <mergeCell ref="B50:D50"/>
    <mergeCell ref="E50:I50"/>
    <mergeCell ref="J50:P50"/>
    <mergeCell ref="Q50:W50"/>
    <mergeCell ref="X50:AD50"/>
    <mergeCell ref="AE50:AF50"/>
    <mergeCell ref="AG50:AI50"/>
    <mergeCell ref="AJ50:AL50"/>
    <mergeCell ref="AM50:AO50"/>
    <mergeCell ref="AP50:AR50"/>
    <mergeCell ref="AS50:AU50"/>
    <mergeCell ref="AV50:AX50"/>
    <mergeCell ref="AY50:BA50"/>
    <mergeCell ref="BB50:BD50"/>
    <mergeCell ref="BE50:BG50"/>
    <mergeCell ref="BH50:BJ50"/>
    <mergeCell ref="BK50:BQ50"/>
    <mergeCell ref="B51:D51"/>
    <mergeCell ref="E51:I51"/>
    <mergeCell ref="J51:P51"/>
    <mergeCell ref="Q51:W51"/>
    <mergeCell ref="X51:AD51"/>
    <mergeCell ref="AE51:AF51"/>
    <mergeCell ref="AG51:AI51"/>
    <mergeCell ref="AJ51:AL51"/>
    <mergeCell ref="AM51:AO51"/>
    <mergeCell ref="AP51:AR51"/>
    <mergeCell ref="AS51:AU51"/>
    <mergeCell ref="AV51:AX51"/>
    <mergeCell ref="AY51:BA51"/>
    <mergeCell ref="BB51:BD51"/>
    <mergeCell ref="BE51:BG51"/>
    <mergeCell ref="BH51:BJ51"/>
    <mergeCell ref="BK51:BQ51"/>
    <mergeCell ref="B52:D52"/>
    <mergeCell ref="E52:I52"/>
    <mergeCell ref="J52:P52"/>
    <mergeCell ref="Q52:W52"/>
    <mergeCell ref="X52:AD52"/>
    <mergeCell ref="AE52:AF52"/>
    <mergeCell ref="AG52:AI52"/>
    <mergeCell ref="AJ52:AL52"/>
    <mergeCell ref="AM52:AO52"/>
    <mergeCell ref="AP52:AR52"/>
    <mergeCell ref="AS52:AU52"/>
    <mergeCell ref="AV52:AX52"/>
    <mergeCell ref="AY52:BA52"/>
    <mergeCell ref="BB52:BD52"/>
    <mergeCell ref="BE52:BG52"/>
    <mergeCell ref="BH52:BJ52"/>
    <mergeCell ref="BK52:BQ52"/>
    <mergeCell ref="B53:D53"/>
    <mergeCell ref="E53:I53"/>
    <mergeCell ref="J53:P53"/>
    <mergeCell ref="Q53:W53"/>
    <mergeCell ref="X53:AD53"/>
    <mergeCell ref="AE53:AF53"/>
    <mergeCell ref="AG53:AI53"/>
    <mergeCell ref="AJ53:AL53"/>
    <mergeCell ref="AM53:AO53"/>
    <mergeCell ref="AP53:AR53"/>
    <mergeCell ref="AS53:AU53"/>
    <mergeCell ref="AV53:AX53"/>
    <mergeCell ref="AY53:BA53"/>
    <mergeCell ref="BB53:BD53"/>
    <mergeCell ref="BE53:BG53"/>
    <mergeCell ref="BH53:BJ53"/>
    <mergeCell ref="BK53:BQ53"/>
    <mergeCell ref="B54:D54"/>
    <mergeCell ref="E54:I54"/>
    <mergeCell ref="J54:P54"/>
    <mergeCell ref="Q54:W54"/>
    <mergeCell ref="X54:AD54"/>
    <mergeCell ref="AE54:AF54"/>
    <mergeCell ref="AG54:AI54"/>
    <mergeCell ref="AJ54:AL54"/>
    <mergeCell ref="AM54:AO54"/>
    <mergeCell ref="AP54:AR54"/>
    <mergeCell ref="AS54:AU54"/>
    <mergeCell ref="AV54:AX54"/>
    <mergeCell ref="AY54:BA54"/>
    <mergeCell ref="BB54:BD54"/>
    <mergeCell ref="BE54:BG54"/>
    <mergeCell ref="BH54:BJ54"/>
    <mergeCell ref="BK54:BQ54"/>
    <mergeCell ref="B55:D55"/>
    <mergeCell ref="E55:I55"/>
    <mergeCell ref="J55:P55"/>
    <mergeCell ref="Q55:W55"/>
    <mergeCell ref="X55:AD55"/>
    <mergeCell ref="AE55:AF55"/>
    <mergeCell ref="AG55:AI55"/>
    <mergeCell ref="AJ55:AL55"/>
    <mergeCell ref="AM55:AO55"/>
    <mergeCell ref="AP55:AR55"/>
    <mergeCell ref="AS55:AU55"/>
    <mergeCell ref="AV55:AX55"/>
    <mergeCell ref="AY55:BA55"/>
    <mergeCell ref="BB55:BD55"/>
    <mergeCell ref="BE55:BG55"/>
    <mergeCell ref="BH55:BJ55"/>
    <mergeCell ref="BK55:BQ55"/>
    <mergeCell ref="B56:D56"/>
    <mergeCell ref="E56:I56"/>
    <mergeCell ref="J56:P56"/>
    <mergeCell ref="Q56:W56"/>
    <mergeCell ref="X56:AD56"/>
    <mergeCell ref="AE56:AF56"/>
    <mergeCell ref="AG56:AI56"/>
    <mergeCell ref="AJ56:AL56"/>
    <mergeCell ref="AM56:AO56"/>
    <mergeCell ref="AP56:AR56"/>
    <mergeCell ref="AS56:AU56"/>
    <mergeCell ref="AV56:AX56"/>
    <mergeCell ref="AY56:BA56"/>
    <mergeCell ref="BB56:BD56"/>
    <mergeCell ref="BE56:BG56"/>
    <mergeCell ref="BH56:BJ56"/>
    <mergeCell ref="BK56:BQ56"/>
    <mergeCell ref="B57:D57"/>
    <mergeCell ref="E57:I57"/>
    <mergeCell ref="J57:P57"/>
    <mergeCell ref="Q57:W57"/>
    <mergeCell ref="X57:AD57"/>
    <mergeCell ref="AE57:AF57"/>
    <mergeCell ref="AG57:AI57"/>
    <mergeCell ref="AJ57:AL57"/>
    <mergeCell ref="AM57:AO57"/>
    <mergeCell ref="AP57:AR57"/>
    <mergeCell ref="AS57:AU57"/>
    <mergeCell ref="AV57:AX57"/>
    <mergeCell ref="AY57:BA57"/>
    <mergeCell ref="BB57:BD57"/>
    <mergeCell ref="BE57:BG57"/>
    <mergeCell ref="BH57:BJ57"/>
    <mergeCell ref="BK57:BQ57"/>
    <mergeCell ref="B58:D58"/>
    <mergeCell ref="E58:I58"/>
    <mergeCell ref="J58:P58"/>
    <mergeCell ref="Q58:W58"/>
    <mergeCell ref="X58:AD58"/>
    <mergeCell ref="AE58:AF58"/>
    <mergeCell ref="AG58:AI58"/>
    <mergeCell ref="AJ58:AL58"/>
    <mergeCell ref="AM58:AO58"/>
    <mergeCell ref="AP58:AR58"/>
    <mergeCell ref="AS58:AU58"/>
    <mergeCell ref="AV58:AX58"/>
    <mergeCell ref="AY58:BA58"/>
    <mergeCell ref="BB58:BD58"/>
    <mergeCell ref="BE58:BG58"/>
    <mergeCell ref="BH58:BJ58"/>
    <mergeCell ref="BK58:BQ58"/>
    <mergeCell ref="B59:D59"/>
    <mergeCell ref="E59:I59"/>
    <mergeCell ref="J59:P59"/>
    <mergeCell ref="Q59:W59"/>
    <mergeCell ref="X59:AD59"/>
    <mergeCell ref="AE59:AF59"/>
    <mergeCell ref="AG59:AI59"/>
    <mergeCell ref="AJ59:AL59"/>
    <mergeCell ref="AM59:AO59"/>
    <mergeCell ref="AP59:AR59"/>
    <mergeCell ref="AS59:AU59"/>
    <mergeCell ref="AV59:AX59"/>
    <mergeCell ref="AY59:BA59"/>
    <mergeCell ref="BB59:BD59"/>
    <mergeCell ref="BE59:BG59"/>
    <mergeCell ref="BH59:BJ59"/>
    <mergeCell ref="BK59:BQ59"/>
    <mergeCell ref="B60:D60"/>
    <mergeCell ref="E60:I60"/>
    <mergeCell ref="J60:P60"/>
    <mergeCell ref="Q60:W60"/>
    <mergeCell ref="X60:AD60"/>
    <mergeCell ref="AE60:AF60"/>
    <mergeCell ref="AG60:AI60"/>
    <mergeCell ref="AJ60:AL60"/>
    <mergeCell ref="AM60:AO60"/>
    <mergeCell ref="AP60:AR60"/>
    <mergeCell ref="AS60:AU60"/>
    <mergeCell ref="AV60:AX60"/>
    <mergeCell ref="AY60:BA60"/>
    <mergeCell ref="BB60:BD60"/>
    <mergeCell ref="BE60:BG60"/>
    <mergeCell ref="BH60:BJ60"/>
    <mergeCell ref="BK60:BQ60"/>
    <mergeCell ref="A61:BQ61"/>
    <mergeCell ref="B62:D62"/>
    <mergeCell ref="E62:I62"/>
    <mergeCell ref="J62:P62"/>
    <mergeCell ref="Q62:W62"/>
    <mergeCell ref="X62:AD62"/>
    <mergeCell ref="AE62:AF62"/>
    <mergeCell ref="AG62:AI62"/>
    <mergeCell ref="AJ62:AL62"/>
    <mergeCell ref="AM62:AO62"/>
    <mergeCell ref="AP62:AR62"/>
    <mergeCell ref="AS62:AU62"/>
    <mergeCell ref="AV62:AX62"/>
    <mergeCell ref="AY62:BA62"/>
    <mergeCell ref="BB62:BD62"/>
    <mergeCell ref="BE62:BG62"/>
    <mergeCell ref="BH62:BJ62"/>
    <mergeCell ref="BK62:BQ62"/>
    <mergeCell ref="B63:D63"/>
    <mergeCell ref="E63:I63"/>
    <mergeCell ref="J63:P63"/>
    <mergeCell ref="Q63:W63"/>
    <mergeCell ref="X63:AD63"/>
    <mergeCell ref="AE63:AF63"/>
    <mergeCell ref="AG63:AI63"/>
    <mergeCell ref="AJ63:AL63"/>
    <mergeCell ref="AM63:AO63"/>
    <mergeCell ref="AP63:AR63"/>
    <mergeCell ref="AS63:AU63"/>
    <mergeCell ref="AV63:AX63"/>
    <mergeCell ref="AY63:BA63"/>
    <mergeCell ref="BB63:BD63"/>
    <mergeCell ref="BE63:BG63"/>
    <mergeCell ref="BH63:BJ63"/>
    <mergeCell ref="BK63:BQ63"/>
    <mergeCell ref="B64:D64"/>
    <mergeCell ref="E64:I64"/>
    <mergeCell ref="J64:P64"/>
    <mergeCell ref="Q64:W64"/>
    <mergeCell ref="X64:AD64"/>
    <mergeCell ref="AE64:AF64"/>
    <mergeCell ref="AG64:AI64"/>
    <mergeCell ref="AJ64:AL64"/>
    <mergeCell ref="AM64:AO64"/>
    <mergeCell ref="AP64:AR64"/>
    <mergeCell ref="AS64:AU64"/>
    <mergeCell ref="AV64:AX64"/>
    <mergeCell ref="AY64:BA64"/>
    <mergeCell ref="BB64:BD64"/>
    <mergeCell ref="BE64:BG64"/>
    <mergeCell ref="BH64:BJ64"/>
    <mergeCell ref="BK64:BQ64"/>
    <mergeCell ref="B65:D65"/>
    <mergeCell ref="E65:I65"/>
    <mergeCell ref="J65:P65"/>
    <mergeCell ref="Q65:W65"/>
    <mergeCell ref="X65:AD65"/>
    <mergeCell ref="AE65:AF65"/>
    <mergeCell ref="AG65:AI65"/>
    <mergeCell ref="AJ65:AL65"/>
    <mergeCell ref="AM65:AO65"/>
    <mergeCell ref="AP65:AR65"/>
    <mergeCell ref="AS65:AU65"/>
    <mergeCell ref="AV65:AX65"/>
    <mergeCell ref="AY65:BA65"/>
    <mergeCell ref="BB65:BD65"/>
    <mergeCell ref="BE65:BG65"/>
    <mergeCell ref="BH65:BJ65"/>
    <mergeCell ref="BK65:BQ65"/>
    <mergeCell ref="B66:D66"/>
    <mergeCell ref="E66:I66"/>
    <mergeCell ref="J66:P66"/>
    <mergeCell ref="Q66:W66"/>
    <mergeCell ref="X66:AD66"/>
    <mergeCell ref="AE66:AF66"/>
    <mergeCell ref="AG66:AI66"/>
    <mergeCell ref="AJ66:AL66"/>
    <mergeCell ref="AM66:AO66"/>
    <mergeCell ref="AP66:AR66"/>
    <mergeCell ref="AS66:AU66"/>
    <mergeCell ref="AV66:AX66"/>
    <mergeCell ref="AY66:BA66"/>
    <mergeCell ref="BB66:BD66"/>
    <mergeCell ref="BE66:BG66"/>
    <mergeCell ref="BH66:BJ66"/>
    <mergeCell ref="BK66:BQ66"/>
    <mergeCell ref="B67:D67"/>
    <mergeCell ref="E67:I67"/>
    <mergeCell ref="J67:P67"/>
    <mergeCell ref="Q67:W67"/>
    <mergeCell ref="X67:AD67"/>
    <mergeCell ref="AE67:AF67"/>
    <mergeCell ref="AG67:AI67"/>
    <mergeCell ref="AJ67:AL67"/>
    <mergeCell ref="AM67:AO67"/>
    <mergeCell ref="AP67:AR67"/>
    <mergeCell ref="AS67:AU67"/>
    <mergeCell ref="AV67:AX67"/>
    <mergeCell ref="AY67:BA67"/>
    <mergeCell ref="BB67:BD67"/>
    <mergeCell ref="BE67:BG67"/>
    <mergeCell ref="BH67:BJ67"/>
    <mergeCell ref="BK67:BQ67"/>
    <mergeCell ref="B68:D68"/>
    <mergeCell ref="E68:I68"/>
    <mergeCell ref="J68:P68"/>
    <mergeCell ref="Q68:W68"/>
    <mergeCell ref="X68:AD68"/>
    <mergeCell ref="AE68:AF68"/>
    <mergeCell ref="AG68:AI68"/>
    <mergeCell ref="AJ68:AL68"/>
    <mergeCell ref="AM68:AO68"/>
    <mergeCell ref="AP68:AR68"/>
    <mergeCell ref="AS68:AU68"/>
    <mergeCell ref="AV68:AX68"/>
    <mergeCell ref="AY68:BA68"/>
    <mergeCell ref="BB68:BD68"/>
    <mergeCell ref="BE68:BG68"/>
    <mergeCell ref="BH68:BJ68"/>
    <mergeCell ref="BK68:BQ68"/>
    <mergeCell ref="B69:D69"/>
    <mergeCell ref="E69:I69"/>
    <mergeCell ref="J69:P69"/>
    <mergeCell ref="Q69:W69"/>
    <mergeCell ref="X69:AD69"/>
    <mergeCell ref="AE69:AF69"/>
    <mergeCell ref="AG69:AI69"/>
    <mergeCell ref="AJ69:AL69"/>
    <mergeCell ref="AM69:AO69"/>
    <mergeCell ref="AP69:AR69"/>
    <mergeCell ref="AS69:AU69"/>
    <mergeCell ref="AV69:AX69"/>
    <mergeCell ref="AY69:BA69"/>
    <mergeCell ref="BB69:BD69"/>
    <mergeCell ref="BE69:BG69"/>
    <mergeCell ref="BH69:BJ69"/>
    <mergeCell ref="BK69:BQ69"/>
    <mergeCell ref="A70:BQ70"/>
    <mergeCell ref="B71:D71"/>
    <mergeCell ref="E71:I71"/>
    <mergeCell ref="J71:P71"/>
    <mergeCell ref="Q71:W71"/>
    <mergeCell ref="X71:AD71"/>
    <mergeCell ref="AE71:AF71"/>
    <mergeCell ref="AG71:AI71"/>
    <mergeCell ref="AJ71:AL71"/>
    <mergeCell ref="AM71:AO71"/>
    <mergeCell ref="AP71:AR71"/>
    <mergeCell ref="AS71:AU71"/>
    <mergeCell ref="AV71:AX71"/>
    <mergeCell ref="AY71:BA71"/>
    <mergeCell ref="BB71:BD71"/>
    <mergeCell ref="BE71:BG71"/>
    <mergeCell ref="BH71:BJ71"/>
    <mergeCell ref="BK71:BQ71"/>
    <mergeCell ref="B72:D72"/>
    <mergeCell ref="E72:I72"/>
    <mergeCell ref="J72:P72"/>
    <mergeCell ref="Q72:W72"/>
    <mergeCell ref="X72:AD72"/>
    <mergeCell ref="AE72:AF72"/>
    <mergeCell ref="AG72:AI72"/>
    <mergeCell ref="AJ72:AL72"/>
    <mergeCell ref="AM72:AO72"/>
    <mergeCell ref="AP72:AR72"/>
    <mergeCell ref="AS72:AU72"/>
    <mergeCell ref="AV72:AX72"/>
    <mergeCell ref="AY72:BA72"/>
    <mergeCell ref="BB72:BD72"/>
    <mergeCell ref="BE72:BG72"/>
    <mergeCell ref="BH72:BJ72"/>
    <mergeCell ref="BK72:BQ72"/>
    <mergeCell ref="B73:D73"/>
    <mergeCell ref="E73:I73"/>
    <mergeCell ref="J73:P73"/>
    <mergeCell ref="Q73:W73"/>
    <mergeCell ref="X73:AD73"/>
    <mergeCell ref="AE73:AF73"/>
    <mergeCell ref="AG73:AI73"/>
    <mergeCell ref="AJ73:AL73"/>
    <mergeCell ref="AM73:AO73"/>
    <mergeCell ref="AP73:AR73"/>
    <mergeCell ref="AS73:AU73"/>
    <mergeCell ref="AV73:AX73"/>
    <mergeCell ref="AY73:BA73"/>
    <mergeCell ref="BB73:BD73"/>
    <mergeCell ref="BE73:BG73"/>
    <mergeCell ref="BH73:BJ73"/>
    <mergeCell ref="BK73:BQ73"/>
    <mergeCell ref="B74:D74"/>
    <mergeCell ref="E74:I74"/>
    <mergeCell ref="J74:P74"/>
    <mergeCell ref="Q74:W74"/>
    <mergeCell ref="X74:AD74"/>
    <mergeCell ref="AE74:AF74"/>
    <mergeCell ref="AG74:AI74"/>
    <mergeCell ref="AJ74:AL74"/>
    <mergeCell ref="AM74:AO74"/>
    <mergeCell ref="AP74:AR74"/>
    <mergeCell ref="AS74:AU74"/>
    <mergeCell ref="AV74:AX74"/>
    <mergeCell ref="AY74:BA74"/>
    <mergeCell ref="BB74:BD74"/>
    <mergeCell ref="BE74:BG74"/>
    <mergeCell ref="BH74:BJ74"/>
    <mergeCell ref="BK74:BQ74"/>
    <mergeCell ref="B75:D75"/>
    <mergeCell ref="E75:I75"/>
    <mergeCell ref="J75:P75"/>
    <mergeCell ref="Q75:W75"/>
    <mergeCell ref="X75:AD75"/>
    <mergeCell ref="AE75:AF75"/>
    <mergeCell ref="AG75:AI75"/>
    <mergeCell ref="AJ75:AL75"/>
    <mergeCell ref="AM75:AO75"/>
    <mergeCell ref="AP75:AR75"/>
    <mergeCell ref="AS75:AU75"/>
    <mergeCell ref="AV75:AX75"/>
    <mergeCell ref="AY75:BA75"/>
    <mergeCell ref="BB75:BD75"/>
    <mergeCell ref="BE75:BG75"/>
    <mergeCell ref="BH75:BJ75"/>
    <mergeCell ref="BK75:BQ75"/>
    <mergeCell ref="B76:D76"/>
    <mergeCell ref="E76:I76"/>
    <mergeCell ref="J76:P76"/>
    <mergeCell ref="Q76:W76"/>
    <mergeCell ref="X76:AD76"/>
    <mergeCell ref="AE76:AF76"/>
    <mergeCell ref="AG76:AI76"/>
    <mergeCell ref="AJ76:AL76"/>
    <mergeCell ref="AM76:AO76"/>
    <mergeCell ref="AP76:AR76"/>
    <mergeCell ref="AS76:AU76"/>
    <mergeCell ref="AV76:AX76"/>
    <mergeCell ref="AY76:BA76"/>
    <mergeCell ref="BB76:BD76"/>
    <mergeCell ref="BE76:BG76"/>
    <mergeCell ref="BH76:BJ76"/>
    <mergeCell ref="BK76:BQ76"/>
    <mergeCell ref="B77:D77"/>
    <mergeCell ref="E77:I77"/>
    <mergeCell ref="J77:P77"/>
    <mergeCell ref="Q77:W77"/>
    <mergeCell ref="X77:AD77"/>
    <mergeCell ref="AE77:AF77"/>
    <mergeCell ref="AG77:AI77"/>
    <mergeCell ref="AJ77:AL77"/>
    <mergeCell ref="AM77:AO77"/>
    <mergeCell ref="AP77:AR77"/>
    <mergeCell ref="AS77:AU77"/>
    <mergeCell ref="AV77:AX77"/>
    <mergeCell ref="AY77:BA77"/>
    <mergeCell ref="BB77:BD77"/>
    <mergeCell ref="BE77:BG77"/>
    <mergeCell ref="BH77:BJ77"/>
    <mergeCell ref="BK77:BQ77"/>
    <mergeCell ref="B78:D78"/>
    <mergeCell ref="E78:I78"/>
    <mergeCell ref="J78:P78"/>
    <mergeCell ref="Q78:W78"/>
    <mergeCell ref="X78:AD78"/>
    <mergeCell ref="AE78:AF78"/>
    <mergeCell ref="AG78:AI78"/>
    <mergeCell ref="AJ78:AL78"/>
    <mergeCell ref="AM78:AO78"/>
    <mergeCell ref="AP78:AR78"/>
    <mergeCell ref="AS78:AU78"/>
    <mergeCell ref="AV78:AX78"/>
    <mergeCell ref="AY78:BA78"/>
    <mergeCell ref="BB78:BD78"/>
    <mergeCell ref="BE78:BG78"/>
    <mergeCell ref="BH78:BJ78"/>
    <mergeCell ref="BK78:BQ78"/>
    <mergeCell ref="A79:BQ79"/>
    <mergeCell ref="B80:D80"/>
    <mergeCell ref="E80:I80"/>
    <mergeCell ref="J80:P80"/>
    <mergeCell ref="Q80:W80"/>
    <mergeCell ref="X80:AD80"/>
    <mergeCell ref="AE80:AF80"/>
    <mergeCell ref="AG80:AI80"/>
    <mergeCell ref="AJ80:AL80"/>
    <mergeCell ref="AM80:AO80"/>
    <mergeCell ref="AP80:AR80"/>
    <mergeCell ref="AS80:AU80"/>
    <mergeCell ref="AV80:AX80"/>
    <mergeCell ref="AY80:BA80"/>
    <mergeCell ref="BB80:BD80"/>
    <mergeCell ref="BE80:BG80"/>
    <mergeCell ref="BH80:BJ80"/>
    <mergeCell ref="BK80:BQ80"/>
    <mergeCell ref="B81:D81"/>
    <mergeCell ref="E81:I81"/>
    <mergeCell ref="J81:P81"/>
    <mergeCell ref="Q81:W81"/>
    <mergeCell ref="X81:AD81"/>
    <mergeCell ref="AE81:AF81"/>
    <mergeCell ref="AG81:AI81"/>
    <mergeCell ref="AJ81:AL81"/>
    <mergeCell ref="AM81:AO81"/>
    <mergeCell ref="AP81:AR81"/>
    <mergeCell ref="AS81:AU81"/>
    <mergeCell ref="AV81:AX81"/>
    <mergeCell ref="AY81:BA81"/>
    <mergeCell ref="BB81:BD81"/>
    <mergeCell ref="BE81:BG81"/>
    <mergeCell ref="BH81:BJ81"/>
    <mergeCell ref="BK81:BQ81"/>
    <mergeCell ref="B82:D82"/>
    <mergeCell ref="E82:I82"/>
    <mergeCell ref="J82:P82"/>
    <mergeCell ref="Q82:W82"/>
    <mergeCell ref="X82:AD82"/>
    <mergeCell ref="AE82:AF82"/>
    <mergeCell ref="AG82:AI82"/>
    <mergeCell ref="AJ82:AL82"/>
    <mergeCell ref="AM82:AO82"/>
    <mergeCell ref="AP82:AR82"/>
    <mergeCell ref="AS82:AU82"/>
    <mergeCell ref="AV82:AX82"/>
    <mergeCell ref="AY82:BA82"/>
    <mergeCell ref="BB82:BD82"/>
    <mergeCell ref="BE82:BG82"/>
    <mergeCell ref="BH82:BJ82"/>
    <mergeCell ref="BK82:BQ82"/>
    <mergeCell ref="B83:D83"/>
    <mergeCell ref="E83:I83"/>
    <mergeCell ref="J83:P83"/>
    <mergeCell ref="Q83:W83"/>
    <mergeCell ref="X83:AD83"/>
    <mergeCell ref="AE83:AF83"/>
    <mergeCell ref="AG83:AI83"/>
    <mergeCell ref="AJ83:AL83"/>
    <mergeCell ref="AM83:AO83"/>
    <mergeCell ref="AP83:AR83"/>
    <mergeCell ref="AS83:AU83"/>
    <mergeCell ref="AV83:AX83"/>
    <mergeCell ref="AY83:BA83"/>
    <mergeCell ref="BB83:BD83"/>
    <mergeCell ref="BE83:BG83"/>
    <mergeCell ref="BH83:BJ83"/>
    <mergeCell ref="BK83:BQ83"/>
    <mergeCell ref="B84:D84"/>
    <mergeCell ref="E84:I84"/>
    <mergeCell ref="J84:P84"/>
    <mergeCell ref="Q84:W84"/>
    <mergeCell ref="X84:AD84"/>
    <mergeCell ref="AE84:AF84"/>
    <mergeCell ref="AG84:AI84"/>
    <mergeCell ref="AJ84:AL84"/>
    <mergeCell ref="AM84:AO84"/>
    <mergeCell ref="AP84:AR84"/>
    <mergeCell ref="AS84:AU84"/>
    <mergeCell ref="AV84:AX84"/>
    <mergeCell ref="AY84:BA84"/>
    <mergeCell ref="BB84:BD84"/>
    <mergeCell ref="BE84:BG84"/>
    <mergeCell ref="BH84:BJ84"/>
    <mergeCell ref="BK84:BQ84"/>
    <mergeCell ref="B85:D85"/>
    <mergeCell ref="E85:I85"/>
    <mergeCell ref="J85:P85"/>
    <mergeCell ref="Q85:W85"/>
    <mergeCell ref="X85:AD85"/>
    <mergeCell ref="AE85:AF85"/>
    <mergeCell ref="AG85:AI85"/>
    <mergeCell ref="AJ85:AL85"/>
    <mergeCell ref="AM85:AO85"/>
    <mergeCell ref="AP85:AR85"/>
    <mergeCell ref="AS85:AU85"/>
    <mergeCell ref="AV85:AX85"/>
    <mergeCell ref="AY85:BA85"/>
    <mergeCell ref="BB85:BD85"/>
    <mergeCell ref="BE85:BG85"/>
    <mergeCell ref="BH85:BJ85"/>
    <mergeCell ref="BK85:BQ85"/>
    <mergeCell ref="B86:D86"/>
    <mergeCell ref="E86:I86"/>
    <mergeCell ref="J86:P86"/>
    <mergeCell ref="Q86:W86"/>
    <mergeCell ref="X86:AD86"/>
    <mergeCell ref="AE86:AF86"/>
    <mergeCell ref="AG86:AI86"/>
    <mergeCell ref="AJ86:AL86"/>
    <mergeCell ref="AM86:AO86"/>
    <mergeCell ref="AP86:AR86"/>
    <mergeCell ref="AS86:AU86"/>
    <mergeCell ref="AV86:AX86"/>
    <mergeCell ref="AY86:BA86"/>
    <mergeCell ref="BB86:BD86"/>
    <mergeCell ref="BE86:BG86"/>
    <mergeCell ref="BH86:BJ86"/>
    <mergeCell ref="BK86:BQ86"/>
    <mergeCell ref="A10:A11"/>
    <mergeCell ref="BK10:BQ11"/>
    <mergeCell ref="B10:D11"/>
    <mergeCell ref="E10:I11"/>
    <mergeCell ref="J10:P11"/>
    <mergeCell ref="Q10:W11"/>
    <mergeCell ref="X10:AD11"/>
    <mergeCell ref="AE10:AF11"/>
  </mergeCells>
  <dataValidations count="3">
    <dataValidation type="list" allowBlank="1" sqref="F1">
      <formula1>"単体テスト,結合テスト,システムテスト"</formula1>
    </dataValidation>
    <dataValidation type="list" allowBlank="1" sqref="AG59 AV59 AG60 AV60 AV78 AG13:AG17 AG19:AG25 AG27:AG29 AG31:AG58 AG62:AG69 AG71:AG78 AG80:AG86 AV13:AV17 AV19:AV25 AV27:AV29 AV31:AV58 AV62:AV69 AV71:AV77 AV80:AV86">
      <formula1>"合格,不合格,未テスト,N/A"</formula1>
    </dataValidation>
    <dataValidation type="list" allowBlank="1" sqref="AE13:AE17 AE19:AE25 AE27:AE29 AE31:AE60 AE62:AE69 AE71:AE78 AE80:AE86">
      <formula1>"N,A,B"</formula1>
    </dataValidation>
  </dataValidation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表紙</vt:lpstr>
      <vt:lpstr>変更履歴</vt:lpstr>
      <vt:lpstr>概要</vt:lpstr>
      <vt:lpstr>テスト報告書</vt:lpstr>
      <vt:lpstr>テスト観点</vt:lpstr>
      <vt:lpstr>機能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anh.vuquang</cp:lastModifiedBy>
  <dcterms:created xsi:type="dcterms:W3CDTF">2026-05-21T09:42:00Z</dcterms:created>
  <dcterms:modified xsi:type="dcterms:W3CDTF">2026-08-28T10:23:31Z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1E6892BCA20A4C1B995B79498FA9084D_12</vt:lpwstr>
  </property>
  <property fmtid="{D5CDD505-2E9C-101B-9397-08002B2CF9AE}" pid="3" name="KSOProductBuildVer">
    <vt:lpwstr>1033-12.1.0.28032</vt:lpwstr>
  </property>
  <property fmtid="{D5CDD505-2E9C-101B-9397-08002B2CF9AE}" pid="4" name="CalculationRule">
    <vt:i4>0</vt:i4>
  </property>
</Properties>
</file>