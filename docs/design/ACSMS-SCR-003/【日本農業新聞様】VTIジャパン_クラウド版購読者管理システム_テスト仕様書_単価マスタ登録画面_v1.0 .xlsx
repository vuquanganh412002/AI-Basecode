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macbook/data/agrinews/docs/design/ACSMS-SCR-003/"/>
    </mc:Choice>
  </mc:AlternateContent>
  <xr:revisionPtr revIDLastSave="0" documentId="13_ncr:1_{51A374E0-72F3-F74C-BA93-473801634D8C}" xr6:coauthVersionLast="47" xr6:coauthVersionMax="47" xr10:uidLastSave="{00000000-0000-0000-0000-000000000000}"/>
  <bookViews>
    <workbookView xWindow="0" yWindow="500" windowWidth="35840" windowHeight="21900" activeTab="5" xr2:uid="{00000000-000D-0000-FFFF-FFFF00000000}"/>
  </bookViews>
  <sheets>
    <sheet name="表紙" sheetId="1" r:id="rId1"/>
    <sheet name="変更履歴" sheetId="2" r:id="rId2"/>
    <sheet name="概要" sheetId="3" r:id="rId3"/>
    <sheet name="テスト報告書" sheetId="4" r:id="rId4"/>
    <sheet name="Viewpoint" sheetId="5" r:id="rId5"/>
    <sheet name="機能" sheetId="7" r:id="rId6"/>
  </sheets>
  <externalReferences>
    <externalReference r:id="rId7"/>
  </externalReferences>
  <definedNames>
    <definedName name="__a1" localSheetId="0">{"'Sheet1'!$L$16"}</definedName>
    <definedName name="__a1">{"'Sheet1'!$L$16"}</definedName>
    <definedName name="_a1" localSheetId="0">{"'Sheet1'!$L$16"}</definedName>
    <definedName name="_a1">{"'Sheet1'!$L$16"}</definedName>
    <definedName name="ContractType" localSheetId="5">#REF!</definedName>
    <definedName name="ContractType" localSheetId="0">[1]Master!$A$2:$A$4</definedName>
    <definedName name="ContractType">#REF!</definedName>
    <definedName name="HTML_CodePage">932</definedName>
    <definedName name="HTML_Control" localSheetId="0">{"'表紙'!$A$1:$M$17"}</definedName>
    <definedName name="HTML_Control">{"'表紙'!$A$1:$M$17"}</definedName>
    <definedName name="HTML_Description">""</definedName>
    <definedName name="HTML_Email">""</definedName>
    <definedName name="HTML_Header">"表紙"</definedName>
    <definedName name="HTML_LastUpdate">"00/11/29"</definedName>
    <definedName name="HTML_LineAfter">FALSE</definedName>
    <definedName name="HTML_LineBefore">FALSE</definedName>
    <definedName name="HTML_Name">"Ｓ．Ｓａｋｕｒａｉ"</definedName>
    <definedName name="HTML_OBDlg2">TRUE</definedName>
    <definedName name="HTML_OBDlg4">TRUE</definedName>
    <definedName name="HTML_OS">0</definedName>
    <definedName name="HTML_PathFile">"N:\Doc\RSS4\MyHTML.htm"</definedName>
    <definedName name="HTML_Title">"見積例(詳細)"</definedName>
    <definedName name="Industry" localSheetId="5">#REF!</definedName>
    <definedName name="Industry" localSheetId="0">#REF!</definedName>
    <definedName name="Industry">#REF!</definedName>
    <definedName name="ProjectType" localSheetId="5">#REF!</definedName>
    <definedName name="ProjectType" localSheetId="0">[1]Master!$B$2:$B$4</definedName>
    <definedName name="ProjectType">#REF!</definedName>
    <definedName name="ｑｑｑｑ" localSheetId="0">{"'表紙'!$A$1:$M$17"}</definedName>
    <definedName name="ｑｑｑｑ">{"'表紙'!$A$1:$M$17"}</definedName>
    <definedName name="wrn.HCDN_全印刷." localSheetId="0">{"HCDN_注釈以外",#N/A,FALSE,"10.0対応";"HCDN_注釈",#N/A,FALSE,"10.0対応";"HCDN_注釈以外",#N/A,FALSE,"9.0対応";"HCDN_注釈",#N/A,FALSE,"9.0対応";#N/A,#N/A,FALSE,"ﾏﾆｭｱﾙ一覧";#N/A,#N/A,FALSE,"ﾏﾆｭｱﾙ一覧 (2)"}</definedName>
    <definedName name="wrn.HCDN_全印刷.">{"HCDN_注釈以外",#N/A,FALSE,"10.0対応";"HCDN_注釈",#N/A,FALSE,"10.0対応";"HCDN_注釈以外",#N/A,FALSE,"9.0対応";"HCDN_注釈",#N/A,FALSE,"9.0対応";#N/A,#N/A,FALSE,"ﾏﾆｭｱﾙ一覧";#N/A,#N/A,FALSE,"ﾏﾆｭｱﾙ一覧 (2)"}</definedName>
    <definedName name="wrn.構成ｶﾞｲﾄﾞ_全印刷." localSheetId="0">{"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Z_41442F1C_71A4_447E_AF0E_8FB51FC7D99F_.wvu.Cols" localSheetId="4">#REF!,#REF!,#REF!,#REF!</definedName>
    <definedName name="Z_41442F1C_71A4_447E_AF0E_8FB51FC7D99F_.wvu.Cols" localSheetId="3">#REF!,#REF!,#REF!,#REF!</definedName>
    <definedName name="Z_41442F1C_71A4_447E_AF0E_8FB51FC7D99F_.wvu.Cols" localSheetId="0">#REF!,#REF!,#REF!,#REF!</definedName>
    <definedName name="Z_41442F1C_71A4_447E_AF0E_8FB51FC7D99F_.wvu.Cols">#REF!,#REF!,#REF!,#REF!</definedName>
    <definedName name="Z_41442F1C_71A4_447E_AF0E_8FB51FC7D99F_.wvu.PrintArea" localSheetId="5">#REF!</definedName>
    <definedName name="Z_41442F1C_71A4_447E_AF0E_8FB51FC7D99F_.wvu.PrintArea" localSheetId="0">#REF!</definedName>
    <definedName name="Z_41442F1C_71A4_447E_AF0E_8FB51FC7D99F_.wvu.PrintArea">#REF!</definedName>
    <definedName name="Z_95018DD7_A252_45F5_975C_C5433E2F88AC_.wvu.Cols" localSheetId="4">#REF!,#REF!</definedName>
    <definedName name="Z_95018DD7_A252_45F5_975C_C5433E2F88AC_.wvu.Cols" localSheetId="3">#REF!,#REF!</definedName>
    <definedName name="Z_95018DD7_A252_45F5_975C_C5433E2F88AC_.wvu.Cols" localSheetId="0">#REF!,#REF!</definedName>
    <definedName name="Z_95018DD7_A252_45F5_975C_C5433E2F88AC_.wvu.Cols">#REF!,#REF!</definedName>
    <definedName name="Z_95018DD7_A252_45F5_975C_C5433E2F88AC_.wvu.PrintArea" localSheetId="5">#REF!</definedName>
    <definedName name="Z_95018DD7_A252_45F5_975C_C5433E2F88AC_.wvu.PrintArea" localSheetId="0">#REF!</definedName>
    <definedName name="Z_95018DD7_A252_45F5_975C_C5433E2F88AC_.wvu.PrintArea">#REF!</definedName>
    <definedName name="Z_D062575E_61A0_4998_AF07_E741A5E67EFF_.wvu.Cols" localSheetId="5">#REF!</definedName>
    <definedName name="Z_D062575E_61A0_4998_AF07_E741A5E67EFF_.wvu.Cols" localSheetId="0">#REF!</definedName>
    <definedName name="Z_D062575E_61A0_4998_AF07_E741A5E67EFF_.wvu.Cols">#REF!</definedName>
    <definedName name="Z_D062575E_61A0_4998_AF07_E741A5E67EFF_.wvu.PrintArea" localSheetId="5">#REF!</definedName>
    <definedName name="Z_D062575E_61A0_4998_AF07_E741A5E67EFF_.wvu.PrintArea" localSheetId="0">#REF!</definedName>
    <definedName name="Z_D062575E_61A0_4998_AF07_E741A5E67EFF_.wvu.PrintArea">#REF!</definedName>
    <definedName name="ああああああああ" localSheetId="0">{"'表紙'!$A$1:$M$17"}</definedName>
    <definedName name="ああああああああ">{"'表紙'!$A$1:$M$17"}</definedName>
    <definedName name="ええええええ" localSheetId="0">{"'表紙'!$A$1:$M$17"}</definedName>
    <definedName name="ええええええ">{"'表紙'!$A$1:$M$17"}</definedName>
    <definedName name="さんえい" localSheetId="0">{"'表紙'!$A$1:$M$17"}</definedName>
    <definedName name="さんえい">{"'表紙'!$A$1:$M$17"}</definedName>
    <definedName name="算定表最終" localSheetId="0">{"'表紙'!$A$1:$M$17"}</definedName>
    <definedName name="算定表最終">{"'表紙'!$A$1:$M$17"}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12" roundtripDataChecksum="DmCm8KOjBAGlQ9VhGn4xhbo5leRiVDX2zHP1suncgsw="/>
    </ext>
  </extLst>
</workbook>
</file>

<file path=xl/calcChain.xml><?xml version="1.0" encoding="utf-8"?>
<calcChain xmlns="http://schemas.openxmlformats.org/spreadsheetml/2006/main">
  <c r="A119" i="7" l="1"/>
  <c r="A118" i="7"/>
  <c r="A117" i="7"/>
  <c r="A116" i="7"/>
  <c r="A115" i="7"/>
  <c r="A114" i="7"/>
  <c r="A113" i="7"/>
  <c r="A112" i="7"/>
  <c r="A111" i="7"/>
  <c r="A110" i="7"/>
  <c r="A109" i="7"/>
  <c r="A107" i="7"/>
  <c r="A106" i="7"/>
  <c r="A105" i="7"/>
  <c r="A104" i="7"/>
  <c r="A103" i="7"/>
  <c r="A102" i="7"/>
  <c r="A101" i="7"/>
  <c r="A100" i="7"/>
  <c r="A99" i="7"/>
  <c r="A98" i="7"/>
  <c r="A97" i="7"/>
  <c r="A96" i="7"/>
  <c r="A95" i="7"/>
  <c r="A93" i="7"/>
  <c r="A92" i="7"/>
  <c r="A91" i="7"/>
  <c r="A90" i="7"/>
  <c r="A89" i="7"/>
  <c r="A88" i="7"/>
  <c r="A87" i="7"/>
  <c r="A86" i="7"/>
  <c r="A85" i="7"/>
  <c r="A84" i="7"/>
  <c r="A83" i="7"/>
  <c r="A82" i="7"/>
  <c r="A81" i="7"/>
  <c r="A80" i="7"/>
  <c r="A79" i="7"/>
  <c r="A78" i="7"/>
  <c r="A77" i="7"/>
  <c r="A75" i="7"/>
  <c r="A74" i="7"/>
  <c r="A73" i="7"/>
  <c r="A72" i="7"/>
  <c r="A71" i="7"/>
  <c r="A70" i="7"/>
  <c r="A69" i="7"/>
  <c r="A67" i="7"/>
  <c r="A66" i="7"/>
  <c r="A65" i="7"/>
  <c r="A64" i="7"/>
  <c r="A63" i="7"/>
  <c r="A62" i="7"/>
  <c r="A61" i="7"/>
  <c r="A60" i="7"/>
  <c r="A59" i="7"/>
  <c r="A58" i="7"/>
  <c r="A57" i="7"/>
  <c r="A56" i="7"/>
  <c r="A55" i="7"/>
  <c r="A54" i="7"/>
  <c r="A53" i="7"/>
  <c r="A52" i="7"/>
  <c r="A51" i="7"/>
  <c r="A50" i="7"/>
  <c r="A49" i="7"/>
  <c r="A48" i="7"/>
  <c r="A47" i="7"/>
  <c r="A45" i="7"/>
  <c r="A44" i="7"/>
  <c r="A42" i="7"/>
  <c r="A41" i="7"/>
  <c r="A40" i="7"/>
  <c r="A39" i="7"/>
  <c r="A38" i="7"/>
  <c r="A36" i="7"/>
  <c r="A35" i="7"/>
  <c r="A33" i="7"/>
  <c r="A32" i="7"/>
  <c r="A31" i="7"/>
  <c r="A30" i="7"/>
  <c r="A29" i="7"/>
  <c r="A28" i="7"/>
  <c r="A26" i="7"/>
  <c r="A25" i="7"/>
  <c r="A24" i="7"/>
  <c r="A23" i="7"/>
  <c r="A22" i="7"/>
  <c r="A21" i="7"/>
  <c r="A20" i="7"/>
  <c r="A19" i="7"/>
  <c r="A18" i="7"/>
  <c r="A17" i="7"/>
  <c r="A15" i="7"/>
  <c r="A14" i="7"/>
  <c r="A13" i="7"/>
  <c r="A12" i="7"/>
  <c r="AC8" i="7"/>
  <c r="Z8" i="7"/>
  <c r="W8" i="7"/>
  <c r="T8" i="7"/>
  <c r="AF8" i="7" s="1"/>
  <c r="N8" i="7"/>
  <c r="K8" i="7"/>
  <c r="H8" i="7"/>
  <c r="Q8" i="7" s="1"/>
  <c r="AC7" i="7"/>
  <c r="Z7" i="7"/>
  <c r="W7" i="7"/>
  <c r="T7" i="7"/>
  <c r="AF7" i="7" s="1"/>
  <c r="N7" i="7"/>
  <c r="K7" i="7"/>
  <c r="H7" i="7"/>
  <c r="Q7" i="7" s="1"/>
  <c r="Z13" i="4" a="1"/>
  <c r="T13" i="4" a="1"/>
  <c r="K9" i="4" a="1"/>
  <c r="N13" i="4" a="1"/>
  <c r="AC9" i="4" a="1"/>
  <c r="K13" i="4" a="1"/>
  <c r="Z9" i="4" a="1"/>
  <c r="Q13" i="4" a="1"/>
  <c r="H9" i="4" a="1"/>
  <c r="H13" i="4" a="1"/>
  <c r="W9" i="4" a="1"/>
  <c r="AC13" i="4" a="1"/>
  <c r="T9" i="4" a="1"/>
  <c r="Q9" i="4" a="1"/>
  <c r="W13" i="4" a="1"/>
  <c r="N9" i="4" a="1"/>
  <c r="N9" i="4" l="1"/>
  <c r="N11" i="4" s="1"/>
  <c r="W13" i="4"/>
  <c r="W15" i="4" s="1"/>
  <c r="Q9" i="4"/>
  <c r="Q11" i="4" s="1"/>
  <c r="T9" i="4"/>
  <c r="AC13" i="4"/>
  <c r="AC15" i="4" s="1"/>
  <c r="W9" i="4"/>
  <c r="W11" i="4" s="1"/>
  <c r="H13" i="4"/>
  <c r="H15" i="4" s="1"/>
  <c r="H9" i="4"/>
  <c r="H11" i="4" s="1"/>
  <c r="Q13" i="4"/>
  <c r="Q15" i="4" s="1"/>
  <c r="Z9" i="4"/>
  <c r="Z11" i="4" s="1"/>
  <c r="K13" i="4"/>
  <c r="K15" i="4" s="1"/>
  <c r="AC9" i="4"/>
  <c r="AC11" i="4" s="1"/>
  <c r="N13" i="4"/>
  <c r="N15" i="4" s="1"/>
  <c r="K9" i="4"/>
  <c r="K11" i="4" s="1"/>
  <c r="T13" i="4"/>
  <c r="Z13" i="4"/>
  <c r="Z15" i="4" s="1"/>
  <c r="T15" i="4" l="1"/>
  <c r="AF15" i="4" s="1"/>
  <c r="AF13" i="4"/>
  <c r="AF9" i="4"/>
  <c r="T11" i="4"/>
  <c r="AF1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X13" authorId="0" shapeId="0" xr:uid="{00000000-0006-0000-0400-000002000000}">
      <text>
        <r>
          <rPr>
            <sz val="11"/>
            <color theme="1"/>
            <rFont val="Calibri"/>
            <scheme val="minor"/>
          </rPr>
          <t>======
ID#AAAB4vBYRmo
DIEM Kieu Thi (VTI.D12)    (2026-04-24 21:56:40)
cần làm rõ Là lỗi gì?
HTTP code bao nhiêu?
UI hiển thị gì?</t>
        </r>
      </text>
    </comment>
    <comment ref="X72" authorId="0" shapeId="0" xr:uid="{00000000-0006-0000-0400-000003000000}">
      <text>
        <r>
          <rPr>
            <sz val="11"/>
            <color theme="1"/>
            <rFont val="Calibri"/>
            <scheme val="minor"/>
          </rPr>
          <t>======
ID#AAAB3yj2bRQ
DIEM Kieu Thi (VTI.D12)    (2026-04-24 10:21:53)
Cần hỏi lại Khi 2 user cùng cập nhật 1 record:
- Hệ thống có cho phép overwrite không?
- Có cơ chế detect conflict không?
- Expected behavior là gì?</t>
        </r>
      </text>
    </comment>
    <comment ref="X75" authorId="0" shapeId="0" xr:uid="{00000000-0006-0000-0400-000001000000}">
      <text>
        <r>
          <rPr>
            <sz val="11"/>
            <color theme="1"/>
            <rFont val="Calibri"/>
            <scheme val="minor"/>
          </rPr>
          <t>======
ID#AAAB4vBYRms
DIEM Kieu Thi (VTI.D12)    (2026-04-24 22:25:00)
Cần dev support để verify transaction rollback</t>
        </r>
      </text>
    </comment>
  </commentList>
  <extLst>
    <ext xmlns:r="http://schemas.openxmlformats.org/officeDocument/2006/relationships" uri="GoogleSheetsCustomDataVersion2">
      <go:sheetsCustomData xmlns:go="http://customooxmlschemas.google.com/" r:id="rId1" roundtripDataSignature="AMtx7mimbd5PCRnEJ7SuppHeSdS0OfhbV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X103" authorId="0" shapeId="0" xr:uid="{00000000-0006-0000-0600-000002000000}">
      <text>
        <r>
          <rPr>
            <sz val="11"/>
            <color theme="1"/>
            <rFont val="Calibri"/>
            <scheme val="minor"/>
          </rPr>
          <t>======
ID#AAAB3yj2bRI
DIEM Kieu Thi (VTI.D12)    (2026-04-20 10:07:21)
Case này cần điều kiện làm thế nào để xét cho lỗi hệ thống. CHỗ này chắc cần nhờ dev hỗ trợ</t>
        </r>
      </text>
    </comment>
    <comment ref="X115" authorId="0" shapeId="0" xr:uid="{00000000-0006-0000-0600-000001000000}">
      <text>
        <r>
          <rPr>
            <sz val="11"/>
            <color theme="1"/>
            <rFont val="Calibri"/>
            <scheme val="minor"/>
          </rPr>
          <t>======
ID#AAAB3yj2bRM
DIEM Kieu Thi (VTI.D12)    (2026-04-21 03:03:44)
Chỗ này cần confirm xem có xử lý case này không</t>
        </r>
      </text>
    </comment>
  </commentList>
  <extLst>
    <ext xmlns:r="http://schemas.openxmlformats.org/officeDocument/2006/relationships" uri="GoogleSheetsCustomDataVersion2">
      <go:sheetsCustomData xmlns:go="http://customooxmlschemas.google.com/" r:id="rId1" roundtripDataSignature="AMtx7mhdsEhNzDq/s9rqjnL4TSzXJHziNw=="/>
    </ext>
  </extLst>
</comments>
</file>

<file path=xl/sharedStrings.xml><?xml version="1.0" encoding="utf-8"?>
<sst xmlns="http://schemas.openxmlformats.org/spreadsheetml/2006/main" count="774" uniqueCount="551">
  <si>
    <t>クラウド版購読者管理システム</t>
  </si>
  <si>
    <t>単価マスタ登録画面</t>
  </si>
  <si>
    <t>版1.0</t>
  </si>
  <si>
    <t>フォーマットコード</t>
  </si>
  <si>
    <r>
      <rPr>
        <sz val="10"/>
        <color theme="1"/>
        <rFont val="Calibri"/>
        <family val="2"/>
      </rPr>
      <t>08-BM/PM/VTI</t>
    </r>
  </si>
  <si>
    <t>フォーマットバージョン</t>
  </si>
  <si>
    <t>発行日</t>
  </si>
  <si>
    <t>項番</t>
  </si>
  <si>
    <t>バージョン</t>
  </si>
  <si>
    <t>担当者</t>
  </si>
  <si>
    <t>変更内容</t>
  </si>
  <si>
    <t>確認者</t>
  </si>
  <si>
    <t>承認者</t>
  </si>
  <si>
    <t>1.0</t>
  </si>
  <si>
    <t>Kieu Thi Diem</t>
  </si>
  <si>
    <t>新規作成</t>
  </si>
  <si>
    <t>Nguyen Huy Dat</t>
  </si>
  <si>
    <t>システム・アプリケーション名</t>
  </si>
  <si>
    <t>ドキュメント</t>
  </si>
  <si>
    <t>シート名</t>
  </si>
  <si>
    <t>作成日</t>
  </si>
  <si>
    <t>作成者</t>
  </si>
  <si>
    <t>更新日</t>
  </si>
  <si>
    <t>更新者</t>
  </si>
  <si>
    <t>テスト仕様書</t>
  </si>
  <si>
    <t>概要</t>
  </si>
  <si>
    <t>2026/04/22</t>
  </si>
  <si>
    <t>2026/04/24</t>
  </si>
  <si>
    <t>1.システム概要</t>
  </si>
  <si>
    <t>本システムは、JA向けのクラウド型読者管理システムであり、</t>
  </si>
  <si>
    <t>購読者情報の管理、購読履歴の管理、口座振替データの管理などの機能を提供する。</t>
  </si>
  <si>
    <t>主な機能として、購読者情報の登録・更新・検索、</t>
  </si>
  <si>
    <t>購読内容の変更履歴管理、口座振替データの作成および管理、</t>
  </si>
  <si>
    <t>ファイルのアップロード・ダウンロード機能、システムのお知らせ管理などを提供する。</t>
  </si>
  <si>
    <t>また、ユーザーのログイン管理、ログイン履歴の記録、</t>
  </si>
  <si>
    <t>ユーザー操作ログの記録などのセキュリティ・監査機能をサポートする。</t>
  </si>
  <si>
    <t>2.資料目的</t>
  </si>
  <si>
    <t>「単価マスタ登録画面（ACSMS-SCR-003）」において、システム上で新規作成されるテスト仕様書の詳細を記述した資料です。</t>
  </si>
  <si>
    <t>3.関連資料</t>
  </si>
  <si>
    <t>No</t>
  </si>
  <si>
    <t>資料コード</t>
  </si>
  <si>
    <t>資料名</t>
  </si>
  <si>
    <t>ACSMS-SCR-003</t>
  </si>
  <si>
    <t>単価マスタ登録画面設計書</t>
  </si>
  <si>
    <t>&lt;単体/結合/システム&gt; テスト報告書</t>
  </si>
  <si>
    <r>
      <rPr>
        <sz val="11"/>
        <color theme="1"/>
        <rFont val="Calibri"/>
        <family val="2"/>
      </rPr>
      <t>プロジェクト名</t>
    </r>
  </si>
  <si>
    <t>プロジェクトマネージャ</t>
  </si>
  <si>
    <r>
      <rPr>
        <sz val="11"/>
        <color theme="1"/>
        <rFont val="Calibri"/>
        <family val="2"/>
      </rPr>
      <t>担当者</t>
    </r>
  </si>
  <si>
    <r>
      <rPr>
        <sz val="11"/>
        <color theme="1"/>
        <rFont val="Calibri"/>
        <family val="2"/>
      </rPr>
      <t>作成日</t>
    </r>
  </si>
  <si>
    <r>
      <rPr>
        <sz val="11"/>
        <color theme="1"/>
        <rFont val="Calibri"/>
        <family val="2"/>
      </rPr>
      <t>#</t>
    </r>
  </si>
  <si>
    <r>
      <rPr>
        <sz val="11"/>
        <color theme="1"/>
        <rFont val="Calibri"/>
        <family val="2"/>
      </rPr>
      <t>機能名</t>
    </r>
  </si>
  <si>
    <r>
      <rPr>
        <sz val="11"/>
        <color theme="1"/>
        <rFont val="Calibri"/>
        <family val="2"/>
      </rPr>
      <t>テストケース分類</t>
    </r>
  </si>
  <si>
    <r>
      <rPr>
        <b/>
        <sz val="11"/>
        <color theme="1"/>
        <rFont val="Calibri"/>
        <family val="2"/>
      </rPr>
      <t>合計</t>
    </r>
  </si>
  <si>
    <r>
      <rPr>
        <sz val="11"/>
        <color theme="1"/>
        <rFont val="Calibri"/>
        <family val="2"/>
      </rPr>
      <t>テスト結果</t>
    </r>
  </si>
  <si>
    <r>
      <rPr>
        <sz val="11"/>
        <color theme="1"/>
        <rFont val="Calibri"/>
        <family val="2"/>
      </rPr>
      <t>正常</t>
    </r>
  </si>
  <si>
    <r>
      <rPr>
        <sz val="11"/>
        <color theme="1"/>
        <rFont val="Calibri"/>
        <family val="2"/>
      </rPr>
      <t>異常</t>
    </r>
  </si>
  <si>
    <r>
      <rPr>
        <sz val="11"/>
        <color theme="1"/>
        <rFont val="Calibri"/>
        <family val="2"/>
      </rPr>
      <t>境界</t>
    </r>
  </si>
  <si>
    <r>
      <rPr>
        <sz val="11"/>
        <color theme="1"/>
        <rFont val="Calibri"/>
        <family val="2"/>
      </rPr>
      <t>合格</t>
    </r>
  </si>
  <si>
    <r>
      <rPr>
        <sz val="11"/>
        <color theme="1"/>
        <rFont val="Calibri"/>
        <family val="2"/>
      </rPr>
      <t>不合格</t>
    </r>
  </si>
  <si>
    <r>
      <rPr>
        <sz val="11"/>
        <color theme="1"/>
        <rFont val="Calibri"/>
        <family val="2"/>
      </rPr>
      <t>未テスト</t>
    </r>
  </si>
  <si>
    <t>N/A</t>
  </si>
  <si>
    <r>
      <rPr>
        <sz val="11"/>
        <color theme="1"/>
        <rFont val="Calibri"/>
        <family val="2"/>
      </rPr>
      <t>進捗（%）</t>
    </r>
  </si>
  <si>
    <r>
      <rPr>
        <b/>
        <sz val="11"/>
        <color theme="1"/>
        <rFont val="Calibri"/>
        <family val="2"/>
      </rPr>
      <t>テスト1回目</t>
    </r>
  </si>
  <si>
    <t>機能</t>
  </si>
  <si>
    <r>
      <rPr>
        <sz val="11"/>
        <color theme="1"/>
        <rFont val="Calibri"/>
        <family val="2"/>
      </rPr>
      <t>合計</t>
    </r>
  </si>
  <si>
    <r>
      <rPr>
        <b/>
        <sz val="11"/>
        <color theme="1"/>
        <rFont val="Calibri"/>
        <family val="2"/>
      </rPr>
      <t>テスト2回目</t>
    </r>
  </si>
  <si>
    <r>
      <rPr>
        <sz val="11"/>
        <color theme="1"/>
        <rFont val="Calibri"/>
        <family val="2"/>
      </rPr>
      <t>合計</t>
    </r>
  </si>
  <si>
    <r>
      <rPr>
        <sz val="11"/>
        <color theme="1"/>
        <rFont val="Calibri"/>
        <family val="2"/>
      </rPr>
      <t>テストレベル</t>
    </r>
  </si>
  <si>
    <t>結合テスト</t>
  </si>
  <si>
    <r>
      <rPr>
        <sz val="11"/>
        <color theme="1"/>
        <rFont val="Calibri"/>
        <family val="2"/>
      </rPr>
      <t>機能／モジュール</t>
    </r>
  </si>
  <si>
    <t>ACSMS-SCR-003_単価マスタ登録画面</t>
  </si>
  <si>
    <r>
      <rPr>
        <sz val="11"/>
        <color theme="1"/>
        <rFont val="Calibri"/>
        <family val="2"/>
      </rPr>
      <t>作成者</t>
    </r>
  </si>
  <si>
    <r>
      <rPr>
        <sz val="11"/>
        <color theme="1"/>
        <rFont val="Calibri"/>
        <family val="2"/>
      </rPr>
      <t>作成日</t>
    </r>
  </si>
  <si>
    <r>
      <rPr>
        <sz val="11"/>
        <color theme="1"/>
        <rFont val="Calibri"/>
        <family val="2"/>
      </rPr>
      <t>確認者</t>
    </r>
  </si>
  <si>
    <r>
      <rPr>
        <sz val="11"/>
        <color theme="1"/>
        <rFont val="Calibri"/>
        <family val="2"/>
      </rPr>
      <t>確認日</t>
    </r>
  </si>
  <si>
    <r>
      <rPr>
        <sz val="11"/>
        <color theme="1"/>
        <rFont val="Calibri"/>
        <family val="2"/>
      </rPr>
      <t>テスト環境</t>
    </r>
  </si>
  <si>
    <t xml:space="preserve">1. Windows 10, 11:, Chrome
</t>
  </si>
  <si>
    <r>
      <rPr>
        <b/>
        <sz val="11"/>
        <color theme="1"/>
        <rFont val="Calibri"/>
        <family val="2"/>
      </rPr>
      <t>#</t>
    </r>
  </si>
  <si>
    <t>要件ID</t>
  </si>
  <si>
    <t>説明</t>
  </si>
  <si>
    <t>前提条件</t>
  </si>
  <si>
    <t>ステップ／手順</t>
  </si>
  <si>
    <t>期待結果／アウトプット</t>
  </si>
  <si>
    <r>
      <rPr>
        <b/>
        <sz val="11"/>
        <color theme="1"/>
        <rFont val="Calibri"/>
        <family val="2"/>
      </rPr>
      <t>結果</t>
    </r>
  </si>
  <si>
    <t>Kiểm tra phạm vi  truy cập</t>
  </si>
  <si>
    <t>Login với user có role NICHINO_ADMIN</t>
  </si>
  <si>
    <t>Không thể truy cập màn hình tạo đơn giá .
Hiển thị message: アクセス権がありません。</t>
  </si>
  <si>
    <t>Login với user có role NICHINO_ADMIN
Nhập trực tiếp URL màn hình tạo/cập nhật đơn giá</t>
  </si>
  <si>
    <t>Login với user có role NICHINO_ADMIN
Sử dụng DevTools / tool (Postman) gọi API tạo/cập nhật đơn giá</t>
  </si>
  <si>
    <t>API bị từ chối (403 hoặc error theo design)
Không thực hiện create/update
Không có dữ liệu được lưu trong DB</t>
  </si>
  <si>
    <t>Kiểm tra phạm vi dữ liệu và thao tác</t>
  </si>
  <si>
    <t>Login với user có role CHUOKAI</t>
  </si>
  <si>
    <t>User sẽ xem/tạo/sửa tất cả JA trong chuokai + chi nhánh. Không thao tác được với dữ liệu ngoài chuokai</t>
  </si>
  <si>
    <t>Login với user có role JA_HONTEN</t>
  </si>
  <si>
    <t>User sẽ xem/tạo/sửa chỉ JA của họ. Không thao tác được với JA khác</t>
  </si>
  <si>
    <t>Login với user có role JA_KANRI_SHITEN</t>
  </si>
  <si>
    <t>User sẽ xem/tạo/sửa chỉ chi nhánh của họ. Không thao tác chi nhánh khác</t>
  </si>
  <si>
    <t>Kiểm tra edit ID ngoài scope (vượt quyền dữ liệu) bằng URL</t>
  </si>
  <si>
    <t>Áp dụng cho tất cả role có giới hạn phạm vi dữ liệu (JA / chi nhánh)</t>
  </si>
  <si>
    <t>Login với user có role JA_A
Truy cập record thuộc JA_B (ngoài scope) bằng cách:
Sửa ID trên URL hoặc request
Thực hiện cập nhật dữ liệu</t>
  </si>
  <si>
    <t>Không cho phép cập nhật
Request bị từ chối theo phân quyền
Không update DB</t>
  </si>
  <si>
    <t>Kiểm tra layout</t>
  </si>
  <si>
    <t>Open màn hình tạo mới đơn giá</t>
  </si>
  <si>
    <t>Màn hình tạo mới đơn giá</t>
  </si>
  <si>
    <t>Hiển thị đúng layout, đầy đủ item, các item sắp xếp theo thứ tự đúng, đúng format, loại dữ liệu, field hiển thị đúng label, required mark (*), type đúng (text/number/date)</t>
  </si>
  <si>
    <t>Open màn hình cập nhật đơn giá</t>
  </si>
  <si>
    <t>Màn hình cập nhật đơn giá</t>
  </si>
  <si>
    <t xml:space="preserve">
Hiển thị đúng layout, đầy đủ item, các item sắp xếp theo thứ tự đúng, đúng format, loại dữ liệu, field hiển thị đúng label, required mark (*), type đúng (text/number/date),  form được fill dữ liệu cũ.</t>
  </si>
  <si>
    <t>Kiểm tra giá trị default</t>
  </si>
  <si>
    <t xml:space="preserve">Kiểm tra giá trị default </t>
  </si>
  <si>
    <t>Giá trị default của các item hiển thị đúng spec</t>
  </si>
  <si>
    <t>Bỏ trống các trường bắt buộc</t>
  </si>
  <si>
    <t>Bỏ trống các trường bắt buộc, click button 登録</t>
  </si>
  <si>
    <t>Hiển thị message lỗi: 必須項目です。 dưới field tương ứng</t>
  </si>
  <si>
    <t>Bỏ trống các trường bắt buộc, click button 更新</t>
  </si>
  <si>
    <t>Kiểm tra chuỗi rỗng so với khoảng trắng vào các trường bắt buộc</t>
  </si>
  <si>
    <t>Nhập   (3 spaces) vào các trường bắt buộc, click button 更新</t>
  </si>
  <si>
    <t>Kiểm tra mã trùng lặp bằng phân biệt chữ hoa chữ thường</t>
  </si>
  <si>
    <t>Không tồn tại mã t001</t>
  </si>
  <si>
    <t xml:space="preserve">Nhập mã đơn giá là T001 </t>
  </si>
  <si>
    <t>Đơn giá được tạo thành công (phân biệt chữ hoa và chữ thường)</t>
  </si>
  <si>
    <t>Kiểm tra khi nhập minlength, maxlengthh tại các textbox</t>
  </si>
  <si>
    <t>Nhập quá maxlength</t>
  </si>
  <si>
    <t>Hệ thống sẽ xử lý chặn input  khi nhập quá maxlenght</t>
  </si>
  <si>
    <t xml:space="preserve">Kiểm tra khi nhập định dạng Half-width / Full-width </t>
  </si>
  <si>
    <t>Nhập định dạng Half-width / Full-width</t>
  </si>
  <si>
    <t>Cho phép hoặc không cho phép nhập dựa theo spec của từng textbox</t>
  </si>
  <si>
    <t xml:space="preserve">Kiểm tra khi nhập ký tự đặc biêt, emoji, symbol, số âm
</t>
  </si>
  <si>
    <t xml:space="preserve">Nhập ký tự đặc biệt, emoji, symbol, số âm
</t>
  </si>
  <si>
    <t>Kiểm tra HTML Injection tại các textbox</t>
  </si>
  <si>
    <t>Nhập &lt;script&gt;alert(1)&lt;/script&gt;</t>
  </si>
  <si>
    <t xml:space="preserve">Lưu an toàn (không execute script, không lỗi UI, data được escape khi hiển thị
API không bị inject)
</t>
  </si>
  <si>
    <t>Kiểm tra SQL Injection tại các textbox</t>
  </si>
  <si>
    <t>Nhập T001' OR '1'='1</t>
  </si>
  <si>
    <t>Lưu an toàn (parameterized query)</t>
  </si>
  <si>
    <t>Kiểm tra Stored XSS tại các textbox sau khi nhập HTML</t>
  </si>
  <si>
    <t>Nhập &lt;script&gt;alert(1)&lt;/script&gt; vào các textbox
Click button 登録/更新
Open lại lại màn hình detail/edit</t>
  </si>
  <si>
    <t>Không execute script
Không popup
Dữ liệu hiển thị dạng text (đã encode)
Không làm vỡ UI</t>
  </si>
  <si>
    <t>Kiểm tra encode output tại các textbox</t>
  </si>
  <si>
    <t>Nhập &lt;b&gt;TEST&lt;/b&gt;
Click button 登録/更新
Open lại lại màn hình detail/edit</t>
  </si>
  <si>
    <t>Hiển thị &lt;b&gt;TEST&lt;/b&gt; dưới dạng text (đã encode)
Không render HTML (không in đậm)</t>
  </si>
  <si>
    <t>Kiểm tra date logic</t>
  </si>
  <si>
    <t>Field 適用開始日 nhập ngày tương lai</t>
  </si>
  <si>
    <t>Cho phép nhập ngày tương lai</t>
  </si>
  <si>
    <t>Field 適用開始日 nhập ngày hiện tại</t>
  </si>
  <si>
    <t>Cho phép nhập ngày hiện tại</t>
  </si>
  <si>
    <t>Field 適用開始日 nhập ngày quá khứ</t>
  </si>
  <si>
    <t>Không cho phép nhập ngày quá khứ</t>
  </si>
  <si>
    <t>Field 適用開始日 là ngày quá khứ</t>
  </si>
  <si>
    <t>Field sẽ ở trạng thái readonly (không thay đổi được)</t>
  </si>
  <si>
    <t>Field 適用開始日 là ngày hiện tại hoặc tương lai</t>
  </si>
  <si>
    <t>Cho phép nhập ngày hiện tại hoặc tương lai</t>
  </si>
  <si>
    <t xml:space="preserve">Field 適用終了日 nhập ngày nhỏ hơn field 適用開始日  </t>
  </si>
  <si>
    <t>Không cho phép nhập ngày kết thúc lại nhỏ hơn ngày bắt đầu</t>
  </si>
  <si>
    <t>Field 適用終了日 là ngày quá khứ</t>
  </si>
  <si>
    <t>Field 適用終了日 là ngày tương lai</t>
  </si>
  <si>
    <t>Field sẽ cho phép chỉnh sửa</t>
  </si>
  <si>
    <t>Kiểm tra khi xóa giá trị trường date bắt buộc</t>
  </si>
  <si>
    <t>Tồn tại bản ghi TD001 với:
- 適用開始日 = 2026-04-01
- 適用終了日 = 2026-04-30</t>
  </si>
  <si>
    <t>Mở màn hình cập nhật đơn giá (TD001)
Xóa giá trị: trường 適用開始日 (hoặc 適用終了日)
Click button 更新</t>
  </si>
  <si>
    <t xml:space="preserve">UI không cho submit hoặc
API trả lỗi validation
Hiển thị message lỗi: 必須項目です。 tại field tương ứng
Không gửi request update (hoặc API reject nếu gửi)
Không có thay đổi trong DB
Giá trị cũ vẫn được giữ nguyên
</t>
  </si>
  <si>
    <t>Kiểm tra trùng mã đơn giá trong cùng JA</t>
  </si>
  <si>
    <t xml:space="preserve"> User thuộc JA_1
Đã tồn tại bản ghi với 単価コード = T001 trong JA_1</t>
  </si>
  <si>
    <t>Mở màn hình tạo mới đơn giá
Nhập 単価コード = T001
Nhập các field còn lại hợp lệ
Click button 登録</t>
  </si>
  <si>
    <t xml:space="preserve"> Hiển thị message lỗi: 単価コード「T001」はすでに登録されています。
Không tạo record mới
Không lưu DB</t>
  </si>
  <si>
    <t>Kiểm tra khi hệ thống sẽ tự động set  ngày hiện tại khi không nhập trường 適用開始日</t>
  </si>
  <si>
    <t>Không nhập trường 適用開始日</t>
  </si>
  <si>
    <t>Hệ thống sẽ tự động set là ngày hiện tại</t>
  </si>
  <si>
    <t>Kiểm tra khi nhập trường 単価（税込）sẽ không tự động tính toán trường 単価（税抜）</t>
  </si>
  <si>
    <t>Nhập trường 単価（税込）</t>
  </si>
  <si>
    <t>Sẽ lưu đúng trường 単価（税込）đã nhập, còn trường 単価（税抜）sẽ không tự động tính toán</t>
  </si>
  <si>
    <t xml:space="preserve">Kiểm tra chức năng tạo mới thành công </t>
  </si>
  <si>
    <t>Nhập thông tin hợp lệ vào tất cả các trường bắt buộc, click button 登録</t>
  </si>
  <si>
    <t xml:space="preserve">Tạo mới thành công hiển thị message: 登録しました。
</t>
  </si>
  <si>
    <t>Kiểm tra chức năng tạo mới thành công</t>
  </si>
  <si>
    <t>Nhập thông tin hợp lệ vào tất cả các trường các trường, click button 登録</t>
  </si>
  <si>
    <t>Kiểm tra chức năng redirect sang màn hình tìm kiếm đơn giá sau khi tạo thành công</t>
  </si>
  <si>
    <t xml:space="preserve">
Hệ thống redirect sang màn hình tìm kiếm đơn giá
Data hiển thị trong màn hình list sau redirect</t>
  </si>
  <si>
    <t>Kiểm tra lưu DB khi Tạo mới thành công</t>
  </si>
  <si>
    <t>Tạo mới thành công bản ghi với 単価コード = TD001</t>
  </si>
  <si>
    <t>Query DB với bản ghi có mã 単価コード= TD001 trong bảng m_tanka</t>
  </si>
  <si>
    <t>Data xuất hiện trong bảng m_tanka.
Hàng được chèn với data đúng đã nhập</t>
  </si>
  <si>
    <t>Kiểm tra ghi log khi tạo mới thành công</t>
  </si>
  <si>
    <t>Kiểm tra ghi log và nội dung log trong bảng t_log</t>
  </si>
  <si>
    <t>Ghi log đầy đủ, log đúng user, action, timestamp.
Entry ghi với operation=CREATE</t>
  </si>
  <si>
    <t>Kiểm tra chức năng tạo mới không thành công</t>
  </si>
  <si>
    <t>Bỏ trống tất cả các trường bắt buộc, click button 登録</t>
  </si>
  <si>
    <t xml:space="preserve">Tạo mới không thành công, hệ thống hiển thị message: 必須項目です。dưới từng field bắt buộc.
</t>
  </si>
  <si>
    <t>Bỏ trống tất cả các trường các trường thông tin, click button 登録</t>
  </si>
  <si>
    <t>Kiểm tra chức năng tạo mới không thành công khi lỗi hệ thống</t>
  </si>
  <si>
    <t>Nhập thông tin hợp lệ vào tất cả các trường các trường, làm lỗi hệ thống, click button 登録</t>
  </si>
  <si>
    <t>Tạo mới không thành công, hệ thống hiển thị message: システムエラーが発生しました。しばらくしてから再度お試しください。</t>
  </si>
  <si>
    <t>Kiểm tra chức năng tạo mới không thành công khi  mất kết nối mạng</t>
  </si>
  <si>
    <t>Nhập thông tin hợp lệ vào tất cả các trường các trường, ngắt kết nối mạng internet, click button 登録</t>
  </si>
  <si>
    <t>Tạo mới không thành công, hiển thị màn hình no internet.</t>
  </si>
  <si>
    <t>Kiểm tra không lưu DB khi Tạo mới thất bại</t>
  </si>
  <si>
    <t>Không tạo mới bản ghi có mã TD002</t>
  </si>
  <si>
    <t>Query DB với bản ghi có mã 単価コード= TD002 trong bảng m_tanka</t>
  </si>
  <si>
    <t>Không xuất hiện bản ghi TD002 trong bảng m_tanka</t>
  </si>
  <si>
    <t>Kiểm tra không ghi log khi tạo mới thất bại</t>
  </si>
  <si>
    <t>Không ghi log trong bảng t_log</t>
  </si>
  <si>
    <t xml:space="preserve">Kiểm tra hoạt động của button 前の画面に戻る </t>
  </si>
  <si>
    <t xml:space="preserve">Nhập thông tin hợp lệ vào tất cả các trường, click button 前の画面に戻る					</t>
  </si>
  <si>
    <t>Button hoạt động đúng chức năng khi click vào sẽ không lưu data đã nhập và quay về màn hình tìm kiếm đơn giá.</t>
  </si>
  <si>
    <t>Kiểm tra form load với dữ liệu cũ đầy đủ</t>
  </si>
  <si>
    <t>Tồn tại bản ghi có mã TD001 đã tồn tại trong DB</t>
  </si>
  <si>
    <t>Kiểm tra form load với dữ liệu cũ đầy đủ.</t>
  </si>
  <si>
    <t>Form load với dữ liệu đầy đủ.</t>
  </si>
  <si>
    <t>Kiểm tra log trước khi cập nhật</t>
  </si>
  <si>
    <t>Check log trước khi cập nhật</t>
  </si>
  <si>
    <t>Giá trị cũ ​​khớp với dữ liệu trong cơ sở dữ liệu trước khi cập nhật.</t>
  </si>
  <si>
    <t xml:space="preserve">Kiểm tra chức năng cập nhật thành công </t>
  </si>
  <si>
    <t>Nhập thông tin mới hợp lệ vào tất cả các trường bắt buộc, click button 更新</t>
  </si>
  <si>
    <t>Cập nhật thành công hiển thị message: 更新しました。
Hệ thống redirect sang màn hình tìm kiếm đơn giá</t>
  </si>
  <si>
    <t>Kiểm tra chức năng cập nhật thành công</t>
  </si>
  <si>
    <t>Nhập thông tin mới hợp lệ vào tất cả các trường các trường, click button 更新</t>
  </si>
  <si>
    <t>Kiểm tra chức năng redirect sang màn hình tìm kiếm đơn giá sau khi cập nhật thành công</t>
  </si>
  <si>
    <t>Kiểm tra lưu DB khi cập nhật thành công</t>
  </si>
  <si>
    <t>Cập nhật thành công bản ghi với 単価コード = TD001</t>
  </si>
  <si>
    <t>Data mới cập nhật xuất hiện trong bảng m_tanka.
Row updated với data đã cập nhật</t>
  </si>
  <si>
    <t>Kiểm tra ghi log khi cập nhật thành công</t>
  </si>
  <si>
    <t>Ghi log đầy đủ, log đúng user, action, timestamp.
Entry ghi với operation=UPDATE
Giá trị mới được cập nhật đúng.</t>
  </si>
  <si>
    <t>Kiểm tra chức năng cập nhật không thành công</t>
  </si>
  <si>
    <t>Bỏ trống tất cả các trường bắt buộc, click button 更新</t>
  </si>
  <si>
    <t xml:space="preserve">Cập nhật không thành công, hệ thống hiển thị message: 必須項目です。dưới từng field bắt buộc.
</t>
  </si>
  <si>
    <t>Bỏ trống tất cả các trường các trường thông tin, click button 更新</t>
  </si>
  <si>
    <t>Kiểm tra chức năng cập nhật không thành công khi lỗi hệ thống</t>
  </si>
  <si>
    <t>Nhập thông tin mới hợp lệ vào tất cả các trường các trường, làm lỗi hệ thống, click button 更新</t>
  </si>
  <si>
    <t>Cập nhật không thành công, hệ thống hiển thị message: システムエラーが発生しました。しばらくしてから再度お試しください。</t>
  </si>
  <si>
    <t>Kiểm tra chức năng cập nhật không thành công khi  mất kết nối mạng</t>
  </si>
  <si>
    <t>Nhập thông tin mới hợp lệ vào tất cả các trường các trường, ngắt kết nối mạng internet, click button 更新</t>
  </si>
  <si>
    <t>Cập nhật không thành công, hiển thị màn hình no internet.</t>
  </si>
  <si>
    <t>Kiểm tra không lưu DB khi cập nhật thất bại</t>
  </si>
  <si>
    <t>Không cập nhật bản ghi có mã TD002</t>
  </si>
  <si>
    <t>Kiểm tra không ghi log khi cập nhật thất bại</t>
  </si>
  <si>
    <t xml:space="preserve">Nhập thông tin mới hợp lệ vào tất cả các trường, click button 前の画面に戻る                                        </t>
  </si>
  <si>
    <t>Kiểm tra mở hộp Date Picker</t>
  </si>
  <si>
    <t>Click date field</t>
  </si>
  <si>
    <t>Calendar picker xuất hiện</t>
  </si>
  <si>
    <t xml:space="preserve">Kiểm tra chọn ngày từ Date Picker </t>
  </si>
  <si>
    <t xml:space="preserve">Chọn ngày từ Date Picker </t>
  </si>
  <si>
    <t>Ngày được fill vào field</t>
  </si>
  <si>
    <t>Kiểm tra thời gian tải form</t>
  </si>
  <si>
    <t>Hệ thống có lượng data bình thường (100-1000 bản ghi)</t>
  </si>
  <si>
    <t>Truy cập màn hình tạo mới đơn giá</t>
  </si>
  <si>
    <t>form load nhỏ hơn 2 giây</t>
  </si>
  <si>
    <t>Kiểm tra thời gian phản hồi API</t>
  </si>
  <si>
    <t>Click button 登録</t>
  </si>
  <si>
    <t>Thời gian phản hồi API &lt; 1 giây</t>
  </si>
  <si>
    <t>Kiểm tra trùng mã đơn giá giữa các JA khác nhau</t>
  </si>
  <si>
    <t>User A thuộc JA_1
User B thuộc JA_2
Không tồn tại 単価コード = T001 trong JA_1 và JA_2</t>
  </si>
  <si>
    <t>User A tạo 単価コード = T001 trong JA_1
User B tạo 単価コード = T001 trong JA_2</t>
  </si>
  <si>
    <t xml:space="preserve">Cả 2 user đều tạo thành công
Mỗi JA có thể sử dụng cùng một 単価コード
Không bị coi là duplicate giữa các JA
</t>
  </si>
  <si>
    <t>Kiểm tra khi 2 user cùng cập nhật 1 bản ghi</t>
  </si>
  <si>
    <t xml:space="preserve">User A và User B cùng mở record T001
User A cập nhật và lưu thành công
User B thực hiện cập nhật
</t>
  </si>
  <si>
    <t>Hệ thống xử lý conflict theo design (cần xác nhận)
Không xảy ra silent overwrite ngoài mong muốn</t>
  </si>
  <si>
    <t>Kiểm tra Cache / UI stale data</t>
  </si>
  <si>
    <t>User A mở màn hình edit record TD001
User B cập nhật record này thành công
User A tiếp tục thao tác trên dữ liệu cũ</t>
  </si>
  <si>
    <t>Hệ thống detect dữ liệu đã thay đổi (stale data) hoặc
Có cơ chế reload / cảnh báo
Không sử dụng dữ liệu cũ để ghi đè ngoài ý muốn</t>
  </si>
  <si>
    <t>Kiểm tra Audit log detail (giá trị cũ và giá trị mới)</t>
  </si>
  <si>
    <t>Thực hiện cập nhật record TD001
Kiểm tra bảng log (t_log)</t>
  </si>
  <si>
    <t>Ghi nhận đầy đủ: user, action (UPDATE), timestamp
Lưu cả:
giá trị trước cập nhật (old value)
giá trị sau cập nhật (new value)
Dữ liệu log chính xác với thay đổi thực tế</t>
  </si>
  <si>
    <t>Kiểm tra rollback khi xảy ra lỗi trong quá trình xử lý update</t>
  </si>
  <si>
    <t>Tồn tại record TD001:
単価 = 1000</t>
  </si>
  <si>
    <t>Mở màn hình update TD001
Sửa:単価 = 9999 (hợp lệ)
Gửi request update (qua API hoặc UI)
Gây lỗi trong quá trình xử lý (ví dụ:DB constraint error hoặc lỗi khi insert log)</t>
  </si>
  <si>
    <t>Cập nhật thất bại
Không có thay đổi trong DB:単価 vẫn = 1000
Không có log mới trong t_log
Không xảy ra partial update
Hệ thống rollback toàn bộ transaction</t>
  </si>
  <si>
    <r>
      <rPr>
        <sz val="11"/>
        <color theme="1"/>
        <rFont val="Calibri"/>
        <family val="2"/>
      </rPr>
      <t>テストレベル</t>
    </r>
  </si>
  <si>
    <r>
      <rPr>
        <sz val="11"/>
        <color theme="1"/>
        <rFont val="Calibri"/>
        <family val="2"/>
      </rPr>
      <t>機能／モジュール</t>
    </r>
  </si>
  <si>
    <r>
      <rPr>
        <sz val="11"/>
        <color theme="1"/>
        <rFont val="Calibri"/>
        <family val="2"/>
      </rPr>
      <t>作成者</t>
    </r>
  </si>
  <si>
    <r>
      <rPr>
        <sz val="11"/>
        <color theme="1"/>
        <rFont val="Calibri"/>
        <family val="2"/>
      </rPr>
      <t>作成日</t>
    </r>
  </si>
  <si>
    <r>
      <rPr>
        <sz val="11"/>
        <color theme="1"/>
        <rFont val="Calibri"/>
        <family val="2"/>
      </rPr>
      <t>確認者</t>
    </r>
  </si>
  <si>
    <r>
      <rPr>
        <sz val="11"/>
        <color theme="1"/>
        <rFont val="Calibri"/>
        <family val="2"/>
      </rPr>
      <t>確認日</t>
    </r>
  </si>
  <si>
    <r>
      <rPr>
        <sz val="11"/>
        <color theme="1"/>
        <rFont val="Calibri"/>
        <family val="2"/>
      </rPr>
      <t>テスト環境</t>
    </r>
  </si>
  <si>
    <r>
      <rPr>
        <b/>
        <sz val="11"/>
        <color theme="1"/>
        <rFont val="Calibri"/>
        <family val="2"/>
      </rPr>
      <t>分類</t>
    </r>
  </si>
  <si>
    <r>
      <rPr>
        <b/>
        <sz val="11"/>
        <color theme="1"/>
        <rFont val="Calibri"/>
        <family val="2"/>
      </rPr>
      <t>テスト結果</t>
    </r>
  </si>
  <si>
    <r>
      <rPr>
        <b/>
        <sz val="11"/>
        <color theme="1"/>
        <rFont val="Calibri"/>
        <family val="2"/>
      </rPr>
      <t>回目</t>
    </r>
  </si>
  <si>
    <r>
      <rPr>
        <b/>
        <sz val="11"/>
        <color theme="1"/>
        <rFont val="Calibri"/>
        <family val="2"/>
      </rPr>
      <t>正常</t>
    </r>
  </si>
  <si>
    <r>
      <rPr>
        <b/>
        <sz val="11"/>
        <color theme="1"/>
        <rFont val="Calibri"/>
        <family val="2"/>
      </rPr>
      <t>異常</t>
    </r>
  </si>
  <si>
    <r>
      <rPr>
        <b/>
        <sz val="11"/>
        <color theme="1"/>
        <rFont val="Calibri"/>
        <family val="2"/>
      </rPr>
      <t>境界値</t>
    </r>
  </si>
  <si>
    <r>
      <rPr>
        <b/>
        <sz val="11"/>
        <color theme="1"/>
        <rFont val="Calibri"/>
        <family val="2"/>
      </rPr>
      <t>合計</t>
    </r>
  </si>
  <si>
    <t>合格</t>
  </si>
  <si>
    <t>不合格</t>
  </si>
  <si>
    <t>未テスト</t>
  </si>
  <si>
    <r>
      <rPr>
        <b/>
        <sz val="11"/>
        <color theme="1"/>
        <rFont val="Calibri"/>
        <family val="2"/>
      </rPr>
      <t>N/A</t>
    </r>
  </si>
  <si>
    <r>
      <rPr>
        <b/>
        <sz val="11"/>
        <color theme="1"/>
        <rFont val="Calibri"/>
        <family val="2"/>
      </rPr>
      <t>合計</t>
    </r>
  </si>
  <si>
    <r>
      <rPr>
        <sz val="11"/>
        <color theme="1"/>
        <rFont val="Calibri"/>
        <family val="2"/>
      </rPr>
      <t>1回目</t>
    </r>
  </si>
  <si>
    <r>
      <rPr>
        <sz val="11"/>
        <color theme="1"/>
        <rFont val="Calibri"/>
        <family val="2"/>
      </rPr>
      <t>2回目</t>
    </r>
  </si>
  <si>
    <r>
      <rPr>
        <b/>
        <sz val="11"/>
        <color theme="1"/>
        <rFont val="Calibri"/>
        <family val="2"/>
      </rPr>
      <t>#</t>
    </r>
  </si>
  <si>
    <r>
      <rPr>
        <b/>
        <sz val="11"/>
        <color theme="1"/>
        <rFont val="Calibri"/>
        <family val="2"/>
      </rPr>
      <t>種類</t>
    </r>
  </si>
  <si>
    <t>テスト1回目の結果</t>
  </si>
  <si>
    <r>
      <rPr>
        <b/>
        <sz val="11"/>
        <color theme="1"/>
        <rFont val="Calibri"/>
        <family val="2"/>
      </rPr>
      <t>テスト2回目の結果</t>
    </r>
  </si>
  <si>
    <r>
      <rPr>
        <b/>
        <sz val="11"/>
        <color theme="1"/>
        <rFont val="Calibri"/>
        <family val="2"/>
      </rPr>
      <t>備考</t>
    </r>
  </si>
  <si>
    <r>
      <rPr>
        <b/>
        <sz val="11"/>
        <color theme="1"/>
        <rFont val="Calibri"/>
        <family val="2"/>
      </rPr>
      <t>結果</t>
    </r>
  </si>
  <si>
    <t>実績／
アウトプット</t>
  </si>
  <si>
    <t>確認日付
（MM/DD）</t>
  </si>
  <si>
    <r>
      <rPr>
        <b/>
        <sz val="11"/>
        <color theme="1"/>
        <rFont val="Calibri"/>
        <family val="2"/>
      </rPr>
      <t xml:space="preserve">バグID </t>
    </r>
  </si>
  <si>
    <r>
      <rPr>
        <b/>
        <sz val="11"/>
        <color theme="1"/>
        <rFont val="Calibri"/>
        <family val="2"/>
      </rPr>
      <t>結果</t>
    </r>
  </si>
  <si>
    <r>
      <rPr>
        <b/>
        <sz val="11"/>
        <color theme="1"/>
        <rFont val="Calibri"/>
        <family val="2"/>
      </rPr>
      <t>担当者</t>
    </r>
  </si>
  <si>
    <r>
      <rPr>
        <b/>
        <sz val="11"/>
        <color theme="1"/>
        <rFont val="Calibri"/>
        <family val="2"/>
      </rPr>
      <t xml:space="preserve">バグID </t>
    </r>
  </si>
  <si>
    <t>Kiểm tra phạm vi truy cập</t>
  </si>
  <si>
    <t>1. Tại màn hình tìm kiếm
2. Click vào button「新規登録」</t>
  </si>
  <si>
    <t>Không thể truy cập màn hình tạo đơn giá 
Sẽ hiển thị message: アクセス権がありません。</t>
  </si>
  <si>
    <t>A</t>
  </si>
  <si>
    <t>Check Position</t>
  </si>
  <si>
    <t xml:space="preserve">1. Tại màn hình tìm kiếm
2. Click vào button「新規登録」hoặc 1 record bất kỳ
</t>
  </si>
  <si>
    <t xml:space="preserve">
Cho phép truy cập vào để  xem/tạo/sửa tất cả JA trong chuokai + chi nhánh. Không thao tác được với dữ liệu ngoài chuokai</t>
  </si>
  <si>
    <r>
      <rPr>
        <sz val="11"/>
        <color theme="1"/>
        <rFont val="Calibri"/>
        <family val="2"/>
      </rPr>
      <t>N</t>
    </r>
  </si>
  <si>
    <t>Check Responsive</t>
  </si>
  <si>
    <t xml:space="preserve">
Cho phép truy cập vào để xem/tạo/sửa chỉ JA của họ. Không thao tác được với JA khác</t>
  </si>
  <si>
    <t>N</t>
  </si>
  <si>
    <t>Check hiển thị Textbox</t>
  </si>
  <si>
    <t xml:space="preserve">
Cho phép truy cập vào để xem/tạo/sửa chỉ chi nhánh của họ. Không thao tác chi nhánh khác</t>
  </si>
  <si>
    <r>
      <rPr>
        <sz val="11"/>
        <color theme="1"/>
        <rFont val="Calibri"/>
        <family val="2"/>
      </rPr>
      <t>N</t>
    </r>
  </si>
  <si>
    <t>Kiểm tra hiển thị layout</t>
  </si>
  <si>
    <t>Login vào hệ thống với tài khoản JA</t>
  </si>
  <si>
    <t>1. Tại màn hình tìm kiếm
2. Click vào button「新規登録」hoặc 1 record bất kỳ
3. Kiểm  tra background, font style (type, size, color), line stype, alignment (left, right, middle, top, bottom, center), row height của màn hình tạo mới và màn hình update.</t>
  </si>
  <si>
    <t xml:space="preserve">-Di chuyển đến màn hình tạo mới mới hoặc màn hình edit đơn giá
- Background, font style, line stype, alignment, row height: hiển thị giống với design
</t>
  </si>
  <si>
    <t>1. Tại màn hình tìm kiếm
2. Click vào button「新規登録」hoặc 1 record bất kỳ
3. Check vị trí của các item của màn hình tạo mới và màn hình update.</t>
  </si>
  <si>
    <t xml:space="preserve">
Vị trí item  hiển thị giống với design</t>
  </si>
  <si>
    <r>
      <rPr>
        <sz val="11"/>
        <color theme="1"/>
        <rFont val="Calibri"/>
        <family val="2"/>
      </rPr>
      <t>N</t>
    </r>
  </si>
  <si>
    <t>1. Tại màn hình tìm kiếm
2. Click vào button「新規登録」hoặc 1 record bất kỳ
3. Check khi thay đổi kích thước màn hình hiện tại.</t>
  </si>
  <si>
    <t>Màn hình không bị vỡ, xô lệch</t>
  </si>
  <si>
    <t>Check hiển thị text box (Place holder, format, status)</t>
  </si>
  <si>
    <t>Text box hiển thị giống với design</t>
  </si>
  <si>
    <r>
      <rPr>
        <sz val="11"/>
        <color theme="1"/>
        <rFont val="Calibri"/>
        <family val="2"/>
      </rPr>
      <t>N</t>
    </r>
  </si>
  <si>
    <t>Check các item</t>
  </si>
  <si>
    <t>Kiểm tra số lượng, khoảng cách các item</t>
  </si>
  <si>
    <t>Hiển thị đầy đủ các item trên màn hình theo design. Khoảng cách hiển thị phù hợp</t>
  </si>
  <si>
    <r>
      <rPr>
        <sz val="11"/>
        <color theme="1"/>
        <rFont val="Calibri"/>
        <family val="2"/>
      </rPr>
      <t>N</t>
    </r>
  </si>
  <si>
    <t>Check vị trí</t>
  </si>
  <si>
    <t>Kiểm tra vị trí các item</t>
  </si>
  <si>
    <t>Đảm bảo các item đúng vị trí như tài liệu design, dễ nhìn, không bị che khuất</t>
  </si>
  <si>
    <r>
      <rPr>
        <sz val="11"/>
        <color theme="1"/>
        <rFont val="Calibri"/>
        <family val="2"/>
      </rPr>
      <t>N</t>
    </r>
  </si>
  <si>
    <t>Check hiển thị Button</t>
  </si>
  <si>
    <t xml:space="preserve"> Check hiển thị button (Size, location, icon, color)</t>
  </si>
  <si>
    <t xml:space="preserve"> Button hiển thị giống với design</t>
  </si>
  <si>
    <r>
      <rPr>
        <sz val="11"/>
        <color theme="1"/>
        <rFont val="Calibri"/>
        <family val="2"/>
      </rPr>
      <t>N</t>
    </r>
  </si>
  <si>
    <t>Check Tab</t>
  </si>
  <si>
    <t xml:space="preserve">Thực hiện ấn phím tab trên bàn phím </t>
  </si>
  <si>
    <t>Tab đúng thứ tự : từ trên xuống dưới, từ trái sang phải</t>
  </si>
  <si>
    <r>
      <rPr>
        <sz val="11"/>
        <color theme="1"/>
        <rFont val="Calibri"/>
        <family val="2"/>
      </rPr>
      <t>N</t>
    </r>
  </si>
  <si>
    <t>Check double button</t>
  </si>
  <si>
    <t>Click/Double-Click button</t>
  </si>
  <si>
    <t>Không xảy ra lỗi</t>
  </si>
  <si>
    <r>
      <rPr>
        <sz val="11"/>
        <color theme="1"/>
        <rFont val="Calibri"/>
        <family val="2"/>
      </rPr>
      <t>N</t>
    </r>
  </si>
  <si>
    <t>Check Enter</t>
  </si>
  <si>
    <t>Click enter trên bàn phím</t>
  </si>
  <si>
    <t>Khi thực hiện enter bằng bàn phím thì focus và thực hiện action giống như hành động click vào button</t>
  </si>
  <si>
    <r>
      <rPr>
        <sz val="11"/>
        <color theme="1"/>
        <rFont val="Calibri"/>
        <family val="2"/>
      </rPr>
      <t>N</t>
    </r>
  </si>
  <si>
    <t>Header</t>
  </si>
  <si>
    <t>Title</t>
  </si>
  <si>
    <t>Kiểm tra hiển thị tên màn hình</t>
  </si>
  <si>
    <t>Hiển thị tên màn hình「単価マスタ登録画面」phía bên trái</t>
  </si>
  <si>
    <r>
      <rPr>
        <sz val="11"/>
        <color theme="1"/>
        <rFont val="Calibri"/>
        <family val="2"/>
      </rPr>
      <t>N</t>
    </r>
  </si>
  <si>
    <t>Thông báo &amp; user menu</t>
  </si>
  <si>
    <t xml:space="preserve">1. Kiểm tra hiển thị 
2. Hover chuột qua </t>
  </si>
  <si>
    <t xml:space="preserve">1. Hiển thị bên phải header theo format: 
icon thông báo |  icon user+ admin:日裏（管理者）
2. Có hiệu ứng hover
</t>
  </si>
  <si>
    <t>Breadcrumb</t>
  </si>
  <si>
    <t>Kiểm tra hiển thị breadcrumb</t>
  </si>
  <si>
    <r>
      <rPr>
        <sz val="11"/>
        <color theme="1"/>
        <rFont val="Calibri"/>
        <family val="2"/>
      </rPr>
      <t xml:space="preserve">1. Vị trí bên trái dưới tên màn hình
2. Trong breadcrumb (đường dẫn phân cấp), mục cuối cùng (trang hiện đang hiển thị) cần được hiển thị bằng chữ in đậm.
Ví dụ: ホーム &gt; マスタ管理 &gt; </t>
    </r>
    <r>
      <rPr>
        <b/>
        <sz val="11"/>
        <color theme="1"/>
        <rFont val="Calibri"/>
        <family val="2"/>
      </rPr>
      <t>単価マスタ登録画面</t>
    </r>
  </si>
  <si>
    <t>Đang mở màn hình tìm kiếm đơn giá</t>
  </si>
  <si>
    <t>1. Tại Khu vực breadcrumb
- Click Trang chủ / ホーム</t>
  </si>
  <si>
    <t>Redirect đến màn hình trang chủ</t>
  </si>
  <si>
    <r>
      <rPr>
        <sz val="11"/>
        <color theme="1"/>
        <rFont val="Calibri"/>
        <family val="2"/>
      </rPr>
      <t>N</t>
    </r>
  </si>
  <si>
    <t xml:space="preserve">1. Tại Khu vực breadcrumb
- Click Quản lý tổng thể / マスタ管理 </t>
  </si>
  <si>
    <t>Redirect đến màn hình マスタ管理</t>
  </si>
  <si>
    <r>
      <rPr>
        <sz val="11"/>
        <color theme="1"/>
        <rFont val="Calibri"/>
        <family val="2"/>
      </rPr>
      <t>N</t>
    </r>
  </si>
  <si>
    <t>1. Tại Khu vực breadcrumb
- Click Tìm kiếm chi tiết tổng thể đơn giá 「新規登録」</t>
  </si>
  <si>
    <t>Khi nhấn 「新規登録」 thì không có gì xảy ra</t>
  </si>
  <si>
    <r>
      <rPr>
        <sz val="11"/>
        <color theme="1"/>
        <rFont val="Calibri"/>
        <family val="2"/>
      </rPr>
      <t>N</t>
    </r>
  </si>
  <si>
    <t>Check validate &gt;&gt; Màn tạo mới mới</t>
  </si>
  <si>
    <t>Kiểm tra radio button 単価種別</t>
  </si>
  <si>
    <t>1. Kiểm tra radio button 単価種別</t>
  </si>
  <si>
    <t xml:space="preserve">Hiển thị loại đơn giá get lên đúng giá trị trường tanka_type của API, gồm 2 options: 1=新聞購読料, 2=配達手数料
Default: 新聞購読料
Là trường bắt buộc </t>
  </si>
  <si>
    <t>Kiểm tra textbox Mã đơn giá / 単価コード</t>
  </si>
  <si>
    <t>1. Bỏ trống field 単価コード
2. Nhập thông tin hợp lệ vào tất cả các trường còn lại
3. Click button 登録</t>
  </si>
  <si>
    <t>Message lỗi hiển thị: 必須項目です。</t>
  </si>
  <si>
    <t>1. Nhập full ký tự space
2. Nhập thông tin hợp lệ vào tất cả các trường còn lại
3. Click button 登録</t>
  </si>
  <si>
    <t>1. Nhập 単価コード từ 1-10 ký tự
2. Focus out</t>
  </si>
  <si>
    <t>Cho phép nhập dữ liệu, không hiển thị lỗi</t>
  </si>
  <si>
    <t>1. Nhập 単価コード  = 11 ký tự
2. Focus out</t>
  </si>
  <si>
    <t>Không cho phép nhập quá 10 ký tự, sau ký tự thứ 10 sẽ tự động chặn.</t>
  </si>
  <si>
    <t>1. Nhập ký tự đặc biệt thông thường ví dụ: !@#$%^~`:”{}[]&lt;,&gt;.?/|\+-=)(*&amp;
3. Focus out</t>
  </si>
  <si>
    <t xml:space="preserve">Cho phép nhập, không hiển thị lỗi 
</t>
  </si>
  <si>
    <t>1. Nhập ký tự đặc biệt ngoài bàn phím ví dụ: ①、②гдё๖ۣۜA ๖ۣۜB ๖ۣۜC Ƹ̴Ӂ̴Ʒ
3. Focus out</t>
  </si>
  <si>
    <t>1. HTML tag
example: &lt;br&gt;/ &lt;a&gt;&lt;/a&gt;
2. SQL injection
example:   or = , &lt;script&gt;alert('test');&lt;/script&gt;
3. Focus out</t>
  </si>
  <si>
    <t>1. Nhập 単価コード  có khoảng trắng đầu hoặc cuối
2. Focus out</t>
  </si>
  <si>
    <t>Cho phép nhập, không hiển thị lỗi 
Tự động cắt space đầu cuối</t>
  </si>
  <si>
    <t>Tồn tại mã t002 trong DB</t>
  </si>
  <si>
    <t>1. Nhập 単価コード  = T002
2. Nhập thông tin hợp lệ vào tất cả các trường còn lại
3. Click button 登録</t>
  </si>
  <si>
    <t>Tạo mới thành công, hệ thống phân biệt chữ hoa và chữ thường</t>
  </si>
  <si>
    <t>Kiểm tra textbox Tên đơn giá / 単価名</t>
  </si>
  <si>
    <t>1. Bỏ trống field 単価名
2. Nhập thông tin hợp lệ vào tất cả các trường còn lại
3. Click button  登録</t>
  </si>
  <si>
    <t>1. Nhập field 単価名 từ 1- 100 ký tự nhập chữ số, chữ hoa, chữ thường la-tinh halfsize, fullsize
2. Check hiển thị</t>
  </si>
  <si>
    <t>Cho phép nhập dữ liệu với ký tự half-width &amp; full-width, không hiển thị message</t>
  </si>
  <si>
    <t>1. Nhập field 単価名 từ 1- 100 ký tự nhập katakana, hiragana halfsize, fullsize
2. Focus out</t>
  </si>
  <si>
    <t>1. Nhập field 単価名 =101 ký tự half-width &amp; full-width
2. Focus out</t>
  </si>
  <si>
    <t>Không cho phép nhập quá 100 ký tự, sau ký tự số 100 sẽ tự động chặn</t>
  </si>
  <si>
    <t>1. Nhập ký tự đặc biệt thông thường ví dụ: !@#$%^~`:”{}[]&lt;,&gt;.?/|\+-=)(*&amp;
2. Focus out</t>
  </si>
  <si>
    <t>1. Nhập ký tự đặc biệt ngoài bàn phím ví dụ: ①、②гдё๖ۣۜA ๖ۣۜB ๖ۣۜC Ƹ̴Ӂ̴Ʒ
2. Focus out</t>
  </si>
  <si>
    <t>1. Nhập 単価名  có khoảng trắng đầu hoặc cuối
2. Focus out</t>
  </si>
  <si>
    <t>Kiểm tra textbox Thuế suất / 税率 (%)</t>
  </si>
  <si>
    <t>1. Kiểm tra giá trị default</t>
  </si>
  <si>
    <t xml:space="preserve">Hiển thị default 0%
</t>
  </si>
  <si>
    <t>1. Nhập ký tự số la-tinh halfsize, katakana halfsize, hiragana halfsize
2. Focus out</t>
  </si>
  <si>
    <t>Cho phép nhập số dạng half-width đơn vị %</t>
  </si>
  <si>
    <t>1. Nhập số la-tinh fullsize, katakana fullsize, hiragana fullsize
2. Focus out</t>
  </si>
  <si>
    <t>Không cho phép nhập dạng full-width</t>
  </si>
  <si>
    <t>1. Nhập ký tự chữ la-tinh halfsize, katakana halfsize, hiragana halfsize
2. Focus out</t>
  </si>
  <si>
    <t>Không cho phép nhập ký tự chữ</t>
  </si>
  <si>
    <t>1. Nhập số từ 1-5 ký tự
2. Focus out</t>
  </si>
  <si>
    <t>Cho phép nhập dữ liệu, không hiển thị message</t>
  </si>
  <si>
    <t xml:space="preserve">1. Nhập &gt; maxlengthh (5 ký tự): 99.9999
2. Foucus out
</t>
  </si>
  <si>
    <t>Không cho phép nhập thêm ký tự ngoài giới hạn ( tự động cắt sau 5 ký tự)</t>
  </si>
  <si>
    <t>1. Nhập  phạm vi từ 0-100:
2. Focus out</t>
  </si>
  <si>
    <t xml:space="preserve">1. Nhập &gt; 100 (phạm vi 0 ~ 100) ví dụ: 101
2. Focus out
</t>
  </si>
  <si>
    <t>Chỉ cho phép nhập trong giới hạn 100 nếu lớn hơn tự động cắt.</t>
  </si>
  <si>
    <t xml:space="preserve">1. Nhập thuế suất là số thập phân: ví dụ: 2.123 
2. Focus out
</t>
  </si>
  <si>
    <t>Cho phép nhập số thập phân với định dạng x.xx%
Với trường hợp &gt;2 số thập phân, tự động làm tròn theo định dạng x.xx%</t>
  </si>
  <si>
    <t xml:space="preserve">1. Nhập kí tự đặc biệt, emoji, symbol, số âm
2. Focus out
</t>
  </si>
  <si>
    <t>Không cho phép nhập</t>
  </si>
  <si>
    <t xml:space="preserve">1. Nhập 税率 có khoảng trắng ở đầu hoặc cuối
2. Focus out
</t>
  </si>
  <si>
    <t xml:space="preserve">Hệ thống auto trim space </t>
  </si>
  <si>
    <t>Kiểm tra textbox Đơn giá (có thuế) / 単価（税込）</t>
  </si>
  <si>
    <t xml:space="preserve">Hiển thị default ¥ 0
</t>
  </si>
  <si>
    <t xml:space="preserve">Cho phép nhập số dạng half-width </t>
  </si>
  <si>
    <t>1. Nhập ký tự là chữ và ký tự đặc biệt
2. Focus out</t>
  </si>
  <si>
    <t>Không cho phép nhập ký tự chữ và ký tự đặc biệt</t>
  </si>
  <si>
    <t>1. Nhập giá trị ≤ 0: ví dụ nhập số âm
2. Focus out</t>
  </si>
  <si>
    <t>Không cho phép, khi nhập số âm sẽ bị chặn</t>
  </si>
  <si>
    <t>1. Nhập quá 10 ký tự số: ví dụ nhập 11 ký tự số
2. Focus out</t>
  </si>
  <si>
    <t xml:space="preserve">Chỉ cho phép nhập tối đa 10 ký tự số, từ ký tự số 11 sẽ bị chặn không cho nhập </t>
  </si>
  <si>
    <t>1. Kiểm tra fomat hiển thị ví dụ input: 2426, 1000000, 12</t>
  </si>
  <si>
    <t>Sẽ hiển thị theo ¥2,426, ¥1,000,000, ¥12</t>
  </si>
  <si>
    <t>1. Kiểm tra không tự động tính toán trường 税抜 khi nhập thông tin 税込 
ví dụ: trường 税込 = ¥12</t>
  </si>
  <si>
    <t>Hiển thị đúng 税込 = ¥12, trường 税抜 sẽ không được tính toán.</t>
  </si>
  <si>
    <t>Kiểm tra textbox Đơn giá (chưa thuế) / 単価（税抜）</t>
  </si>
  <si>
    <t>Khôn cho phép nhập, khi nhập số âm sẽ bị chặn</t>
  </si>
  <si>
    <t>1. Nhập quá 10 ký tự số: ví dụ nhập 11 ký tự số</t>
  </si>
  <si>
    <t>Sẽ hiển thị theo fomat ¥2,426, ¥1,000,000, ¥12</t>
  </si>
  <si>
    <t>1. Kiểm tra không tự động tính toán trường 税込 khi nhập thông tin 税抜 
ví dụ: trường 税抜 = ¥12</t>
  </si>
  <si>
    <t>Hiển thị đúng 税抜 = ¥12, trường 税込 sẽ không được tính toán.</t>
  </si>
  <si>
    <t>Kiểm tra Ngày bắt đầu áp dụng / 適用開始日</t>
  </si>
  <si>
    <t>1. Kiểm tra hiển thị</t>
  </si>
  <si>
    <t>Hiển thị theo định dạng YYYY-MM-DD
Textbox: Hiển thị placeholder 「YYYY-MM-DD」</t>
  </si>
  <si>
    <t>1. Bỏ trống 適用開始日
2. Nhập thông tin hợp lệ vào tất cả các trường còn lại.
3. Click button  登録</t>
  </si>
  <si>
    <t>Khi bỏ trống ngày hiện tại sẽ được tự động thiết lập khi tạo mới.</t>
  </si>
  <si>
    <t>1. Chọn ngày trong quá khứ</t>
  </si>
  <si>
    <t xml:space="preserve">Không cho chọn ngày trong quá </t>
  </si>
  <si>
    <t xml:space="preserve">1. Nhập ngày hiện tại hoặc trong tương lai
</t>
  </si>
  <si>
    <t>Cho phép nhập ngày hiện tại hoặc ngày tương lai</t>
  </si>
  <si>
    <t xml:space="preserve">1. Nhập ngày sai định dạng「YYYY-MM-DD」
</t>
  </si>
  <si>
    <t>Không có phép nhập</t>
  </si>
  <si>
    <t>Kiểm tra Ngày kết thúc áp dụng / 適用終了日</t>
  </si>
  <si>
    <t>1. Kiểm tra khi bỏ trống 適用終了日
2. Nhập thông tin hợp lệ vào tất cả các trường còn lại.
3. Click button  登録</t>
  </si>
  <si>
    <t>Trường 適用終了日 là trường bắt buộc, khi bỏ trống sẽ hiển thị message: 必須項目です。</t>
  </si>
  <si>
    <t>Ngày kết thúc = Ngày bắt đầu
ví dụ: 適用開始日= 2026-05-05</t>
  </si>
  <si>
    <t>1. Kiểm tra chỉ có thể chọn từ ngày bắt đầu áp dụng trở đi</t>
  </si>
  <si>
    <t>Chỉ hiển thị cho phép chọn từ ngày 05-05-2026 trở đi</t>
  </si>
  <si>
    <t>Có nhập ngày bắt đầu</t>
  </si>
  <si>
    <t>1. Nhập Ngày kết thúc &gt; ngày bắt đầu
2. Click button  登録</t>
  </si>
  <si>
    <t>Cho phép tạo mới, không hiển thị message thông báo lỗi</t>
  </si>
  <si>
    <t>1. Nhập ngày sai định dạng  「YYYY-MM-DD」
2. Click button  登録</t>
  </si>
  <si>
    <t>Check Function &gt;&gt; Màn hình tạo mới mới</t>
  </si>
  <si>
    <t>Kiểm tra chức năng tạo mới mới thành công khi nhập thông tin hợp lệ vào tất cả các trường.</t>
  </si>
  <si>
    <t xml:space="preserve">1. Nhập thông tin hợp lệ vào tất cả các trường
2. Click button 登録
</t>
  </si>
  <si>
    <t xml:space="preserve">
Tạo mới thành công, hiển thị message: 登録しました。
Hệ thống thêm bản ghi mới vào bảng m_tanka
Hệ thống redirect sang màn hình tìm kiếm đơn giá
Bản ghi tạo mới thành công hiển thị trên màn hình tìm kiếm</t>
  </si>
  <si>
    <r>
      <rPr>
        <sz val="11"/>
        <color theme="1"/>
        <rFont val="Calibri"/>
        <family val="2"/>
      </rPr>
      <t>N</t>
    </r>
  </si>
  <si>
    <t>Kiểm tra chức năng tạo mới mới thành công khi nhập thông tin hợp lệ vào tất cả các trường bắt buộc</t>
  </si>
  <si>
    <t xml:space="preserve">1. Nhập thông tin hợp lệ vào tất cả các trường bắt buộc
2. Click button 登録
</t>
  </si>
  <si>
    <t xml:space="preserve">
Tạo mới thành công, hiển thị message: 登録しました。
Hệ thống thêm bản ghi mới vào bảng m_tanka
Hệ thống redirect sang màn hình tìm kiếm đơn giá
- Với trường 適用開始日 sẽ tự động set = ngày hiện tại
</t>
  </si>
  <si>
    <r>
      <rPr>
        <sz val="11"/>
        <color theme="1"/>
        <rFont val="Calibri"/>
        <family val="2"/>
      </rPr>
      <t>N</t>
    </r>
  </si>
  <si>
    <r>
      <rPr>
        <sz val="11"/>
        <color theme="1"/>
        <rFont val="Calibri"/>
        <family val="2"/>
      </rPr>
      <t>N</t>
    </r>
  </si>
  <si>
    <t>Kiểm tra lưu DB khi tạo mới thành công</t>
  </si>
  <si>
    <r>
      <rPr>
        <sz val="11"/>
        <color theme="1"/>
        <rFont val="Calibri"/>
        <family val="2"/>
      </rPr>
      <t>N</t>
    </r>
  </si>
  <si>
    <r>
      <rPr>
        <sz val="11"/>
        <color theme="1"/>
        <rFont val="Calibri"/>
        <family val="2"/>
      </rPr>
      <t>N</t>
    </r>
  </si>
  <si>
    <t>Kiểm tra trùng mã trên tất cả các JA</t>
  </si>
  <si>
    <t>1. Login với user thuộc JA_1 vào tạo mã D001
2. Login với user thuộc JA_2 tạo mã D001</t>
  </si>
  <si>
    <t>Cả 2 user cùng tạo thành công mã D001</t>
  </si>
  <si>
    <r>
      <rPr>
        <sz val="11"/>
        <color theme="1"/>
        <rFont val="Calibri"/>
        <family val="2"/>
      </rPr>
      <t>N</t>
    </r>
  </si>
  <si>
    <t>Kiểm tra chức năng tạo mới mới không thành công khi bỏ trống tất cả các trường</t>
  </si>
  <si>
    <t xml:space="preserve">1. Không nhập thông tin trường nào
2. Click button 登録
</t>
  </si>
  <si>
    <t>Tạo mới không thành công, hệ thống hiển thị message: 必須項目です。 dưới từng field bắt buộc.
Không thêm bản ghi vào DB.</t>
  </si>
  <si>
    <r>
      <rPr>
        <sz val="11"/>
        <color theme="1"/>
        <rFont val="Calibri"/>
        <family val="2"/>
      </rPr>
      <t>N</t>
    </r>
  </si>
  <si>
    <t>Kiểm tra chức năng tạo mới mới không thành công khi nhập mã đã tồn tại.</t>
  </si>
  <si>
    <t>Tồn tại mã code T001 trong DB</t>
  </si>
  <si>
    <t xml:space="preserve">1. Tại trường 単価コード nhập mã đã tồn tại T001
2. Nhập thông tin hợp lệ vào tất cả các trường còn lại
3. Click button 登録
</t>
  </si>
  <si>
    <t xml:space="preserve">Tạo mới không thành công, hệ thống hiển thị message: 単価コード「{code}」はすでに登録されています。
- {code} = tanka_code </t>
  </si>
  <si>
    <r>
      <rPr>
        <sz val="11"/>
        <color theme="1"/>
        <rFont val="Calibri"/>
        <family val="2"/>
      </rPr>
      <t>N</t>
    </r>
  </si>
  <si>
    <t xml:space="preserve">Kiểm tra chức năng tạo mới không thành công khi lỗi hệ thống </t>
  </si>
  <si>
    <t xml:space="preserve">1. Nhập thông tin hợp lệ vào tất cả các trường
2. Lỗi hệ thống
3. Click button 登録
</t>
  </si>
  <si>
    <r>
      <rPr>
        <sz val="11"/>
        <color theme="1"/>
        <rFont val="Calibri"/>
        <family val="2"/>
      </rPr>
      <t>N</t>
    </r>
  </si>
  <si>
    <t xml:space="preserve">Kiểm tra chức năng tạo mới không thành công khi mất kết nối mạng </t>
  </si>
  <si>
    <t xml:space="preserve">1. Nhập thông tin hợp lệ vào tất cả các trường
2. Ngắt kết nối mạng 
3. Click button 登録
</t>
  </si>
  <si>
    <t>tạo mới không thành công, hiển thị màn hình no internet.
Không thêm bản ghi vào DB</t>
  </si>
  <si>
    <r>
      <rPr>
        <sz val="11"/>
        <color theme="1"/>
        <rFont val="Calibri"/>
        <family val="2"/>
      </rPr>
      <t>N</t>
    </r>
  </si>
  <si>
    <t xml:space="preserve">Kiểm tra chức năng tạo mới không thành công khi click button 前の画面に戻る </t>
  </si>
  <si>
    <t xml:space="preserve">1. Nhập thông tin hợp lệ vào tất cả các trường
2. Click button 前の画面に戻る
</t>
  </si>
  <si>
    <t>Tạo mới không thành công, quay lại màn hình tìm kiếm
Không thêm bản ghi vào DB</t>
  </si>
  <si>
    <r>
      <rPr>
        <sz val="11"/>
        <color theme="1"/>
        <rFont val="Calibri"/>
        <family val="2"/>
      </rPr>
      <t>N</t>
    </r>
  </si>
  <si>
    <t>Kiểm tra lưu DB khi tạo mới không thành công</t>
  </si>
  <si>
    <t>Tạo mới không thành công bản ghi với 単価コード = TD001</t>
  </si>
  <si>
    <t xml:space="preserve">Data Không xuất hiện trong bảng m_tanka.
</t>
  </si>
  <si>
    <r>
      <rPr>
        <sz val="11"/>
        <color theme="1"/>
        <rFont val="Calibri"/>
        <family val="2"/>
      </rPr>
      <t>N</t>
    </r>
  </si>
  <si>
    <t>Kiểm tra sẽ không ghi log khi tạo mới không thành công</t>
  </si>
  <si>
    <t>Không thực hiện ghi log</t>
  </si>
  <si>
    <r>
      <rPr>
        <sz val="11"/>
        <color theme="1"/>
        <rFont val="Calibri"/>
        <family val="2"/>
      </rPr>
      <t>N</t>
    </r>
  </si>
  <si>
    <t>Màn hình sửa &gt;&gt;Đã đăng nhập vào tài khoản JA</t>
  </si>
  <si>
    <t>Open màn hình cập nhật</t>
  </si>
  <si>
    <t xml:space="preserve">1. Kiểm tra form load với dữ liệu cũ đầy đủ.
</t>
  </si>
  <si>
    <t xml:space="preserve">Form load với dữ liệu cũ đầy đủ. 
Giá trị cũ ​​khớp với dữ liệu trong cơ sở dữ liệu </t>
  </si>
  <si>
    <r>
      <rPr>
        <sz val="11"/>
        <color theme="1"/>
        <rFont val="Calibri"/>
        <family val="2"/>
      </rPr>
      <t>N</t>
    </r>
  </si>
  <si>
    <t>Tồn tại mã bản ghi CD001 trong DB đã được ghi log đầy đủ ở bảng t_log và chưa được cập nhật</t>
  </si>
  <si>
    <t>1. Kiểm tra log với bản ghi có mã CD001 trong bảng t_log</t>
  </si>
  <si>
    <t xml:space="preserve">
Ghi log đầy đủ, log đúng user, action, timestamp.
Entry ghi với operation=CREATE</t>
  </si>
  <si>
    <r>
      <rPr>
        <sz val="11"/>
        <color theme="1"/>
        <rFont val="Calibri"/>
        <family val="2"/>
      </rPr>
      <t>N</t>
    </r>
  </si>
  <si>
    <t>Kiểm tra trường 適用開始日 sẽ ở trạng thái read-only khi ngày là quá khứ</t>
  </si>
  <si>
    <t>Trường 適用開始日 là ngày quá khứ</t>
  </si>
  <si>
    <t>1. Kiểm tra trường  適用開始日</t>
  </si>
  <si>
    <t>Hiển thị ở trạng thái read-only</t>
  </si>
  <si>
    <r>
      <rPr>
        <sz val="11"/>
        <color theme="1"/>
        <rFont val="Calibri"/>
        <family val="2"/>
      </rPr>
      <t>N</t>
    </r>
  </si>
  <si>
    <t>Kiểm tra trường 適用開始日 sẽ được phép edit khi ngày bắt đầu  áp dụng là ngày trong tương lai</t>
  </si>
  <si>
    <t>Trường 適用開始日 là ngày tương lai</t>
  </si>
  <si>
    <t xml:space="preserve">Cho phép chọn ngày từ hôm nay trở </t>
  </si>
  <si>
    <r>
      <rPr>
        <sz val="11"/>
        <color theme="1"/>
        <rFont val="Calibri"/>
        <family val="2"/>
      </rPr>
      <t>N</t>
    </r>
  </si>
  <si>
    <t>Kiểm tra chức năng edit thành công khi nhập thông tin hợp lệ vào tất cả các trường.</t>
  </si>
  <si>
    <t xml:space="preserve">1. Nhập thông tin hợp lệ vào tất cả các trường
2. Click button 更新
</t>
  </si>
  <si>
    <t xml:space="preserve">
Edit thành công, hiển thị message: 更新しました。
Thông tin edit được update vào trong DB
Hệ thống redirect sang màn hình tìm kiếm đơn giá
</t>
  </si>
  <si>
    <r>
      <rPr>
        <sz val="11"/>
        <color theme="1"/>
        <rFont val="Calibri"/>
        <family val="2"/>
      </rPr>
      <t>N</t>
    </r>
  </si>
  <si>
    <t>Kiểm tra chức năng edit thành công khi nhập thông tin hợp lệ vào tất cả các trường bắt buộc</t>
  </si>
  <si>
    <t>1. Nhập thông tin hợp lệ vào tất cả các trường bắt buộc
2. Click button 更新</t>
  </si>
  <si>
    <r>
      <rPr>
        <sz val="11"/>
        <color theme="1"/>
        <rFont val="Calibri"/>
        <family val="2"/>
      </rPr>
      <t>N</t>
    </r>
  </si>
  <si>
    <t>- User 1 đăng nhập vào hệ thống với trình duyệt A và mở bản ghi có ID =333
- User 2 đăng nhập vào hệ thống với trình duyệt B và mở bản ghi có ID= 333</t>
  </si>
  <si>
    <t xml:space="preserve">1. Hai user đều edit thông tin hợp lệ vào tất cả các trường.
2. Hai user cùng click button 更新
</t>
  </si>
  <si>
    <t>User 1 edit thành công, hiển thị message: 更新しました。
User 2 không edit thành công, có hiển thị lỗi không cần confirm lại</t>
  </si>
  <si>
    <r>
      <rPr>
        <sz val="11"/>
        <color theme="1"/>
        <rFont val="Calibri"/>
        <family val="2"/>
      </rPr>
      <t>N</t>
    </r>
  </si>
  <si>
    <t>Kiểm tra chức năng tạo mới mới không thành công khi 2 user cùng edit 1 bản ghi</t>
  </si>
  <si>
    <t xml:space="preserve">
2. Click button 更新
</t>
  </si>
  <si>
    <t xml:space="preserve">Edit không thành công, hệ thống hiển thị message: 必須項目です。dưới từng field bắt buộc.
</t>
  </si>
  <si>
    <r>
      <rPr>
        <sz val="11"/>
        <color theme="1"/>
        <rFont val="Calibri"/>
        <family val="2"/>
      </rPr>
      <t>N</t>
    </r>
  </si>
  <si>
    <t xml:space="preserve">Kiểm tra chức năng edit không thành công khi lỗi hệ thống </t>
  </si>
  <si>
    <t xml:space="preserve">1. Nhập thông tin hợp lệ vào tất cả các trường
2. Lỗi hệ thống
3. Click button 更新
</t>
  </si>
  <si>
    <t>Edit không thành công, hệ thống hiển thị message: システムエラーが発生しました。しばらくしてから再度お試しください。</t>
  </si>
  <si>
    <r>
      <rPr>
        <sz val="11"/>
        <color theme="1"/>
        <rFont val="Calibri"/>
        <family val="2"/>
      </rPr>
      <t>N</t>
    </r>
  </si>
  <si>
    <t xml:space="preserve">Kiểm tra chức năng edit không thành công khi mất kết nối mạng </t>
  </si>
  <si>
    <t xml:space="preserve">1. Nhập thông tin hợp lệ vào tất cả các trường
2. Ngắt kết nối mạng 
3. Click button 更新
</t>
  </si>
  <si>
    <t>Edit không thành công, hiển thị màn hình no internet.
Thông tin edit không được update vào DB</t>
  </si>
  <si>
    <r>
      <rPr>
        <sz val="11"/>
        <color theme="1"/>
        <rFont val="Calibri"/>
        <family val="2"/>
      </rPr>
      <t>N</t>
    </r>
  </si>
  <si>
    <t xml:space="preserve">Kiểm tra chức năng edit không thành công khi click button 前の画面に戻る </t>
  </si>
  <si>
    <t>Edit không thành công, quay lại màn hình tìm kiếm
Thông tin edit không update vào trong DB</t>
  </si>
  <si>
    <r>
      <rPr>
        <sz val="11"/>
        <color theme="1"/>
        <rFont val="Calibri"/>
        <family val="2"/>
      </rPr>
      <t>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</si>
</sst>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numFmt numFmtId="166" formatCode="mm/dd"/>
  </numFmts>
  <fonts count="12" x14ac:knownFonts="1">
    <font>
      <sz val="11"/>
      <color theme="1"/>
      <name val="Calibri"/>
      <scheme val="minor"/>
    </font>
    <font>
      <sz val="11"/>
      <color theme="1"/>
      <name val="MS PGothic"/>
      <family val="2"/>
      <charset val="128"/>
    </font>
    <font>
      <sz val="26"/>
      <color rgb="FF1F3864"/>
      <name val="MS PGothic"/>
      <family val="2"/>
      <charset val="128"/>
    </font>
    <font>
      <sz val="11"/>
      <name val="Calibri"/>
      <family val="2"/>
    </font>
    <font>
      <sz val="24"/>
      <color rgb="FF1F3864"/>
      <name val="MS PGothic"/>
      <family val="2"/>
      <charset val="128"/>
    </font>
    <font>
      <sz val="11"/>
      <color theme="1"/>
      <name val="Calibri"/>
      <family val="2"/>
    </font>
    <font>
      <sz val="10"/>
      <color theme="1"/>
      <name val="Calibri"/>
      <family val="2"/>
    </font>
    <font>
      <b/>
      <sz val="11"/>
      <color theme="1"/>
      <name val="Calibri"/>
      <family val="2"/>
    </font>
    <font>
      <b/>
      <sz val="11"/>
      <color rgb="FF000000"/>
      <name val="Meiryo"/>
      <family val="2"/>
      <charset val="128"/>
    </font>
    <font>
      <sz val="11"/>
      <color rgb="FF000000"/>
      <name val="Meiryo"/>
      <family val="2"/>
      <charset val="128"/>
    </font>
    <font>
      <sz val="11"/>
      <color theme="1"/>
      <name val="Meiryo"/>
      <family val="2"/>
      <charset val="128"/>
    </font>
    <font>
      <sz val="11"/>
      <color rgb="FF000000"/>
      <name val="Calibri"/>
      <family val="2"/>
    </font>
  </fonts>
  <fills count="11">
    <fill>
      <patternFill patternType="none"/>
    </fill>
    <fill>
      <patternFill patternType="gray125"/>
    </fill>
    <fill>
      <patternFill patternType="solid">
        <fgColor theme="0"/>
        <bgColor theme="0"/>
      </patternFill>
    </fill>
    <fill>
      <patternFill patternType="solid">
        <fgColor rgb="FFD9E2F3"/>
        <bgColor rgb="FFD9E2F3"/>
      </patternFill>
    </fill>
    <fill>
      <patternFill patternType="solid">
        <fgColor rgb="FF8EAADB"/>
        <bgColor rgb="FF8EAADB"/>
      </patternFill>
    </fill>
    <fill>
      <patternFill patternType="solid">
        <fgColor rgb="FFB4C6E7"/>
        <bgColor rgb="FFB4C6E7"/>
      </patternFill>
    </fill>
    <fill>
      <patternFill patternType="solid">
        <fgColor rgb="FFFFFF99"/>
        <bgColor rgb="FFFFFF99"/>
      </patternFill>
    </fill>
    <fill>
      <patternFill patternType="solid">
        <fgColor rgb="FFDEEAF6"/>
        <bgColor rgb="FFDEEAF6"/>
      </patternFill>
    </fill>
    <fill>
      <patternFill patternType="solid">
        <fgColor rgb="FFFFFFFF"/>
        <bgColor rgb="FFFFFFFF"/>
      </patternFill>
    </fill>
    <fill>
      <patternFill patternType="solid">
        <fgColor theme="8"/>
        <bgColor theme="8"/>
      </patternFill>
    </fill>
    <fill>
      <patternFill patternType="solid">
        <fgColor rgb="FFFFFF00"/>
        <bgColor rgb="FFFFFF00"/>
      </patternFill>
    </fill>
  </fills>
  <borders count="47">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right/>
      <top style="thin">
        <color rgb="FF000000"/>
      </top>
      <bottom/>
      <diagonal/>
    </border>
    <border>
      <left/>
      <right/>
      <top/>
      <bottom/>
      <diagonal/>
    </border>
    <border>
      <left/>
      <right/>
      <top/>
      <bottom style="thin">
        <color rgb="FF000000"/>
      </bottom>
      <diagonal/>
    </border>
  </borders>
  <cellStyleXfs count="1">
    <xf numFmtId="0" fontId="0" fillId="0" borderId="0"/>
  </cellStyleXfs>
  <cellXfs count="105">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5" fillId="2" borderId="1" xfId="0" applyFont="1" applyFill="1" applyBorder="1"/>
    <xf numFmtId="0" fontId="6" fillId="2" borderId="1" xfId="0" applyFont="1" applyFill="1" applyBorder="1"/>
    <xf numFmtId="0" fontId="1" fillId="2" borderId="13" xfId="0" applyFont="1" applyFill="1" applyBorder="1"/>
    <xf numFmtId="0" fontId="1" fillId="2" borderId="14" xfId="0" applyFont="1" applyFill="1" applyBorder="1"/>
    <xf numFmtId="0" fontId="1" fillId="2" borderId="15" xfId="0" applyFont="1" applyFill="1" applyBorder="1"/>
    <xf numFmtId="0" fontId="7" fillId="4" borderId="16"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10" fillId="0" borderId="0" xfId="0" applyFont="1"/>
    <xf numFmtId="0" fontId="10" fillId="0" borderId="0" xfId="0" applyFont="1" applyAlignment="1">
      <alignment wrapText="1"/>
    </xf>
    <xf numFmtId="0" fontId="8" fillId="5" borderId="16" xfId="0" applyFont="1" applyFill="1" applyBorder="1" applyAlignment="1">
      <alignment horizontal="center" vertical="center" wrapText="1"/>
    </xf>
    <xf numFmtId="0" fontId="9" fillId="0" borderId="16" xfId="0" applyFont="1" applyBorder="1" applyAlignment="1">
      <alignment horizontal="center" vertical="center" wrapText="1"/>
    </xf>
    <xf numFmtId="0" fontId="5" fillId="2" borderId="1" xfId="0" applyFont="1" applyFill="1" applyBorder="1" applyAlignment="1">
      <alignment vertical="center"/>
    </xf>
    <xf numFmtId="0" fontId="7" fillId="2" borderId="27" xfId="0" applyFont="1" applyFill="1" applyBorder="1" applyAlignment="1">
      <alignment vertical="center"/>
    </xf>
    <xf numFmtId="0" fontId="7" fillId="2" borderId="28" xfId="0" applyFont="1" applyFill="1" applyBorder="1" applyAlignment="1">
      <alignment vertical="center"/>
    </xf>
    <xf numFmtId="0" fontId="7" fillId="2" borderId="29" xfId="0" applyFont="1" applyFill="1" applyBorder="1" applyAlignment="1">
      <alignment vertical="center"/>
    </xf>
    <xf numFmtId="0" fontId="5" fillId="2" borderId="16" xfId="0" applyFont="1" applyFill="1" applyBorder="1" applyAlignment="1">
      <alignment horizontal="center" vertical="center"/>
    </xf>
    <xf numFmtId="0" fontId="5" fillId="7" borderId="16" xfId="0" applyFont="1" applyFill="1" applyBorder="1" applyAlignment="1">
      <alignment vertical="center"/>
    </xf>
    <xf numFmtId="0" fontId="5" fillId="2" borderId="16" xfId="0" applyFont="1" applyFill="1" applyBorder="1" applyAlignment="1">
      <alignment vertical="center"/>
    </xf>
    <xf numFmtId="0" fontId="5" fillId="2" borderId="24" xfId="0" applyFont="1" applyFill="1" applyBorder="1" applyAlignment="1">
      <alignment vertical="center"/>
    </xf>
    <xf numFmtId="0" fontId="5" fillId="8" borderId="1" xfId="0" applyFont="1" applyFill="1" applyBorder="1" applyAlignment="1">
      <alignment vertical="center"/>
    </xf>
    <xf numFmtId="0" fontId="5" fillId="8" borderId="16" xfId="0" applyFont="1" applyFill="1" applyBorder="1" applyAlignment="1">
      <alignment horizontal="right" vertical="center"/>
    </xf>
    <xf numFmtId="0" fontId="6" fillId="3" borderId="10" xfId="0" applyFont="1" applyFill="1" applyBorder="1" applyAlignment="1">
      <alignment horizontal="left" vertical="top"/>
    </xf>
    <xf numFmtId="0" fontId="3" fillId="0" borderId="11" xfId="0" applyFont="1" applyBorder="1"/>
    <xf numFmtId="0" fontId="3" fillId="0" borderId="12" xfId="0" applyFont="1" applyBorder="1"/>
    <xf numFmtId="0" fontId="6" fillId="3" borderId="10" xfId="0" applyFont="1" applyFill="1" applyBorder="1" applyAlignment="1">
      <alignment horizontal="center"/>
    </xf>
    <xf numFmtId="0" fontId="2" fillId="2" borderId="7" xfId="0" applyFont="1" applyFill="1" applyBorder="1" applyAlignment="1">
      <alignment horizontal="center"/>
    </xf>
    <xf numFmtId="0" fontId="3" fillId="0" borderId="8" xfId="0" applyFont="1" applyBorder="1"/>
    <xf numFmtId="0" fontId="3" fillId="0" borderId="9" xfId="0" applyFont="1" applyBorder="1"/>
    <xf numFmtId="0" fontId="4" fillId="2" borderId="7" xfId="0" applyFont="1" applyFill="1" applyBorder="1" applyAlignment="1">
      <alignment horizontal="center"/>
    </xf>
    <xf numFmtId="0" fontId="1" fillId="2" borderId="7" xfId="0" applyFont="1" applyFill="1" applyBorder="1" applyAlignment="1">
      <alignment horizontal="center"/>
    </xf>
    <xf numFmtId="164" fontId="6" fillId="3" borderId="10" xfId="0" applyNumberFormat="1" applyFont="1" applyFill="1" applyBorder="1" applyAlignment="1">
      <alignment horizontal="center"/>
    </xf>
    <xf numFmtId="164" fontId="5" fillId="2" borderId="10" xfId="0" applyNumberFormat="1"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0" borderId="10" xfId="0" applyFont="1" applyBorder="1" applyAlignment="1">
      <alignment horizontal="left" vertical="center" wrapText="1"/>
    </xf>
    <xf numFmtId="0" fontId="7" fillId="4" borderId="10" xfId="0" applyFont="1" applyFill="1" applyBorder="1" applyAlignment="1">
      <alignment horizontal="center" vertical="center" wrapText="1"/>
    </xf>
    <xf numFmtId="165" fontId="5" fillId="2" borderId="10" xfId="0" applyNumberFormat="1" applyFont="1" applyFill="1" applyBorder="1" applyAlignment="1">
      <alignment horizontal="center" vertical="center" wrapText="1"/>
    </xf>
    <xf numFmtId="0" fontId="8" fillId="5" borderId="10" xfId="0" applyFont="1" applyFill="1" applyBorder="1" applyAlignment="1">
      <alignment horizontal="center" vertical="center" wrapText="1"/>
    </xf>
    <xf numFmtId="0" fontId="9" fillId="0" borderId="17" xfId="0" applyFont="1" applyBorder="1" applyAlignment="1">
      <alignment horizontal="center" vertical="center" wrapText="1"/>
    </xf>
    <xf numFmtId="0" fontId="3" fillId="0" borderId="18" xfId="0" applyFont="1" applyBorder="1"/>
    <xf numFmtId="0" fontId="3" fillId="0" borderId="19" xfId="0" applyFont="1" applyBorder="1"/>
    <xf numFmtId="0" fontId="3" fillId="0" borderId="20" xfId="0" applyFont="1" applyBorder="1"/>
    <xf numFmtId="0" fontId="3" fillId="0" borderId="21" xfId="0" applyFont="1" applyBorder="1"/>
    <xf numFmtId="0" fontId="3" fillId="0" borderId="22" xfId="0" applyFont="1" applyBorder="1"/>
    <xf numFmtId="49" fontId="9" fillId="0" borderId="17" xfId="0" applyNumberFormat="1" applyFont="1" applyBorder="1" applyAlignment="1">
      <alignment horizontal="center" vertical="center" wrapText="1"/>
    </xf>
    <xf numFmtId="0" fontId="9" fillId="0" borderId="0" xfId="0" applyFont="1" applyAlignment="1">
      <alignment horizontal="left" vertical="center" wrapText="1"/>
    </xf>
    <xf numFmtId="0" fontId="0" fillId="0" borderId="0" xfId="0"/>
    <xf numFmtId="0" fontId="8" fillId="0" borderId="0" xfId="0" applyFont="1" applyAlignment="1">
      <alignment horizontal="left" vertical="center" wrapText="1"/>
    </xf>
    <xf numFmtId="0" fontId="8" fillId="6" borderId="23" xfId="0" applyFont="1" applyFill="1" applyBorder="1" applyAlignment="1">
      <alignment horizontal="left" vertical="center" wrapText="1"/>
    </xf>
    <xf numFmtId="0" fontId="3" fillId="0" borderId="24" xfId="0" applyFont="1" applyBorder="1"/>
    <xf numFmtId="0" fontId="9" fillId="0" borderId="10" xfId="0" applyFont="1" applyBorder="1" applyAlignment="1">
      <alignment horizontal="left" vertical="center" wrapText="1"/>
    </xf>
    <xf numFmtId="0" fontId="5" fillId="7" borderId="10" xfId="0" applyFont="1" applyFill="1" applyBorder="1" applyAlignment="1">
      <alignment horizontal="center" vertical="center"/>
    </xf>
    <xf numFmtId="165" fontId="5" fillId="2" borderId="10" xfId="0" applyNumberFormat="1" applyFont="1" applyFill="1" applyBorder="1" applyAlignment="1">
      <alignment horizontal="center" vertical="center"/>
    </xf>
    <xf numFmtId="0" fontId="7" fillId="4" borderId="23" xfId="0" applyFont="1" applyFill="1" applyBorder="1" applyAlignment="1">
      <alignment horizontal="center" vertical="center" wrapText="1"/>
    </xf>
    <xf numFmtId="0" fontId="5" fillId="2" borderId="10" xfId="0" applyFont="1" applyFill="1" applyBorder="1" applyAlignment="1">
      <alignment horizontal="center" vertical="center"/>
    </xf>
    <xf numFmtId="0" fontId="5" fillId="7" borderId="10" xfId="0" applyFont="1" applyFill="1" applyBorder="1" applyAlignment="1">
      <alignment horizontal="center" vertical="center" wrapText="1"/>
    </xf>
    <xf numFmtId="0" fontId="5" fillId="7" borderId="25" xfId="0" applyFont="1" applyFill="1" applyBorder="1" applyAlignment="1">
      <alignment horizontal="center" vertical="center" wrapText="1"/>
    </xf>
    <xf numFmtId="0" fontId="3" fillId="0" borderId="26" xfId="0" applyFont="1" applyBorder="1"/>
    <xf numFmtId="0" fontId="5" fillId="7" borderId="17" xfId="0" applyFont="1" applyFill="1" applyBorder="1" applyAlignment="1">
      <alignment horizontal="center" vertical="center" wrapText="1"/>
    </xf>
    <xf numFmtId="0" fontId="7" fillId="7" borderId="17" xfId="0" applyFont="1" applyFill="1" applyBorder="1" applyAlignment="1">
      <alignment horizontal="center" vertical="center" wrapText="1"/>
    </xf>
    <xf numFmtId="9" fontId="5" fillId="2" borderId="10" xfId="0" applyNumberFormat="1" applyFont="1" applyFill="1" applyBorder="1" applyAlignment="1">
      <alignment horizontal="center" vertical="center"/>
    </xf>
    <xf numFmtId="0" fontId="7" fillId="2" borderId="10" xfId="0" applyFont="1" applyFill="1" applyBorder="1" applyAlignment="1">
      <alignment horizontal="center" vertical="center"/>
    </xf>
    <xf numFmtId="9" fontId="5" fillId="7" borderId="10" xfId="0" applyNumberFormat="1" applyFont="1" applyFill="1" applyBorder="1" applyAlignment="1">
      <alignment horizontal="center" vertical="center"/>
    </xf>
    <xf numFmtId="0" fontId="7" fillId="7" borderId="10" xfId="0" applyFont="1" applyFill="1" applyBorder="1" applyAlignment="1">
      <alignment horizontal="center" vertical="center"/>
    </xf>
    <xf numFmtId="0" fontId="5" fillId="2" borderId="10" xfId="0" applyFont="1" applyFill="1" applyBorder="1" applyAlignment="1">
      <alignment horizontal="left" vertical="center"/>
    </xf>
    <xf numFmtId="165" fontId="5" fillId="2" borderId="10" xfId="0" applyNumberFormat="1" applyFont="1" applyFill="1" applyBorder="1" applyAlignment="1">
      <alignment horizontal="left" vertical="center"/>
    </xf>
    <xf numFmtId="0" fontId="7" fillId="7" borderId="25" xfId="0" applyFont="1" applyFill="1" applyBorder="1" applyAlignment="1">
      <alignment horizontal="center" vertical="center" wrapText="1"/>
    </xf>
    <xf numFmtId="0" fontId="5" fillId="8" borderId="10" xfId="0" applyFont="1" applyFill="1" applyBorder="1" applyAlignment="1">
      <alignment vertical="center" wrapText="1"/>
    </xf>
    <xf numFmtId="0" fontId="5" fillId="2" borderId="10" xfId="0" applyFont="1" applyFill="1" applyBorder="1" applyAlignment="1">
      <alignment horizontal="left" vertical="center" wrapText="1"/>
    </xf>
    <xf numFmtId="0" fontId="5" fillId="2" borderId="34" xfId="0" applyFont="1" applyFill="1" applyBorder="1" applyAlignment="1">
      <alignment horizontal="left" vertical="center" wrapText="1"/>
    </xf>
    <xf numFmtId="0" fontId="3" fillId="0" borderId="30" xfId="0" applyFont="1" applyBorder="1"/>
    <xf numFmtId="0" fontId="5" fillId="2" borderId="31" xfId="0" applyFont="1" applyFill="1" applyBorder="1" applyAlignment="1">
      <alignment horizontal="left" vertical="center" wrapText="1"/>
    </xf>
    <xf numFmtId="0" fontId="3" fillId="0" borderId="32" xfId="0" applyFont="1" applyBorder="1"/>
    <xf numFmtId="0" fontId="3" fillId="0" borderId="33" xfId="0" applyFont="1" applyBorder="1"/>
    <xf numFmtId="0" fontId="5" fillId="2" borderId="35" xfId="0" applyFont="1" applyFill="1" applyBorder="1" applyAlignment="1">
      <alignment horizontal="left" vertical="center" wrapText="1"/>
    </xf>
    <xf numFmtId="0" fontId="3" fillId="0" borderId="36" xfId="0" applyFont="1" applyBorder="1"/>
    <xf numFmtId="0" fontId="3" fillId="0" borderId="37" xfId="0" applyFont="1" applyBorder="1"/>
    <xf numFmtId="0" fontId="3" fillId="0" borderId="38" xfId="0" applyFont="1" applyBorder="1"/>
    <xf numFmtId="0" fontId="5" fillId="0" borderId="21" xfId="0" applyFont="1" applyBorder="1" applyAlignment="1">
      <alignment vertical="center" wrapText="1"/>
    </xf>
    <xf numFmtId="0" fontId="11" fillId="2" borderId="10" xfId="0" applyFont="1" applyFill="1" applyBorder="1" applyAlignment="1">
      <alignment horizontal="left" vertical="center" wrapText="1"/>
    </xf>
    <xf numFmtId="0" fontId="5" fillId="8" borderId="10" xfId="0" applyFont="1" applyFill="1" applyBorder="1" applyAlignment="1">
      <alignment vertical="center"/>
    </xf>
    <xf numFmtId="0" fontId="5" fillId="2" borderId="17" xfId="0" applyFont="1" applyFill="1" applyBorder="1" applyAlignment="1">
      <alignment horizontal="left" vertical="center" wrapText="1"/>
    </xf>
    <xf numFmtId="166" fontId="5" fillId="2" borderId="10" xfId="0" applyNumberFormat="1" applyFont="1" applyFill="1" applyBorder="1" applyAlignment="1">
      <alignment horizontal="center" vertical="center" wrapText="1"/>
    </xf>
    <xf numFmtId="0" fontId="3" fillId="0" borderId="39" xfId="0" applyFont="1" applyBorder="1"/>
    <xf numFmtId="0" fontId="3" fillId="0" borderId="40" xfId="0" applyFont="1" applyBorder="1"/>
    <xf numFmtId="0" fontId="7" fillId="9" borderId="35" xfId="0" applyFont="1" applyFill="1" applyBorder="1" applyAlignment="1">
      <alignment vertical="center" wrapText="1"/>
    </xf>
    <xf numFmtId="0" fontId="5" fillId="10" borderId="10" xfId="0" applyFont="1" applyFill="1" applyBorder="1" applyAlignment="1">
      <alignment horizontal="left" vertical="center" wrapText="1"/>
    </xf>
    <xf numFmtId="166" fontId="5" fillId="8" borderId="10" xfId="0" applyNumberFormat="1" applyFont="1" applyFill="1" applyBorder="1" applyAlignment="1">
      <alignment vertical="center"/>
    </xf>
    <xf numFmtId="0" fontId="5" fillId="8" borderId="10" xfId="0" applyFont="1" applyFill="1" applyBorder="1" applyAlignment="1">
      <alignment horizontal="center" vertical="center" wrapText="1"/>
    </xf>
    <xf numFmtId="166" fontId="5" fillId="2" borderId="10" xfId="0" applyNumberFormat="1" applyFont="1" applyFill="1" applyBorder="1" applyAlignment="1">
      <alignment horizontal="center" vertical="center"/>
    </xf>
    <xf numFmtId="0" fontId="7" fillId="7" borderId="10" xfId="0" applyFont="1" applyFill="1" applyBorder="1" applyAlignment="1">
      <alignment horizontal="center" vertical="center" wrapText="1"/>
    </xf>
    <xf numFmtId="0" fontId="7" fillId="9" borderId="10" xfId="0" applyFont="1" applyFill="1" applyBorder="1" applyAlignment="1">
      <alignment vertical="center"/>
    </xf>
    <xf numFmtId="0" fontId="3" fillId="0" borderId="41" xfId="0" applyFont="1" applyBorder="1"/>
    <xf numFmtId="0" fontId="3" fillId="0" borderId="42" xfId="0" applyFont="1" applyBorder="1"/>
    <xf numFmtId="0" fontId="3" fillId="0" borderId="43" xfId="0" applyFont="1" applyBorder="1"/>
    <xf numFmtId="0" fontId="5" fillId="8" borderId="31" xfId="0" applyFont="1" applyFill="1" applyBorder="1" applyAlignment="1">
      <alignment vertical="center" wrapText="1"/>
    </xf>
    <xf numFmtId="0" fontId="3" fillId="0" borderId="44" xfId="0" applyFont="1" applyBorder="1"/>
    <xf numFmtId="0" fontId="3" fillId="0" borderId="45" xfId="0" applyFont="1" applyBorder="1"/>
    <xf numFmtId="0" fontId="3" fillId="0" borderId="4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28575</xdr:colOff>
      <xdr:row>2</xdr:row>
      <xdr:rowOff>152400</xdr:rowOff>
    </xdr:from>
    <xdr:ext cx="1333500" cy="4572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Google%20&#12489;&#12521;&#12452;&#12502;/CMMI/Archive/Software/Template/Template_ProjectWorkbook_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cord of change"/>
      <sheetName val="Table of Content"/>
      <sheetName val="1. Project Plan &amp; Data"/>
      <sheetName val="1.1. Defined Process "/>
      <sheetName val="1.2. Requirement Management "/>
      <sheetName val="1.3 Risk,Issue Management Plan"/>
      <sheetName val="1.4 Project organization"/>
      <sheetName val="1.5 Communication Plan"/>
      <sheetName val="1.6 Quality Plan"/>
      <sheetName val="Ma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000"/>
  <sheetViews>
    <sheetView showGridLines="0" workbookViewId="0">
      <selection activeCell="AK14" sqref="AK14"/>
    </sheetView>
  </sheetViews>
  <sheetFormatPr baseColWidth="10" defaultColWidth="14.5" defaultRowHeight="15" customHeight="1" x14ac:dyDescent="0.2"/>
  <cols>
    <col min="1" max="35" width="3.6640625" customWidth="1"/>
  </cols>
  <sheetData>
    <row r="1" spans="1:35" ht="19.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ht="12.75" customHeight="1" x14ac:dyDescent="0.2">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4"/>
    </row>
    <row r="3" spans="1:35" ht="12.75" customHeight="1" x14ac:dyDescent="0.2">
      <c r="A3" s="1"/>
      <c r="B3" s="5"/>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6"/>
    </row>
    <row r="4" spans="1:35" ht="12.75" customHeight="1" x14ac:dyDescent="0.2">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6"/>
    </row>
    <row r="5" spans="1:35" ht="12.75" customHeight="1" x14ac:dyDescent="0.2">
      <c r="A5" s="1"/>
      <c r="B5" s="5"/>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6"/>
    </row>
    <row r="6" spans="1:35" ht="12.75" customHeight="1" x14ac:dyDescent="0.2">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6"/>
    </row>
    <row r="7" spans="1:35" ht="12.75" customHeight="1" x14ac:dyDescent="0.2">
      <c r="A7" s="1"/>
      <c r="B7" s="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6"/>
    </row>
    <row r="8" spans="1:35" ht="12.75" customHeight="1" x14ac:dyDescent="0.2">
      <c r="A8" s="1"/>
      <c r="B8" s="5"/>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6"/>
    </row>
    <row r="9" spans="1:35" ht="12.75" customHeight="1" x14ac:dyDescent="0.2">
      <c r="A9" s="1"/>
      <c r="B9" s="5"/>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6"/>
    </row>
    <row r="10" spans="1:35" ht="29.25" customHeight="1" x14ac:dyDescent="0.25">
      <c r="A10" s="1"/>
      <c r="B10" s="32" t="s">
        <v>0</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4"/>
    </row>
    <row r="11" spans="1:35" ht="12" customHeight="1" x14ac:dyDescent="0.2">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6"/>
    </row>
    <row r="12" spans="1:35" ht="39" customHeight="1" x14ac:dyDescent="0.2">
      <c r="A12" s="1"/>
      <c r="B12" s="35" t="s">
        <v>1</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4"/>
    </row>
    <row r="13" spans="1:35" ht="12.75" customHeight="1" x14ac:dyDescent="0.2">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6"/>
    </row>
    <row r="14" spans="1:35" ht="12.75" customHeight="1" x14ac:dyDescent="0.2">
      <c r="A14" s="1"/>
      <c r="B14" s="5"/>
      <c r="C14" s="1"/>
      <c r="D14" s="1"/>
      <c r="E14" s="1"/>
      <c r="F14" s="1"/>
      <c r="G14" s="1"/>
      <c r="H14" s="1"/>
      <c r="I14" s="1"/>
      <c r="J14" s="1"/>
      <c r="K14" s="1"/>
      <c r="L14" s="7"/>
      <c r="M14" s="7"/>
      <c r="N14" s="7"/>
      <c r="O14" s="7"/>
      <c r="P14" s="7"/>
      <c r="Q14" s="7"/>
      <c r="R14" s="7"/>
      <c r="S14" s="7"/>
      <c r="T14" s="7"/>
      <c r="U14" s="7"/>
      <c r="V14" s="7"/>
      <c r="W14" s="7"/>
      <c r="X14" s="7"/>
      <c r="Y14" s="7"/>
      <c r="Z14" s="7"/>
      <c r="AA14" s="1"/>
      <c r="AB14" s="1"/>
      <c r="AC14" s="1"/>
      <c r="AD14" s="1"/>
      <c r="AE14" s="1"/>
      <c r="AF14" s="1"/>
      <c r="AG14" s="1"/>
      <c r="AH14" s="1"/>
      <c r="AI14" s="6"/>
    </row>
    <row r="15" spans="1:35" ht="12.75" customHeight="1" x14ac:dyDescent="0.2">
      <c r="A15" s="1"/>
      <c r="B15" s="36" t="s">
        <v>2</v>
      </c>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4"/>
    </row>
    <row r="16" spans="1:35" ht="12.75" customHeight="1" x14ac:dyDescent="0.2">
      <c r="A16" s="1"/>
      <c r="B16" s="5"/>
      <c r="C16" s="1"/>
      <c r="D16" s="1"/>
      <c r="E16" s="1"/>
      <c r="F16" s="1"/>
      <c r="G16" s="1"/>
      <c r="H16" s="1"/>
      <c r="I16" s="1"/>
      <c r="J16" s="1"/>
      <c r="K16" s="1"/>
      <c r="L16" s="7"/>
      <c r="M16" s="7"/>
      <c r="N16" s="7"/>
      <c r="O16" s="7"/>
      <c r="P16" s="7"/>
      <c r="Q16" s="7"/>
      <c r="R16" s="7"/>
      <c r="S16" s="7"/>
      <c r="T16" s="7"/>
      <c r="U16" s="7"/>
      <c r="V16" s="7"/>
      <c r="W16" s="7"/>
      <c r="X16" s="7"/>
      <c r="Y16" s="7"/>
      <c r="Z16" s="7"/>
      <c r="AA16" s="1"/>
      <c r="AB16" s="1"/>
      <c r="AC16" s="1"/>
      <c r="AD16" s="1"/>
      <c r="AE16" s="1"/>
      <c r="AF16" s="1"/>
      <c r="AG16" s="1"/>
      <c r="AH16" s="1"/>
      <c r="AI16" s="6"/>
    </row>
    <row r="17" spans="1:35" ht="12.75" customHeight="1" x14ac:dyDescent="0.2">
      <c r="A17" s="1"/>
      <c r="B17" s="5"/>
      <c r="C17" s="1"/>
      <c r="D17" s="1"/>
      <c r="E17" s="1"/>
      <c r="F17" s="1"/>
      <c r="G17" s="1"/>
      <c r="H17" s="1"/>
      <c r="I17" s="1"/>
      <c r="J17" s="1"/>
      <c r="K17" s="1"/>
      <c r="L17" s="7"/>
      <c r="M17" s="7"/>
      <c r="N17" s="7"/>
      <c r="O17" s="8"/>
      <c r="P17" s="8"/>
      <c r="Q17" s="8"/>
      <c r="R17" s="8"/>
      <c r="S17" s="8"/>
      <c r="T17" s="8"/>
      <c r="U17" s="8"/>
      <c r="V17" s="8"/>
      <c r="W17" s="7"/>
      <c r="X17" s="7"/>
      <c r="Y17" s="7"/>
      <c r="Z17" s="7"/>
      <c r="AA17" s="1"/>
      <c r="AB17" s="1"/>
      <c r="AC17" s="1"/>
      <c r="AD17" s="1"/>
      <c r="AE17" s="1"/>
      <c r="AF17" s="1"/>
      <c r="AG17" s="1"/>
      <c r="AH17" s="1"/>
      <c r="AI17" s="6"/>
    </row>
    <row r="18" spans="1:35" ht="12.75" customHeight="1" x14ac:dyDescent="0.2">
      <c r="A18" s="1"/>
      <c r="B18" s="5"/>
      <c r="C18" s="1"/>
      <c r="D18" s="1"/>
      <c r="E18" s="1"/>
      <c r="F18" s="1"/>
      <c r="G18" s="1"/>
      <c r="H18" s="1"/>
      <c r="I18" s="1"/>
      <c r="J18" s="1"/>
      <c r="K18" s="1"/>
      <c r="L18" s="7"/>
      <c r="M18" s="7"/>
      <c r="N18" s="28" t="s">
        <v>3</v>
      </c>
      <c r="O18" s="29"/>
      <c r="P18" s="29"/>
      <c r="Q18" s="29"/>
      <c r="R18" s="30"/>
      <c r="S18" s="31" t="s">
        <v>4</v>
      </c>
      <c r="T18" s="29"/>
      <c r="U18" s="29"/>
      <c r="V18" s="29"/>
      <c r="W18" s="30"/>
      <c r="X18" s="7"/>
      <c r="Y18" s="7"/>
      <c r="Z18" s="7"/>
      <c r="AA18" s="1"/>
      <c r="AB18" s="1"/>
      <c r="AC18" s="1"/>
      <c r="AD18" s="1"/>
      <c r="AE18" s="1"/>
      <c r="AF18" s="1"/>
      <c r="AG18" s="1"/>
      <c r="AH18" s="1"/>
      <c r="AI18" s="6"/>
    </row>
    <row r="19" spans="1:35" ht="12.75" customHeight="1" x14ac:dyDescent="0.2">
      <c r="A19" s="1"/>
      <c r="B19" s="5"/>
      <c r="C19" s="1"/>
      <c r="D19" s="1"/>
      <c r="E19" s="1"/>
      <c r="F19" s="1"/>
      <c r="G19" s="1"/>
      <c r="H19" s="1"/>
      <c r="I19" s="1"/>
      <c r="J19" s="1"/>
      <c r="K19" s="1"/>
      <c r="L19" s="7"/>
      <c r="M19" s="7"/>
      <c r="N19" s="28" t="s">
        <v>5</v>
      </c>
      <c r="O19" s="29"/>
      <c r="P19" s="29"/>
      <c r="Q19" s="29"/>
      <c r="R19" s="30"/>
      <c r="S19" s="37">
        <v>1</v>
      </c>
      <c r="T19" s="29"/>
      <c r="U19" s="29"/>
      <c r="V19" s="29"/>
      <c r="W19" s="30"/>
      <c r="X19" s="7"/>
      <c r="Y19" s="7"/>
      <c r="Z19" s="7"/>
      <c r="AA19" s="1"/>
      <c r="AB19" s="1"/>
      <c r="AC19" s="1"/>
      <c r="AD19" s="1"/>
      <c r="AE19" s="1"/>
      <c r="AF19" s="1"/>
      <c r="AG19" s="1"/>
      <c r="AH19" s="1"/>
      <c r="AI19" s="6"/>
    </row>
    <row r="20" spans="1:35" ht="12.75" customHeight="1" x14ac:dyDescent="0.2">
      <c r="A20" s="1"/>
      <c r="B20" s="5"/>
      <c r="C20" s="1"/>
      <c r="D20" s="1"/>
      <c r="E20" s="1"/>
      <c r="F20" s="1"/>
      <c r="G20" s="1"/>
      <c r="H20" s="1"/>
      <c r="I20" s="1"/>
      <c r="J20" s="1"/>
      <c r="K20" s="1"/>
      <c r="L20" s="7"/>
      <c r="M20" s="7"/>
      <c r="N20" s="28" t="s">
        <v>6</v>
      </c>
      <c r="O20" s="29"/>
      <c r="P20" s="29"/>
      <c r="Q20" s="29"/>
      <c r="R20" s="30"/>
      <c r="S20" s="31">
        <v>43574</v>
      </c>
      <c r="T20" s="29"/>
      <c r="U20" s="29"/>
      <c r="V20" s="29"/>
      <c r="W20" s="30"/>
      <c r="X20" s="7"/>
      <c r="Y20" s="7"/>
      <c r="Z20" s="7"/>
      <c r="AA20" s="1"/>
      <c r="AB20" s="1"/>
      <c r="AC20" s="1"/>
      <c r="AD20" s="1"/>
      <c r="AE20" s="1"/>
      <c r="AF20" s="1"/>
      <c r="AG20" s="1"/>
      <c r="AH20" s="1"/>
      <c r="AI20" s="6"/>
    </row>
    <row r="21" spans="1:35" ht="12.75" customHeight="1" x14ac:dyDescent="0.2">
      <c r="A21" s="1"/>
      <c r="B21" s="5"/>
      <c r="C21" s="1"/>
      <c r="D21" s="1"/>
      <c r="E21" s="1"/>
      <c r="F21" s="1"/>
      <c r="G21" s="1"/>
      <c r="H21" s="1"/>
      <c r="I21" s="1"/>
      <c r="J21" s="1"/>
      <c r="K21" s="1"/>
      <c r="L21" s="7"/>
      <c r="M21" s="7"/>
      <c r="N21" s="7"/>
      <c r="O21" s="7"/>
      <c r="P21" s="7"/>
      <c r="Q21" s="7"/>
      <c r="R21" s="7"/>
      <c r="S21" s="7"/>
      <c r="T21" s="7"/>
      <c r="U21" s="7"/>
      <c r="V21" s="7"/>
      <c r="W21" s="7"/>
      <c r="X21" s="7"/>
      <c r="Y21" s="7"/>
      <c r="Z21" s="7"/>
      <c r="AA21" s="1"/>
      <c r="AB21" s="1"/>
      <c r="AC21" s="1"/>
      <c r="AD21" s="1"/>
      <c r="AE21" s="1"/>
      <c r="AF21" s="1"/>
      <c r="AG21" s="1"/>
      <c r="AH21" s="1"/>
      <c r="AI21" s="6"/>
    </row>
    <row r="22" spans="1:35" ht="12.75" customHeight="1" x14ac:dyDescent="0.2">
      <c r="A22" s="1"/>
      <c r="B22" s="5"/>
      <c r="C22" s="1"/>
      <c r="D22" s="1"/>
      <c r="E22" s="1"/>
      <c r="F22" s="1"/>
      <c r="G22" s="1"/>
      <c r="H22" s="1"/>
      <c r="I22" s="1"/>
      <c r="J22" s="1"/>
      <c r="K22" s="1"/>
      <c r="L22" s="7"/>
      <c r="M22" s="7"/>
      <c r="N22" s="7"/>
      <c r="O22" s="7"/>
      <c r="P22" s="7"/>
      <c r="Q22" s="7"/>
      <c r="R22" s="7"/>
      <c r="S22" s="7"/>
      <c r="T22" s="7"/>
      <c r="U22" s="7"/>
      <c r="V22" s="7"/>
      <c r="W22" s="7"/>
      <c r="X22" s="7"/>
      <c r="Y22" s="7"/>
      <c r="Z22" s="7"/>
      <c r="AA22" s="1"/>
      <c r="AB22" s="1"/>
      <c r="AC22" s="1"/>
      <c r="AD22" s="1"/>
      <c r="AE22" s="1"/>
      <c r="AF22" s="1"/>
      <c r="AG22" s="1"/>
      <c r="AH22" s="1"/>
      <c r="AI22" s="6"/>
    </row>
    <row r="23" spans="1:35" ht="12.75" customHeight="1" x14ac:dyDescent="0.2">
      <c r="A23" s="1"/>
      <c r="B23" s="5"/>
      <c r="C23" s="1"/>
      <c r="D23" s="1"/>
      <c r="E23" s="1"/>
      <c r="F23" s="1"/>
      <c r="G23" s="1"/>
      <c r="H23" s="1"/>
      <c r="I23" s="1"/>
      <c r="J23" s="1"/>
      <c r="K23" s="1"/>
      <c r="L23" s="7"/>
      <c r="M23" s="7"/>
      <c r="N23" s="7"/>
      <c r="O23" s="7"/>
      <c r="P23" s="7"/>
      <c r="Q23" s="7"/>
      <c r="R23" s="7"/>
      <c r="S23" s="7"/>
      <c r="T23" s="7"/>
      <c r="U23" s="7"/>
      <c r="V23" s="7"/>
      <c r="W23" s="7"/>
      <c r="X23" s="7"/>
      <c r="Y23" s="7"/>
      <c r="Z23" s="7"/>
      <c r="AA23" s="1"/>
      <c r="AB23" s="1"/>
      <c r="AC23" s="1"/>
      <c r="AD23" s="1"/>
      <c r="AE23" s="1"/>
      <c r="AF23" s="1"/>
      <c r="AG23" s="1"/>
      <c r="AH23" s="1"/>
      <c r="AI23" s="6"/>
    </row>
    <row r="24" spans="1:35" ht="12.75" customHeight="1" x14ac:dyDescent="0.2">
      <c r="A24" s="1"/>
      <c r="B24" s="5"/>
      <c r="C24" s="1"/>
      <c r="D24" s="1"/>
      <c r="E24" s="1"/>
      <c r="F24" s="1"/>
      <c r="G24" s="1"/>
      <c r="H24" s="1"/>
      <c r="I24" s="1"/>
      <c r="J24" s="1"/>
      <c r="K24" s="1"/>
      <c r="L24" s="7"/>
      <c r="M24" s="7"/>
      <c r="N24" s="7"/>
      <c r="O24" s="7"/>
      <c r="P24" s="7"/>
      <c r="Q24" s="7"/>
      <c r="R24" s="7"/>
      <c r="S24" s="7"/>
      <c r="T24" s="7"/>
      <c r="U24" s="7"/>
      <c r="V24" s="7"/>
      <c r="W24" s="7"/>
      <c r="X24" s="7"/>
      <c r="Y24" s="7"/>
      <c r="Z24" s="7"/>
      <c r="AA24" s="1"/>
      <c r="AB24" s="1"/>
      <c r="AC24" s="1"/>
      <c r="AD24" s="1"/>
      <c r="AE24" s="1"/>
      <c r="AF24" s="1"/>
      <c r="AG24" s="1"/>
      <c r="AH24" s="1"/>
      <c r="AI24" s="6"/>
    </row>
    <row r="25" spans="1:35" ht="12.75" customHeight="1" x14ac:dyDescent="0.2">
      <c r="A25" s="1"/>
      <c r="B25" s="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6"/>
    </row>
    <row r="26" spans="1:35" ht="12.75" customHeight="1" x14ac:dyDescent="0.2">
      <c r="A26" s="1"/>
      <c r="B26" s="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6"/>
    </row>
    <row r="27" spans="1:35" ht="12.75" customHeight="1" x14ac:dyDescent="0.2">
      <c r="A27" s="1"/>
      <c r="B27" s="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6"/>
    </row>
    <row r="28" spans="1:35" ht="12.75" customHeight="1" x14ac:dyDescent="0.2">
      <c r="A28" s="1"/>
      <c r="B28" s="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6"/>
    </row>
    <row r="29" spans="1:35" ht="12.75" customHeight="1" x14ac:dyDescent="0.2">
      <c r="A29" s="1"/>
      <c r="B29" s="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6"/>
    </row>
    <row r="30" spans="1:35" ht="12.75" customHeight="1" x14ac:dyDescent="0.2">
      <c r="A30" s="1"/>
      <c r="B30" s="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6"/>
    </row>
    <row r="31" spans="1:35" ht="12.75" customHeight="1" x14ac:dyDescent="0.2">
      <c r="A31" s="1"/>
      <c r="B31" s="9"/>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1"/>
    </row>
    <row r="32" spans="1:35" ht="12.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row>
    <row r="33" spans="1:35" ht="12.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row>
    <row r="34" spans="1:35" ht="12.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row>
    <row r="35" spans="1:35" ht="12.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row>
    <row r="36" spans="1:35" ht="12.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row>
    <row r="37" spans="1:35" ht="12.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row>
    <row r="38" spans="1:35" ht="12.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row>
    <row r="39" spans="1:35" ht="12.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row>
    <row r="40" spans="1:35" ht="12.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row>
    <row r="41" spans="1:35" ht="12.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row>
    <row r="42" spans="1:35" ht="12.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row>
    <row r="43" spans="1:35" ht="12.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row>
    <row r="44" spans="1:35" ht="12.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row>
    <row r="45" spans="1:35" ht="12.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row>
    <row r="46" spans="1:35" ht="12.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row>
    <row r="47" spans="1:35" ht="12.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row>
    <row r="48" spans="1:35" ht="12.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row>
    <row r="49" spans="1:35" ht="12.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row>
    <row r="50" spans="1:35" ht="12.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row>
    <row r="51" spans="1:35" ht="12.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row>
    <row r="52" spans="1:35" ht="12.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row>
    <row r="53" spans="1:35" ht="12.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row>
    <row r="54" spans="1:35" ht="12.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row>
    <row r="55" spans="1:35" ht="12.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row>
    <row r="56" spans="1:35" ht="12.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row>
    <row r="57" spans="1:35" ht="12.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row>
    <row r="58" spans="1:35" ht="12.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row>
    <row r="59" spans="1:35" ht="12.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row>
    <row r="60" spans="1:35" ht="12.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row>
    <row r="61" spans="1:35" ht="12.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row>
    <row r="62" spans="1:35" ht="12.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row>
    <row r="63" spans="1:35" ht="12.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row>
    <row r="64" spans="1:35" ht="12.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row>
    <row r="65" spans="1:35" ht="12.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row>
    <row r="66" spans="1:35" ht="12.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row>
    <row r="67" spans="1:35" ht="12.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row>
    <row r="68" spans="1:35" ht="12.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row>
    <row r="69" spans="1:35" ht="12.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row>
    <row r="70" spans="1:35" ht="12.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row>
    <row r="71" spans="1:35" ht="12.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row>
    <row r="72" spans="1:35" ht="12.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row>
    <row r="73" spans="1:35" ht="12.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row>
    <row r="74" spans="1:35" ht="12.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row>
    <row r="75" spans="1:35" ht="12.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row>
    <row r="76" spans="1:35" ht="12.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row>
    <row r="77" spans="1:35" ht="12.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row>
    <row r="78" spans="1:35" ht="12.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row>
    <row r="79" spans="1:35" ht="12.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row>
    <row r="80" spans="1:35" ht="12.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row>
    <row r="81" spans="1:35" ht="12.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row>
    <row r="82" spans="1:35" ht="12.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row>
    <row r="83" spans="1:35" ht="12.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row>
    <row r="84" spans="1:35" ht="12.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row>
    <row r="85" spans="1:35" ht="12.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row>
    <row r="86" spans="1:35" ht="12.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row>
    <row r="87" spans="1:35" ht="12.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row>
    <row r="88" spans="1:35" ht="12.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row>
    <row r="89" spans="1:35" ht="12.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row>
    <row r="90" spans="1:35" ht="12.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row>
    <row r="91" spans="1:35" ht="12.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row>
    <row r="92" spans="1:35" ht="12.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row>
    <row r="93" spans="1:35" ht="12.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row>
    <row r="94" spans="1:35" ht="12.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row>
    <row r="95" spans="1:35" ht="12.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row>
    <row r="96" spans="1:35" ht="12.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row>
    <row r="97" spans="1:35" ht="12.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row>
    <row r="98" spans="1:35" ht="12.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row>
    <row r="99" spans="1:35" ht="12.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row>
    <row r="100" spans="1:35" ht="12.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row>
    <row r="101" spans="1:35" ht="12.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row>
    <row r="102" spans="1:35" ht="12.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row>
    <row r="103" spans="1:35" ht="12.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row>
    <row r="104" spans="1:35" ht="12.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row>
    <row r="105" spans="1:35" ht="12.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row>
    <row r="106" spans="1:35" ht="12.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row>
    <row r="107" spans="1:35" ht="12.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row>
    <row r="108" spans="1:35" ht="12.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row>
    <row r="109" spans="1:35" ht="12.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row>
    <row r="110" spans="1:35" ht="12.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row>
    <row r="111" spans="1:35" ht="12.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row>
    <row r="112" spans="1:35" ht="12.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row>
    <row r="113" spans="1:35" ht="12.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row>
    <row r="114" spans="1:35" ht="12.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row>
    <row r="115" spans="1:35" ht="12.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row>
    <row r="116" spans="1:35" ht="12.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row>
    <row r="117" spans="1:35" ht="12.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row>
    <row r="118" spans="1:35" ht="12.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row>
    <row r="119" spans="1:35" ht="12.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row>
    <row r="120" spans="1:35" ht="12.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row>
    <row r="121" spans="1:35" ht="12.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row>
    <row r="122" spans="1:35" ht="12.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row>
    <row r="123" spans="1:35" ht="12.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row>
    <row r="124" spans="1:35" ht="12.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row>
    <row r="125" spans="1:35" ht="12.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row>
    <row r="126" spans="1:35" ht="12.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row>
    <row r="127" spans="1:35" ht="12.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row>
    <row r="128" spans="1:35" ht="12.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row>
    <row r="129" spans="1:35" ht="12.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row>
    <row r="130" spans="1:35" ht="12.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row>
    <row r="131" spans="1:35" ht="12.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row>
    <row r="132" spans="1:35" ht="12.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row>
    <row r="133" spans="1:35" ht="12.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row>
    <row r="134" spans="1:35" ht="12.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row>
    <row r="135" spans="1:35" ht="12.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row>
    <row r="136" spans="1:35" ht="12.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row>
    <row r="137" spans="1:35" ht="12.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row>
    <row r="138" spans="1:35" ht="12.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row>
    <row r="139" spans="1:35" ht="12.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row>
    <row r="140" spans="1:35" ht="12.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row>
    <row r="141" spans="1:35" ht="12.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row>
    <row r="142" spans="1:35" ht="12.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row>
    <row r="143" spans="1:35" ht="12.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row>
    <row r="144" spans="1:35" ht="12.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row>
    <row r="145" spans="1:35" ht="12.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row>
    <row r="146" spans="1:35" ht="12.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row>
    <row r="147" spans="1:35" ht="12.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row>
    <row r="148" spans="1:35" ht="12.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row>
    <row r="149" spans="1:35" ht="12.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row>
    <row r="150" spans="1:35" ht="12.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row>
    <row r="151" spans="1:35" ht="12.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row>
    <row r="152" spans="1:35" ht="12.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row>
    <row r="153" spans="1:35" ht="12.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row>
    <row r="154" spans="1:35" ht="12.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row>
    <row r="155" spans="1:35" ht="12.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row>
    <row r="156" spans="1:35" ht="12.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row>
    <row r="157" spans="1:35" ht="12.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row>
    <row r="158" spans="1:35" ht="12.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row>
    <row r="159" spans="1:35" ht="12.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row>
    <row r="160" spans="1:35" ht="12.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row>
    <row r="161" spans="1:35" ht="12.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row>
    <row r="162" spans="1:35" ht="12.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row>
    <row r="163" spans="1:35" ht="12.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row>
    <row r="164" spans="1:35" ht="12.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row>
    <row r="165" spans="1:35" ht="12.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row>
    <row r="166" spans="1:35" ht="12.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row>
    <row r="167" spans="1:35" ht="12.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row>
    <row r="168" spans="1:35" ht="12.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row>
    <row r="169" spans="1:35" ht="12.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row>
    <row r="170" spans="1:35" ht="12.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row>
    <row r="171" spans="1:35" ht="12.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row>
    <row r="172" spans="1:35" ht="12.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row>
    <row r="173" spans="1:35" ht="12.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row>
    <row r="174" spans="1:35" ht="12.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row>
    <row r="175" spans="1:35" ht="12.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row>
    <row r="176" spans="1:35" ht="12.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row>
    <row r="177" spans="1:35" ht="12.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row>
    <row r="178" spans="1:35" ht="12.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row>
    <row r="179" spans="1:35" ht="12.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row>
    <row r="180" spans="1:35" ht="12.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row>
    <row r="181" spans="1:35" ht="12.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row>
    <row r="182" spans="1:35" ht="12.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row>
    <row r="183" spans="1:35" ht="12.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row>
    <row r="184" spans="1:35" ht="12.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row>
    <row r="185" spans="1:35" ht="12.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row>
    <row r="186" spans="1:35" ht="12.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row>
    <row r="187" spans="1:35" ht="12.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row>
    <row r="188" spans="1:35" ht="12.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row>
    <row r="189" spans="1:35" ht="12.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row>
    <row r="190" spans="1:35" ht="12.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spans="1:35" ht="12.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spans="1:35" ht="12.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spans="1:35" ht="12.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spans="1:35" ht="12.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spans="1:35" ht="12.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spans="1:35" ht="12.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spans="1:35" ht="12.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spans="1:35" ht="12.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spans="1:35" ht="12.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spans="1:35" ht="12.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spans="1:35" ht="12.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spans="1:35" ht="12.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spans="1:35" ht="12.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spans="1:35" ht="12.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spans="1:35" ht="12.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spans="1:35" ht="12.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spans="1:35" ht="12.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spans="1:35" ht="12.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spans="1:35" ht="12.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spans="1:35" ht="12.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spans="1:35" ht="12.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spans="1:35" ht="12.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spans="1:35" ht="12.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spans="1:35" ht="12.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spans="1:35" ht="12.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spans="1:35" ht="12.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spans="1:35" ht="12.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spans="1:35" ht="12.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spans="1:35" ht="12.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spans="1:35" ht="12.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spans="1:35" ht="15.75" customHeight="1" x14ac:dyDescent="0.2"/>
    <row r="222" spans="1:35" ht="15.75" customHeight="1" x14ac:dyDescent="0.2"/>
    <row r="223" spans="1:35" ht="15.75" customHeight="1" x14ac:dyDescent="0.2"/>
    <row r="224" spans="1:35"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9">
    <mergeCell ref="N20:R20"/>
    <mergeCell ref="S20:W20"/>
    <mergeCell ref="B10:AI10"/>
    <mergeCell ref="B12:AI12"/>
    <mergeCell ref="B15:AI15"/>
    <mergeCell ref="N18:R18"/>
    <mergeCell ref="S18:W18"/>
    <mergeCell ref="N19:R19"/>
    <mergeCell ref="S19:W19"/>
  </mergeCells>
  <pageMargins left="0.70866141732283505" right="0.70866141732283505" top="0.74803149606299202" bottom="0.74803149606299202" header="0" footer="0"/>
  <pageSetup paperSize="9" scale="89" orientation="landscape"/>
  <headerFooter>
    <oddHeader>&amp;L&amp;F</oddHeader>
    <oddFooter>&amp;L08-BM/PM/VTI&amp;C社外秘&amp;R&amp;P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H1000"/>
  <sheetViews>
    <sheetView showGridLines="0" workbookViewId="0">
      <selection activeCell="AI12" sqref="AI12"/>
    </sheetView>
  </sheetViews>
  <sheetFormatPr baseColWidth="10" defaultColWidth="14.5" defaultRowHeight="15" customHeight="1" x14ac:dyDescent="0.2"/>
  <cols>
    <col min="1" max="1" width="7.6640625" customWidth="1"/>
    <col min="2" max="34" width="3.6640625" customWidth="1"/>
  </cols>
  <sheetData>
    <row r="1" spans="1:34" ht="16" x14ac:dyDescent="0.2">
      <c r="A1" s="12" t="s">
        <v>7</v>
      </c>
      <c r="B1" s="41" t="s">
        <v>6</v>
      </c>
      <c r="C1" s="29"/>
      <c r="D1" s="29"/>
      <c r="E1" s="30"/>
      <c r="F1" s="41" t="s">
        <v>8</v>
      </c>
      <c r="G1" s="29"/>
      <c r="H1" s="30"/>
      <c r="I1" s="41" t="s">
        <v>9</v>
      </c>
      <c r="J1" s="29"/>
      <c r="K1" s="29"/>
      <c r="L1" s="29"/>
      <c r="M1" s="29"/>
      <c r="N1" s="30"/>
      <c r="O1" s="41" t="s">
        <v>10</v>
      </c>
      <c r="P1" s="29"/>
      <c r="Q1" s="29"/>
      <c r="R1" s="29"/>
      <c r="S1" s="29"/>
      <c r="T1" s="29"/>
      <c r="U1" s="29"/>
      <c r="V1" s="30"/>
      <c r="W1" s="41" t="s">
        <v>11</v>
      </c>
      <c r="X1" s="29"/>
      <c r="Y1" s="29"/>
      <c r="Z1" s="29"/>
      <c r="AA1" s="29"/>
      <c r="AB1" s="30"/>
      <c r="AC1" s="41" t="s">
        <v>12</v>
      </c>
      <c r="AD1" s="29"/>
      <c r="AE1" s="29"/>
      <c r="AF1" s="29"/>
      <c r="AG1" s="29"/>
      <c r="AH1" s="30"/>
    </row>
    <row r="2" spans="1:34" x14ac:dyDescent="0.2">
      <c r="A2" s="13">
        <v>1</v>
      </c>
      <c r="B2" s="42">
        <v>46133</v>
      </c>
      <c r="C2" s="29"/>
      <c r="D2" s="29"/>
      <c r="E2" s="30"/>
      <c r="F2" s="38" t="s">
        <v>13</v>
      </c>
      <c r="G2" s="29"/>
      <c r="H2" s="30"/>
      <c r="I2" s="39" t="s">
        <v>14</v>
      </c>
      <c r="J2" s="29"/>
      <c r="K2" s="29"/>
      <c r="L2" s="29"/>
      <c r="M2" s="29"/>
      <c r="N2" s="30"/>
      <c r="O2" s="40" t="s">
        <v>15</v>
      </c>
      <c r="P2" s="29"/>
      <c r="Q2" s="29"/>
      <c r="R2" s="29"/>
      <c r="S2" s="29"/>
      <c r="T2" s="29"/>
      <c r="U2" s="29"/>
      <c r="V2" s="30"/>
      <c r="W2" s="39" t="s">
        <v>16</v>
      </c>
      <c r="X2" s="29"/>
      <c r="Y2" s="29"/>
      <c r="Z2" s="29"/>
      <c r="AA2" s="29"/>
      <c r="AB2" s="30"/>
      <c r="AC2" s="39" t="s">
        <v>16</v>
      </c>
      <c r="AD2" s="29"/>
      <c r="AE2" s="29"/>
      <c r="AF2" s="29"/>
      <c r="AG2" s="29"/>
      <c r="AH2" s="30"/>
    </row>
    <row r="3" spans="1:34" ht="14.25" customHeight="1" x14ac:dyDescent="0.2">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row>
    <row r="4" spans="1:34" ht="14.25" customHeight="1" x14ac:dyDescent="0.2">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row>
    <row r="5" spans="1:34" ht="14.25" customHeight="1" x14ac:dyDescent="0.2">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row>
    <row r="6" spans="1:34" ht="14.25" customHeight="1" x14ac:dyDescent="0.2">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row>
    <row r="7" spans="1:34" ht="14.25" customHeight="1" x14ac:dyDescent="0.2">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row>
    <row r="8" spans="1:34" ht="14.25" customHeight="1" x14ac:dyDescent="0.2">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row>
    <row r="9" spans="1:34" ht="14.25" customHeight="1" x14ac:dyDescent="0.2">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row>
    <row r="10" spans="1:34" ht="14.25" customHeight="1" x14ac:dyDescent="0.2">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row>
    <row r="11" spans="1:34" ht="14.25" customHeight="1" x14ac:dyDescent="0.2">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row>
    <row r="12" spans="1:34" ht="14.25" customHeight="1" x14ac:dyDescent="0.2">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1:34" ht="14.25" customHeight="1" x14ac:dyDescent="0.2">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1:34" ht="14.25" customHeight="1" x14ac:dyDescent="0.2">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row>
    <row r="15" spans="1:34" ht="14.25" customHeight="1" x14ac:dyDescent="0.2">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row>
    <row r="16" spans="1:34" ht="14.25" customHeight="1" x14ac:dyDescent="0.2">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row>
    <row r="17" spans="1:34" ht="14.25" customHeight="1" x14ac:dyDescent="0.2">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row>
    <row r="18" spans="1:34" ht="14.25" customHeight="1" x14ac:dyDescent="0.2">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row>
    <row r="19" spans="1:34" ht="14.25" customHeight="1" x14ac:dyDescent="0.2">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row>
    <row r="20" spans="1:34" ht="14.25" customHeight="1" x14ac:dyDescent="0.2">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row>
    <row r="21" spans="1:34" ht="14.25" customHeight="1" x14ac:dyDescent="0.2">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row>
    <row r="22" spans="1:34" ht="14.25" customHeight="1" x14ac:dyDescent="0.2">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row>
    <row r="23" spans="1:34" ht="14.25" customHeight="1" x14ac:dyDescent="0.2">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row>
    <row r="24" spans="1:34" ht="14.25" customHeight="1" x14ac:dyDescent="0.2">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row>
    <row r="25" spans="1:34" ht="14.25" customHeight="1" x14ac:dyDescent="0.2">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row>
    <row r="26" spans="1:34" ht="14.25" customHeight="1" x14ac:dyDescent="0.2">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row>
    <row r="27" spans="1:34" ht="14.25" customHeight="1" x14ac:dyDescent="0.2">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row>
    <row r="28" spans="1:34" ht="14.25" customHeight="1" x14ac:dyDescent="0.2">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row>
    <row r="29" spans="1:34" ht="14.25" customHeight="1" x14ac:dyDescent="0.2">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row>
    <row r="30" spans="1:34" ht="14.25" customHeight="1" x14ac:dyDescent="0.2">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row>
    <row r="31" spans="1:34" ht="14.25" customHeight="1" x14ac:dyDescent="0.2">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row>
    <row r="32" spans="1:34" ht="14.25" customHeight="1" x14ac:dyDescent="0.2">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row>
    <row r="33" spans="1:34" ht="14.25" customHeight="1" x14ac:dyDescent="0.2">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row>
    <row r="34" spans="1:34" ht="14.25" customHeight="1" x14ac:dyDescent="0.2">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row>
    <row r="35" spans="1:34" ht="14.25" customHeight="1" x14ac:dyDescent="0.2">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row>
    <row r="36" spans="1:34" ht="14.25" customHeight="1" x14ac:dyDescent="0.2">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1:34" ht="14.25" customHeight="1" x14ac:dyDescent="0.2">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1:34" ht="14.25" customHeight="1" x14ac:dyDescent="0.2">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1:34" ht="14.25" customHeight="1" x14ac:dyDescent="0.2">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1:34" ht="14.25" customHeight="1" x14ac:dyDescent="0.2">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1:34" ht="14.25" customHeight="1" x14ac:dyDescent="0.2">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1:34" ht="14.25" customHeight="1" x14ac:dyDescent="0.2">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1:34" ht="14.25" customHeight="1" x14ac:dyDescent="0.2">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1:34" ht="14.25" customHeight="1" x14ac:dyDescent="0.2">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1:34" ht="14.25" customHeight="1" x14ac:dyDescent="0.2">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1:34" ht="14.25" customHeight="1" x14ac:dyDescent="0.2">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row>
    <row r="47" spans="1:34" ht="14.25" customHeight="1" x14ac:dyDescent="0.2">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row>
    <row r="48" spans="1:34" ht="14.25" customHeight="1" x14ac:dyDescent="0.2">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row>
    <row r="49" spans="1:34" ht="14.25" customHeight="1" x14ac:dyDescent="0.2">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row>
    <row r="50" spans="1:34" ht="14.25" customHeight="1" x14ac:dyDescent="0.2">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row>
    <row r="51" spans="1:34" ht="14.25" customHeight="1" x14ac:dyDescent="0.2">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1:34" ht="14.25" customHeight="1" x14ac:dyDescent="0.2">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spans="1:34" ht="14.25" customHeight="1" x14ac:dyDescent="0.2">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spans="1:34" ht="14.25" customHeight="1" x14ac:dyDescent="0.2">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ht="14.25" customHeight="1" x14ac:dyDescent="0.2">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ht="14.25" customHeight="1" x14ac:dyDescent="0.2">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ht="14.25" customHeight="1" x14ac:dyDescent="0.2">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ht="14.25" customHeight="1" x14ac:dyDescent="0.2">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ht="14.25" customHeight="1" x14ac:dyDescent="0.2">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ht="14.25" customHeight="1" x14ac:dyDescent="0.2">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ht="14.25" customHeight="1" x14ac:dyDescent="0.2">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ht="14.25" customHeight="1" x14ac:dyDescent="0.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row>
    <row r="63" spans="1:34" ht="14.25" customHeight="1" x14ac:dyDescent="0.2">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row>
    <row r="64" spans="1:34" ht="14.25" customHeight="1" x14ac:dyDescent="0.2">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ht="14.25" customHeight="1" x14ac:dyDescent="0.2">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ht="14.25" customHeight="1" x14ac:dyDescent="0.2">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ht="14.25" customHeight="1" x14ac:dyDescent="0.2">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row>
    <row r="68" spans="1:34" ht="14.25" customHeight="1" x14ac:dyDescent="0.2">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ht="14.25" customHeight="1" x14ac:dyDescent="0.2">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ht="14.25" customHeight="1" x14ac:dyDescent="0.2">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row r="71" spans="1:34" ht="14.25" customHeight="1" x14ac:dyDescent="0.2">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row>
    <row r="72" spans="1:34" ht="14.25" customHeight="1" x14ac:dyDescent="0.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row>
    <row r="73" spans="1:34" ht="14.25" customHeight="1" x14ac:dyDescent="0.2">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row>
    <row r="74" spans="1:34" ht="14.25" customHeight="1" x14ac:dyDescent="0.2">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row>
    <row r="75" spans="1:34" ht="14.25" customHeight="1" x14ac:dyDescent="0.2">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row>
    <row r="76" spans="1:34" ht="14.25" customHeight="1" x14ac:dyDescent="0.2">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row>
    <row r="77" spans="1:34" ht="14.25" customHeight="1" x14ac:dyDescent="0.2">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row>
    <row r="78" spans="1:34" ht="14.25" customHeight="1" x14ac:dyDescent="0.2">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row>
    <row r="79" spans="1:34" ht="14.25" customHeight="1" x14ac:dyDescent="0.2">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row>
    <row r="80" spans="1:34" ht="14.25" customHeight="1" x14ac:dyDescent="0.2">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row>
    <row r="81" spans="1:34" ht="14.25" customHeight="1" x14ac:dyDescent="0.2">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row>
    <row r="82" spans="1:34" ht="14.25" customHeight="1" x14ac:dyDescent="0.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row>
    <row r="83" spans="1:34" ht="14.25" customHeight="1" x14ac:dyDescent="0.2">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row>
    <row r="84" spans="1:34" ht="14.25" customHeight="1" x14ac:dyDescent="0.2">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row>
    <row r="85" spans="1:34" ht="14.25" customHeight="1" x14ac:dyDescent="0.2">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row>
    <row r="86" spans="1:34" ht="14.25" customHeight="1" x14ac:dyDescent="0.2">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row>
    <row r="87" spans="1:34" ht="14.25" customHeight="1" x14ac:dyDescent="0.2">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row>
    <row r="88" spans="1:34" ht="14.2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row>
    <row r="89" spans="1:34" ht="14.2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row>
    <row r="90" spans="1:34" ht="14.2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row>
    <row r="91" spans="1:34" ht="14.2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row>
    <row r="92" spans="1:34" ht="14.2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row>
    <row r="93" spans="1:34" ht="14.2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row>
    <row r="94" spans="1:34" ht="14.2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row>
    <row r="95" spans="1:34" ht="14.2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row>
    <row r="96" spans="1:34" ht="14.2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row>
    <row r="97" spans="1:34" ht="14.2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row>
    <row r="98" spans="1:34" ht="14.2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row>
    <row r="99" spans="1:34" ht="14.2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row>
    <row r="100" spans="1:34" ht="14.2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row>
    <row r="101" spans="1:34" ht="14.2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row>
    <row r="102" spans="1:34" ht="14.2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row>
    <row r="103" spans="1:34" ht="14.2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row>
    <row r="104" spans="1:34" ht="14.2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row>
    <row r="105" spans="1:34" ht="14.2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row>
    <row r="106" spans="1:34" ht="14.2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row>
    <row r="107" spans="1:34" ht="14.2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row>
    <row r="108" spans="1:34" ht="14.2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row>
    <row r="109" spans="1:34" ht="14.2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row>
    <row r="110" spans="1:34" ht="14.2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row>
    <row r="111" spans="1:34" ht="14.2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row>
    <row r="112" spans="1:34" ht="14.2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row>
    <row r="113" spans="1:34" ht="14.2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row>
    <row r="114" spans="1:34" ht="14.2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row>
    <row r="115" spans="1:34" ht="14.2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row>
    <row r="116" spans="1:34" ht="14.2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row>
    <row r="117" spans="1:34" ht="14.2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row>
    <row r="118" spans="1:34" ht="14.2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row>
    <row r="119" spans="1:34" ht="14.2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row>
    <row r="120" spans="1:34" ht="14.2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row>
    <row r="121" spans="1:34" ht="14.2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row>
    <row r="122" spans="1:34" ht="14.2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row>
    <row r="123" spans="1:34" ht="14.2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row>
    <row r="124" spans="1:34" ht="14.2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row>
    <row r="125" spans="1:34" ht="14.2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row>
    <row r="126" spans="1:34" ht="14.2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row>
    <row r="127" spans="1:34" ht="14.2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row>
    <row r="128" spans="1:34" ht="14.2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row>
    <row r="129" spans="1:34" ht="14.2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row>
    <row r="130" spans="1:34" ht="14.2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row>
    <row r="131" spans="1:34" ht="14.2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row>
    <row r="132" spans="1:34" ht="14.2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row>
    <row r="133" spans="1:34" ht="14.2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row>
    <row r="134" spans="1:34" ht="14.2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row>
    <row r="135" spans="1:34" ht="14.2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row>
    <row r="136" spans="1:34" ht="14.2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row>
    <row r="137" spans="1:34" ht="14.2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row>
    <row r="138" spans="1:34" ht="14.2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row>
    <row r="139" spans="1:34" ht="14.2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row>
    <row r="140" spans="1:34" ht="14.2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row>
    <row r="141" spans="1:34" ht="14.2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row>
    <row r="142" spans="1:34" ht="14.2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row>
    <row r="143" spans="1:34" ht="14.2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row>
    <row r="144" spans="1:34" ht="14.2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row>
    <row r="145" spans="1:34" ht="14.2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row>
    <row r="146" spans="1:34" ht="14.2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row>
    <row r="147" spans="1:34" ht="14.2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row>
    <row r="148" spans="1:34" ht="14.2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row>
    <row r="149" spans="1:34" ht="14.2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row>
    <row r="150" spans="1:34" ht="14.2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row>
    <row r="151" spans="1:34" ht="14.2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row>
    <row r="152" spans="1:34" ht="14.2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row>
    <row r="153" spans="1:34" ht="14.2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row>
    <row r="154" spans="1:34" ht="14.2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row>
    <row r="155" spans="1:34" ht="14.2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row>
    <row r="156" spans="1:34" ht="14.2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row>
    <row r="157" spans="1:34" ht="14.2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row>
    <row r="158" spans="1:34" ht="14.2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row>
    <row r="159" spans="1:34" ht="14.2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row>
    <row r="160" spans="1:34" ht="14.2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row>
    <row r="161" spans="1:34" ht="14.2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row>
    <row r="162" spans="1:34" ht="14.2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row>
    <row r="163" spans="1:34" ht="14.2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row>
    <row r="164" spans="1:34" ht="14.2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row>
    <row r="165" spans="1:34" ht="14.2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row>
    <row r="166" spans="1:34" ht="14.2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row>
    <row r="167" spans="1:34" ht="14.2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row>
    <row r="168" spans="1:34" ht="14.2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row>
    <row r="169" spans="1:34" ht="14.2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row>
    <row r="170" spans="1:34" ht="14.2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row>
    <row r="171" spans="1:34" ht="14.2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row>
    <row r="172" spans="1:34" ht="14.2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row>
    <row r="173" spans="1:34" ht="14.2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row>
    <row r="174" spans="1:34" ht="14.2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row>
    <row r="175" spans="1:34" ht="14.2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row>
    <row r="176" spans="1:34" ht="14.2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row>
    <row r="177" spans="1:34" ht="14.2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row>
    <row r="178" spans="1:34" ht="14.2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row>
    <row r="179" spans="1:34" ht="14.2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row>
    <row r="180" spans="1:34" ht="14.2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row>
    <row r="181" spans="1:34" ht="14.2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row>
    <row r="182" spans="1:34" ht="14.2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row>
    <row r="183" spans="1:34" ht="14.2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row>
    <row r="184" spans="1:34" ht="14.2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row>
    <row r="185" spans="1:34" ht="14.2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row>
    <row r="186" spans="1:34" ht="14.2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row>
    <row r="187" spans="1:34" ht="14.2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row>
    <row r="188" spans="1:34" ht="14.2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row>
    <row r="189" spans="1:34" ht="14.2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row>
    <row r="190" spans="1:34" ht="14.2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row>
    <row r="191" spans="1:34" ht="14.2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row>
    <row r="192" spans="1:34" ht="14.2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row>
    <row r="193" spans="1:34" ht="14.2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row>
    <row r="194" spans="1:34" ht="14.2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row>
    <row r="195" spans="1:34" ht="14.2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row>
    <row r="196" spans="1:34" ht="14.2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row>
    <row r="197" spans="1:34" ht="14.2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row>
    <row r="198" spans="1:34" ht="14.2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row>
    <row r="199" spans="1:34" ht="14.2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row>
    <row r="200" spans="1:34" ht="14.2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row>
    <row r="201" spans="1:34" ht="14.2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row>
    <row r="202" spans="1:34" ht="14.2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row>
    <row r="203" spans="1:34" ht="14.2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row>
    <row r="204" spans="1:34" ht="14.2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row>
    <row r="205" spans="1:34" ht="14.2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row>
    <row r="206" spans="1:34" ht="14.2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row>
    <row r="207" spans="1:34" ht="14.2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row>
    <row r="208" spans="1:34" ht="14.2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row>
    <row r="209" spans="1:34" ht="14.2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row>
    <row r="210" spans="1:34" ht="14.2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row>
    <row r="211" spans="1:34" ht="14.2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row>
    <row r="212" spans="1:34" ht="14.2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row>
    <row r="213" spans="1:34" ht="14.2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row>
    <row r="214" spans="1:34" ht="14.2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row>
    <row r="215" spans="1:34" ht="14.2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row>
    <row r="216" spans="1:34" ht="14.2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row>
    <row r="217" spans="1:34" ht="14.2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row>
    <row r="218" spans="1:34" ht="14.2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row>
    <row r="219" spans="1:34" ht="14.2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row>
    <row r="220" spans="1:34" ht="14.2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row>
    <row r="221" spans="1:34" ht="15.75" customHeight="1" x14ac:dyDescent="0.2"/>
    <row r="222" spans="1:34" ht="15.75" customHeight="1" x14ac:dyDescent="0.2"/>
    <row r="223" spans="1:34" ht="15.75" customHeight="1" x14ac:dyDescent="0.2"/>
    <row r="224" spans="1:3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2">
    <mergeCell ref="AC1:AH1"/>
    <mergeCell ref="B2:E2"/>
    <mergeCell ref="AC2:AH2"/>
    <mergeCell ref="F2:H2"/>
    <mergeCell ref="I2:N2"/>
    <mergeCell ref="O2:V2"/>
    <mergeCell ref="W2:AB2"/>
    <mergeCell ref="B1:E1"/>
    <mergeCell ref="F1:H1"/>
    <mergeCell ref="I1:N1"/>
    <mergeCell ref="O1:V1"/>
    <mergeCell ref="W1:AB1"/>
  </mergeCells>
  <pageMargins left="0.70866141732283505" right="0.70866141732283505" top="0.74803149606299202" bottom="0.74803149606299202" header="0" footer="0"/>
  <pageSetup paperSize="9" orientation="landscape"/>
  <headerFooter>
    <oddHeader>&amp;L&amp;F</oddHeader>
    <oddFooter>&amp;L08-BM/PM/VTI&amp;C社外秘&amp;R&amp;P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1000"/>
  <sheetViews>
    <sheetView showGridLines="0" workbookViewId="0">
      <selection activeCell="C7" sqref="C7:AK7"/>
    </sheetView>
  </sheetViews>
  <sheetFormatPr baseColWidth="10" defaultColWidth="14.5" defaultRowHeight="15" customHeight="1" x14ac:dyDescent="0.2"/>
  <cols>
    <col min="1" max="37" width="4.1640625" customWidth="1"/>
  </cols>
  <sheetData>
    <row r="1" spans="1:37" ht="19.5" customHeight="1" x14ac:dyDescent="0.2">
      <c r="A1" s="43" t="s">
        <v>17</v>
      </c>
      <c r="B1" s="29"/>
      <c r="C1" s="29"/>
      <c r="D1" s="29"/>
      <c r="E1" s="29"/>
      <c r="F1" s="29"/>
      <c r="G1" s="29"/>
      <c r="H1" s="29"/>
      <c r="I1" s="30"/>
      <c r="J1" s="43" t="s">
        <v>18</v>
      </c>
      <c r="K1" s="29"/>
      <c r="L1" s="29"/>
      <c r="M1" s="29"/>
      <c r="N1" s="29"/>
      <c r="O1" s="29"/>
      <c r="P1" s="30"/>
      <c r="Q1" s="43" t="s">
        <v>19</v>
      </c>
      <c r="R1" s="29"/>
      <c r="S1" s="29"/>
      <c r="T1" s="29"/>
      <c r="U1" s="30"/>
      <c r="V1" s="43" t="s">
        <v>20</v>
      </c>
      <c r="W1" s="29"/>
      <c r="X1" s="29"/>
      <c r="Y1" s="30"/>
      <c r="Z1" s="43" t="s">
        <v>21</v>
      </c>
      <c r="AA1" s="29"/>
      <c r="AB1" s="29"/>
      <c r="AC1" s="30"/>
      <c r="AD1" s="43" t="s">
        <v>22</v>
      </c>
      <c r="AE1" s="29"/>
      <c r="AF1" s="29"/>
      <c r="AG1" s="30"/>
      <c r="AH1" s="43" t="s">
        <v>23</v>
      </c>
      <c r="AI1" s="29"/>
      <c r="AJ1" s="29"/>
      <c r="AK1" s="30"/>
    </row>
    <row r="2" spans="1:37" ht="19.5" customHeight="1" x14ac:dyDescent="0.2">
      <c r="A2" s="44" t="s">
        <v>0</v>
      </c>
      <c r="B2" s="45"/>
      <c r="C2" s="45"/>
      <c r="D2" s="45"/>
      <c r="E2" s="45"/>
      <c r="F2" s="45"/>
      <c r="G2" s="45"/>
      <c r="H2" s="45"/>
      <c r="I2" s="46"/>
      <c r="J2" s="44" t="s">
        <v>24</v>
      </c>
      <c r="K2" s="45"/>
      <c r="L2" s="45"/>
      <c r="M2" s="45"/>
      <c r="N2" s="45"/>
      <c r="O2" s="45"/>
      <c r="P2" s="46"/>
      <c r="Q2" s="44" t="s">
        <v>25</v>
      </c>
      <c r="R2" s="45"/>
      <c r="S2" s="45"/>
      <c r="T2" s="45"/>
      <c r="U2" s="46"/>
      <c r="V2" s="50" t="s">
        <v>26</v>
      </c>
      <c r="W2" s="45"/>
      <c r="X2" s="45"/>
      <c r="Y2" s="46"/>
      <c r="Z2" s="44" t="s">
        <v>14</v>
      </c>
      <c r="AA2" s="45"/>
      <c r="AB2" s="45"/>
      <c r="AC2" s="46"/>
      <c r="AD2" s="50" t="s">
        <v>27</v>
      </c>
      <c r="AE2" s="45"/>
      <c r="AF2" s="45"/>
      <c r="AG2" s="46"/>
      <c r="AH2" s="44" t="s">
        <v>14</v>
      </c>
      <c r="AI2" s="45"/>
      <c r="AJ2" s="45"/>
      <c r="AK2" s="46"/>
    </row>
    <row r="3" spans="1:37" ht="19.5" customHeight="1" x14ac:dyDescent="0.2">
      <c r="A3" s="47"/>
      <c r="B3" s="48"/>
      <c r="C3" s="48"/>
      <c r="D3" s="48"/>
      <c r="E3" s="48"/>
      <c r="F3" s="48"/>
      <c r="G3" s="48"/>
      <c r="H3" s="48"/>
      <c r="I3" s="49"/>
      <c r="J3" s="47"/>
      <c r="K3" s="48"/>
      <c r="L3" s="48"/>
      <c r="M3" s="48"/>
      <c r="N3" s="48"/>
      <c r="O3" s="48"/>
      <c r="P3" s="49"/>
      <c r="Q3" s="47"/>
      <c r="R3" s="48"/>
      <c r="S3" s="48"/>
      <c r="T3" s="48"/>
      <c r="U3" s="49"/>
      <c r="V3" s="47"/>
      <c r="W3" s="48"/>
      <c r="X3" s="48"/>
      <c r="Y3" s="49"/>
      <c r="Z3" s="47"/>
      <c r="AA3" s="48"/>
      <c r="AB3" s="48"/>
      <c r="AC3" s="49"/>
      <c r="AD3" s="47"/>
      <c r="AE3" s="48"/>
      <c r="AF3" s="48"/>
      <c r="AG3" s="49"/>
      <c r="AH3" s="47"/>
      <c r="AI3" s="48"/>
      <c r="AJ3" s="48"/>
      <c r="AK3" s="49"/>
    </row>
    <row r="4" spans="1:37" ht="19.5" customHeight="1" x14ac:dyDescent="0.35">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row>
    <row r="5" spans="1:37" ht="19.5" customHeight="1" x14ac:dyDescent="0.35">
      <c r="A5" s="14"/>
      <c r="B5" s="53" t="s">
        <v>28</v>
      </c>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row>
    <row r="6" spans="1:37" ht="19.5" customHeight="1" x14ac:dyDescent="0.35">
      <c r="A6" s="14"/>
      <c r="B6" s="14"/>
      <c r="C6" s="51" t="s">
        <v>29</v>
      </c>
      <c r="D6" s="52"/>
      <c r="E6" s="52"/>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row>
    <row r="7" spans="1:37" ht="19.5" customHeight="1" x14ac:dyDescent="0.35">
      <c r="A7" s="14"/>
      <c r="B7" s="14"/>
      <c r="C7" s="51" t="s">
        <v>30</v>
      </c>
      <c r="D7" s="52"/>
      <c r="E7" s="52"/>
      <c r="F7" s="52"/>
      <c r="G7" s="52"/>
      <c r="H7" s="52"/>
      <c r="I7" s="52"/>
      <c r="J7" s="52"/>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row>
    <row r="8" spans="1:37" ht="18" customHeight="1" x14ac:dyDescent="0.35">
      <c r="A8" s="14"/>
      <c r="B8" s="14"/>
      <c r="C8" s="51" t="s">
        <v>31</v>
      </c>
      <c r="D8" s="52"/>
      <c r="E8" s="52"/>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row>
    <row r="9" spans="1:37" ht="18" customHeight="1" x14ac:dyDescent="0.35">
      <c r="A9" s="14"/>
      <c r="B9" s="14"/>
      <c r="C9" s="51" t="s">
        <v>32</v>
      </c>
      <c r="D9" s="52"/>
      <c r="E9" s="52"/>
      <c r="F9" s="52"/>
      <c r="G9" s="52"/>
      <c r="H9" s="52"/>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row>
    <row r="10" spans="1:37" ht="18" customHeight="1" x14ac:dyDescent="0.35">
      <c r="A10" s="14"/>
      <c r="B10" s="14"/>
      <c r="C10" s="51" t="s">
        <v>33</v>
      </c>
      <c r="D10" s="52"/>
      <c r="E10" s="52"/>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row>
    <row r="11" spans="1:37" ht="18" customHeight="1" x14ac:dyDescent="0.35">
      <c r="A11" s="14"/>
      <c r="B11" s="14"/>
      <c r="C11" s="51" t="s">
        <v>34</v>
      </c>
      <c r="D11" s="52"/>
      <c r="E11" s="52"/>
      <c r="F11" s="52"/>
      <c r="G11" s="52"/>
      <c r="H11" s="52"/>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row>
    <row r="12" spans="1:37" ht="18" customHeight="1" x14ac:dyDescent="0.35">
      <c r="A12" s="14"/>
      <c r="B12" s="14"/>
      <c r="C12" s="51" t="s">
        <v>35</v>
      </c>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row>
    <row r="13" spans="1:37" ht="18" customHeight="1" x14ac:dyDescent="0.35">
      <c r="A13" s="14"/>
      <c r="B13" s="14"/>
      <c r="C13" s="15"/>
      <c r="D13" s="14"/>
      <c r="E13" s="14"/>
      <c r="F13" s="14"/>
      <c r="G13" s="14"/>
      <c r="H13" s="14"/>
      <c r="I13" s="14"/>
      <c r="J13" s="14"/>
      <c r="K13" s="14"/>
      <c r="L13" s="14"/>
      <c r="M13" s="14"/>
      <c r="N13" s="14"/>
      <c r="O13" s="14"/>
      <c r="P13" s="15"/>
      <c r="Q13" s="14"/>
      <c r="R13" s="14"/>
      <c r="S13" s="14"/>
      <c r="T13" s="14"/>
      <c r="U13" s="14"/>
      <c r="V13" s="14"/>
      <c r="W13" s="14"/>
      <c r="X13" s="14"/>
      <c r="Y13" s="14"/>
      <c r="Z13" s="14"/>
      <c r="AA13" s="14"/>
      <c r="AB13" s="14"/>
      <c r="AC13" s="14"/>
      <c r="AD13" s="14"/>
      <c r="AE13" s="14"/>
      <c r="AF13" s="14"/>
      <c r="AG13" s="14"/>
      <c r="AH13" s="14"/>
      <c r="AI13" s="14"/>
      <c r="AJ13" s="14"/>
      <c r="AK13" s="14"/>
    </row>
    <row r="14" spans="1:37" ht="18" customHeight="1" x14ac:dyDescent="0.35">
      <c r="A14" s="14"/>
      <c r="B14" s="53" t="s">
        <v>36</v>
      </c>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row>
    <row r="15" spans="1:37" ht="18" customHeight="1" x14ac:dyDescent="0.35">
      <c r="A15" s="14"/>
      <c r="B15" s="14"/>
      <c r="C15" s="54" t="s">
        <v>37</v>
      </c>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55"/>
    </row>
    <row r="16" spans="1:37" ht="18" customHeight="1" x14ac:dyDescent="0.35">
      <c r="A16" s="14"/>
      <c r="B16" s="14"/>
      <c r="C16" s="15"/>
      <c r="D16" s="14"/>
      <c r="E16" s="14"/>
      <c r="F16" s="14"/>
      <c r="G16" s="14"/>
      <c r="H16" s="14"/>
      <c r="I16" s="14"/>
      <c r="J16" s="14"/>
      <c r="K16" s="14"/>
      <c r="L16" s="14"/>
      <c r="M16" s="14"/>
      <c r="N16" s="14"/>
      <c r="O16" s="14"/>
      <c r="P16" s="15"/>
      <c r="Q16" s="14"/>
      <c r="R16" s="14"/>
      <c r="S16" s="14"/>
      <c r="T16" s="14"/>
      <c r="U16" s="14"/>
      <c r="V16" s="14"/>
      <c r="W16" s="14"/>
      <c r="X16" s="14"/>
      <c r="Y16" s="14"/>
      <c r="Z16" s="14"/>
      <c r="AA16" s="14"/>
      <c r="AB16" s="14"/>
      <c r="AC16" s="14"/>
      <c r="AD16" s="14"/>
      <c r="AE16" s="14"/>
      <c r="AF16" s="14"/>
      <c r="AG16" s="14"/>
      <c r="AH16" s="14"/>
      <c r="AI16" s="14"/>
      <c r="AJ16" s="14"/>
      <c r="AK16" s="14"/>
    </row>
    <row r="17" spans="1:37" ht="18" customHeight="1" x14ac:dyDescent="0.35">
      <c r="A17" s="14"/>
      <c r="B17" s="53" t="s">
        <v>38</v>
      </c>
      <c r="C17" s="52"/>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row>
    <row r="18" spans="1:37" ht="18" customHeight="1" x14ac:dyDescent="0.35">
      <c r="A18" s="14"/>
      <c r="B18" s="14"/>
      <c r="C18" s="15"/>
      <c r="D18" s="14"/>
      <c r="E18" s="14"/>
      <c r="F18" s="14"/>
      <c r="G18" s="14"/>
      <c r="H18" s="14"/>
      <c r="I18" s="14"/>
      <c r="J18" s="14"/>
      <c r="K18" s="14"/>
      <c r="L18" s="14"/>
      <c r="M18" s="14"/>
      <c r="N18" s="14"/>
      <c r="O18" s="14"/>
      <c r="P18" s="15"/>
      <c r="Q18" s="14"/>
      <c r="R18" s="14"/>
      <c r="S18" s="14"/>
      <c r="T18" s="14"/>
      <c r="U18" s="14"/>
      <c r="V18" s="14"/>
      <c r="W18" s="14"/>
      <c r="X18" s="14"/>
      <c r="Y18" s="14"/>
      <c r="Z18" s="14"/>
      <c r="AA18" s="14"/>
      <c r="AB18" s="14"/>
      <c r="AC18" s="14"/>
      <c r="AD18" s="14"/>
      <c r="AE18" s="14"/>
      <c r="AF18" s="14"/>
      <c r="AG18" s="14"/>
      <c r="AH18" s="14"/>
      <c r="AI18" s="14"/>
      <c r="AJ18" s="14"/>
      <c r="AK18" s="14"/>
    </row>
    <row r="19" spans="1:37" ht="18" customHeight="1" x14ac:dyDescent="0.35">
      <c r="A19" s="14"/>
      <c r="B19" s="14"/>
      <c r="C19" s="16" t="s">
        <v>39</v>
      </c>
      <c r="D19" s="43" t="s">
        <v>40</v>
      </c>
      <c r="E19" s="29"/>
      <c r="F19" s="29"/>
      <c r="G19" s="29"/>
      <c r="H19" s="29"/>
      <c r="I19" s="29"/>
      <c r="J19" s="29"/>
      <c r="K19" s="29"/>
      <c r="L19" s="29"/>
      <c r="M19" s="29"/>
      <c r="N19" s="30"/>
      <c r="O19" s="43" t="s">
        <v>41</v>
      </c>
      <c r="P19" s="29"/>
      <c r="Q19" s="29"/>
      <c r="R19" s="29"/>
      <c r="S19" s="29"/>
      <c r="T19" s="29"/>
      <c r="U19" s="29"/>
      <c r="V19" s="29"/>
      <c r="W19" s="29"/>
      <c r="X19" s="29"/>
      <c r="Y19" s="29"/>
      <c r="Z19" s="29"/>
      <c r="AA19" s="29"/>
      <c r="AB19" s="29"/>
      <c r="AC19" s="29"/>
      <c r="AD19" s="29"/>
      <c r="AE19" s="29"/>
      <c r="AF19" s="29"/>
      <c r="AG19" s="30"/>
      <c r="AH19" s="14"/>
      <c r="AI19" s="14"/>
      <c r="AJ19" s="14"/>
      <c r="AK19" s="14"/>
    </row>
    <row r="20" spans="1:37" ht="18" customHeight="1" x14ac:dyDescent="0.35">
      <c r="A20" s="14"/>
      <c r="B20" s="14"/>
      <c r="C20" s="17">
        <v>1</v>
      </c>
      <c r="D20" s="56" t="s">
        <v>42</v>
      </c>
      <c r="E20" s="29"/>
      <c r="F20" s="29"/>
      <c r="G20" s="29"/>
      <c r="H20" s="29"/>
      <c r="I20" s="29"/>
      <c r="J20" s="29"/>
      <c r="K20" s="29"/>
      <c r="L20" s="29"/>
      <c r="M20" s="29"/>
      <c r="N20" s="30"/>
      <c r="O20" s="56" t="s">
        <v>43</v>
      </c>
      <c r="P20" s="29"/>
      <c r="Q20" s="29"/>
      <c r="R20" s="29"/>
      <c r="S20" s="29"/>
      <c r="T20" s="29"/>
      <c r="U20" s="29"/>
      <c r="V20" s="29"/>
      <c r="W20" s="29"/>
      <c r="X20" s="29"/>
      <c r="Y20" s="29"/>
      <c r="Z20" s="29"/>
      <c r="AA20" s="29"/>
      <c r="AB20" s="29"/>
      <c r="AC20" s="29"/>
      <c r="AD20" s="29"/>
      <c r="AE20" s="29"/>
      <c r="AF20" s="29"/>
      <c r="AG20" s="30"/>
      <c r="AH20" s="14"/>
      <c r="AI20" s="14"/>
      <c r="AJ20" s="14"/>
      <c r="AK20" s="14"/>
    </row>
    <row r="21" spans="1:37" ht="15.75" customHeight="1" x14ac:dyDescent="0.2"/>
    <row r="22" spans="1:37" ht="15.75" customHeight="1" x14ac:dyDescent="0.2"/>
    <row r="23" spans="1:37" ht="15.75" customHeight="1" x14ac:dyDescent="0.2"/>
    <row r="24" spans="1:37" ht="15.75" customHeight="1" x14ac:dyDescent="0.2"/>
    <row r="25" spans="1:37" ht="15.75" customHeight="1" x14ac:dyDescent="0.2"/>
    <row r="26" spans="1:37" ht="15.75" customHeight="1" x14ac:dyDescent="0.2"/>
    <row r="27" spans="1:37" ht="15.75" customHeight="1" x14ac:dyDescent="0.2"/>
    <row r="28" spans="1:37" ht="15.75" customHeight="1" x14ac:dyDescent="0.2"/>
    <row r="29" spans="1:37" ht="15.75" customHeight="1" x14ac:dyDescent="0.2"/>
    <row r="30" spans="1:37" ht="15.75" customHeight="1" x14ac:dyDescent="0.2"/>
    <row r="31" spans="1:37" ht="15.75" customHeight="1" x14ac:dyDescent="0.2"/>
    <row r="32" spans="1:3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9">
    <mergeCell ref="D20:N20"/>
    <mergeCell ref="O20:AG20"/>
    <mergeCell ref="B5:AK5"/>
    <mergeCell ref="C6:AK6"/>
    <mergeCell ref="C7:AK7"/>
    <mergeCell ref="C8:AK8"/>
    <mergeCell ref="C9:AK9"/>
    <mergeCell ref="C10:AK10"/>
    <mergeCell ref="C11:AK11"/>
    <mergeCell ref="C12:AK12"/>
    <mergeCell ref="B14:AK14"/>
    <mergeCell ref="C15:AK15"/>
    <mergeCell ref="B17:AK17"/>
    <mergeCell ref="D19:N19"/>
    <mergeCell ref="O19:AG19"/>
    <mergeCell ref="AD1:AG1"/>
    <mergeCell ref="AH1:AK1"/>
    <mergeCell ref="A2:I3"/>
    <mergeCell ref="J2:P3"/>
    <mergeCell ref="Q2:U3"/>
    <mergeCell ref="V2:Y3"/>
    <mergeCell ref="Z2:AC3"/>
    <mergeCell ref="AD2:AG3"/>
    <mergeCell ref="AH2:AK3"/>
    <mergeCell ref="A1:I1"/>
    <mergeCell ref="J1:P1"/>
    <mergeCell ref="Q1:U1"/>
    <mergeCell ref="V1:Y1"/>
    <mergeCell ref="Z1:AC1"/>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H1000"/>
  <sheetViews>
    <sheetView workbookViewId="0">
      <selection sqref="A1:AH1"/>
    </sheetView>
  </sheetViews>
  <sheetFormatPr baseColWidth="10" defaultColWidth="14.5" defaultRowHeight="15" customHeight="1" x14ac:dyDescent="0.2"/>
  <cols>
    <col min="1" max="34" width="3.6640625" customWidth="1"/>
  </cols>
  <sheetData>
    <row r="1" spans="1:34" ht="25.5" customHeight="1" x14ac:dyDescent="0.2">
      <c r="A1" s="59" t="s">
        <v>44</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55"/>
    </row>
    <row r="2" spans="1:34" ht="19.5" customHeight="1" x14ac:dyDescent="0.2">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row>
    <row r="3" spans="1:34" ht="19.5" customHeight="1" x14ac:dyDescent="0.2">
      <c r="A3" s="57" t="s">
        <v>45</v>
      </c>
      <c r="B3" s="29"/>
      <c r="C3" s="29"/>
      <c r="D3" s="29"/>
      <c r="E3" s="29"/>
      <c r="F3" s="30"/>
      <c r="G3" s="60" t="s">
        <v>0</v>
      </c>
      <c r="H3" s="29"/>
      <c r="I3" s="29"/>
      <c r="J3" s="29"/>
      <c r="K3" s="29"/>
      <c r="L3" s="29"/>
      <c r="M3" s="29"/>
      <c r="N3" s="29"/>
      <c r="O3" s="30"/>
      <c r="P3" s="57" t="s">
        <v>46</v>
      </c>
      <c r="Q3" s="29"/>
      <c r="R3" s="29"/>
      <c r="S3" s="29"/>
      <c r="T3" s="29"/>
      <c r="U3" s="29"/>
      <c r="V3" s="29"/>
      <c r="W3" s="30"/>
      <c r="X3" s="60" t="s">
        <v>16</v>
      </c>
      <c r="Y3" s="29"/>
      <c r="Z3" s="29"/>
      <c r="AA3" s="29"/>
      <c r="AB3" s="29"/>
      <c r="AC3" s="29"/>
      <c r="AD3" s="29"/>
      <c r="AE3" s="29"/>
      <c r="AF3" s="29"/>
      <c r="AG3" s="29"/>
      <c r="AH3" s="30"/>
    </row>
    <row r="4" spans="1:34" ht="19.5" customHeight="1" x14ac:dyDescent="0.2">
      <c r="A4" s="57" t="s">
        <v>47</v>
      </c>
      <c r="B4" s="29"/>
      <c r="C4" s="29"/>
      <c r="D4" s="29"/>
      <c r="E4" s="29"/>
      <c r="F4" s="30"/>
      <c r="G4" s="60" t="s">
        <v>14</v>
      </c>
      <c r="H4" s="29"/>
      <c r="I4" s="29"/>
      <c r="J4" s="29"/>
      <c r="K4" s="29"/>
      <c r="L4" s="29"/>
      <c r="M4" s="29"/>
      <c r="N4" s="29"/>
      <c r="O4" s="30"/>
      <c r="P4" s="57" t="s">
        <v>48</v>
      </c>
      <c r="Q4" s="29"/>
      <c r="R4" s="29"/>
      <c r="S4" s="29"/>
      <c r="T4" s="29"/>
      <c r="U4" s="29"/>
      <c r="V4" s="29"/>
      <c r="W4" s="30"/>
      <c r="X4" s="58"/>
      <c r="Y4" s="29"/>
      <c r="Z4" s="29"/>
      <c r="AA4" s="29"/>
      <c r="AB4" s="29"/>
      <c r="AC4" s="29"/>
      <c r="AD4" s="29"/>
      <c r="AE4" s="29"/>
      <c r="AF4" s="29"/>
      <c r="AG4" s="29"/>
      <c r="AH4" s="30"/>
    </row>
    <row r="5" spans="1:34" ht="19.5" customHeight="1" x14ac:dyDescent="0.2">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row>
    <row r="6" spans="1:34" ht="19.5" customHeight="1" x14ac:dyDescent="0.2">
      <c r="A6" s="62" t="s">
        <v>49</v>
      </c>
      <c r="B6" s="64" t="s">
        <v>50</v>
      </c>
      <c r="C6" s="45"/>
      <c r="D6" s="45"/>
      <c r="E6" s="45"/>
      <c r="F6" s="45"/>
      <c r="G6" s="46"/>
      <c r="H6" s="61" t="s">
        <v>51</v>
      </c>
      <c r="I6" s="29"/>
      <c r="J6" s="29"/>
      <c r="K6" s="29"/>
      <c r="L6" s="29"/>
      <c r="M6" s="29"/>
      <c r="N6" s="29"/>
      <c r="O6" s="29"/>
      <c r="P6" s="30"/>
      <c r="Q6" s="65" t="s">
        <v>52</v>
      </c>
      <c r="R6" s="45"/>
      <c r="S6" s="46"/>
      <c r="T6" s="61" t="s">
        <v>53</v>
      </c>
      <c r="U6" s="29"/>
      <c r="V6" s="29"/>
      <c r="W6" s="29"/>
      <c r="X6" s="29"/>
      <c r="Y6" s="29"/>
      <c r="Z6" s="29"/>
      <c r="AA6" s="29"/>
      <c r="AB6" s="29"/>
      <c r="AC6" s="29"/>
      <c r="AD6" s="29"/>
      <c r="AE6" s="29"/>
      <c r="AF6" s="29"/>
      <c r="AG6" s="29"/>
      <c r="AH6" s="30"/>
    </row>
    <row r="7" spans="1:34" ht="35.25" customHeight="1" x14ac:dyDescent="0.2">
      <c r="A7" s="63"/>
      <c r="B7" s="47"/>
      <c r="C7" s="48"/>
      <c r="D7" s="48"/>
      <c r="E7" s="48"/>
      <c r="F7" s="48"/>
      <c r="G7" s="49"/>
      <c r="H7" s="61" t="s">
        <v>54</v>
      </c>
      <c r="I7" s="29"/>
      <c r="J7" s="30"/>
      <c r="K7" s="61" t="s">
        <v>55</v>
      </c>
      <c r="L7" s="29"/>
      <c r="M7" s="30"/>
      <c r="N7" s="61" t="s">
        <v>56</v>
      </c>
      <c r="O7" s="29"/>
      <c r="P7" s="30"/>
      <c r="Q7" s="47"/>
      <c r="R7" s="48"/>
      <c r="S7" s="49"/>
      <c r="T7" s="61" t="s">
        <v>57</v>
      </c>
      <c r="U7" s="29"/>
      <c r="V7" s="30"/>
      <c r="W7" s="61" t="s">
        <v>58</v>
      </c>
      <c r="X7" s="29"/>
      <c r="Y7" s="30"/>
      <c r="Z7" s="61" t="s">
        <v>59</v>
      </c>
      <c r="AA7" s="29"/>
      <c r="AB7" s="30"/>
      <c r="AC7" s="61" t="s">
        <v>60</v>
      </c>
      <c r="AD7" s="29"/>
      <c r="AE7" s="30"/>
      <c r="AF7" s="61" t="s">
        <v>61</v>
      </c>
      <c r="AG7" s="29"/>
      <c r="AH7" s="30"/>
    </row>
    <row r="8" spans="1:34" ht="19.5" customHeight="1" x14ac:dyDescent="0.2">
      <c r="A8" s="19" t="s">
        <v>62</v>
      </c>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1"/>
    </row>
    <row r="9" spans="1:34" ht="19.5" customHeight="1" x14ac:dyDescent="0.2">
      <c r="A9" s="22">
        <v>1</v>
      </c>
      <c r="B9" s="60" t="s">
        <v>63</v>
      </c>
      <c r="C9" s="29"/>
      <c r="D9" s="29"/>
      <c r="E9" s="29"/>
      <c r="F9" s="29"/>
      <c r="G9" s="30"/>
      <c r="H9" s="60">
        <f t="array" aca="1" ref="H9" ca="1">INDIRECT("'"&amp;$B9&amp;"'!H7",TRUE)</f>
        <v>24</v>
      </c>
      <c r="I9" s="29"/>
      <c r="J9" s="30"/>
      <c r="K9" s="60">
        <f t="array" aca="1" ref="K9" ca="1">INDIRECT("'"&amp;$B9&amp;"'!k7",TRUE)</f>
        <v>0</v>
      </c>
      <c r="L9" s="29"/>
      <c r="M9" s="30"/>
      <c r="N9" s="60">
        <f t="array" aca="1" ref="N9" ca="1">INDIRECT("'"&amp;$B9&amp;"'!N7",TRUE)</f>
        <v>0</v>
      </c>
      <c r="O9" s="29"/>
      <c r="P9" s="30"/>
      <c r="Q9" s="67">
        <f t="array" aca="1" ref="Q9" ca="1">INDIRECT("'"&amp;$B9&amp;"'!Q7",TRUE)</f>
        <v>24</v>
      </c>
      <c r="R9" s="29"/>
      <c r="S9" s="30"/>
      <c r="T9" s="60">
        <f t="array" aca="1" ref="T9" ca="1">INDIRECT("'"&amp;$B9&amp;"'!T7",TRUE)</f>
        <v>0</v>
      </c>
      <c r="U9" s="29"/>
      <c r="V9" s="30"/>
      <c r="W9" s="60">
        <f t="array" aca="1" ref="W9" ca="1">INDIRECT("'"&amp;$B9&amp;"'!W7",TRUE)</f>
        <v>0</v>
      </c>
      <c r="X9" s="29"/>
      <c r="Y9" s="30"/>
      <c r="Z9" s="60">
        <f t="array" aca="1" ref="Z9" ca="1">INDIRECT("'"&amp;$B9&amp;"'!Z7",TRUE)</f>
        <v>0</v>
      </c>
      <c r="AA9" s="29"/>
      <c r="AB9" s="30"/>
      <c r="AC9" s="60">
        <f t="array" aca="1" ref="AC9" ca="1">INDIRECT("'"&amp;$B9&amp;"'!AC7",TRUE)</f>
        <v>0</v>
      </c>
      <c r="AD9" s="29"/>
      <c r="AE9" s="30"/>
      <c r="AF9" s="66">
        <f ca="1">(T9+W9+AC9)/Q9</f>
        <v>0</v>
      </c>
      <c r="AG9" s="29"/>
      <c r="AH9" s="30"/>
    </row>
    <row r="10" spans="1:34" ht="19.5" customHeight="1" x14ac:dyDescent="0.2">
      <c r="A10" s="22">
        <v>2</v>
      </c>
      <c r="B10" s="60"/>
      <c r="C10" s="29"/>
      <c r="D10" s="29"/>
      <c r="E10" s="29"/>
      <c r="F10" s="29"/>
      <c r="G10" s="30"/>
      <c r="H10" s="60"/>
      <c r="I10" s="29"/>
      <c r="J10" s="30"/>
      <c r="K10" s="60"/>
      <c r="L10" s="29"/>
      <c r="M10" s="30"/>
      <c r="N10" s="60"/>
      <c r="O10" s="29"/>
      <c r="P10" s="30"/>
      <c r="Q10" s="67"/>
      <c r="R10" s="29"/>
      <c r="S10" s="30"/>
      <c r="T10" s="60"/>
      <c r="U10" s="29"/>
      <c r="V10" s="30"/>
      <c r="W10" s="60"/>
      <c r="X10" s="29"/>
      <c r="Y10" s="30"/>
      <c r="Z10" s="60"/>
      <c r="AA10" s="29"/>
      <c r="AB10" s="30"/>
      <c r="AC10" s="60"/>
      <c r="AD10" s="29"/>
      <c r="AE10" s="30"/>
      <c r="AF10" s="66"/>
      <c r="AG10" s="29"/>
      <c r="AH10" s="30"/>
    </row>
    <row r="11" spans="1:34" ht="19.5" customHeight="1" x14ac:dyDescent="0.2">
      <c r="A11" s="23"/>
      <c r="B11" s="57" t="s">
        <v>64</v>
      </c>
      <c r="C11" s="29"/>
      <c r="D11" s="29"/>
      <c r="E11" s="29"/>
      <c r="F11" s="29"/>
      <c r="G11" s="30"/>
      <c r="H11" s="57">
        <f ca="1">SUM(H9:J10)</f>
        <v>24</v>
      </c>
      <c r="I11" s="29"/>
      <c r="J11" s="30"/>
      <c r="K11" s="57">
        <f ca="1">SUM(K9:M10)</f>
        <v>0</v>
      </c>
      <c r="L11" s="29"/>
      <c r="M11" s="30"/>
      <c r="N11" s="57">
        <f ca="1">SUM(N9:P10)</f>
        <v>0</v>
      </c>
      <c r="O11" s="29"/>
      <c r="P11" s="30"/>
      <c r="Q11" s="69">
        <f ca="1">SUM(Q9:S10)</f>
        <v>24</v>
      </c>
      <c r="R11" s="29"/>
      <c r="S11" s="30"/>
      <c r="T11" s="57">
        <f ca="1">SUM(T9:V10)</f>
        <v>0</v>
      </c>
      <c r="U11" s="29"/>
      <c r="V11" s="30"/>
      <c r="W11" s="57">
        <f ca="1">SUM(W9:Y10)</f>
        <v>0</v>
      </c>
      <c r="X11" s="29"/>
      <c r="Y11" s="30"/>
      <c r="Z11" s="57">
        <f ca="1">SUM(Z9:AB10)</f>
        <v>0</v>
      </c>
      <c r="AA11" s="29"/>
      <c r="AB11" s="30"/>
      <c r="AC11" s="57">
        <f ca="1">SUM(AC9:AE10)</f>
        <v>0</v>
      </c>
      <c r="AD11" s="29"/>
      <c r="AE11" s="30"/>
      <c r="AF11" s="68">
        <f ca="1">(T11+W11+AC11)/Q11</f>
        <v>0</v>
      </c>
      <c r="AG11" s="29"/>
      <c r="AH11" s="30"/>
    </row>
    <row r="12" spans="1:34" ht="19.5" customHeight="1" x14ac:dyDescent="0.2">
      <c r="A12" s="19" t="s">
        <v>65</v>
      </c>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1"/>
    </row>
    <row r="13" spans="1:34" ht="19.5" customHeight="1" x14ac:dyDescent="0.2">
      <c r="A13" s="22">
        <v>1</v>
      </c>
      <c r="B13" s="60" t="s">
        <v>63</v>
      </c>
      <c r="C13" s="29"/>
      <c r="D13" s="29"/>
      <c r="E13" s="29"/>
      <c r="F13" s="29"/>
      <c r="G13" s="30"/>
      <c r="H13" s="60">
        <f t="array" aca="1" ref="H13" ca="1">INDIRECT("'"&amp;$B13&amp;"'!H8",TRUE)</f>
        <v>24</v>
      </c>
      <c r="I13" s="29"/>
      <c r="J13" s="30"/>
      <c r="K13" s="60">
        <f t="array" aca="1" ref="K13" ca="1">INDIRECT("'"&amp;$B13&amp;"'!K8",TRUE)</f>
        <v>0</v>
      </c>
      <c r="L13" s="29"/>
      <c r="M13" s="30"/>
      <c r="N13" s="60">
        <f t="array" aca="1" ref="N13" ca="1">INDIRECT("'"&amp;$B13&amp;"'!N8",TRUE)</f>
        <v>0</v>
      </c>
      <c r="O13" s="29"/>
      <c r="P13" s="30"/>
      <c r="Q13" s="67">
        <f t="array" aca="1" ref="Q13" ca="1">INDIRECT("'"&amp;$B13&amp;"'!Q8",TRUE)</f>
        <v>24</v>
      </c>
      <c r="R13" s="29"/>
      <c r="S13" s="30"/>
      <c r="T13" s="60">
        <f t="array" aca="1" ref="T13" ca="1">INDIRECT("'"&amp;$B13&amp;"'!T8",TRUE)</f>
        <v>0</v>
      </c>
      <c r="U13" s="29"/>
      <c r="V13" s="30"/>
      <c r="W13" s="60">
        <f t="array" aca="1" ref="W13" ca="1">INDIRECT("'"&amp;$B13&amp;"'!W8",TRUE)</f>
        <v>0</v>
      </c>
      <c r="X13" s="29"/>
      <c r="Y13" s="30"/>
      <c r="Z13" s="60">
        <f t="array" aca="1" ref="Z13" ca="1">INDIRECT("'"&amp;$B13&amp;"'!z8",TRUE)</f>
        <v>0</v>
      </c>
      <c r="AA13" s="29"/>
      <c r="AB13" s="30"/>
      <c r="AC13" s="60">
        <f t="array" aca="1" ref="AC13" ca="1">INDIRECT("'"&amp;$B13&amp;"'!AC8",TRUE)</f>
        <v>0</v>
      </c>
      <c r="AD13" s="29"/>
      <c r="AE13" s="30"/>
      <c r="AF13" s="66">
        <f ca="1">(T13+W13+AC13)/Q13</f>
        <v>0</v>
      </c>
      <c r="AG13" s="29"/>
      <c r="AH13" s="30"/>
    </row>
    <row r="14" spans="1:34" ht="19.5" customHeight="1" x14ac:dyDescent="0.2">
      <c r="A14" s="22">
        <v>2</v>
      </c>
      <c r="B14" s="60"/>
      <c r="C14" s="29"/>
      <c r="D14" s="29"/>
      <c r="E14" s="29"/>
      <c r="F14" s="29"/>
      <c r="G14" s="30"/>
      <c r="H14" s="60"/>
      <c r="I14" s="29"/>
      <c r="J14" s="30"/>
      <c r="K14" s="60"/>
      <c r="L14" s="29"/>
      <c r="M14" s="30"/>
      <c r="N14" s="60"/>
      <c r="O14" s="29"/>
      <c r="P14" s="30"/>
      <c r="Q14" s="67"/>
      <c r="R14" s="29"/>
      <c r="S14" s="30"/>
      <c r="T14" s="60"/>
      <c r="U14" s="29"/>
      <c r="V14" s="30"/>
      <c r="W14" s="60"/>
      <c r="X14" s="29"/>
      <c r="Y14" s="30"/>
      <c r="Z14" s="60"/>
      <c r="AA14" s="29"/>
      <c r="AB14" s="30"/>
      <c r="AC14" s="60"/>
      <c r="AD14" s="29"/>
      <c r="AE14" s="30"/>
      <c r="AF14" s="66"/>
      <c r="AG14" s="29"/>
      <c r="AH14" s="30"/>
    </row>
    <row r="15" spans="1:34" ht="19.5" customHeight="1" x14ac:dyDescent="0.2">
      <c r="A15" s="23"/>
      <c r="B15" s="57" t="s">
        <v>66</v>
      </c>
      <c r="C15" s="29"/>
      <c r="D15" s="29"/>
      <c r="E15" s="29"/>
      <c r="F15" s="29"/>
      <c r="G15" s="30"/>
      <c r="H15" s="57">
        <f ca="1">SUM(H13:J14)</f>
        <v>24</v>
      </c>
      <c r="I15" s="29"/>
      <c r="J15" s="30"/>
      <c r="K15" s="57">
        <f ca="1">SUM(K13:M14)</f>
        <v>0</v>
      </c>
      <c r="L15" s="29"/>
      <c r="M15" s="30"/>
      <c r="N15" s="57">
        <f ca="1">SUM(N13:P14)</f>
        <v>0</v>
      </c>
      <c r="O15" s="29"/>
      <c r="P15" s="30"/>
      <c r="Q15" s="69">
        <f ca="1">SUM(Q13:S14)</f>
        <v>24</v>
      </c>
      <c r="R15" s="29"/>
      <c r="S15" s="30"/>
      <c r="T15" s="57">
        <f ca="1">SUM(T13:V14)</f>
        <v>0</v>
      </c>
      <c r="U15" s="29"/>
      <c r="V15" s="30"/>
      <c r="W15" s="57">
        <f ca="1">SUM(W13:Y14)</f>
        <v>0</v>
      </c>
      <c r="X15" s="29"/>
      <c r="Y15" s="30"/>
      <c r="Z15" s="57">
        <f ca="1">SUM(Z13:AB14)</f>
        <v>0</v>
      </c>
      <c r="AA15" s="29"/>
      <c r="AB15" s="30"/>
      <c r="AC15" s="57">
        <f ca="1">SUM(AC13:AE14)</f>
        <v>0</v>
      </c>
      <c r="AD15" s="29"/>
      <c r="AE15" s="30"/>
      <c r="AF15" s="68">
        <f ca="1">(T15+W15+AC15)/Q15</f>
        <v>0</v>
      </c>
      <c r="AG15" s="29"/>
      <c r="AH15" s="30"/>
    </row>
    <row r="16" spans="1:34" ht="19.5" customHeight="1" x14ac:dyDescent="0.2">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row>
    <row r="17" spans="1:34" ht="19.5" customHeight="1" x14ac:dyDescent="0.2">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row>
    <row r="18" spans="1:34" ht="19.5" customHeight="1" x14ac:dyDescent="0.2">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row>
    <row r="19" spans="1:34" ht="19.5" customHeight="1" x14ac:dyDescent="0.2">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row>
    <row r="20" spans="1:34" ht="19.5" customHeight="1" x14ac:dyDescent="0.2">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row>
    <row r="21" spans="1:34" ht="19.5" customHeight="1" x14ac:dyDescent="0.2">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row>
    <row r="22" spans="1:34" ht="19.5" customHeight="1" x14ac:dyDescent="0.2">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row>
    <row r="23" spans="1:34" ht="19.5" customHeight="1" x14ac:dyDescent="0.2">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row>
    <row r="24" spans="1:34" ht="19.5" customHeight="1" x14ac:dyDescent="0.2">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row>
    <row r="25" spans="1:34" ht="19.5" customHeight="1" x14ac:dyDescent="0.2">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row>
    <row r="26" spans="1:34" ht="19.5" customHeight="1" x14ac:dyDescent="0.2">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row>
    <row r="27" spans="1:34" ht="19.5" customHeight="1" x14ac:dyDescent="0.2">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row>
    <row r="28" spans="1:34" ht="19.5" customHeight="1" x14ac:dyDescent="0.2">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row>
    <row r="29" spans="1:34" ht="19.5" customHeight="1" x14ac:dyDescent="0.2">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row>
    <row r="30" spans="1:34" ht="19.5" customHeight="1" x14ac:dyDescent="0.2">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row>
    <row r="31" spans="1:34" ht="19.5" customHeight="1" x14ac:dyDescent="0.2">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row>
    <row r="32" spans="1:34" ht="19.5" customHeight="1" x14ac:dyDescent="0.2">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row>
    <row r="33" spans="1:34" ht="19.5" customHeight="1" x14ac:dyDescent="0.2">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row>
    <row r="34" spans="1:34" ht="19.5" customHeight="1" x14ac:dyDescent="0.2">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row>
    <row r="35" spans="1:34" ht="19.5" customHeight="1" x14ac:dyDescent="0.2">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row>
    <row r="36" spans="1:34" ht="19.5" customHeight="1" x14ac:dyDescent="0.2">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row>
    <row r="37" spans="1:34" ht="19.5" customHeight="1" x14ac:dyDescent="0.2">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row>
    <row r="38" spans="1:34" ht="19.5" customHeight="1" x14ac:dyDescent="0.2">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row>
    <row r="39" spans="1:34" ht="19.5" customHeight="1" x14ac:dyDescent="0.2">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row>
    <row r="40" spans="1:34" ht="19.5" customHeight="1" x14ac:dyDescent="0.2">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row>
    <row r="41" spans="1:34" ht="19.5" customHeight="1" x14ac:dyDescent="0.2">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row>
    <row r="42" spans="1:34" ht="19.5" customHeight="1" x14ac:dyDescent="0.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row>
    <row r="43" spans="1:34" ht="19.5" customHeight="1" x14ac:dyDescent="0.2">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row>
    <row r="44" spans="1:34" ht="19.5" customHeight="1" x14ac:dyDescent="0.2">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row>
    <row r="45" spans="1:34" ht="19.5" customHeight="1" x14ac:dyDescent="0.2">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row>
    <row r="46" spans="1:34" ht="19.5" customHeight="1" x14ac:dyDescent="0.2">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row>
    <row r="47" spans="1:34" ht="19.5" customHeight="1" x14ac:dyDescent="0.2">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row>
    <row r="48" spans="1:34" ht="19.5" customHeight="1" x14ac:dyDescent="0.2">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row>
    <row r="49" spans="1:34" ht="19.5" customHeight="1" x14ac:dyDescent="0.2">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row>
    <row r="50" spans="1:34" ht="19.5" customHeight="1" x14ac:dyDescent="0.2">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row>
    <row r="51" spans="1:34" ht="19.5" customHeight="1" x14ac:dyDescent="0.2">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row>
    <row r="52" spans="1:34" ht="19.5" customHeight="1" x14ac:dyDescent="0.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row>
    <row r="53" spans="1:34" ht="19.5" customHeight="1" x14ac:dyDescent="0.2">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row>
    <row r="54" spans="1:34" ht="19.5" customHeight="1" x14ac:dyDescent="0.2">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row>
    <row r="55" spans="1:34" ht="19.5" customHeight="1" x14ac:dyDescent="0.2">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row>
    <row r="56" spans="1:34" ht="19.5" customHeight="1" x14ac:dyDescent="0.2">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row>
    <row r="57" spans="1:34" ht="19.5" customHeight="1" x14ac:dyDescent="0.2">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row>
    <row r="58" spans="1:34" ht="19.5" customHeight="1" x14ac:dyDescent="0.2">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row>
    <row r="59" spans="1:34" ht="19.5" customHeight="1" x14ac:dyDescent="0.2">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row>
    <row r="60" spans="1:34" ht="19.5" customHeight="1" x14ac:dyDescent="0.2">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row>
    <row r="61" spans="1:34" ht="19.5" customHeight="1" x14ac:dyDescent="0.2">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row>
    <row r="62" spans="1:34" ht="19.5" customHeight="1" x14ac:dyDescent="0.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row>
    <row r="63" spans="1:34" ht="19.5" customHeight="1" x14ac:dyDescent="0.2">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row>
    <row r="64" spans="1:34" ht="19.5" customHeight="1" x14ac:dyDescent="0.2">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row>
    <row r="65" spans="1:34" ht="19.5" customHeight="1" x14ac:dyDescent="0.2">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row>
    <row r="66" spans="1:34" ht="19.5" customHeight="1" x14ac:dyDescent="0.2">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row>
    <row r="67" spans="1:34" ht="19.5" customHeight="1" x14ac:dyDescent="0.2">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row>
    <row r="68" spans="1:34" ht="19.5" customHeight="1" x14ac:dyDescent="0.2">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row>
    <row r="69" spans="1:34" ht="19.5" customHeight="1" x14ac:dyDescent="0.2">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row>
    <row r="70" spans="1:34" ht="19.5" customHeight="1" x14ac:dyDescent="0.2">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row>
    <row r="71" spans="1:34" ht="19.5" customHeight="1" x14ac:dyDescent="0.2">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row>
    <row r="72" spans="1:34" ht="19.5" customHeight="1" x14ac:dyDescent="0.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row>
    <row r="73" spans="1:34" ht="19.5" customHeight="1" x14ac:dyDescent="0.2">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row>
    <row r="74" spans="1:34" ht="19.5" customHeight="1" x14ac:dyDescent="0.2">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row>
    <row r="75" spans="1:34" ht="19.5" customHeight="1" x14ac:dyDescent="0.2">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row>
    <row r="76" spans="1:34" ht="19.5" customHeight="1" x14ac:dyDescent="0.2">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row>
    <row r="77" spans="1:34" ht="19.5" customHeight="1" x14ac:dyDescent="0.2">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row>
    <row r="78" spans="1:34" ht="19.5" customHeight="1" x14ac:dyDescent="0.2">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row>
    <row r="79" spans="1:34" ht="19.5" customHeight="1" x14ac:dyDescent="0.2">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row>
    <row r="80" spans="1:34" ht="19.5" customHeight="1" x14ac:dyDescent="0.2">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row>
    <row r="81" spans="1:34" ht="19.5" customHeight="1" x14ac:dyDescent="0.2">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row>
    <row r="82" spans="1:34" ht="19.5" customHeight="1" x14ac:dyDescent="0.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row>
    <row r="83" spans="1:34" ht="19.5" customHeight="1" x14ac:dyDescent="0.2">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row>
    <row r="84" spans="1:34" ht="19.5" customHeight="1" x14ac:dyDescent="0.2">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row>
    <row r="85" spans="1:34" ht="19.5" customHeight="1" x14ac:dyDescent="0.2">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row>
    <row r="86" spans="1:34" ht="19.5" customHeight="1" x14ac:dyDescent="0.2">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row>
    <row r="87" spans="1:34" ht="19.5" customHeight="1" x14ac:dyDescent="0.2">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row>
    <row r="88" spans="1:34" ht="19.5" customHeight="1" x14ac:dyDescent="0.2">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row>
    <row r="89" spans="1:34" ht="19.5" customHeight="1" x14ac:dyDescent="0.2">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row>
    <row r="90" spans="1:34" ht="19.5" customHeight="1" x14ac:dyDescent="0.2">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row>
    <row r="91" spans="1:34" ht="19.5" customHeight="1" x14ac:dyDescent="0.2">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row>
    <row r="92" spans="1:34" ht="19.5" customHeight="1" x14ac:dyDescent="0.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row>
    <row r="93" spans="1:34" ht="19.5" customHeight="1" x14ac:dyDescent="0.2">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row>
    <row r="94" spans="1:34" ht="19.5" customHeight="1" x14ac:dyDescent="0.2">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row>
    <row r="95" spans="1:34" ht="19.5" customHeight="1" x14ac:dyDescent="0.2">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row>
    <row r="96" spans="1:34" ht="19.5" customHeight="1" x14ac:dyDescent="0.2">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row>
    <row r="97" spans="1:34" ht="19.5" customHeight="1" x14ac:dyDescent="0.2">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row>
    <row r="98" spans="1:34" ht="19.5" customHeight="1" x14ac:dyDescent="0.2">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row>
    <row r="99" spans="1:34" ht="19.5" customHeight="1" x14ac:dyDescent="0.2">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row>
    <row r="100" spans="1:34" ht="19.5" customHeight="1" x14ac:dyDescent="0.2">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row>
    <row r="101" spans="1:34" ht="19.5" customHeight="1" x14ac:dyDescent="0.2">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row>
    <row r="102" spans="1:34" ht="19.5" customHeight="1" x14ac:dyDescent="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row>
    <row r="103" spans="1:34" ht="19.5" customHeight="1" x14ac:dyDescent="0.2">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row>
    <row r="104" spans="1:34" ht="19.5" customHeight="1" x14ac:dyDescent="0.2">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row>
    <row r="105" spans="1:34" ht="19.5" customHeight="1" x14ac:dyDescent="0.2">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row>
    <row r="106" spans="1:34" ht="19.5" customHeight="1" x14ac:dyDescent="0.2">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row>
    <row r="107" spans="1:34" ht="19.5" customHeight="1" x14ac:dyDescent="0.2">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row>
    <row r="108" spans="1:34" ht="19.5" customHeight="1" x14ac:dyDescent="0.2">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row>
    <row r="109" spans="1:34" ht="19.5" customHeight="1" x14ac:dyDescent="0.2">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row>
    <row r="110" spans="1:34" ht="19.5" customHeight="1" x14ac:dyDescent="0.2">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row>
    <row r="111" spans="1:34" ht="19.5" customHeight="1" x14ac:dyDescent="0.2">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row>
    <row r="112" spans="1:34" ht="19.5" customHeight="1" x14ac:dyDescent="0.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row>
    <row r="113" spans="1:34" ht="19.5" customHeight="1" x14ac:dyDescent="0.2">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row>
    <row r="114" spans="1:34" ht="19.5" customHeight="1" x14ac:dyDescent="0.2">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row>
    <row r="115" spans="1:34" ht="19.5" customHeight="1" x14ac:dyDescent="0.2">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row>
    <row r="116" spans="1:34" ht="19.5" customHeight="1" x14ac:dyDescent="0.2">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row>
    <row r="117" spans="1:34" ht="19.5" customHeight="1" x14ac:dyDescent="0.2">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row>
    <row r="118" spans="1:34" ht="19.5" customHeight="1" x14ac:dyDescent="0.2">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row>
    <row r="119" spans="1:34" ht="19.5" customHeight="1" x14ac:dyDescent="0.2">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row>
    <row r="120" spans="1:34" ht="19.5" customHeight="1" x14ac:dyDescent="0.2">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row>
    <row r="121" spans="1:34" ht="19.5" customHeight="1" x14ac:dyDescent="0.2">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row>
    <row r="122" spans="1:34" ht="19.5" customHeight="1" x14ac:dyDescent="0.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row>
    <row r="123" spans="1:34" ht="19.5" customHeight="1" x14ac:dyDescent="0.2">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row>
    <row r="124" spans="1:34" ht="19.5" customHeight="1" x14ac:dyDescent="0.2">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row>
    <row r="125" spans="1:34" ht="19.5" customHeight="1" x14ac:dyDescent="0.2">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row>
    <row r="126" spans="1:34" ht="19.5" customHeight="1" x14ac:dyDescent="0.2">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row>
    <row r="127" spans="1:34" ht="19.5" customHeight="1" x14ac:dyDescent="0.2">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row>
    <row r="128" spans="1:34" ht="19.5" customHeight="1" x14ac:dyDescent="0.2">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row>
    <row r="129" spans="1:34" ht="19.5" customHeight="1" x14ac:dyDescent="0.2">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row>
    <row r="130" spans="1:34" ht="19.5" customHeight="1" x14ac:dyDescent="0.2">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row>
    <row r="131" spans="1:34" ht="19.5" customHeight="1" x14ac:dyDescent="0.2">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row>
    <row r="132" spans="1:34" ht="19.5" customHeight="1" x14ac:dyDescent="0.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row>
    <row r="133" spans="1:34" ht="19.5" customHeight="1" x14ac:dyDescent="0.2">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row>
    <row r="134" spans="1:34" ht="19.5" customHeight="1" x14ac:dyDescent="0.2">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row>
    <row r="135" spans="1:34" ht="19.5" customHeight="1" x14ac:dyDescent="0.2">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row>
    <row r="136" spans="1:34" ht="19.5" customHeight="1" x14ac:dyDescent="0.2">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row>
    <row r="137" spans="1:34" ht="19.5" customHeight="1" x14ac:dyDescent="0.2">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row>
    <row r="138" spans="1:34" ht="19.5" customHeight="1" x14ac:dyDescent="0.2">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row>
    <row r="139" spans="1:34" ht="19.5" customHeight="1" x14ac:dyDescent="0.2">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row>
    <row r="140" spans="1:34" ht="19.5" customHeight="1" x14ac:dyDescent="0.2">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row>
    <row r="141" spans="1:34" ht="19.5" customHeight="1" x14ac:dyDescent="0.2">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row>
    <row r="142" spans="1:34" ht="19.5" customHeight="1" x14ac:dyDescent="0.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row>
    <row r="143" spans="1:34" ht="19.5" customHeight="1" x14ac:dyDescent="0.2">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row>
    <row r="144" spans="1:34" ht="19.5" customHeight="1" x14ac:dyDescent="0.2">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row>
    <row r="145" spans="1:34" ht="19.5" customHeight="1" x14ac:dyDescent="0.2">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row>
    <row r="146" spans="1:34" ht="19.5" customHeight="1" x14ac:dyDescent="0.2">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row>
    <row r="147" spans="1:34" ht="19.5" customHeight="1" x14ac:dyDescent="0.2">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row>
    <row r="148" spans="1:34" ht="19.5" customHeight="1" x14ac:dyDescent="0.2">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row>
    <row r="149" spans="1:34" ht="19.5" customHeight="1" x14ac:dyDescent="0.2">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row>
    <row r="150" spans="1:34" ht="19.5" customHeight="1" x14ac:dyDescent="0.2">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row>
    <row r="151" spans="1:34" ht="19.5" customHeight="1" x14ac:dyDescent="0.2">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row>
    <row r="152" spans="1:34" ht="19.5" customHeight="1" x14ac:dyDescent="0.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row>
    <row r="153" spans="1:34" ht="19.5" customHeight="1" x14ac:dyDescent="0.2">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row>
    <row r="154" spans="1:34" ht="19.5" customHeight="1" x14ac:dyDescent="0.2">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row>
    <row r="155" spans="1:34" ht="19.5" customHeight="1" x14ac:dyDescent="0.2">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row>
    <row r="156" spans="1:34" ht="19.5" customHeight="1" x14ac:dyDescent="0.2">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row>
    <row r="157" spans="1:34" ht="19.5" customHeight="1" x14ac:dyDescent="0.2">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row>
    <row r="158" spans="1:34" ht="19.5" customHeight="1" x14ac:dyDescent="0.2">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row>
    <row r="159" spans="1:34" ht="19.5" customHeight="1" x14ac:dyDescent="0.2">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row>
    <row r="160" spans="1:34" ht="19.5" customHeight="1" x14ac:dyDescent="0.2">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row>
    <row r="161" spans="1:34" ht="19.5" customHeight="1" x14ac:dyDescent="0.2">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row>
    <row r="162" spans="1:34" ht="19.5" customHeight="1" x14ac:dyDescent="0.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row>
    <row r="163" spans="1:34" ht="19.5" customHeight="1" x14ac:dyDescent="0.2">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row>
    <row r="164" spans="1:34" ht="19.5" customHeight="1" x14ac:dyDescent="0.2">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row>
    <row r="165" spans="1:34" ht="19.5" customHeight="1" x14ac:dyDescent="0.2">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row>
    <row r="166" spans="1:34" ht="19.5" customHeight="1" x14ac:dyDescent="0.2">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row>
    <row r="167" spans="1:34" ht="19.5" customHeight="1" x14ac:dyDescent="0.2">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row>
    <row r="168" spans="1:34" ht="19.5" customHeight="1" x14ac:dyDescent="0.2">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row>
    <row r="169" spans="1:34" ht="19.5" customHeight="1" x14ac:dyDescent="0.2">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row>
    <row r="170" spans="1:34" ht="19.5" customHeight="1" x14ac:dyDescent="0.2">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row>
    <row r="171" spans="1:34" ht="19.5" customHeight="1" x14ac:dyDescent="0.2">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row>
    <row r="172" spans="1:34" ht="19.5" customHeight="1" x14ac:dyDescent="0.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row>
    <row r="173" spans="1:34" ht="19.5" customHeight="1" x14ac:dyDescent="0.2">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row>
    <row r="174" spans="1:34" ht="19.5" customHeight="1" x14ac:dyDescent="0.2">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row>
    <row r="175" spans="1:34" ht="19.5" customHeight="1" x14ac:dyDescent="0.2">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row>
    <row r="176" spans="1:34" ht="19.5" customHeight="1" x14ac:dyDescent="0.2">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row>
    <row r="177" spans="1:34" ht="19.5" customHeight="1" x14ac:dyDescent="0.2">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row>
    <row r="178" spans="1:34" ht="19.5" customHeight="1" x14ac:dyDescent="0.2">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row>
    <row r="179" spans="1:34" ht="19.5" customHeight="1" x14ac:dyDescent="0.2">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row>
    <row r="180" spans="1:34" ht="19.5" customHeight="1" x14ac:dyDescent="0.2">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row>
    <row r="181" spans="1:34" ht="19.5" customHeight="1" x14ac:dyDescent="0.2">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row>
    <row r="182" spans="1:34" ht="19.5" customHeight="1" x14ac:dyDescent="0.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row>
    <row r="183" spans="1:34" ht="19.5" customHeight="1" x14ac:dyDescent="0.2">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row>
    <row r="184" spans="1:34" ht="19.5" customHeight="1" x14ac:dyDescent="0.2">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row>
    <row r="185" spans="1:34" ht="19.5" customHeight="1" x14ac:dyDescent="0.2">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row>
    <row r="186" spans="1:34" ht="19.5" customHeight="1" x14ac:dyDescent="0.2">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row>
    <row r="187" spans="1:34" ht="19.5" customHeight="1" x14ac:dyDescent="0.2">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row>
    <row r="188" spans="1:34" ht="19.5" customHeight="1" x14ac:dyDescent="0.2">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row>
    <row r="189" spans="1:34" ht="19.5" customHeight="1" x14ac:dyDescent="0.2">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row>
    <row r="190" spans="1:34" ht="19.5" customHeight="1" x14ac:dyDescent="0.2">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row>
    <row r="191" spans="1:34" ht="19.5" customHeight="1" x14ac:dyDescent="0.2">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row>
    <row r="192" spans="1:34" ht="19.5" customHeight="1" x14ac:dyDescent="0.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row>
    <row r="193" spans="1:34" ht="19.5" customHeight="1" x14ac:dyDescent="0.2">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row>
    <row r="194" spans="1:34" ht="19.5" customHeight="1" x14ac:dyDescent="0.2">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row>
    <row r="195" spans="1:34" ht="19.5" customHeight="1" x14ac:dyDescent="0.2">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row>
    <row r="196" spans="1:34" ht="19.5" customHeight="1" x14ac:dyDescent="0.2">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row>
    <row r="197" spans="1:34" ht="19.5" customHeight="1" x14ac:dyDescent="0.2">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row>
    <row r="198" spans="1:34" ht="19.5" customHeight="1" x14ac:dyDescent="0.2">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row>
    <row r="199" spans="1:34" ht="19.5" customHeight="1" x14ac:dyDescent="0.2">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row>
    <row r="200" spans="1:34" ht="19.5" customHeight="1" x14ac:dyDescent="0.2">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row>
    <row r="201" spans="1:34" ht="19.5" customHeight="1" x14ac:dyDescent="0.2">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row>
    <row r="202" spans="1:34" ht="19.5" customHeight="1" x14ac:dyDescent="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row>
    <row r="203" spans="1:34" ht="19.5" customHeight="1" x14ac:dyDescent="0.2">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row>
    <row r="204" spans="1:34" ht="19.5" customHeight="1" x14ac:dyDescent="0.2">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row>
    <row r="205" spans="1:34" ht="19.5" customHeight="1" x14ac:dyDescent="0.2">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row>
    <row r="206" spans="1:34" ht="19.5" customHeight="1" x14ac:dyDescent="0.2">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row>
    <row r="207" spans="1:34" ht="19.5" customHeight="1" x14ac:dyDescent="0.2">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row>
    <row r="208" spans="1:34" ht="19.5" customHeight="1" x14ac:dyDescent="0.2">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row>
    <row r="209" spans="1:34" ht="19.5" customHeight="1" x14ac:dyDescent="0.2">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row>
    <row r="210" spans="1:34" ht="19.5" customHeight="1" x14ac:dyDescent="0.2">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row>
    <row r="211" spans="1:34" ht="19.5" customHeight="1" x14ac:dyDescent="0.2">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row>
    <row r="212" spans="1:34" ht="19.5" customHeight="1" x14ac:dyDescent="0.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row>
    <row r="213" spans="1:34" ht="19.5" customHeight="1" x14ac:dyDescent="0.2">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row>
    <row r="214" spans="1:34" ht="19.5" customHeight="1" x14ac:dyDescent="0.2">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row>
    <row r="215" spans="1:34" ht="19.5" customHeight="1" x14ac:dyDescent="0.2">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row>
    <row r="216" spans="1:34" ht="19.5" customHeight="1" x14ac:dyDescent="0.2">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row>
    <row r="217" spans="1:34" ht="19.5" customHeight="1" x14ac:dyDescent="0.2">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row>
    <row r="218" spans="1:34" ht="19.5" customHeight="1" x14ac:dyDescent="0.2">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row>
    <row r="219" spans="1:34" ht="19.5" customHeight="1" x14ac:dyDescent="0.2">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row>
    <row r="220" spans="1:34" ht="19.5" customHeight="1" x14ac:dyDescent="0.2">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row>
    <row r="221" spans="1:34" ht="15.75" customHeight="1" x14ac:dyDescent="0.2"/>
    <row r="222" spans="1:34" ht="15.75" customHeight="1" x14ac:dyDescent="0.2"/>
    <row r="223" spans="1:34" ht="15.75" customHeight="1" x14ac:dyDescent="0.2"/>
    <row r="224" spans="1:3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2">
    <mergeCell ref="Z15:AB15"/>
    <mergeCell ref="AC15:AE15"/>
    <mergeCell ref="AF15:AH15"/>
    <mergeCell ref="B15:G15"/>
    <mergeCell ref="H15:J15"/>
    <mergeCell ref="K15:M15"/>
    <mergeCell ref="N15:P15"/>
    <mergeCell ref="Q15:S15"/>
    <mergeCell ref="T15:V15"/>
    <mergeCell ref="W15:Y15"/>
    <mergeCell ref="Z13:AB13"/>
    <mergeCell ref="AC13:AE13"/>
    <mergeCell ref="AF13:AH13"/>
    <mergeCell ref="B13:G13"/>
    <mergeCell ref="H13:J13"/>
    <mergeCell ref="K13:M13"/>
    <mergeCell ref="N13:P13"/>
    <mergeCell ref="Q13:S13"/>
    <mergeCell ref="T13:V13"/>
    <mergeCell ref="W13:Y13"/>
    <mergeCell ref="Z11:AB11"/>
    <mergeCell ref="AC11:AE11"/>
    <mergeCell ref="AF11:AH11"/>
    <mergeCell ref="B11:G11"/>
    <mergeCell ref="H11:J11"/>
    <mergeCell ref="K11:M11"/>
    <mergeCell ref="N11:P11"/>
    <mergeCell ref="Q11:S11"/>
    <mergeCell ref="T11:V11"/>
    <mergeCell ref="W11:Y11"/>
    <mergeCell ref="Z10:AB10"/>
    <mergeCell ref="AC10:AE10"/>
    <mergeCell ref="AF10:AH10"/>
    <mergeCell ref="B10:G10"/>
    <mergeCell ref="H10:J10"/>
    <mergeCell ref="K10:M10"/>
    <mergeCell ref="N10:P10"/>
    <mergeCell ref="Q10:S10"/>
    <mergeCell ref="T10:V10"/>
    <mergeCell ref="W10:Y10"/>
    <mergeCell ref="Z14:AB14"/>
    <mergeCell ref="AC14:AE14"/>
    <mergeCell ref="AF14:AH14"/>
    <mergeCell ref="B14:G14"/>
    <mergeCell ref="H14:J14"/>
    <mergeCell ref="K14:M14"/>
    <mergeCell ref="N14:P14"/>
    <mergeCell ref="Q14:S14"/>
    <mergeCell ref="T14:V14"/>
    <mergeCell ref="W14:Y14"/>
    <mergeCell ref="B9:G9"/>
    <mergeCell ref="H9:J9"/>
    <mergeCell ref="K9:M9"/>
    <mergeCell ref="N9:P9"/>
    <mergeCell ref="Q9:S9"/>
    <mergeCell ref="T9:V9"/>
    <mergeCell ref="W9:Y9"/>
    <mergeCell ref="Z9:AB9"/>
    <mergeCell ref="AC9:AE9"/>
    <mergeCell ref="AF9:AH9"/>
    <mergeCell ref="W7:Y7"/>
    <mergeCell ref="Z7:AB7"/>
    <mergeCell ref="AC7:AE7"/>
    <mergeCell ref="AF7:AH7"/>
    <mergeCell ref="A6:A7"/>
    <mergeCell ref="B6:G7"/>
    <mergeCell ref="H6:P6"/>
    <mergeCell ref="Q6:S7"/>
    <mergeCell ref="T6:AH6"/>
    <mergeCell ref="H7:J7"/>
    <mergeCell ref="K7:M7"/>
    <mergeCell ref="N7:P7"/>
    <mergeCell ref="T7:V7"/>
    <mergeCell ref="P4:W4"/>
    <mergeCell ref="X4:AH4"/>
    <mergeCell ref="A1:AH1"/>
    <mergeCell ref="A3:F3"/>
    <mergeCell ref="G3:O3"/>
    <mergeCell ref="P3:W3"/>
    <mergeCell ref="X3:AH3"/>
    <mergeCell ref="A4:F4"/>
    <mergeCell ref="G4:O4"/>
  </mergeCells>
  <pageMargins left="0.70866141732283505" right="0.70866141732283505" top="0.74803149606299202" bottom="0.74803149606299202" header="0" footer="0"/>
  <pageSetup paperSize="9" orientation="landscape"/>
  <headerFooter>
    <oddHeader>&amp;L&amp;F</oddHeader>
    <oddFooter>&amp;L08-BM/PM/VTI&amp;C社外秘&amp;R&amp;P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Y1007"/>
  <sheetViews>
    <sheetView workbookViewId="0">
      <selection sqref="A1:E1"/>
    </sheetView>
  </sheetViews>
  <sheetFormatPr baseColWidth="10" defaultColWidth="14.5" defaultRowHeight="15" customHeight="1" x14ac:dyDescent="0.2"/>
  <cols>
    <col min="1" max="8" width="3.6640625" customWidth="1"/>
    <col min="9" max="9" width="11.5" customWidth="1"/>
    <col min="10" max="22" width="3.6640625" customWidth="1"/>
    <col min="23" max="23" width="26.1640625" customWidth="1"/>
    <col min="24" max="30" width="7.5" customWidth="1"/>
    <col min="31" max="51" width="3.6640625" customWidth="1"/>
  </cols>
  <sheetData>
    <row r="1" spans="1:51" ht="19.5" customHeight="1" x14ac:dyDescent="0.2">
      <c r="A1" s="57" t="s">
        <v>67</v>
      </c>
      <c r="B1" s="29"/>
      <c r="C1" s="29"/>
      <c r="D1" s="29"/>
      <c r="E1" s="30"/>
      <c r="F1" s="60" t="s">
        <v>68</v>
      </c>
      <c r="G1" s="29"/>
      <c r="H1" s="29"/>
      <c r="I1" s="29"/>
      <c r="J1" s="29"/>
      <c r="K1" s="29"/>
      <c r="L1" s="29"/>
      <c r="M1" s="29"/>
      <c r="N1" s="29"/>
      <c r="O1" s="29"/>
      <c r="P1" s="29"/>
      <c r="Q1" s="30"/>
      <c r="R1" s="57" t="s">
        <v>69</v>
      </c>
      <c r="S1" s="29"/>
      <c r="T1" s="29"/>
      <c r="U1" s="29"/>
      <c r="V1" s="30"/>
      <c r="W1" s="70" t="s">
        <v>70</v>
      </c>
      <c r="X1" s="29"/>
      <c r="Y1" s="29"/>
      <c r="Z1" s="29"/>
      <c r="AA1" s="29"/>
      <c r="AB1" s="29"/>
      <c r="AC1" s="29"/>
      <c r="AD1" s="29"/>
      <c r="AE1" s="29"/>
      <c r="AF1" s="29"/>
      <c r="AG1" s="29"/>
      <c r="AH1" s="30"/>
      <c r="AI1" s="18"/>
      <c r="AJ1" s="18"/>
      <c r="AK1" s="18"/>
      <c r="AL1" s="18"/>
      <c r="AM1" s="18"/>
      <c r="AN1" s="18"/>
      <c r="AO1" s="18"/>
      <c r="AP1" s="18"/>
      <c r="AQ1" s="18"/>
      <c r="AR1" s="18"/>
      <c r="AS1" s="18"/>
      <c r="AT1" s="18"/>
      <c r="AU1" s="18"/>
      <c r="AV1" s="18"/>
      <c r="AW1" s="18"/>
      <c r="AX1" s="18"/>
      <c r="AY1" s="18"/>
    </row>
    <row r="2" spans="1:51" ht="19.5" customHeight="1" x14ac:dyDescent="0.2">
      <c r="A2" s="57" t="s">
        <v>71</v>
      </c>
      <c r="B2" s="29"/>
      <c r="C2" s="29"/>
      <c r="D2" s="29"/>
      <c r="E2" s="30"/>
      <c r="F2" s="70" t="s">
        <v>14</v>
      </c>
      <c r="G2" s="29"/>
      <c r="H2" s="29"/>
      <c r="I2" s="29"/>
      <c r="J2" s="29"/>
      <c r="K2" s="29"/>
      <c r="L2" s="29"/>
      <c r="M2" s="29"/>
      <c r="N2" s="29"/>
      <c r="O2" s="29"/>
      <c r="P2" s="29"/>
      <c r="Q2" s="30"/>
      <c r="R2" s="57" t="s">
        <v>72</v>
      </c>
      <c r="S2" s="29"/>
      <c r="T2" s="29"/>
      <c r="U2" s="29"/>
      <c r="V2" s="30"/>
      <c r="W2" s="71">
        <v>46134</v>
      </c>
      <c r="X2" s="29"/>
      <c r="Y2" s="29"/>
      <c r="Z2" s="29"/>
      <c r="AA2" s="29"/>
      <c r="AB2" s="29"/>
      <c r="AC2" s="29"/>
      <c r="AD2" s="29"/>
      <c r="AE2" s="29"/>
      <c r="AF2" s="29"/>
      <c r="AG2" s="29"/>
      <c r="AH2" s="30"/>
      <c r="AI2" s="18"/>
      <c r="AJ2" s="18"/>
      <c r="AK2" s="18"/>
      <c r="AL2" s="18"/>
      <c r="AM2" s="18"/>
      <c r="AN2" s="18"/>
      <c r="AO2" s="18"/>
      <c r="AP2" s="18"/>
      <c r="AQ2" s="18"/>
      <c r="AR2" s="18"/>
      <c r="AS2" s="18"/>
      <c r="AT2" s="18"/>
      <c r="AU2" s="18"/>
      <c r="AV2" s="18"/>
      <c r="AW2" s="18"/>
      <c r="AX2" s="18"/>
      <c r="AY2" s="18"/>
    </row>
    <row r="3" spans="1:51" ht="19.5" customHeight="1" x14ac:dyDescent="0.2">
      <c r="A3" s="57" t="s">
        <v>73</v>
      </c>
      <c r="B3" s="29"/>
      <c r="C3" s="29"/>
      <c r="D3" s="29"/>
      <c r="E3" s="30"/>
      <c r="F3" s="70" t="s">
        <v>16</v>
      </c>
      <c r="G3" s="29"/>
      <c r="H3" s="29"/>
      <c r="I3" s="29"/>
      <c r="J3" s="29"/>
      <c r="K3" s="29"/>
      <c r="L3" s="29"/>
      <c r="M3" s="29"/>
      <c r="N3" s="29"/>
      <c r="O3" s="29"/>
      <c r="P3" s="29"/>
      <c r="Q3" s="30"/>
      <c r="R3" s="57" t="s">
        <v>74</v>
      </c>
      <c r="S3" s="29"/>
      <c r="T3" s="29"/>
      <c r="U3" s="29"/>
      <c r="V3" s="30"/>
      <c r="W3" s="58"/>
      <c r="X3" s="29"/>
      <c r="Y3" s="29"/>
      <c r="Z3" s="29"/>
      <c r="AA3" s="29"/>
      <c r="AB3" s="29"/>
      <c r="AC3" s="29"/>
      <c r="AD3" s="29"/>
      <c r="AE3" s="29"/>
      <c r="AF3" s="29"/>
      <c r="AG3" s="29"/>
      <c r="AH3" s="30"/>
      <c r="AI3" s="18"/>
      <c r="AJ3" s="18"/>
      <c r="AK3" s="18"/>
      <c r="AL3" s="18"/>
      <c r="AM3" s="18"/>
      <c r="AN3" s="18"/>
      <c r="AO3" s="18"/>
      <c r="AP3" s="18"/>
      <c r="AQ3" s="18"/>
      <c r="AR3" s="18"/>
      <c r="AS3" s="18"/>
      <c r="AT3" s="18"/>
      <c r="AU3" s="18"/>
      <c r="AV3" s="18"/>
      <c r="AW3" s="18"/>
      <c r="AX3" s="18"/>
      <c r="AY3" s="18"/>
    </row>
    <row r="4" spans="1:51" ht="43.5" customHeight="1" x14ac:dyDescent="0.2">
      <c r="A4" s="57" t="s">
        <v>75</v>
      </c>
      <c r="B4" s="29"/>
      <c r="C4" s="29"/>
      <c r="D4" s="29"/>
      <c r="E4" s="30"/>
      <c r="F4" s="70" t="s">
        <v>76</v>
      </c>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30"/>
      <c r="AI4" s="18"/>
      <c r="AJ4" s="18"/>
      <c r="AK4" s="18"/>
      <c r="AL4" s="18"/>
      <c r="AM4" s="18"/>
      <c r="AN4" s="18"/>
      <c r="AO4" s="18"/>
      <c r="AP4" s="18"/>
      <c r="AQ4" s="18"/>
      <c r="AR4" s="18"/>
      <c r="AS4" s="18"/>
      <c r="AT4" s="18"/>
      <c r="AU4" s="18"/>
      <c r="AV4" s="18"/>
      <c r="AW4" s="18"/>
      <c r="AX4" s="18"/>
      <c r="AY4" s="18"/>
    </row>
    <row r="5" spans="1:51" ht="19.5" customHeight="1" x14ac:dyDescent="0.2">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row>
    <row r="6" spans="1:51" ht="33" customHeight="1" x14ac:dyDescent="0.2">
      <c r="A6" s="72" t="s">
        <v>77</v>
      </c>
      <c r="B6" s="65" t="s">
        <v>78</v>
      </c>
      <c r="C6" s="45"/>
      <c r="D6" s="46"/>
      <c r="E6" s="65" t="s">
        <v>79</v>
      </c>
      <c r="F6" s="45"/>
      <c r="G6" s="45"/>
      <c r="H6" s="45"/>
      <c r="I6" s="46"/>
      <c r="J6" s="65" t="s">
        <v>80</v>
      </c>
      <c r="K6" s="45"/>
      <c r="L6" s="45"/>
      <c r="M6" s="45"/>
      <c r="N6" s="45"/>
      <c r="O6" s="45"/>
      <c r="P6" s="46"/>
      <c r="Q6" s="65" t="s">
        <v>81</v>
      </c>
      <c r="R6" s="45"/>
      <c r="S6" s="45"/>
      <c r="T6" s="45"/>
      <c r="U6" s="45"/>
      <c r="V6" s="45"/>
      <c r="W6" s="46"/>
      <c r="X6" s="65" t="s">
        <v>82</v>
      </c>
      <c r="Y6" s="45"/>
      <c r="Z6" s="45"/>
      <c r="AA6" s="45"/>
      <c r="AB6" s="45"/>
      <c r="AC6" s="45"/>
      <c r="AD6" s="46"/>
      <c r="AE6" s="65" t="s">
        <v>83</v>
      </c>
      <c r="AF6" s="45"/>
      <c r="AG6" s="45"/>
      <c r="AH6" s="46"/>
      <c r="AI6" s="18"/>
      <c r="AJ6" s="18"/>
      <c r="AK6" s="18"/>
      <c r="AL6" s="18"/>
      <c r="AM6" s="18"/>
      <c r="AN6" s="18"/>
      <c r="AO6" s="18"/>
      <c r="AP6" s="18"/>
      <c r="AQ6" s="18"/>
      <c r="AR6" s="18"/>
      <c r="AS6" s="18"/>
      <c r="AT6" s="18"/>
      <c r="AU6" s="18"/>
      <c r="AV6" s="18"/>
      <c r="AW6" s="18"/>
      <c r="AX6" s="18"/>
      <c r="AY6" s="18"/>
    </row>
    <row r="7" spans="1:51" ht="27" customHeight="1" x14ac:dyDescent="0.2">
      <c r="A7" s="63"/>
      <c r="B7" s="47"/>
      <c r="C7" s="48"/>
      <c r="D7" s="49"/>
      <c r="E7" s="47"/>
      <c r="F7" s="48"/>
      <c r="G7" s="48"/>
      <c r="H7" s="48"/>
      <c r="I7" s="49"/>
      <c r="J7" s="47"/>
      <c r="K7" s="48"/>
      <c r="L7" s="48"/>
      <c r="M7" s="48"/>
      <c r="N7" s="48"/>
      <c r="O7" s="48"/>
      <c r="P7" s="49"/>
      <c r="Q7" s="47"/>
      <c r="R7" s="48"/>
      <c r="S7" s="48"/>
      <c r="T7" s="48"/>
      <c r="U7" s="48"/>
      <c r="V7" s="48"/>
      <c r="W7" s="49"/>
      <c r="X7" s="47"/>
      <c r="Y7" s="48"/>
      <c r="Z7" s="48"/>
      <c r="AA7" s="48"/>
      <c r="AB7" s="48"/>
      <c r="AC7" s="48"/>
      <c r="AD7" s="49"/>
      <c r="AE7" s="47"/>
      <c r="AF7" s="48"/>
      <c r="AG7" s="48"/>
      <c r="AH7" s="49"/>
      <c r="AI7" s="18"/>
      <c r="AJ7" s="18"/>
      <c r="AK7" s="18"/>
      <c r="AL7" s="18"/>
      <c r="AM7" s="18"/>
      <c r="AN7" s="18"/>
      <c r="AO7" s="18"/>
      <c r="AP7" s="18"/>
      <c r="AQ7" s="18"/>
      <c r="AR7" s="18"/>
      <c r="AS7" s="18"/>
      <c r="AT7" s="18"/>
      <c r="AU7" s="18"/>
      <c r="AV7" s="18"/>
      <c r="AW7" s="18"/>
      <c r="AX7" s="18"/>
      <c r="AY7" s="18"/>
    </row>
    <row r="8" spans="1:51" ht="44.25" customHeight="1" x14ac:dyDescent="0.2">
      <c r="A8" s="24">
        <v>1</v>
      </c>
      <c r="B8" s="74"/>
      <c r="C8" s="29"/>
      <c r="D8" s="30"/>
      <c r="E8" s="74" t="s">
        <v>84</v>
      </c>
      <c r="F8" s="29"/>
      <c r="G8" s="29"/>
      <c r="H8" s="29"/>
      <c r="I8" s="30"/>
      <c r="J8" s="74"/>
      <c r="K8" s="29"/>
      <c r="L8" s="29"/>
      <c r="M8" s="29"/>
      <c r="N8" s="29"/>
      <c r="O8" s="29"/>
      <c r="P8" s="30"/>
      <c r="Q8" s="73" t="s">
        <v>85</v>
      </c>
      <c r="R8" s="29"/>
      <c r="S8" s="29"/>
      <c r="T8" s="29"/>
      <c r="U8" s="29"/>
      <c r="V8" s="29"/>
      <c r="W8" s="30"/>
      <c r="X8" s="73" t="s">
        <v>86</v>
      </c>
      <c r="Y8" s="29"/>
      <c r="Z8" s="29"/>
      <c r="AA8" s="29"/>
      <c r="AB8" s="29"/>
      <c r="AC8" s="29"/>
      <c r="AD8" s="30"/>
      <c r="AE8" s="60"/>
      <c r="AF8" s="29"/>
      <c r="AG8" s="29"/>
      <c r="AH8" s="30"/>
      <c r="AI8" s="18"/>
      <c r="AJ8" s="18"/>
      <c r="AK8" s="18"/>
      <c r="AL8" s="18"/>
      <c r="AM8" s="18"/>
      <c r="AN8" s="18"/>
      <c r="AO8" s="18"/>
      <c r="AP8" s="18"/>
      <c r="AQ8" s="18"/>
      <c r="AR8" s="18"/>
      <c r="AS8" s="18"/>
      <c r="AT8" s="18"/>
      <c r="AU8" s="18"/>
      <c r="AV8" s="18"/>
      <c r="AW8" s="18"/>
      <c r="AX8" s="18"/>
      <c r="AY8" s="18"/>
    </row>
    <row r="9" spans="1:51" ht="44.25" customHeight="1" x14ac:dyDescent="0.2">
      <c r="A9" s="24">
        <v>2</v>
      </c>
      <c r="B9" s="74"/>
      <c r="C9" s="29"/>
      <c r="D9" s="30"/>
      <c r="E9" s="74" t="s">
        <v>84</v>
      </c>
      <c r="F9" s="29"/>
      <c r="G9" s="29"/>
      <c r="H9" s="29"/>
      <c r="I9" s="30"/>
      <c r="J9" s="74"/>
      <c r="K9" s="29"/>
      <c r="L9" s="29"/>
      <c r="M9" s="29"/>
      <c r="N9" s="29"/>
      <c r="O9" s="29"/>
      <c r="P9" s="30"/>
      <c r="Q9" s="73" t="s">
        <v>87</v>
      </c>
      <c r="R9" s="29"/>
      <c r="S9" s="29"/>
      <c r="T9" s="29"/>
      <c r="U9" s="29"/>
      <c r="V9" s="29"/>
      <c r="W9" s="30"/>
      <c r="X9" s="73" t="s">
        <v>86</v>
      </c>
      <c r="Y9" s="29"/>
      <c r="Z9" s="29"/>
      <c r="AA9" s="29"/>
      <c r="AB9" s="29"/>
      <c r="AC9" s="29"/>
      <c r="AD9" s="30"/>
      <c r="AE9" s="60"/>
      <c r="AF9" s="29"/>
      <c r="AG9" s="29"/>
      <c r="AH9" s="30"/>
      <c r="AI9" s="25"/>
      <c r="AJ9" s="18"/>
      <c r="AK9" s="18"/>
      <c r="AL9" s="18"/>
      <c r="AM9" s="18"/>
      <c r="AN9" s="18"/>
      <c r="AO9" s="18"/>
      <c r="AP9" s="18"/>
      <c r="AQ9" s="18"/>
      <c r="AR9" s="18"/>
      <c r="AS9" s="18"/>
      <c r="AT9" s="18"/>
      <c r="AU9" s="18"/>
      <c r="AV9" s="18"/>
      <c r="AW9" s="18"/>
      <c r="AX9" s="18"/>
      <c r="AY9" s="18"/>
    </row>
    <row r="10" spans="1:51" ht="44.25" customHeight="1" x14ac:dyDescent="0.2">
      <c r="A10" s="24">
        <v>3</v>
      </c>
      <c r="B10" s="74"/>
      <c r="C10" s="29"/>
      <c r="D10" s="30"/>
      <c r="E10" s="74" t="s">
        <v>84</v>
      </c>
      <c r="F10" s="29"/>
      <c r="G10" s="29"/>
      <c r="H10" s="29"/>
      <c r="I10" s="30"/>
      <c r="J10" s="74"/>
      <c r="K10" s="29"/>
      <c r="L10" s="29"/>
      <c r="M10" s="29"/>
      <c r="N10" s="29"/>
      <c r="O10" s="29"/>
      <c r="P10" s="30"/>
      <c r="Q10" s="73" t="s">
        <v>88</v>
      </c>
      <c r="R10" s="29"/>
      <c r="S10" s="29"/>
      <c r="T10" s="29"/>
      <c r="U10" s="29"/>
      <c r="V10" s="29"/>
      <c r="W10" s="30"/>
      <c r="X10" s="73" t="s">
        <v>89</v>
      </c>
      <c r="Y10" s="29"/>
      <c r="Z10" s="29"/>
      <c r="AA10" s="29"/>
      <c r="AB10" s="29"/>
      <c r="AC10" s="29"/>
      <c r="AD10" s="30"/>
      <c r="AE10" s="60"/>
      <c r="AF10" s="29"/>
      <c r="AG10" s="29"/>
      <c r="AH10" s="30"/>
      <c r="AI10" s="25"/>
      <c r="AJ10" s="18"/>
      <c r="AK10" s="18"/>
      <c r="AL10" s="18"/>
      <c r="AM10" s="18"/>
      <c r="AN10" s="18"/>
      <c r="AO10" s="18"/>
      <c r="AP10" s="18"/>
      <c r="AQ10" s="18"/>
      <c r="AR10" s="18"/>
      <c r="AS10" s="18"/>
      <c r="AT10" s="18"/>
      <c r="AU10" s="18"/>
      <c r="AV10" s="18"/>
      <c r="AW10" s="18"/>
      <c r="AX10" s="18"/>
      <c r="AY10" s="18"/>
    </row>
    <row r="11" spans="1:51" ht="36.75" customHeight="1" x14ac:dyDescent="0.2">
      <c r="A11" s="24">
        <v>4</v>
      </c>
      <c r="B11" s="74"/>
      <c r="C11" s="29"/>
      <c r="D11" s="30"/>
      <c r="E11" s="74" t="s">
        <v>90</v>
      </c>
      <c r="F11" s="29"/>
      <c r="G11" s="29"/>
      <c r="H11" s="29"/>
      <c r="I11" s="30"/>
      <c r="J11" s="74"/>
      <c r="K11" s="29"/>
      <c r="L11" s="29"/>
      <c r="M11" s="29"/>
      <c r="N11" s="29"/>
      <c r="O11" s="29"/>
      <c r="P11" s="30"/>
      <c r="Q11" s="74" t="s">
        <v>91</v>
      </c>
      <c r="R11" s="29"/>
      <c r="S11" s="29"/>
      <c r="T11" s="29"/>
      <c r="U11" s="29"/>
      <c r="V11" s="29"/>
      <c r="W11" s="30"/>
      <c r="X11" s="73" t="s">
        <v>92</v>
      </c>
      <c r="Y11" s="29"/>
      <c r="Z11" s="29"/>
      <c r="AA11" s="29"/>
      <c r="AB11" s="29"/>
      <c r="AC11" s="29"/>
      <c r="AD11" s="30"/>
      <c r="AE11" s="60"/>
      <c r="AF11" s="29"/>
      <c r="AG11" s="29"/>
      <c r="AH11" s="30"/>
      <c r="AI11" s="25"/>
      <c r="AJ11" s="18"/>
      <c r="AK11" s="18"/>
      <c r="AL11" s="18"/>
      <c r="AM11" s="18"/>
      <c r="AN11" s="18"/>
      <c r="AO11" s="18"/>
      <c r="AP11" s="18"/>
      <c r="AQ11" s="18"/>
      <c r="AR11" s="18"/>
      <c r="AS11" s="18"/>
      <c r="AT11" s="18"/>
      <c r="AU11" s="18"/>
      <c r="AV11" s="18"/>
      <c r="AW11" s="18"/>
      <c r="AX11" s="18"/>
      <c r="AY11" s="18"/>
    </row>
    <row r="12" spans="1:51" ht="45" customHeight="1" x14ac:dyDescent="0.2">
      <c r="A12" s="24">
        <v>5</v>
      </c>
      <c r="B12" s="74"/>
      <c r="C12" s="29"/>
      <c r="D12" s="30"/>
      <c r="E12" s="74" t="s">
        <v>90</v>
      </c>
      <c r="F12" s="29"/>
      <c r="G12" s="29"/>
      <c r="H12" s="29"/>
      <c r="I12" s="30"/>
      <c r="J12" s="74"/>
      <c r="K12" s="29"/>
      <c r="L12" s="29"/>
      <c r="M12" s="29"/>
      <c r="N12" s="29"/>
      <c r="O12" s="29"/>
      <c r="P12" s="30"/>
      <c r="Q12" s="74" t="s">
        <v>93</v>
      </c>
      <c r="R12" s="29"/>
      <c r="S12" s="29"/>
      <c r="T12" s="29"/>
      <c r="U12" s="29"/>
      <c r="V12" s="29"/>
      <c r="W12" s="30"/>
      <c r="X12" s="73" t="s">
        <v>94</v>
      </c>
      <c r="Y12" s="29"/>
      <c r="Z12" s="29"/>
      <c r="AA12" s="29"/>
      <c r="AB12" s="29"/>
      <c r="AC12" s="29"/>
      <c r="AD12" s="30"/>
      <c r="AE12" s="60"/>
      <c r="AF12" s="29"/>
      <c r="AG12" s="29"/>
      <c r="AH12" s="30"/>
      <c r="AI12" s="25"/>
      <c r="AJ12" s="18"/>
      <c r="AK12" s="18"/>
      <c r="AL12" s="18"/>
      <c r="AM12" s="18"/>
      <c r="AN12" s="18"/>
      <c r="AO12" s="18"/>
      <c r="AP12" s="18"/>
      <c r="AQ12" s="18"/>
      <c r="AR12" s="18"/>
      <c r="AS12" s="18"/>
      <c r="AT12" s="18"/>
      <c r="AU12" s="18"/>
      <c r="AV12" s="18"/>
      <c r="AW12" s="18"/>
      <c r="AX12" s="18"/>
      <c r="AY12" s="18"/>
    </row>
    <row r="13" spans="1:51" ht="40.5" customHeight="1" x14ac:dyDescent="0.2">
      <c r="A13" s="24">
        <v>6</v>
      </c>
      <c r="B13" s="74"/>
      <c r="C13" s="29"/>
      <c r="D13" s="30"/>
      <c r="E13" s="74" t="s">
        <v>90</v>
      </c>
      <c r="F13" s="29"/>
      <c r="G13" s="29"/>
      <c r="H13" s="29"/>
      <c r="I13" s="30"/>
      <c r="J13" s="74"/>
      <c r="K13" s="29"/>
      <c r="L13" s="29"/>
      <c r="M13" s="29"/>
      <c r="N13" s="29"/>
      <c r="O13" s="29"/>
      <c r="P13" s="30"/>
      <c r="Q13" s="74" t="s">
        <v>95</v>
      </c>
      <c r="R13" s="29"/>
      <c r="S13" s="29"/>
      <c r="T13" s="29"/>
      <c r="U13" s="29"/>
      <c r="V13" s="29"/>
      <c r="W13" s="30"/>
      <c r="X13" s="74" t="s">
        <v>96</v>
      </c>
      <c r="Y13" s="29"/>
      <c r="Z13" s="29"/>
      <c r="AA13" s="29"/>
      <c r="AB13" s="29"/>
      <c r="AC13" s="29"/>
      <c r="AD13" s="30"/>
      <c r="AE13" s="60"/>
      <c r="AF13" s="29"/>
      <c r="AG13" s="29"/>
      <c r="AH13" s="30"/>
      <c r="AI13" s="25"/>
      <c r="AJ13" s="18"/>
      <c r="AK13" s="18"/>
      <c r="AL13" s="18"/>
      <c r="AM13" s="18"/>
      <c r="AN13" s="18"/>
      <c r="AO13" s="18"/>
      <c r="AP13" s="18"/>
      <c r="AQ13" s="18"/>
      <c r="AR13" s="18"/>
      <c r="AS13" s="18"/>
      <c r="AT13" s="18"/>
      <c r="AU13" s="18"/>
      <c r="AV13" s="18"/>
      <c r="AW13" s="18"/>
      <c r="AX13" s="18"/>
      <c r="AY13" s="18"/>
    </row>
    <row r="14" spans="1:51" ht="40.5" customHeight="1" x14ac:dyDescent="0.2">
      <c r="A14" s="24">
        <v>7</v>
      </c>
      <c r="B14" s="74"/>
      <c r="C14" s="29"/>
      <c r="D14" s="30"/>
      <c r="E14" s="74" t="s">
        <v>97</v>
      </c>
      <c r="F14" s="29"/>
      <c r="G14" s="29"/>
      <c r="H14" s="29"/>
      <c r="I14" s="30"/>
      <c r="J14" s="74" t="s">
        <v>98</v>
      </c>
      <c r="K14" s="29"/>
      <c r="L14" s="29"/>
      <c r="M14" s="29"/>
      <c r="N14" s="29"/>
      <c r="O14" s="29"/>
      <c r="P14" s="30"/>
      <c r="Q14" s="74" t="s">
        <v>99</v>
      </c>
      <c r="R14" s="29"/>
      <c r="S14" s="29"/>
      <c r="T14" s="29"/>
      <c r="U14" s="29"/>
      <c r="V14" s="29"/>
      <c r="W14" s="30"/>
      <c r="X14" s="74" t="s">
        <v>100</v>
      </c>
      <c r="Y14" s="29"/>
      <c r="Z14" s="29"/>
      <c r="AA14" s="29"/>
      <c r="AB14" s="29"/>
      <c r="AC14" s="29"/>
      <c r="AD14" s="30"/>
      <c r="AE14" s="60"/>
      <c r="AF14" s="29"/>
      <c r="AG14" s="29"/>
      <c r="AH14" s="30"/>
      <c r="AI14" s="25"/>
      <c r="AJ14" s="18"/>
      <c r="AK14" s="18"/>
      <c r="AL14" s="18"/>
      <c r="AM14" s="18"/>
      <c r="AN14" s="18"/>
      <c r="AO14" s="18"/>
      <c r="AP14" s="18"/>
      <c r="AQ14" s="18"/>
      <c r="AR14" s="18"/>
      <c r="AS14" s="18"/>
      <c r="AT14" s="18"/>
      <c r="AU14" s="18"/>
      <c r="AV14" s="18"/>
      <c r="AW14" s="18"/>
      <c r="AX14" s="18"/>
      <c r="AY14" s="18"/>
    </row>
    <row r="15" spans="1:51" x14ac:dyDescent="0.2">
      <c r="A15" s="24">
        <v>8</v>
      </c>
      <c r="B15" s="74"/>
      <c r="C15" s="29"/>
      <c r="D15" s="30"/>
      <c r="E15" s="74" t="s">
        <v>101</v>
      </c>
      <c r="F15" s="29"/>
      <c r="G15" s="29"/>
      <c r="H15" s="29"/>
      <c r="I15" s="30"/>
      <c r="J15" s="74" t="s">
        <v>102</v>
      </c>
      <c r="K15" s="29"/>
      <c r="L15" s="29"/>
      <c r="M15" s="29"/>
      <c r="N15" s="29"/>
      <c r="O15" s="29"/>
      <c r="P15" s="30"/>
      <c r="Q15" s="74" t="s">
        <v>103</v>
      </c>
      <c r="R15" s="29"/>
      <c r="S15" s="29"/>
      <c r="T15" s="29"/>
      <c r="U15" s="29"/>
      <c r="V15" s="29"/>
      <c r="W15" s="30"/>
      <c r="X15" s="84" t="s">
        <v>104</v>
      </c>
      <c r="Y15" s="48"/>
      <c r="Z15" s="48"/>
      <c r="AA15" s="48"/>
      <c r="AB15" s="48"/>
      <c r="AC15" s="48"/>
      <c r="AD15" s="49"/>
      <c r="AE15" s="60"/>
      <c r="AF15" s="29"/>
      <c r="AG15" s="29"/>
      <c r="AH15" s="30"/>
      <c r="AI15" s="25"/>
      <c r="AJ15" s="18"/>
      <c r="AK15" s="18"/>
      <c r="AL15" s="18"/>
      <c r="AM15" s="18"/>
      <c r="AN15" s="18"/>
      <c r="AO15" s="18"/>
      <c r="AP15" s="18"/>
      <c r="AQ15" s="18"/>
      <c r="AR15" s="18"/>
      <c r="AS15" s="18"/>
      <c r="AT15" s="18"/>
      <c r="AU15" s="18"/>
      <c r="AV15" s="18"/>
      <c r="AW15" s="18"/>
      <c r="AX15" s="18"/>
      <c r="AY15" s="18"/>
    </row>
    <row r="16" spans="1:51" x14ac:dyDescent="0.2">
      <c r="A16" s="24">
        <v>9</v>
      </c>
      <c r="B16" s="74"/>
      <c r="C16" s="29"/>
      <c r="D16" s="30"/>
      <c r="E16" s="74" t="s">
        <v>101</v>
      </c>
      <c r="F16" s="29"/>
      <c r="G16" s="29"/>
      <c r="H16" s="29"/>
      <c r="I16" s="30"/>
      <c r="J16" s="74" t="s">
        <v>105</v>
      </c>
      <c r="K16" s="29"/>
      <c r="L16" s="29"/>
      <c r="M16" s="29"/>
      <c r="N16" s="29"/>
      <c r="O16" s="29"/>
      <c r="P16" s="30"/>
      <c r="Q16" s="74" t="s">
        <v>106</v>
      </c>
      <c r="R16" s="29"/>
      <c r="S16" s="29"/>
      <c r="T16" s="29"/>
      <c r="U16" s="29"/>
      <c r="V16" s="29"/>
      <c r="W16" s="30"/>
      <c r="X16" s="74" t="s">
        <v>107</v>
      </c>
      <c r="Y16" s="29"/>
      <c r="Z16" s="29"/>
      <c r="AA16" s="29"/>
      <c r="AB16" s="29"/>
      <c r="AC16" s="29"/>
      <c r="AD16" s="30"/>
      <c r="AE16" s="60"/>
      <c r="AF16" s="29"/>
      <c r="AG16" s="29"/>
      <c r="AH16" s="30"/>
      <c r="AI16" s="18"/>
      <c r="AJ16" s="18"/>
      <c r="AK16" s="18"/>
      <c r="AL16" s="18"/>
      <c r="AM16" s="18"/>
      <c r="AN16" s="18"/>
      <c r="AO16" s="18"/>
      <c r="AP16" s="18"/>
      <c r="AQ16" s="18"/>
      <c r="AR16" s="18"/>
      <c r="AS16" s="18"/>
      <c r="AT16" s="18"/>
      <c r="AU16" s="18"/>
      <c r="AV16" s="18"/>
      <c r="AW16" s="18"/>
      <c r="AX16" s="18"/>
      <c r="AY16" s="18"/>
    </row>
    <row r="17" spans="1:51" x14ac:dyDescent="0.2">
      <c r="A17" s="24">
        <v>10</v>
      </c>
      <c r="B17" s="70"/>
      <c r="C17" s="29"/>
      <c r="D17" s="30"/>
      <c r="E17" s="70" t="s">
        <v>108</v>
      </c>
      <c r="F17" s="29"/>
      <c r="G17" s="29"/>
      <c r="H17" s="29"/>
      <c r="I17" s="30"/>
      <c r="J17" s="74" t="s">
        <v>102</v>
      </c>
      <c r="K17" s="29"/>
      <c r="L17" s="29"/>
      <c r="M17" s="29"/>
      <c r="N17" s="29"/>
      <c r="O17" s="29"/>
      <c r="P17" s="30"/>
      <c r="Q17" s="74" t="s">
        <v>109</v>
      </c>
      <c r="R17" s="29"/>
      <c r="S17" s="29"/>
      <c r="T17" s="29"/>
      <c r="U17" s="29"/>
      <c r="V17" s="29"/>
      <c r="W17" s="30"/>
      <c r="X17" s="74" t="s">
        <v>110</v>
      </c>
      <c r="Y17" s="29"/>
      <c r="Z17" s="29"/>
      <c r="AA17" s="29"/>
      <c r="AB17" s="29"/>
      <c r="AC17" s="29"/>
      <c r="AD17" s="30"/>
      <c r="AE17" s="60"/>
      <c r="AF17" s="29"/>
      <c r="AG17" s="29"/>
      <c r="AH17" s="30"/>
      <c r="AI17" s="18"/>
      <c r="AJ17" s="18"/>
      <c r="AK17" s="18"/>
      <c r="AL17" s="18"/>
      <c r="AM17" s="18"/>
      <c r="AN17" s="18"/>
      <c r="AO17" s="18"/>
      <c r="AP17" s="18"/>
      <c r="AQ17" s="18"/>
      <c r="AR17" s="18"/>
      <c r="AS17" s="18"/>
      <c r="AT17" s="18"/>
      <c r="AU17" s="18"/>
      <c r="AV17" s="18"/>
      <c r="AW17" s="18"/>
      <c r="AX17" s="18"/>
      <c r="AY17" s="18"/>
    </row>
    <row r="18" spans="1:51" x14ac:dyDescent="0.2">
      <c r="A18" s="24">
        <v>11</v>
      </c>
      <c r="B18" s="70"/>
      <c r="C18" s="29"/>
      <c r="D18" s="30"/>
      <c r="E18" s="74" t="s">
        <v>111</v>
      </c>
      <c r="F18" s="29"/>
      <c r="G18" s="29"/>
      <c r="H18" s="29"/>
      <c r="I18" s="30"/>
      <c r="J18" s="74" t="s">
        <v>102</v>
      </c>
      <c r="K18" s="29"/>
      <c r="L18" s="29"/>
      <c r="M18" s="29"/>
      <c r="N18" s="29"/>
      <c r="O18" s="29"/>
      <c r="P18" s="30"/>
      <c r="Q18" s="74" t="s">
        <v>112</v>
      </c>
      <c r="R18" s="29"/>
      <c r="S18" s="29"/>
      <c r="T18" s="29"/>
      <c r="U18" s="29"/>
      <c r="V18" s="29"/>
      <c r="W18" s="30"/>
      <c r="X18" s="74" t="s">
        <v>113</v>
      </c>
      <c r="Y18" s="29"/>
      <c r="Z18" s="29"/>
      <c r="AA18" s="29"/>
      <c r="AB18" s="29"/>
      <c r="AC18" s="29"/>
      <c r="AD18" s="30"/>
      <c r="AE18" s="60"/>
      <c r="AF18" s="29"/>
      <c r="AG18" s="29"/>
      <c r="AH18" s="30"/>
      <c r="AI18" s="18"/>
      <c r="AJ18" s="18"/>
      <c r="AK18" s="18"/>
      <c r="AL18" s="18"/>
      <c r="AM18" s="18"/>
      <c r="AN18" s="18"/>
      <c r="AO18" s="18"/>
      <c r="AP18" s="18"/>
      <c r="AQ18" s="18"/>
      <c r="AR18" s="18"/>
      <c r="AS18" s="18"/>
      <c r="AT18" s="18"/>
      <c r="AU18" s="18"/>
      <c r="AV18" s="18"/>
      <c r="AW18" s="18"/>
      <c r="AX18" s="18"/>
      <c r="AY18" s="18"/>
    </row>
    <row r="19" spans="1:51" x14ac:dyDescent="0.2">
      <c r="A19" s="24">
        <v>12</v>
      </c>
      <c r="B19" s="74"/>
      <c r="C19" s="29"/>
      <c r="D19" s="30"/>
      <c r="E19" s="74" t="s">
        <v>111</v>
      </c>
      <c r="F19" s="29"/>
      <c r="G19" s="29"/>
      <c r="H19" s="29"/>
      <c r="I19" s="30"/>
      <c r="J19" s="74" t="s">
        <v>105</v>
      </c>
      <c r="K19" s="29"/>
      <c r="L19" s="29"/>
      <c r="M19" s="29"/>
      <c r="N19" s="29"/>
      <c r="O19" s="29"/>
      <c r="P19" s="30"/>
      <c r="Q19" s="74" t="s">
        <v>114</v>
      </c>
      <c r="R19" s="29"/>
      <c r="S19" s="29"/>
      <c r="T19" s="29"/>
      <c r="U19" s="29"/>
      <c r="V19" s="29"/>
      <c r="W19" s="30"/>
      <c r="X19" s="74" t="s">
        <v>113</v>
      </c>
      <c r="Y19" s="29"/>
      <c r="Z19" s="29"/>
      <c r="AA19" s="29"/>
      <c r="AB19" s="29"/>
      <c r="AC19" s="29"/>
      <c r="AD19" s="30"/>
      <c r="AE19" s="60"/>
      <c r="AF19" s="29"/>
      <c r="AG19" s="29"/>
      <c r="AH19" s="30"/>
      <c r="AI19" s="18"/>
      <c r="AJ19" s="18"/>
      <c r="AK19" s="18"/>
      <c r="AL19" s="18"/>
      <c r="AM19" s="18"/>
      <c r="AN19" s="18"/>
      <c r="AO19" s="18"/>
      <c r="AP19" s="18"/>
      <c r="AQ19" s="18"/>
      <c r="AR19" s="18"/>
      <c r="AS19" s="18"/>
      <c r="AT19" s="18"/>
      <c r="AU19" s="18"/>
      <c r="AV19" s="18"/>
      <c r="AW19" s="18"/>
      <c r="AX19" s="18"/>
      <c r="AY19" s="18"/>
    </row>
    <row r="20" spans="1:51" x14ac:dyDescent="0.2">
      <c r="A20" s="24">
        <v>13</v>
      </c>
      <c r="B20" s="74"/>
      <c r="C20" s="29"/>
      <c r="D20" s="30"/>
      <c r="E20" s="74" t="s">
        <v>115</v>
      </c>
      <c r="F20" s="29"/>
      <c r="G20" s="29"/>
      <c r="H20" s="29"/>
      <c r="I20" s="30"/>
      <c r="J20" s="74"/>
      <c r="K20" s="29"/>
      <c r="L20" s="29"/>
      <c r="M20" s="29"/>
      <c r="N20" s="29"/>
      <c r="O20" s="29"/>
      <c r="P20" s="30"/>
      <c r="Q20" s="74" t="s">
        <v>116</v>
      </c>
      <c r="R20" s="29"/>
      <c r="S20" s="29"/>
      <c r="T20" s="29"/>
      <c r="U20" s="29"/>
      <c r="V20" s="29"/>
      <c r="W20" s="30"/>
      <c r="X20" s="74" t="s">
        <v>113</v>
      </c>
      <c r="Y20" s="29"/>
      <c r="Z20" s="29"/>
      <c r="AA20" s="29"/>
      <c r="AB20" s="29"/>
      <c r="AC20" s="29"/>
      <c r="AD20" s="30"/>
      <c r="AE20" s="60"/>
      <c r="AF20" s="29"/>
      <c r="AG20" s="29"/>
      <c r="AH20" s="30"/>
      <c r="AI20" s="18"/>
      <c r="AJ20" s="18"/>
      <c r="AK20" s="18"/>
      <c r="AL20" s="18"/>
      <c r="AM20" s="18"/>
      <c r="AN20" s="18"/>
      <c r="AO20" s="18"/>
      <c r="AP20" s="18"/>
      <c r="AQ20" s="18"/>
      <c r="AR20" s="18"/>
      <c r="AS20" s="18"/>
      <c r="AT20" s="18"/>
      <c r="AU20" s="18"/>
      <c r="AV20" s="18"/>
      <c r="AW20" s="18"/>
      <c r="AX20" s="18"/>
      <c r="AY20" s="18"/>
    </row>
    <row r="21" spans="1:51" ht="40.5" customHeight="1" x14ac:dyDescent="0.2">
      <c r="A21" s="24">
        <v>14</v>
      </c>
      <c r="B21" s="74"/>
      <c r="C21" s="29"/>
      <c r="D21" s="30"/>
      <c r="E21" s="74" t="s">
        <v>117</v>
      </c>
      <c r="F21" s="29"/>
      <c r="G21" s="29"/>
      <c r="H21" s="29"/>
      <c r="I21" s="30"/>
      <c r="J21" s="74" t="s">
        <v>118</v>
      </c>
      <c r="K21" s="29"/>
      <c r="L21" s="29"/>
      <c r="M21" s="29"/>
      <c r="N21" s="29"/>
      <c r="O21" s="29"/>
      <c r="P21" s="30"/>
      <c r="Q21" s="74" t="s">
        <v>119</v>
      </c>
      <c r="R21" s="29"/>
      <c r="S21" s="29"/>
      <c r="T21" s="29"/>
      <c r="U21" s="29"/>
      <c r="V21" s="29"/>
      <c r="W21" s="30"/>
      <c r="X21" s="74" t="s">
        <v>120</v>
      </c>
      <c r="Y21" s="29"/>
      <c r="Z21" s="29"/>
      <c r="AA21" s="29"/>
      <c r="AB21" s="29"/>
      <c r="AC21" s="29"/>
      <c r="AD21" s="30"/>
      <c r="AE21" s="60"/>
      <c r="AF21" s="29"/>
      <c r="AG21" s="29"/>
      <c r="AH21" s="30"/>
      <c r="AI21" s="18"/>
      <c r="AJ21" s="18"/>
      <c r="AK21" s="18"/>
      <c r="AL21" s="18"/>
      <c r="AM21" s="18"/>
      <c r="AN21" s="18"/>
      <c r="AO21" s="18"/>
      <c r="AP21" s="18"/>
      <c r="AQ21" s="18"/>
      <c r="AR21" s="18"/>
      <c r="AS21" s="18"/>
      <c r="AT21" s="18"/>
      <c r="AU21" s="18"/>
      <c r="AV21" s="18"/>
      <c r="AW21" s="18"/>
      <c r="AX21" s="18"/>
      <c r="AY21" s="18"/>
    </row>
    <row r="22" spans="1:51" ht="41.25" customHeight="1" x14ac:dyDescent="0.2">
      <c r="A22" s="24">
        <v>15</v>
      </c>
      <c r="B22" s="74"/>
      <c r="C22" s="29"/>
      <c r="D22" s="30"/>
      <c r="E22" s="74" t="s">
        <v>121</v>
      </c>
      <c r="F22" s="29"/>
      <c r="G22" s="29"/>
      <c r="H22" s="29"/>
      <c r="I22" s="76"/>
      <c r="J22" s="39"/>
      <c r="K22" s="29"/>
      <c r="L22" s="29"/>
      <c r="M22" s="29"/>
      <c r="N22" s="29"/>
      <c r="O22" s="29"/>
      <c r="P22" s="30"/>
      <c r="Q22" s="74" t="s">
        <v>122</v>
      </c>
      <c r="R22" s="29"/>
      <c r="S22" s="29"/>
      <c r="T22" s="29"/>
      <c r="U22" s="29"/>
      <c r="V22" s="29"/>
      <c r="W22" s="30"/>
      <c r="X22" s="77" t="s">
        <v>123</v>
      </c>
      <c r="Y22" s="78"/>
      <c r="Z22" s="78"/>
      <c r="AA22" s="78"/>
      <c r="AB22" s="78"/>
      <c r="AC22" s="78"/>
      <c r="AD22" s="79"/>
      <c r="AE22" s="60"/>
      <c r="AF22" s="29"/>
      <c r="AG22" s="29"/>
      <c r="AH22" s="30"/>
      <c r="AI22" s="18"/>
      <c r="AJ22" s="18"/>
      <c r="AK22" s="18"/>
      <c r="AL22" s="18"/>
      <c r="AM22" s="18"/>
      <c r="AN22" s="18"/>
      <c r="AO22" s="18"/>
      <c r="AP22" s="18"/>
      <c r="AQ22" s="18"/>
      <c r="AR22" s="18"/>
      <c r="AS22" s="18"/>
      <c r="AT22" s="18"/>
      <c r="AU22" s="18"/>
      <c r="AV22" s="18"/>
      <c r="AW22" s="18"/>
      <c r="AX22" s="18"/>
      <c r="AY22" s="18"/>
    </row>
    <row r="23" spans="1:51" ht="15.75" customHeight="1" x14ac:dyDescent="0.2">
      <c r="A23" s="24">
        <v>16</v>
      </c>
      <c r="B23" s="74"/>
      <c r="C23" s="29"/>
      <c r="D23" s="30"/>
      <c r="E23" s="74" t="s">
        <v>124</v>
      </c>
      <c r="F23" s="29"/>
      <c r="G23" s="29"/>
      <c r="H23" s="29"/>
      <c r="I23" s="76"/>
      <c r="J23" s="39"/>
      <c r="K23" s="29"/>
      <c r="L23" s="29"/>
      <c r="M23" s="29"/>
      <c r="N23" s="29"/>
      <c r="O23" s="29"/>
      <c r="P23" s="30"/>
      <c r="Q23" s="74" t="s">
        <v>125</v>
      </c>
      <c r="R23" s="29"/>
      <c r="S23" s="29"/>
      <c r="T23" s="29"/>
      <c r="U23" s="29"/>
      <c r="V23" s="29"/>
      <c r="W23" s="30"/>
      <c r="X23" s="74" t="s">
        <v>126</v>
      </c>
      <c r="Y23" s="29"/>
      <c r="Z23" s="29"/>
      <c r="AA23" s="29"/>
      <c r="AB23" s="29"/>
      <c r="AC23" s="29"/>
      <c r="AD23" s="30"/>
      <c r="AE23" s="60"/>
      <c r="AF23" s="29"/>
      <c r="AG23" s="29"/>
      <c r="AH23" s="30"/>
      <c r="AI23" s="18"/>
      <c r="AJ23" s="18"/>
      <c r="AK23" s="18"/>
      <c r="AL23" s="18"/>
      <c r="AM23" s="18"/>
      <c r="AN23" s="18"/>
      <c r="AO23" s="18"/>
      <c r="AP23" s="18"/>
      <c r="AQ23" s="18"/>
      <c r="AR23" s="18"/>
      <c r="AS23" s="18"/>
      <c r="AT23" s="18"/>
      <c r="AU23" s="18"/>
      <c r="AV23" s="18"/>
      <c r="AW23" s="18"/>
      <c r="AX23" s="18"/>
      <c r="AY23" s="18"/>
    </row>
    <row r="24" spans="1:51" ht="15.75" customHeight="1" x14ac:dyDescent="0.2">
      <c r="A24" s="24">
        <v>17</v>
      </c>
      <c r="B24" s="74"/>
      <c r="C24" s="29"/>
      <c r="D24" s="30"/>
      <c r="E24" s="74" t="s">
        <v>127</v>
      </c>
      <c r="F24" s="29"/>
      <c r="G24" s="29"/>
      <c r="H24" s="29"/>
      <c r="I24" s="76"/>
      <c r="J24" s="39"/>
      <c r="K24" s="29"/>
      <c r="L24" s="29"/>
      <c r="M24" s="29"/>
      <c r="N24" s="29"/>
      <c r="O24" s="29"/>
      <c r="P24" s="30"/>
      <c r="Q24" s="75" t="s">
        <v>128</v>
      </c>
      <c r="R24" s="29"/>
      <c r="S24" s="29"/>
      <c r="T24" s="29"/>
      <c r="U24" s="29"/>
      <c r="V24" s="29"/>
      <c r="W24" s="30"/>
      <c r="X24" s="74" t="s">
        <v>126</v>
      </c>
      <c r="Y24" s="29"/>
      <c r="Z24" s="29"/>
      <c r="AA24" s="29"/>
      <c r="AB24" s="29"/>
      <c r="AC24" s="29"/>
      <c r="AD24" s="30"/>
      <c r="AE24" s="60"/>
      <c r="AF24" s="29"/>
      <c r="AG24" s="29"/>
      <c r="AH24" s="30"/>
      <c r="AI24" s="18"/>
      <c r="AJ24" s="18"/>
      <c r="AK24" s="18"/>
      <c r="AL24" s="18"/>
      <c r="AM24" s="18"/>
      <c r="AN24" s="18"/>
      <c r="AO24" s="18"/>
      <c r="AP24" s="18"/>
      <c r="AQ24" s="18"/>
      <c r="AR24" s="18"/>
      <c r="AS24" s="18"/>
      <c r="AT24" s="18"/>
      <c r="AU24" s="18"/>
      <c r="AV24" s="18"/>
      <c r="AW24" s="18"/>
      <c r="AX24" s="18"/>
      <c r="AY24" s="18"/>
    </row>
    <row r="25" spans="1:51" ht="41.25" customHeight="1" x14ac:dyDescent="0.2">
      <c r="A25" s="24">
        <v>18</v>
      </c>
      <c r="B25" s="74"/>
      <c r="C25" s="29"/>
      <c r="D25" s="30"/>
      <c r="E25" s="74" t="s">
        <v>129</v>
      </c>
      <c r="F25" s="29"/>
      <c r="G25" s="29"/>
      <c r="H25" s="29"/>
      <c r="I25" s="76"/>
      <c r="J25" s="39"/>
      <c r="K25" s="29"/>
      <c r="L25" s="29"/>
      <c r="M25" s="29"/>
      <c r="N25" s="29"/>
      <c r="O25" s="29"/>
      <c r="P25" s="30"/>
      <c r="Q25" s="74" t="s">
        <v>130</v>
      </c>
      <c r="R25" s="29"/>
      <c r="S25" s="29"/>
      <c r="T25" s="29"/>
      <c r="U25" s="29"/>
      <c r="V25" s="29"/>
      <c r="W25" s="30"/>
      <c r="X25" s="77" t="s">
        <v>131</v>
      </c>
      <c r="Y25" s="78"/>
      <c r="Z25" s="78"/>
      <c r="AA25" s="78"/>
      <c r="AB25" s="78"/>
      <c r="AC25" s="78"/>
      <c r="AD25" s="79"/>
      <c r="AE25" s="60"/>
      <c r="AF25" s="29"/>
      <c r="AG25" s="29"/>
      <c r="AH25" s="30"/>
      <c r="AI25" s="18"/>
      <c r="AJ25" s="18"/>
      <c r="AK25" s="18"/>
      <c r="AL25" s="18"/>
      <c r="AM25" s="18"/>
      <c r="AN25" s="18"/>
      <c r="AO25" s="18"/>
      <c r="AP25" s="18"/>
      <c r="AQ25" s="18"/>
      <c r="AR25" s="18"/>
      <c r="AS25" s="18"/>
      <c r="AT25" s="18"/>
      <c r="AU25" s="18"/>
      <c r="AV25" s="18"/>
      <c r="AW25" s="18"/>
      <c r="AX25" s="18"/>
      <c r="AY25" s="18"/>
    </row>
    <row r="26" spans="1:51" ht="41.25" customHeight="1" x14ac:dyDescent="0.2">
      <c r="A26" s="24">
        <v>19</v>
      </c>
      <c r="B26" s="74"/>
      <c r="C26" s="29"/>
      <c r="D26" s="30"/>
      <c r="E26" s="74" t="s">
        <v>132</v>
      </c>
      <c r="F26" s="29"/>
      <c r="G26" s="29"/>
      <c r="H26" s="29"/>
      <c r="I26" s="76"/>
      <c r="J26" s="39"/>
      <c r="K26" s="29"/>
      <c r="L26" s="29"/>
      <c r="M26" s="29"/>
      <c r="N26" s="29"/>
      <c r="O26" s="29"/>
      <c r="P26" s="30"/>
      <c r="Q26" s="74" t="s">
        <v>133</v>
      </c>
      <c r="R26" s="29"/>
      <c r="S26" s="29"/>
      <c r="T26" s="29"/>
      <c r="U26" s="29"/>
      <c r="V26" s="29"/>
      <c r="W26" s="30"/>
      <c r="X26" s="77" t="s">
        <v>134</v>
      </c>
      <c r="Y26" s="78"/>
      <c r="Z26" s="78"/>
      <c r="AA26" s="78"/>
      <c r="AB26" s="78"/>
      <c r="AC26" s="78"/>
      <c r="AD26" s="79"/>
      <c r="AE26" s="60"/>
      <c r="AF26" s="29"/>
      <c r="AG26" s="29"/>
      <c r="AH26" s="30"/>
      <c r="AI26" s="18"/>
      <c r="AJ26" s="18"/>
      <c r="AK26" s="18"/>
      <c r="AL26" s="18"/>
      <c r="AM26" s="18"/>
      <c r="AN26" s="18"/>
      <c r="AO26" s="18"/>
      <c r="AP26" s="18"/>
      <c r="AQ26" s="18"/>
      <c r="AR26" s="18"/>
      <c r="AS26" s="18"/>
      <c r="AT26" s="18"/>
      <c r="AU26" s="18"/>
      <c r="AV26" s="18"/>
      <c r="AW26" s="18"/>
      <c r="AX26" s="18"/>
      <c r="AY26" s="18"/>
    </row>
    <row r="27" spans="1:51" ht="41.25" customHeight="1" x14ac:dyDescent="0.2">
      <c r="A27" s="24">
        <v>20</v>
      </c>
      <c r="B27" s="74"/>
      <c r="C27" s="29"/>
      <c r="D27" s="30"/>
      <c r="E27" s="74" t="s">
        <v>135</v>
      </c>
      <c r="F27" s="29"/>
      <c r="G27" s="29"/>
      <c r="H27" s="29"/>
      <c r="I27" s="76"/>
      <c r="J27" s="39"/>
      <c r="K27" s="29"/>
      <c r="L27" s="29"/>
      <c r="M27" s="29"/>
      <c r="N27" s="29"/>
      <c r="O27" s="29"/>
      <c r="P27" s="30"/>
      <c r="Q27" s="74" t="s">
        <v>136</v>
      </c>
      <c r="R27" s="29"/>
      <c r="S27" s="29"/>
      <c r="T27" s="29"/>
      <c r="U27" s="29"/>
      <c r="V27" s="29"/>
      <c r="W27" s="30"/>
      <c r="X27" s="77" t="s">
        <v>137</v>
      </c>
      <c r="Y27" s="78"/>
      <c r="Z27" s="78"/>
      <c r="AA27" s="78"/>
      <c r="AB27" s="78"/>
      <c r="AC27" s="78"/>
      <c r="AD27" s="79"/>
      <c r="AE27" s="60"/>
      <c r="AF27" s="29"/>
      <c r="AG27" s="29"/>
      <c r="AH27" s="30"/>
      <c r="AI27" s="18"/>
      <c r="AJ27" s="18"/>
      <c r="AK27" s="18"/>
      <c r="AL27" s="18"/>
      <c r="AM27" s="18"/>
      <c r="AN27" s="18"/>
      <c r="AO27" s="18"/>
      <c r="AP27" s="18"/>
      <c r="AQ27" s="18"/>
      <c r="AR27" s="18"/>
      <c r="AS27" s="18"/>
      <c r="AT27" s="18"/>
      <c r="AU27" s="18"/>
      <c r="AV27" s="18"/>
      <c r="AW27" s="18"/>
      <c r="AX27" s="18"/>
      <c r="AY27" s="18"/>
    </row>
    <row r="28" spans="1:51" ht="41.25" customHeight="1" x14ac:dyDescent="0.2">
      <c r="A28" s="24">
        <v>21</v>
      </c>
      <c r="B28" s="74"/>
      <c r="C28" s="29"/>
      <c r="D28" s="30"/>
      <c r="E28" s="74" t="s">
        <v>138</v>
      </c>
      <c r="F28" s="29"/>
      <c r="G28" s="29"/>
      <c r="H28" s="29"/>
      <c r="I28" s="76"/>
      <c r="J28" s="39"/>
      <c r="K28" s="29"/>
      <c r="L28" s="29"/>
      <c r="M28" s="29"/>
      <c r="N28" s="29"/>
      <c r="O28" s="29"/>
      <c r="P28" s="30"/>
      <c r="Q28" s="74" t="s">
        <v>139</v>
      </c>
      <c r="R28" s="29"/>
      <c r="S28" s="29"/>
      <c r="T28" s="29"/>
      <c r="U28" s="29"/>
      <c r="V28" s="29"/>
      <c r="W28" s="30"/>
      <c r="X28" s="77" t="s">
        <v>140</v>
      </c>
      <c r="Y28" s="78"/>
      <c r="Z28" s="78"/>
      <c r="AA28" s="78"/>
      <c r="AB28" s="78"/>
      <c r="AC28" s="78"/>
      <c r="AD28" s="79"/>
      <c r="AE28" s="60"/>
      <c r="AF28" s="29"/>
      <c r="AG28" s="29"/>
      <c r="AH28" s="30"/>
      <c r="AI28" s="18"/>
      <c r="AJ28" s="18"/>
      <c r="AK28" s="18"/>
      <c r="AL28" s="18"/>
      <c r="AM28" s="18"/>
      <c r="AN28" s="18"/>
      <c r="AO28" s="18"/>
      <c r="AP28" s="18"/>
      <c r="AQ28" s="18"/>
      <c r="AR28" s="18"/>
      <c r="AS28" s="18"/>
      <c r="AT28" s="18"/>
      <c r="AU28" s="18"/>
      <c r="AV28" s="18"/>
      <c r="AW28" s="18"/>
      <c r="AX28" s="18"/>
      <c r="AY28" s="18"/>
    </row>
    <row r="29" spans="1:51" ht="27" customHeight="1" x14ac:dyDescent="0.2">
      <c r="A29" s="24">
        <v>22</v>
      </c>
      <c r="B29" s="74"/>
      <c r="C29" s="29"/>
      <c r="D29" s="30"/>
      <c r="E29" s="80" t="s">
        <v>141</v>
      </c>
      <c r="F29" s="81"/>
      <c r="G29" s="81"/>
      <c r="H29" s="81"/>
      <c r="I29" s="82"/>
      <c r="J29" s="74" t="s">
        <v>102</v>
      </c>
      <c r="K29" s="29"/>
      <c r="L29" s="29"/>
      <c r="M29" s="29"/>
      <c r="N29" s="29"/>
      <c r="O29" s="29"/>
      <c r="P29" s="30"/>
      <c r="Q29" s="75" t="s">
        <v>142</v>
      </c>
      <c r="R29" s="29"/>
      <c r="S29" s="29"/>
      <c r="T29" s="29"/>
      <c r="U29" s="29"/>
      <c r="V29" s="29"/>
      <c r="W29" s="30"/>
      <c r="X29" s="74" t="s">
        <v>143</v>
      </c>
      <c r="Y29" s="29"/>
      <c r="Z29" s="29"/>
      <c r="AA29" s="29"/>
      <c r="AB29" s="29"/>
      <c r="AC29" s="29"/>
      <c r="AD29" s="30"/>
      <c r="AE29" s="60"/>
      <c r="AF29" s="29"/>
      <c r="AG29" s="29"/>
      <c r="AH29" s="30"/>
      <c r="AI29" s="18"/>
      <c r="AJ29" s="18"/>
      <c r="AK29" s="18"/>
      <c r="AL29" s="18"/>
      <c r="AM29" s="18"/>
      <c r="AN29" s="18"/>
      <c r="AO29" s="18"/>
      <c r="AP29" s="18"/>
      <c r="AQ29" s="18"/>
      <c r="AR29" s="18"/>
      <c r="AS29" s="18"/>
      <c r="AT29" s="18"/>
      <c r="AU29" s="18"/>
      <c r="AV29" s="18"/>
      <c r="AW29" s="18"/>
      <c r="AX29" s="18"/>
      <c r="AY29" s="18"/>
    </row>
    <row r="30" spans="1:51" ht="15.75" customHeight="1" x14ac:dyDescent="0.2">
      <c r="A30" s="24">
        <v>23</v>
      </c>
      <c r="B30" s="74"/>
      <c r="C30" s="29"/>
      <c r="D30" s="30"/>
      <c r="E30" s="80" t="s">
        <v>141</v>
      </c>
      <c r="F30" s="81"/>
      <c r="G30" s="81"/>
      <c r="H30" s="81"/>
      <c r="I30" s="82"/>
      <c r="J30" s="74" t="s">
        <v>102</v>
      </c>
      <c r="K30" s="29"/>
      <c r="L30" s="29"/>
      <c r="M30" s="29"/>
      <c r="N30" s="29"/>
      <c r="O30" s="29"/>
      <c r="P30" s="30"/>
      <c r="Q30" s="75" t="s">
        <v>144</v>
      </c>
      <c r="R30" s="29"/>
      <c r="S30" s="29"/>
      <c r="T30" s="29"/>
      <c r="U30" s="29"/>
      <c r="V30" s="29"/>
      <c r="W30" s="30"/>
      <c r="X30" s="74" t="s">
        <v>145</v>
      </c>
      <c r="Y30" s="29"/>
      <c r="Z30" s="29"/>
      <c r="AA30" s="29"/>
      <c r="AB30" s="29"/>
      <c r="AC30" s="29"/>
      <c r="AD30" s="30"/>
      <c r="AE30" s="60"/>
      <c r="AF30" s="29"/>
      <c r="AG30" s="29"/>
      <c r="AH30" s="30"/>
      <c r="AI30" s="18"/>
      <c r="AJ30" s="18"/>
      <c r="AK30" s="18"/>
      <c r="AL30" s="18"/>
      <c r="AM30" s="18"/>
      <c r="AN30" s="18"/>
      <c r="AO30" s="18"/>
      <c r="AP30" s="18"/>
      <c r="AQ30" s="18"/>
      <c r="AR30" s="18"/>
      <c r="AS30" s="18"/>
      <c r="AT30" s="18"/>
      <c r="AU30" s="18"/>
      <c r="AV30" s="18"/>
      <c r="AW30" s="18"/>
      <c r="AX30" s="18"/>
      <c r="AY30" s="18"/>
    </row>
    <row r="31" spans="1:51" ht="15.75" customHeight="1" x14ac:dyDescent="0.2">
      <c r="A31" s="24">
        <v>24</v>
      </c>
      <c r="B31" s="74"/>
      <c r="C31" s="29"/>
      <c r="D31" s="30"/>
      <c r="E31" s="80" t="s">
        <v>141</v>
      </c>
      <c r="F31" s="81"/>
      <c r="G31" s="81"/>
      <c r="H31" s="81"/>
      <c r="I31" s="82"/>
      <c r="J31" s="74" t="s">
        <v>102</v>
      </c>
      <c r="K31" s="29"/>
      <c r="L31" s="29"/>
      <c r="M31" s="29"/>
      <c r="N31" s="29"/>
      <c r="O31" s="29"/>
      <c r="P31" s="30"/>
      <c r="Q31" s="75" t="s">
        <v>146</v>
      </c>
      <c r="R31" s="29"/>
      <c r="S31" s="29"/>
      <c r="T31" s="29"/>
      <c r="U31" s="29"/>
      <c r="V31" s="29"/>
      <c r="W31" s="30"/>
      <c r="X31" s="74" t="s">
        <v>147</v>
      </c>
      <c r="Y31" s="29"/>
      <c r="Z31" s="29"/>
      <c r="AA31" s="29"/>
      <c r="AB31" s="29"/>
      <c r="AC31" s="29"/>
      <c r="AD31" s="30"/>
      <c r="AE31" s="60"/>
      <c r="AF31" s="29"/>
      <c r="AG31" s="29"/>
      <c r="AH31" s="30"/>
      <c r="AI31" s="18"/>
      <c r="AJ31" s="18"/>
      <c r="AK31" s="18"/>
      <c r="AL31" s="18"/>
      <c r="AM31" s="18"/>
      <c r="AN31" s="18"/>
      <c r="AO31" s="18"/>
      <c r="AP31" s="18"/>
      <c r="AQ31" s="18"/>
      <c r="AR31" s="18"/>
      <c r="AS31" s="18"/>
      <c r="AT31" s="18"/>
      <c r="AU31" s="18"/>
      <c r="AV31" s="18"/>
      <c r="AW31" s="18"/>
      <c r="AX31" s="18"/>
      <c r="AY31" s="18"/>
    </row>
    <row r="32" spans="1:51" ht="15.75" customHeight="1" x14ac:dyDescent="0.2">
      <c r="A32" s="24">
        <v>25</v>
      </c>
      <c r="B32" s="74"/>
      <c r="C32" s="29"/>
      <c r="D32" s="30"/>
      <c r="E32" s="80" t="s">
        <v>141</v>
      </c>
      <c r="F32" s="81"/>
      <c r="G32" s="81"/>
      <c r="H32" s="81"/>
      <c r="I32" s="82"/>
      <c r="J32" s="74" t="s">
        <v>105</v>
      </c>
      <c r="K32" s="29"/>
      <c r="L32" s="29"/>
      <c r="M32" s="29"/>
      <c r="N32" s="29"/>
      <c r="O32" s="29"/>
      <c r="P32" s="30"/>
      <c r="Q32" s="75" t="s">
        <v>148</v>
      </c>
      <c r="R32" s="29"/>
      <c r="S32" s="29"/>
      <c r="T32" s="29"/>
      <c r="U32" s="29"/>
      <c r="V32" s="29"/>
      <c r="W32" s="30"/>
      <c r="X32" s="74" t="s">
        <v>149</v>
      </c>
      <c r="Y32" s="29"/>
      <c r="Z32" s="29"/>
      <c r="AA32" s="29"/>
      <c r="AB32" s="29"/>
      <c r="AC32" s="29"/>
      <c r="AD32" s="30"/>
      <c r="AE32" s="60"/>
      <c r="AF32" s="29"/>
      <c r="AG32" s="29"/>
      <c r="AH32" s="30"/>
      <c r="AI32" s="18"/>
      <c r="AJ32" s="18"/>
      <c r="AK32" s="18"/>
      <c r="AL32" s="18"/>
      <c r="AM32" s="18"/>
      <c r="AN32" s="18"/>
      <c r="AO32" s="18"/>
      <c r="AP32" s="18"/>
      <c r="AQ32" s="18"/>
      <c r="AR32" s="18"/>
      <c r="AS32" s="18"/>
      <c r="AT32" s="18"/>
      <c r="AU32" s="18"/>
      <c r="AV32" s="18"/>
      <c r="AW32" s="18"/>
      <c r="AX32" s="18"/>
      <c r="AY32" s="18"/>
    </row>
    <row r="33" spans="1:51" ht="15.75" customHeight="1" x14ac:dyDescent="0.2">
      <c r="A33" s="24">
        <v>26</v>
      </c>
      <c r="B33" s="74"/>
      <c r="C33" s="29"/>
      <c r="D33" s="30"/>
      <c r="E33" s="80" t="s">
        <v>141</v>
      </c>
      <c r="F33" s="81"/>
      <c r="G33" s="81"/>
      <c r="H33" s="81"/>
      <c r="I33" s="82"/>
      <c r="J33" s="74" t="s">
        <v>102</v>
      </c>
      <c r="K33" s="29"/>
      <c r="L33" s="29"/>
      <c r="M33" s="29"/>
      <c r="N33" s="29"/>
      <c r="O33" s="29"/>
      <c r="P33" s="30"/>
      <c r="Q33" s="75" t="s">
        <v>150</v>
      </c>
      <c r="R33" s="29"/>
      <c r="S33" s="29"/>
      <c r="T33" s="29"/>
      <c r="U33" s="29"/>
      <c r="V33" s="29"/>
      <c r="W33" s="30"/>
      <c r="X33" s="74" t="s">
        <v>151</v>
      </c>
      <c r="Y33" s="29"/>
      <c r="Z33" s="29"/>
      <c r="AA33" s="29"/>
      <c r="AB33" s="29"/>
      <c r="AC33" s="29"/>
      <c r="AD33" s="30"/>
      <c r="AE33" s="60"/>
      <c r="AF33" s="29"/>
      <c r="AG33" s="29"/>
      <c r="AH33" s="30"/>
      <c r="AI33" s="18"/>
      <c r="AJ33" s="18"/>
      <c r="AK33" s="18"/>
      <c r="AL33" s="18"/>
      <c r="AM33" s="18"/>
      <c r="AN33" s="18"/>
      <c r="AO33" s="18"/>
      <c r="AP33" s="18"/>
      <c r="AQ33" s="18"/>
      <c r="AR33" s="18"/>
      <c r="AS33" s="18"/>
      <c r="AT33" s="18"/>
      <c r="AU33" s="18"/>
      <c r="AV33" s="18"/>
      <c r="AW33" s="18"/>
      <c r="AX33" s="18"/>
      <c r="AY33" s="18"/>
    </row>
    <row r="34" spans="1:51" ht="15.75" customHeight="1" x14ac:dyDescent="0.2">
      <c r="A34" s="24">
        <v>27</v>
      </c>
      <c r="B34" s="74"/>
      <c r="C34" s="29"/>
      <c r="D34" s="30"/>
      <c r="E34" s="80" t="s">
        <v>141</v>
      </c>
      <c r="F34" s="81"/>
      <c r="G34" s="81"/>
      <c r="H34" s="81"/>
      <c r="I34" s="82"/>
      <c r="J34" s="74" t="s">
        <v>102</v>
      </c>
      <c r="K34" s="29"/>
      <c r="L34" s="29"/>
      <c r="M34" s="29"/>
      <c r="N34" s="29"/>
      <c r="O34" s="29"/>
      <c r="P34" s="30"/>
      <c r="Q34" s="75" t="s">
        <v>152</v>
      </c>
      <c r="R34" s="29"/>
      <c r="S34" s="29"/>
      <c r="T34" s="29"/>
      <c r="U34" s="29"/>
      <c r="V34" s="29"/>
      <c r="W34" s="30"/>
      <c r="X34" s="74" t="s">
        <v>153</v>
      </c>
      <c r="Y34" s="29"/>
      <c r="Z34" s="29"/>
      <c r="AA34" s="29"/>
      <c r="AB34" s="29"/>
      <c r="AC34" s="29"/>
      <c r="AD34" s="30"/>
      <c r="AE34" s="60"/>
      <c r="AF34" s="29"/>
      <c r="AG34" s="29"/>
      <c r="AH34" s="30"/>
      <c r="AI34" s="18"/>
      <c r="AJ34" s="18"/>
      <c r="AK34" s="18"/>
      <c r="AL34" s="18"/>
      <c r="AM34" s="18"/>
      <c r="AN34" s="18"/>
      <c r="AO34" s="18"/>
      <c r="AP34" s="18"/>
      <c r="AQ34" s="18"/>
      <c r="AR34" s="18"/>
      <c r="AS34" s="18"/>
      <c r="AT34" s="18"/>
      <c r="AU34" s="18"/>
      <c r="AV34" s="18"/>
      <c r="AW34" s="18"/>
      <c r="AX34" s="18"/>
      <c r="AY34" s="18"/>
    </row>
    <row r="35" spans="1:51" ht="15.75" customHeight="1" x14ac:dyDescent="0.2">
      <c r="A35" s="24">
        <v>28</v>
      </c>
      <c r="B35" s="74"/>
      <c r="C35" s="29"/>
      <c r="D35" s="30"/>
      <c r="E35" s="80" t="s">
        <v>141</v>
      </c>
      <c r="F35" s="81"/>
      <c r="G35" s="81"/>
      <c r="H35" s="81"/>
      <c r="I35" s="82"/>
      <c r="J35" s="74" t="s">
        <v>105</v>
      </c>
      <c r="K35" s="29"/>
      <c r="L35" s="29"/>
      <c r="M35" s="29"/>
      <c r="N35" s="29"/>
      <c r="O35" s="29"/>
      <c r="P35" s="30"/>
      <c r="Q35" s="75" t="s">
        <v>154</v>
      </c>
      <c r="R35" s="29"/>
      <c r="S35" s="29"/>
      <c r="T35" s="29"/>
      <c r="U35" s="29"/>
      <c r="V35" s="29"/>
      <c r="W35" s="30"/>
      <c r="X35" s="74" t="s">
        <v>149</v>
      </c>
      <c r="Y35" s="29"/>
      <c r="Z35" s="29"/>
      <c r="AA35" s="29"/>
      <c r="AB35" s="29"/>
      <c r="AC35" s="29"/>
      <c r="AD35" s="30"/>
      <c r="AE35" s="60"/>
      <c r="AF35" s="29"/>
      <c r="AG35" s="29"/>
      <c r="AH35" s="30"/>
      <c r="AI35" s="18"/>
      <c r="AJ35" s="18"/>
      <c r="AK35" s="18"/>
      <c r="AL35" s="18"/>
      <c r="AM35" s="18"/>
      <c r="AN35" s="18"/>
      <c r="AO35" s="18"/>
      <c r="AP35" s="18"/>
      <c r="AQ35" s="18"/>
      <c r="AR35" s="18"/>
      <c r="AS35" s="18"/>
      <c r="AT35" s="18"/>
      <c r="AU35" s="18"/>
      <c r="AV35" s="18"/>
      <c r="AW35" s="18"/>
      <c r="AX35" s="18"/>
      <c r="AY35" s="18"/>
    </row>
    <row r="36" spans="1:51" ht="15.75" customHeight="1" x14ac:dyDescent="0.2">
      <c r="A36" s="24">
        <v>29</v>
      </c>
      <c r="B36" s="74"/>
      <c r="C36" s="29"/>
      <c r="D36" s="30"/>
      <c r="E36" s="80" t="s">
        <v>141</v>
      </c>
      <c r="F36" s="81"/>
      <c r="G36" s="81"/>
      <c r="H36" s="81"/>
      <c r="I36" s="82"/>
      <c r="J36" s="74" t="s">
        <v>105</v>
      </c>
      <c r="K36" s="29"/>
      <c r="L36" s="29"/>
      <c r="M36" s="29"/>
      <c r="N36" s="29"/>
      <c r="O36" s="29"/>
      <c r="P36" s="30"/>
      <c r="Q36" s="75" t="s">
        <v>155</v>
      </c>
      <c r="R36" s="29"/>
      <c r="S36" s="29"/>
      <c r="T36" s="29"/>
      <c r="U36" s="29"/>
      <c r="V36" s="29"/>
      <c r="W36" s="30"/>
      <c r="X36" s="74" t="s">
        <v>156</v>
      </c>
      <c r="Y36" s="29"/>
      <c r="Z36" s="29"/>
      <c r="AA36" s="29"/>
      <c r="AB36" s="29"/>
      <c r="AC36" s="29"/>
      <c r="AD36" s="30"/>
      <c r="AE36" s="60"/>
      <c r="AF36" s="29"/>
      <c r="AG36" s="29"/>
      <c r="AH36" s="30"/>
      <c r="AI36" s="18"/>
      <c r="AJ36" s="18"/>
      <c r="AK36" s="18"/>
      <c r="AL36" s="18"/>
      <c r="AM36" s="18"/>
      <c r="AN36" s="18"/>
      <c r="AO36" s="18"/>
      <c r="AP36" s="18"/>
      <c r="AQ36" s="18"/>
      <c r="AR36" s="18"/>
      <c r="AS36" s="18"/>
      <c r="AT36" s="18"/>
      <c r="AU36" s="18"/>
      <c r="AV36" s="18"/>
      <c r="AW36" s="18"/>
      <c r="AX36" s="18"/>
      <c r="AY36" s="18"/>
    </row>
    <row r="37" spans="1:51" ht="74.25" customHeight="1" x14ac:dyDescent="0.2">
      <c r="A37" s="24">
        <v>30</v>
      </c>
      <c r="B37" s="74"/>
      <c r="C37" s="29"/>
      <c r="D37" s="30"/>
      <c r="E37" s="80" t="s">
        <v>157</v>
      </c>
      <c r="F37" s="81"/>
      <c r="G37" s="81"/>
      <c r="H37" s="81"/>
      <c r="I37" s="82"/>
      <c r="J37" s="74" t="s">
        <v>158</v>
      </c>
      <c r="K37" s="29"/>
      <c r="L37" s="29"/>
      <c r="M37" s="29"/>
      <c r="N37" s="29"/>
      <c r="O37" s="29"/>
      <c r="P37" s="30"/>
      <c r="Q37" s="75" t="s">
        <v>159</v>
      </c>
      <c r="R37" s="29"/>
      <c r="S37" s="29"/>
      <c r="T37" s="29"/>
      <c r="U37" s="29"/>
      <c r="V37" s="29"/>
      <c r="W37" s="30"/>
      <c r="X37" s="74" t="s">
        <v>160</v>
      </c>
      <c r="Y37" s="29"/>
      <c r="Z37" s="29"/>
      <c r="AA37" s="29"/>
      <c r="AB37" s="29"/>
      <c r="AC37" s="29"/>
      <c r="AD37" s="30"/>
      <c r="AE37" s="60"/>
      <c r="AF37" s="29"/>
      <c r="AG37" s="29"/>
      <c r="AH37" s="30"/>
      <c r="AI37" s="18"/>
      <c r="AJ37" s="18"/>
      <c r="AK37" s="18"/>
      <c r="AL37" s="18"/>
      <c r="AM37" s="18"/>
      <c r="AN37" s="18"/>
      <c r="AO37" s="18"/>
      <c r="AP37" s="18"/>
      <c r="AQ37" s="18"/>
      <c r="AR37" s="18"/>
      <c r="AS37" s="18"/>
      <c r="AT37" s="18"/>
      <c r="AU37" s="18"/>
      <c r="AV37" s="18"/>
      <c r="AW37" s="18"/>
      <c r="AX37" s="18"/>
      <c r="AY37" s="18"/>
    </row>
    <row r="38" spans="1:51" ht="71.25" customHeight="1" x14ac:dyDescent="0.2">
      <c r="A38" s="24">
        <v>31</v>
      </c>
      <c r="B38" s="74"/>
      <c r="C38" s="29"/>
      <c r="D38" s="30"/>
      <c r="E38" s="74" t="s">
        <v>161</v>
      </c>
      <c r="F38" s="29"/>
      <c r="G38" s="29"/>
      <c r="H38" s="29"/>
      <c r="I38" s="30"/>
      <c r="J38" s="74" t="s">
        <v>162</v>
      </c>
      <c r="K38" s="29"/>
      <c r="L38" s="29"/>
      <c r="M38" s="29"/>
      <c r="N38" s="29"/>
      <c r="O38" s="29"/>
      <c r="P38" s="30"/>
      <c r="Q38" s="74" t="s">
        <v>163</v>
      </c>
      <c r="R38" s="29"/>
      <c r="S38" s="29"/>
      <c r="T38" s="29"/>
      <c r="U38" s="29"/>
      <c r="V38" s="29"/>
      <c r="W38" s="30"/>
      <c r="X38" s="85" t="s">
        <v>164</v>
      </c>
      <c r="Y38" s="29"/>
      <c r="Z38" s="29"/>
      <c r="AA38" s="29"/>
      <c r="AB38" s="29"/>
      <c r="AC38" s="29"/>
      <c r="AD38" s="30"/>
      <c r="AE38" s="60"/>
      <c r="AF38" s="29"/>
      <c r="AG38" s="29"/>
      <c r="AH38" s="30"/>
      <c r="AI38" s="18"/>
      <c r="AJ38" s="18"/>
      <c r="AK38" s="18"/>
      <c r="AL38" s="18"/>
      <c r="AM38" s="18"/>
      <c r="AN38" s="18"/>
      <c r="AO38" s="18"/>
      <c r="AP38" s="18"/>
      <c r="AQ38" s="18"/>
      <c r="AR38" s="18"/>
      <c r="AS38" s="18"/>
      <c r="AT38" s="18"/>
      <c r="AU38" s="18"/>
      <c r="AV38" s="18"/>
      <c r="AW38" s="18"/>
      <c r="AX38" s="18"/>
      <c r="AY38" s="18"/>
    </row>
    <row r="39" spans="1:51" ht="75.75" customHeight="1" x14ac:dyDescent="0.2">
      <c r="A39" s="24">
        <v>32</v>
      </c>
      <c r="B39" s="74"/>
      <c r="C39" s="29"/>
      <c r="D39" s="30"/>
      <c r="E39" s="74" t="s">
        <v>165</v>
      </c>
      <c r="F39" s="29"/>
      <c r="G39" s="29"/>
      <c r="H39" s="29"/>
      <c r="I39" s="30"/>
      <c r="J39" s="74"/>
      <c r="K39" s="29"/>
      <c r="L39" s="29"/>
      <c r="M39" s="29"/>
      <c r="N39" s="29"/>
      <c r="O39" s="29"/>
      <c r="P39" s="30"/>
      <c r="Q39" s="73" t="s">
        <v>166</v>
      </c>
      <c r="R39" s="29"/>
      <c r="S39" s="29"/>
      <c r="T39" s="29"/>
      <c r="U39" s="29"/>
      <c r="V39" s="29"/>
      <c r="W39" s="30"/>
      <c r="X39" s="73" t="s">
        <v>167</v>
      </c>
      <c r="Y39" s="29"/>
      <c r="Z39" s="29"/>
      <c r="AA39" s="29"/>
      <c r="AB39" s="29"/>
      <c r="AC39" s="29"/>
      <c r="AD39" s="30"/>
      <c r="AE39" s="60"/>
      <c r="AF39" s="29"/>
      <c r="AG39" s="29"/>
      <c r="AH39" s="30"/>
      <c r="AI39" s="18"/>
      <c r="AJ39" s="18"/>
      <c r="AK39" s="18"/>
      <c r="AL39" s="18"/>
      <c r="AM39" s="18"/>
      <c r="AN39" s="18"/>
      <c r="AO39" s="18"/>
      <c r="AP39" s="18"/>
      <c r="AQ39" s="18"/>
      <c r="AR39" s="18"/>
      <c r="AS39" s="18"/>
      <c r="AT39" s="18"/>
      <c r="AU39" s="18"/>
      <c r="AV39" s="18"/>
      <c r="AW39" s="18"/>
      <c r="AX39" s="18"/>
      <c r="AY39" s="18"/>
    </row>
    <row r="40" spans="1:51" ht="60.75" customHeight="1" x14ac:dyDescent="0.2">
      <c r="A40" s="24">
        <v>33</v>
      </c>
      <c r="B40" s="74"/>
      <c r="C40" s="29"/>
      <c r="D40" s="30"/>
      <c r="E40" s="80" t="s">
        <v>168</v>
      </c>
      <c r="F40" s="81"/>
      <c r="G40" s="81"/>
      <c r="H40" s="81"/>
      <c r="I40" s="83"/>
      <c r="J40" s="74"/>
      <c r="K40" s="29"/>
      <c r="L40" s="29"/>
      <c r="M40" s="29"/>
      <c r="N40" s="29"/>
      <c r="O40" s="29"/>
      <c r="P40" s="30"/>
      <c r="Q40" s="73" t="s">
        <v>169</v>
      </c>
      <c r="R40" s="29"/>
      <c r="S40" s="29"/>
      <c r="T40" s="29"/>
      <c r="U40" s="29"/>
      <c r="V40" s="29"/>
      <c r="W40" s="30"/>
      <c r="X40" s="73" t="s">
        <v>170</v>
      </c>
      <c r="Y40" s="29"/>
      <c r="Z40" s="29"/>
      <c r="AA40" s="29"/>
      <c r="AB40" s="29"/>
      <c r="AC40" s="29"/>
      <c r="AD40" s="30"/>
      <c r="AE40" s="60"/>
      <c r="AF40" s="29"/>
      <c r="AG40" s="29"/>
      <c r="AH40" s="30"/>
      <c r="AI40" s="18"/>
      <c r="AJ40" s="18"/>
      <c r="AK40" s="18"/>
      <c r="AL40" s="18"/>
      <c r="AM40" s="18"/>
      <c r="AN40" s="18"/>
      <c r="AO40" s="18"/>
      <c r="AP40" s="18"/>
      <c r="AQ40" s="18"/>
      <c r="AR40" s="18"/>
      <c r="AS40" s="18"/>
      <c r="AT40" s="18"/>
      <c r="AU40" s="18"/>
      <c r="AV40" s="18"/>
      <c r="AW40" s="18"/>
      <c r="AX40" s="18"/>
      <c r="AY40" s="18"/>
    </row>
    <row r="41" spans="1:51" ht="60.75" customHeight="1" x14ac:dyDescent="0.2">
      <c r="A41" s="24">
        <v>34</v>
      </c>
      <c r="B41" s="74"/>
      <c r="C41" s="29"/>
      <c r="D41" s="30"/>
      <c r="E41" s="80" t="s">
        <v>171</v>
      </c>
      <c r="F41" s="81"/>
      <c r="G41" s="81"/>
      <c r="H41" s="81"/>
      <c r="I41" s="83"/>
      <c r="J41" s="74" t="s">
        <v>102</v>
      </c>
      <c r="K41" s="29"/>
      <c r="L41" s="29"/>
      <c r="M41" s="29"/>
      <c r="N41" s="29"/>
      <c r="O41" s="29"/>
      <c r="P41" s="30"/>
      <c r="Q41" s="73" t="s">
        <v>172</v>
      </c>
      <c r="R41" s="29"/>
      <c r="S41" s="29"/>
      <c r="T41" s="29"/>
      <c r="U41" s="29"/>
      <c r="V41" s="29"/>
      <c r="W41" s="30"/>
      <c r="X41" s="73" t="s">
        <v>173</v>
      </c>
      <c r="Y41" s="29"/>
      <c r="Z41" s="29"/>
      <c r="AA41" s="29"/>
      <c r="AB41" s="29"/>
      <c r="AC41" s="29"/>
      <c r="AD41" s="30"/>
      <c r="AE41" s="60"/>
      <c r="AF41" s="29"/>
      <c r="AG41" s="29"/>
      <c r="AH41" s="30"/>
      <c r="AI41" s="18"/>
      <c r="AJ41" s="18"/>
      <c r="AK41" s="18"/>
      <c r="AL41" s="18"/>
      <c r="AM41" s="18"/>
      <c r="AN41" s="18"/>
      <c r="AO41" s="18"/>
      <c r="AP41" s="18"/>
      <c r="AQ41" s="18"/>
      <c r="AR41" s="18"/>
      <c r="AS41" s="18"/>
      <c r="AT41" s="18"/>
      <c r="AU41" s="18"/>
      <c r="AV41" s="18"/>
      <c r="AW41" s="18"/>
      <c r="AX41" s="18"/>
      <c r="AY41" s="18"/>
    </row>
    <row r="42" spans="1:51" ht="62.25" customHeight="1" x14ac:dyDescent="0.2">
      <c r="A42" s="24">
        <v>35</v>
      </c>
      <c r="B42" s="74"/>
      <c r="C42" s="29"/>
      <c r="D42" s="30"/>
      <c r="E42" s="80" t="s">
        <v>174</v>
      </c>
      <c r="F42" s="81"/>
      <c r="G42" s="81"/>
      <c r="H42" s="81"/>
      <c r="I42" s="83"/>
      <c r="J42" s="74" t="s">
        <v>102</v>
      </c>
      <c r="K42" s="29"/>
      <c r="L42" s="29"/>
      <c r="M42" s="29"/>
      <c r="N42" s="29"/>
      <c r="O42" s="29"/>
      <c r="P42" s="30"/>
      <c r="Q42" s="73" t="s">
        <v>175</v>
      </c>
      <c r="R42" s="29"/>
      <c r="S42" s="29"/>
      <c r="T42" s="29"/>
      <c r="U42" s="29"/>
      <c r="V42" s="29"/>
      <c r="W42" s="30"/>
      <c r="X42" s="73" t="s">
        <v>173</v>
      </c>
      <c r="Y42" s="29"/>
      <c r="Z42" s="29"/>
      <c r="AA42" s="29"/>
      <c r="AB42" s="29"/>
      <c r="AC42" s="29"/>
      <c r="AD42" s="30"/>
      <c r="AE42" s="60"/>
      <c r="AF42" s="29"/>
      <c r="AG42" s="29"/>
      <c r="AH42" s="30"/>
      <c r="AI42" s="18"/>
      <c r="AJ42" s="18"/>
      <c r="AK42" s="18"/>
      <c r="AL42" s="18"/>
      <c r="AM42" s="18"/>
      <c r="AN42" s="18"/>
      <c r="AO42" s="18"/>
      <c r="AP42" s="18"/>
      <c r="AQ42" s="18"/>
      <c r="AR42" s="18"/>
      <c r="AS42" s="18"/>
      <c r="AT42" s="18"/>
      <c r="AU42" s="18"/>
      <c r="AV42" s="18"/>
      <c r="AW42" s="18"/>
      <c r="AX42" s="18"/>
      <c r="AY42" s="18"/>
    </row>
    <row r="43" spans="1:51" ht="62.25" customHeight="1" x14ac:dyDescent="0.2">
      <c r="A43" s="24">
        <v>36</v>
      </c>
      <c r="B43" s="74"/>
      <c r="C43" s="29"/>
      <c r="D43" s="30"/>
      <c r="E43" s="80" t="s">
        <v>176</v>
      </c>
      <c r="F43" s="81"/>
      <c r="G43" s="81"/>
      <c r="H43" s="81"/>
      <c r="I43" s="83"/>
      <c r="J43" s="74" t="s">
        <v>102</v>
      </c>
      <c r="K43" s="29"/>
      <c r="L43" s="29"/>
      <c r="M43" s="29"/>
      <c r="N43" s="29"/>
      <c r="O43" s="29"/>
      <c r="P43" s="30"/>
      <c r="Q43" s="73" t="s">
        <v>175</v>
      </c>
      <c r="R43" s="29"/>
      <c r="S43" s="29"/>
      <c r="T43" s="29"/>
      <c r="U43" s="29"/>
      <c r="V43" s="29"/>
      <c r="W43" s="30"/>
      <c r="X43" s="73" t="s">
        <v>177</v>
      </c>
      <c r="Y43" s="29"/>
      <c r="Z43" s="29"/>
      <c r="AA43" s="29"/>
      <c r="AB43" s="29"/>
      <c r="AC43" s="29"/>
      <c r="AD43" s="30"/>
      <c r="AE43" s="60"/>
      <c r="AF43" s="29"/>
      <c r="AG43" s="29"/>
      <c r="AH43" s="30"/>
      <c r="AI43" s="18"/>
      <c r="AJ43" s="18"/>
      <c r="AK43" s="18"/>
      <c r="AL43" s="18"/>
      <c r="AM43" s="18"/>
      <c r="AN43" s="18"/>
      <c r="AO43" s="18"/>
      <c r="AP43" s="18"/>
      <c r="AQ43" s="18"/>
      <c r="AR43" s="18"/>
      <c r="AS43" s="18"/>
      <c r="AT43" s="18"/>
      <c r="AU43" s="18"/>
      <c r="AV43" s="18"/>
      <c r="AW43" s="18"/>
      <c r="AX43" s="18"/>
      <c r="AY43" s="18"/>
    </row>
    <row r="44" spans="1:51" ht="60.75" customHeight="1" x14ac:dyDescent="0.2">
      <c r="A44" s="24">
        <v>37</v>
      </c>
      <c r="B44" s="74"/>
      <c r="C44" s="29"/>
      <c r="D44" s="30"/>
      <c r="E44" s="74" t="s">
        <v>178</v>
      </c>
      <c r="F44" s="29"/>
      <c r="G44" s="29"/>
      <c r="H44" s="29"/>
      <c r="I44" s="30"/>
      <c r="J44" s="74" t="s">
        <v>179</v>
      </c>
      <c r="K44" s="29"/>
      <c r="L44" s="29"/>
      <c r="M44" s="29"/>
      <c r="N44" s="29"/>
      <c r="O44" s="29"/>
      <c r="P44" s="30"/>
      <c r="Q44" s="73" t="s">
        <v>180</v>
      </c>
      <c r="R44" s="29"/>
      <c r="S44" s="29"/>
      <c r="T44" s="29"/>
      <c r="U44" s="29"/>
      <c r="V44" s="29"/>
      <c r="W44" s="30"/>
      <c r="X44" s="73" t="s">
        <v>181</v>
      </c>
      <c r="Y44" s="29"/>
      <c r="Z44" s="29"/>
      <c r="AA44" s="29"/>
      <c r="AB44" s="29"/>
      <c r="AC44" s="29"/>
      <c r="AD44" s="30"/>
      <c r="AE44" s="60"/>
      <c r="AF44" s="29"/>
      <c r="AG44" s="29"/>
      <c r="AH44" s="30"/>
      <c r="AI44" s="18"/>
      <c r="AJ44" s="18"/>
      <c r="AK44" s="18"/>
      <c r="AL44" s="18"/>
      <c r="AM44" s="18"/>
      <c r="AN44" s="18"/>
      <c r="AO44" s="18"/>
      <c r="AP44" s="18"/>
      <c r="AQ44" s="18"/>
      <c r="AR44" s="18"/>
      <c r="AS44" s="18"/>
      <c r="AT44" s="18"/>
      <c r="AU44" s="18"/>
      <c r="AV44" s="18"/>
      <c r="AW44" s="18"/>
      <c r="AX44" s="18"/>
      <c r="AY44" s="18"/>
    </row>
    <row r="45" spans="1:51" ht="62.25" customHeight="1" x14ac:dyDescent="0.2">
      <c r="A45" s="24">
        <v>38</v>
      </c>
      <c r="B45" s="74"/>
      <c r="C45" s="29"/>
      <c r="D45" s="30"/>
      <c r="E45" s="74" t="s">
        <v>182</v>
      </c>
      <c r="F45" s="29"/>
      <c r="G45" s="29"/>
      <c r="H45" s="29"/>
      <c r="I45" s="30"/>
      <c r="J45" s="74" t="s">
        <v>179</v>
      </c>
      <c r="K45" s="29"/>
      <c r="L45" s="29"/>
      <c r="M45" s="29"/>
      <c r="N45" s="29"/>
      <c r="O45" s="29"/>
      <c r="P45" s="30"/>
      <c r="Q45" s="74" t="s">
        <v>183</v>
      </c>
      <c r="R45" s="29"/>
      <c r="S45" s="29"/>
      <c r="T45" s="29"/>
      <c r="U45" s="29"/>
      <c r="V45" s="29"/>
      <c r="W45" s="30"/>
      <c r="X45" s="73" t="s">
        <v>184</v>
      </c>
      <c r="Y45" s="29"/>
      <c r="Z45" s="29"/>
      <c r="AA45" s="29"/>
      <c r="AB45" s="29"/>
      <c r="AC45" s="29"/>
      <c r="AD45" s="30"/>
      <c r="AE45" s="60"/>
      <c r="AF45" s="29"/>
      <c r="AG45" s="29"/>
      <c r="AH45" s="30"/>
      <c r="AI45" s="18"/>
      <c r="AJ45" s="18"/>
      <c r="AK45" s="18"/>
      <c r="AL45" s="18"/>
      <c r="AM45" s="18"/>
      <c r="AN45" s="18"/>
      <c r="AO45" s="18"/>
      <c r="AP45" s="18"/>
      <c r="AQ45" s="18"/>
      <c r="AR45" s="18"/>
      <c r="AS45" s="18"/>
      <c r="AT45" s="18"/>
      <c r="AU45" s="18"/>
      <c r="AV45" s="18"/>
      <c r="AW45" s="18"/>
      <c r="AX45" s="18"/>
      <c r="AY45" s="18"/>
    </row>
    <row r="46" spans="1:51" ht="60.75" customHeight="1" x14ac:dyDescent="0.2">
      <c r="A46" s="24">
        <v>39</v>
      </c>
      <c r="B46" s="74"/>
      <c r="C46" s="29"/>
      <c r="D46" s="30"/>
      <c r="E46" s="80" t="s">
        <v>185</v>
      </c>
      <c r="F46" s="81"/>
      <c r="G46" s="81"/>
      <c r="H46" s="81"/>
      <c r="I46" s="83"/>
      <c r="J46" s="74" t="s">
        <v>102</v>
      </c>
      <c r="K46" s="29"/>
      <c r="L46" s="29"/>
      <c r="M46" s="29"/>
      <c r="N46" s="29"/>
      <c r="O46" s="29"/>
      <c r="P46" s="30"/>
      <c r="Q46" s="73" t="s">
        <v>186</v>
      </c>
      <c r="R46" s="29"/>
      <c r="S46" s="29"/>
      <c r="T46" s="29"/>
      <c r="U46" s="29"/>
      <c r="V46" s="29"/>
      <c r="W46" s="30"/>
      <c r="X46" s="73" t="s">
        <v>187</v>
      </c>
      <c r="Y46" s="29"/>
      <c r="Z46" s="29"/>
      <c r="AA46" s="29"/>
      <c r="AB46" s="29"/>
      <c r="AC46" s="29"/>
      <c r="AD46" s="30"/>
      <c r="AE46" s="60"/>
      <c r="AF46" s="29"/>
      <c r="AG46" s="29"/>
      <c r="AH46" s="30"/>
      <c r="AI46" s="18"/>
      <c r="AJ46" s="18"/>
      <c r="AK46" s="18"/>
      <c r="AL46" s="18"/>
      <c r="AM46" s="18"/>
      <c r="AN46" s="18"/>
      <c r="AO46" s="18"/>
      <c r="AP46" s="18"/>
      <c r="AQ46" s="18"/>
      <c r="AR46" s="18"/>
      <c r="AS46" s="18"/>
      <c r="AT46" s="18"/>
      <c r="AU46" s="18"/>
      <c r="AV46" s="18"/>
      <c r="AW46" s="18"/>
      <c r="AX46" s="18"/>
      <c r="AY46" s="18"/>
    </row>
    <row r="47" spans="1:51" ht="62.25" customHeight="1" x14ac:dyDescent="0.2">
      <c r="A47" s="24">
        <v>40</v>
      </c>
      <c r="B47" s="74"/>
      <c r="C47" s="29"/>
      <c r="D47" s="30"/>
      <c r="E47" s="80" t="s">
        <v>185</v>
      </c>
      <c r="F47" s="81"/>
      <c r="G47" s="81"/>
      <c r="H47" s="81"/>
      <c r="I47" s="83"/>
      <c r="J47" s="74" t="s">
        <v>102</v>
      </c>
      <c r="K47" s="29"/>
      <c r="L47" s="29"/>
      <c r="M47" s="29"/>
      <c r="N47" s="29"/>
      <c r="O47" s="29"/>
      <c r="P47" s="30"/>
      <c r="Q47" s="73" t="s">
        <v>188</v>
      </c>
      <c r="R47" s="29"/>
      <c r="S47" s="29"/>
      <c r="T47" s="29"/>
      <c r="U47" s="29"/>
      <c r="V47" s="29"/>
      <c r="W47" s="30"/>
      <c r="X47" s="73" t="s">
        <v>187</v>
      </c>
      <c r="Y47" s="29"/>
      <c r="Z47" s="29"/>
      <c r="AA47" s="29"/>
      <c r="AB47" s="29"/>
      <c r="AC47" s="29"/>
      <c r="AD47" s="30"/>
      <c r="AE47" s="60"/>
      <c r="AF47" s="29"/>
      <c r="AG47" s="29"/>
      <c r="AH47" s="30"/>
      <c r="AI47" s="18"/>
      <c r="AJ47" s="18"/>
      <c r="AK47" s="18"/>
      <c r="AL47" s="18"/>
      <c r="AM47" s="18"/>
      <c r="AN47" s="18"/>
      <c r="AO47" s="18"/>
      <c r="AP47" s="18"/>
      <c r="AQ47" s="18"/>
      <c r="AR47" s="18"/>
      <c r="AS47" s="18"/>
      <c r="AT47" s="18"/>
      <c r="AU47" s="18"/>
      <c r="AV47" s="18"/>
      <c r="AW47" s="18"/>
      <c r="AX47" s="18"/>
      <c r="AY47" s="18"/>
    </row>
    <row r="48" spans="1:51" ht="62.25" customHeight="1" x14ac:dyDescent="0.2">
      <c r="A48" s="24">
        <v>41</v>
      </c>
      <c r="B48" s="74"/>
      <c r="C48" s="29"/>
      <c r="D48" s="30"/>
      <c r="E48" s="80" t="s">
        <v>189</v>
      </c>
      <c r="F48" s="81"/>
      <c r="G48" s="81"/>
      <c r="H48" s="81"/>
      <c r="I48" s="83"/>
      <c r="J48" s="74" t="s">
        <v>102</v>
      </c>
      <c r="K48" s="29"/>
      <c r="L48" s="29"/>
      <c r="M48" s="29"/>
      <c r="N48" s="29"/>
      <c r="O48" s="29"/>
      <c r="P48" s="30"/>
      <c r="Q48" s="73" t="s">
        <v>190</v>
      </c>
      <c r="R48" s="29"/>
      <c r="S48" s="29"/>
      <c r="T48" s="29"/>
      <c r="U48" s="29"/>
      <c r="V48" s="29"/>
      <c r="W48" s="30"/>
      <c r="X48" s="73" t="s">
        <v>191</v>
      </c>
      <c r="Y48" s="29"/>
      <c r="Z48" s="29"/>
      <c r="AA48" s="29"/>
      <c r="AB48" s="29"/>
      <c r="AC48" s="29"/>
      <c r="AD48" s="30"/>
      <c r="AE48" s="60"/>
      <c r="AF48" s="29"/>
      <c r="AG48" s="29"/>
      <c r="AH48" s="30"/>
      <c r="AI48" s="18"/>
      <c r="AJ48" s="18"/>
      <c r="AK48" s="18"/>
      <c r="AL48" s="18"/>
      <c r="AM48" s="18"/>
      <c r="AN48" s="18"/>
      <c r="AO48" s="18"/>
      <c r="AP48" s="18"/>
      <c r="AQ48" s="18"/>
      <c r="AR48" s="18"/>
      <c r="AS48" s="18"/>
      <c r="AT48" s="18"/>
      <c r="AU48" s="18"/>
      <c r="AV48" s="18"/>
      <c r="AW48" s="18"/>
      <c r="AX48" s="18"/>
      <c r="AY48" s="18"/>
    </row>
    <row r="49" spans="1:51" ht="62.25" customHeight="1" x14ac:dyDescent="0.2">
      <c r="A49" s="24">
        <v>42</v>
      </c>
      <c r="B49" s="74"/>
      <c r="C49" s="29"/>
      <c r="D49" s="30"/>
      <c r="E49" s="80" t="s">
        <v>192</v>
      </c>
      <c r="F49" s="81"/>
      <c r="G49" s="81"/>
      <c r="H49" s="81"/>
      <c r="I49" s="83"/>
      <c r="J49" s="74" t="s">
        <v>102</v>
      </c>
      <c r="K49" s="29"/>
      <c r="L49" s="29"/>
      <c r="M49" s="29"/>
      <c r="N49" s="29"/>
      <c r="O49" s="29"/>
      <c r="P49" s="30"/>
      <c r="Q49" s="73" t="s">
        <v>193</v>
      </c>
      <c r="R49" s="29"/>
      <c r="S49" s="29"/>
      <c r="T49" s="29"/>
      <c r="U49" s="29"/>
      <c r="V49" s="29"/>
      <c r="W49" s="30"/>
      <c r="X49" s="73" t="s">
        <v>194</v>
      </c>
      <c r="Y49" s="29"/>
      <c r="Z49" s="29"/>
      <c r="AA49" s="29"/>
      <c r="AB49" s="29"/>
      <c r="AC49" s="29"/>
      <c r="AD49" s="30"/>
      <c r="AE49" s="60"/>
      <c r="AF49" s="29"/>
      <c r="AG49" s="29"/>
      <c r="AH49" s="30"/>
      <c r="AI49" s="18"/>
      <c r="AJ49" s="18"/>
      <c r="AK49" s="18"/>
      <c r="AL49" s="18"/>
      <c r="AM49" s="18"/>
      <c r="AN49" s="18"/>
      <c r="AO49" s="18"/>
      <c r="AP49" s="18"/>
      <c r="AQ49" s="18"/>
      <c r="AR49" s="18"/>
      <c r="AS49" s="18"/>
      <c r="AT49" s="18"/>
      <c r="AU49" s="18"/>
      <c r="AV49" s="18"/>
      <c r="AW49" s="18"/>
      <c r="AX49" s="18"/>
      <c r="AY49" s="18"/>
    </row>
    <row r="50" spans="1:51" ht="60.75" customHeight="1" x14ac:dyDescent="0.2">
      <c r="A50" s="24">
        <v>43</v>
      </c>
      <c r="B50" s="74"/>
      <c r="C50" s="29"/>
      <c r="D50" s="30"/>
      <c r="E50" s="74" t="s">
        <v>195</v>
      </c>
      <c r="F50" s="29"/>
      <c r="G50" s="29"/>
      <c r="H50" s="29"/>
      <c r="I50" s="30"/>
      <c r="J50" s="74" t="s">
        <v>196</v>
      </c>
      <c r="K50" s="29"/>
      <c r="L50" s="29"/>
      <c r="M50" s="29"/>
      <c r="N50" s="29"/>
      <c r="O50" s="29"/>
      <c r="P50" s="30"/>
      <c r="Q50" s="73" t="s">
        <v>197</v>
      </c>
      <c r="R50" s="29"/>
      <c r="S50" s="29"/>
      <c r="T50" s="29"/>
      <c r="U50" s="29"/>
      <c r="V50" s="29"/>
      <c r="W50" s="30"/>
      <c r="X50" s="73" t="s">
        <v>198</v>
      </c>
      <c r="Y50" s="29"/>
      <c r="Z50" s="29"/>
      <c r="AA50" s="29"/>
      <c r="AB50" s="29"/>
      <c r="AC50" s="29"/>
      <c r="AD50" s="30"/>
      <c r="AE50" s="60"/>
      <c r="AF50" s="29"/>
      <c r="AG50" s="29"/>
      <c r="AH50" s="30"/>
      <c r="AI50" s="18"/>
      <c r="AJ50" s="18"/>
      <c r="AK50" s="18"/>
      <c r="AL50" s="18"/>
      <c r="AM50" s="18"/>
      <c r="AN50" s="18"/>
      <c r="AO50" s="18"/>
      <c r="AP50" s="18"/>
      <c r="AQ50" s="18"/>
      <c r="AR50" s="18"/>
      <c r="AS50" s="18"/>
      <c r="AT50" s="18"/>
      <c r="AU50" s="18"/>
      <c r="AV50" s="18"/>
      <c r="AW50" s="18"/>
      <c r="AX50" s="18"/>
      <c r="AY50" s="18"/>
    </row>
    <row r="51" spans="1:51" ht="62.25" customHeight="1" x14ac:dyDescent="0.2">
      <c r="A51" s="24">
        <v>44</v>
      </c>
      <c r="B51" s="74"/>
      <c r="C51" s="29"/>
      <c r="D51" s="30"/>
      <c r="E51" s="74" t="s">
        <v>199</v>
      </c>
      <c r="F51" s="29"/>
      <c r="G51" s="29"/>
      <c r="H51" s="29"/>
      <c r="I51" s="30"/>
      <c r="J51" s="74" t="s">
        <v>196</v>
      </c>
      <c r="K51" s="29"/>
      <c r="L51" s="29"/>
      <c r="M51" s="29"/>
      <c r="N51" s="29"/>
      <c r="O51" s="29"/>
      <c r="P51" s="30"/>
      <c r="Q51" s="74" t="s">
        <v>183</v>
      </c>
      <c r="R51" s="29"/>
      <c r="S51" s="29"/>
      <c r="T51" s="29"/>
      <c r="U51" s="29"/>
      <c r="V51" s="29"/>
      <c r="W51" s="30"/>
      <c r="X51" s="73" t="s">
        <v>200</v>
      </c>
      <c r="Y51" s="29"/>
      <c r="Z51" s="29"/>
      <c r="AA51" s="29"/>
      <c r="AB51" s="29"/>
      <c r="AC51" s="29"/>
      <c r="AD51" s="30"/>
      <c r="AE51" s="60"/>
      <c r="AF51" s="29"/>
      <c r="AG51" s="29"/>
      <c r="AH51" s="30"/>
      <c r="AI51" s="18"/>
      <c r="AJ51" s="18"/>
      <c r="AK51" s="18"/>
      <c r="AL51" s="18"/>
      <c r="AM51" s="18"/>
      <c r="AN51" s="18"/>
      <c r="AO51" s="18"/>
      <c r="AP51" s="18"/>
      <c r="AQ51" s="18"/>
      <c r="AR51" s="18"/>
      <c r="AS51" s="18"/>
      <c r="AT51" s="18"/>
      <c r="AU51" s="18"/>
      <c r="AV51" s="18"/>
      <c r="AW51" s="18"/>
      <c r="AX51" s="18"/>
      <c r="AY51" s="18"/>
    </row>
    <row r="52" spans="1:51" ht="62.25" customHeight="1" x14ac:dyDescent="0.2">
      <c r="A52" s="24">
        <v>45</v>
      </c>
      <c r="B52" s="74"/>
      <c r="C52" s="29"/>
      <c r="D52" s="30"/>
      <c r="E52" s="74" t="s">
        <v>201</v>
      </c>
      <c r="F52" s="29"/>
      <c r="G52" s="29"/>
      <c r="H52" s="29"/>
      <c r="I52" s="30"/>
      <c r="J52" s="74" t="s">
        <v>102</v>
      </c>
      <c r="K52" s="29"/>
      <c r="L52" s="29"/>
      <c r="M52" s="29"/>
      <c r="N52" s="29"/>
      <c r="O52" s="29"/>
      <c r="P52" s="30"/>
      <c r="Q52" s="74" t="s">
        <v>202</v>
      </c>
      <c r="R52" s="29"/>
      <c r="S52" s="29"/>
      <c r="T52" s="29"/>
      <c r="U52" s="29"/>
      <c r="V52" s="29"/>
      <c r="W52" s="30"/>
      <c r="X52" s="73" t="s">
        <v>203</v>
      </c>
      <c r="Y52" s="29"/>
      <c r="Z52" s="29"/>
      <c r="AA52" s="29"/>
      <c r="AB52" s="29"/>
      <c r="AC52" s="29"/>
      <c r="AD52" s="30"/>
      <c r="AE52" s="60"/>
      <c r="AF52" s="29"/>
      <c r="AG52" s="29"/>
      <c r="AH52" s="30"/>
      <c r="AI52" s="18"/>
      <c r="AJ52" s="18"/>
      <c r="AK52" s="18"/>
      <c r="AL52" s="18"/>
      <c r="AM52" s="18"/>
      <c r="AN52" s="18"/>
      <c r="AO52" s="18"/>
      <c r="AP52" s="18"/>
      <c r="AQ52" s="18"/>
      <c r="AR52" s="18"/>
      <c r="AS52" s="18"/>
      <c r="AT52" s="18"/>
      <c r="AU52" s="18"/>
      <c r="AV52" s="18"/>
      <c r="AW52" s="18"/>
      <c r="AX52" s="18"/>
      <c r="AY52" s="18"/>
    </row>
    <row r="53" spans="1:51" ht="60.75" customHeight="1" x14ac:dyDescent="0.2">
      <c r="A53" s="24">
        <v>46</v>
      </c>
      <c r="B53" s="74"/>
      <c r="C53" s="29"/>
      <c r="D53" s="30"/>
      <c r="E53" s="80" t="s">
        <v>204</v>
      </c>
      <c r="F53" s="81"/>
      <c r="G53" s="81"/>
      <c r="H53" s="81"/>
      <c r="I53" s="83"/>
      <c r="J53" s="74" t="s">
        <v>205</v>
      </c>
      <c r="K53" s="29"/>
      <c r="L53" s="29"/>
      <c r="M53" s="29"/>
      <c r="N53" s="29"/>
      <c r="O53" s="29"/>
      <c r="P53" s="30"/>
      <c r="Q53" s="73" t="s">
        <v>206</v>
      </c>
      <c r="R53" s="29"/>
      <c r="S53" s="29"/>
      <c r="T53" s="29"/>
      <c r="U53" s="29"/>
      <c r="V53" s="29"/>
      <c r="W53" s="30"/>
      <c r="X53" s="73" t="s">
        <v>207</v>
      </c>
      <c r="Y53" s="29"/>
      <c r="Z53" s="29"/>
      <c r="AA53" s="29"/>
      <c r="AB53" s="29"/>
      <c r="AC53" s="29"/>
      <c r="AD53" s="30"/>
      <c r="AE53" s="60"/>
      <c r="AF53" s="29"/>
      <c r="AG53" s="29"/>
      <c r="AH53" s="30"/>
      <c r="AI53" s="18"/>
      <c r="AJ53" s="18"/>
      <c r="AK53" s="18"/>
      <c r="AL53" s="18"/>
      <c r="AM53" s="18"/>
      <c r="AN53" s="18"/>
      <c r="AO53" s="18"/>
      <c r="AP53" s="18"/>
      <c r="AQ53" s="18"/>
      <c r="AR53" s="18"/>
      <c r="AS53" s="18"/>
      <c r="AT53" s="18"/>
      <c r="AU53" s="18"/>
      <c r="AV53" s="18"/>
      <c r="AW53" s="18"/>
      <c r="AX53" s="18"/>
      <c r="AY53" s="18"/>
    </row>
    <row r="54" spans="1:51" ht="60.75" customHeight="1" x14ac:dyDescent="0.2">
      <c r="A54" s="24">
        <v>47</v>
      </c>
      <c r="B54" s="74"/>
      <c r="C54" s="29"/>
      <c r="D54" s="30"/>
      <c r="E54" s="80" t="s">
        <v>208</v>
      </c>
      <c r="F54" s="81"/>
      <c r="G54" s="81"/>
      <c r="H54" s="81"/>
      <c r="I54" s="83"/>
      <c r="J54" s="74" t="s">
        <v>205</v>
      </c>
      <c r="K54" s="29"/>
      <c r="L54" s="29"/>
      <c r="M54" s="29"/>
      <c r="N54" s="29"/>
      <c r="O54" s="29"/>
      <c r="P54" s="30"/>
      <c r="Q54" s="73" t="s">
        <v>209</v>
      </c>
      <c r="R54" s="29"/>
      <c r="S54" s="29"/>
      <c r="T54" s="29"/>
      <c r="U54" s="29"/>
      <c r="V54" s="29"/>
      <c r="W54" s="30"/>
      <c r="X54" s="73" t="s">
        <v>210</v>
      </c>
      <c r="Y54" s="29"/>
      <c r="Z54" s="29"/>
      <c r="AA54" s="29"/>
      <c r="AB54" s="29"/>
      <c r="AC54" s="29"/>
      <c r="AD54" s="30"/>
      <c r="AE54" s="60"/>
      <c r="AF54" s="29"/>
      <c r="AG54" s="29"/>
      <c r="AH54" s="30"/>
      <c r="AI54" s="18"/>
      <c r="AJ54" s="18"/>
      <c r="AK54" s="18"/>
      <c r="AL54" s="18"/>
      <c r="AM54" s="18"/>
      <c r="AN54" s="18"/>
      <c r="AO54" s="18"/>
      <c r="AP54" s="18"/>
      <c r="AQ54" s="18"/>
      <c r="AR54" s="18"/>
      <c r="AS54" s="18"/>
      <c r="AT54" s="18"/>
      <c r="AU54" s="18"/>
      <c r="AV54" s="18"/>
      <c r="AW54" s="18"/>
      <c r="AX54" s="18"/>
      <c r="AY54" s="18"/>
    </row>
    <row r="55" spans="1:51" ht="60.75" customHeight="1" x14ac:dyDescent="0.2">
      <c r="A55" s="24">
        <v>48</v>
      </c>
      <c r="B55" s="74"/>
      <c r="C55" s="29"/>
      <c r="D55" s="30"/>
      <c r="E55" s="80" t="s">
        <v>211</v>
      </c>
      <c r="F55" s="81"/>
      <c r="G55" s="81"/>
      <c r="H55" s="81"/>
      <c r="I55" s="83"/>
      <c r="J55" s="74" t="s">
        <v>105</v>
      </c>
      <c r="K55" s="29"/>
      <c r="L55" s="29"/>
      <c r="M55" s="29"/>
      <c r="N55" s="29"/>
      <c r="O55" s="29"/>
      <c r="P55" s="30"/>
      <c r="Q55" s="73" t="s">
        <v>212</v>
      </c>
      <c r="R55" s="29"/>
      <c r="S55" s="29"/>
      <c r="T55" s="29"/>
      <c r="U55" s="29"/>
      <c r="V55" s="29"/>
      <c r="W55" s="30"/>
      <c r="X55" s="73" t="s">
        <v>213</v>
      </c>
      <c r="Y55" s="29"/>
      <c r="Z55" s="29"/>
      <c r="AA55" s="29"/>
      <c r="AB55" s="29"/>
      <c r="AC55" s="29"/>
      <c r="AD55" s="30"/>
      <c r="AE55" s="60"/>
      <c r="AF55" s="29"/>
      <c r="AG55" s="29"/>
      <c r="AH55" s="30"/>
      <c r="AI55" s="18"/>
      <c r="AJ55" s="18"/>
      <c r="AK55" s="18"/>
      <c r="AL55" s="18"/>
      <c r="AM55" s="18"/>
      <c r="AN55" s="18"/>
      <c r="AO55" s="18"/>
      <c r="AP55" s="18"/>
      <c r="AQ55" s="18"/>
      <c r="AR55" s="18"/>
      <c r="AS55" s="18"/>
      <c r="AT55" s="18"/>
      <c r="AU55" s="18"/>
      <c r="AV55" s="18"/>
      <c r="AW55" s="18"/>
      <c r="AX55" s="18"/>
      <c r="AY55" s="18"/>
    </row>
    <row r="56" spans="1:51" ht="62.25" customHeight="1" x14ac:dyDescent="0.2">
      <c r="A56" s="24">
        <v>49</v>
      </c>
      <c r="B56" s="74"/>
      <c r="C56" s="29"/>
      <c r="D56" s="30"/>
      <c r="E56" s="80" t="s">
        <v>214</v>
      </c>
      <c r="F56" s="81"/>
      <c r="G56" s="81"/>
      <c r="H56" s="81"/>
      <c r="I56" s="83"/>
      <c r="J56" s="74" t="s">
        <v>105</v>
      </c>
      <c r="K56" s="29"/>
      <c r="L56" s="29"/>
      <c r="M56" s="29"/>
      <c r="N56" s="29"/>
      <c r="O56" s="29"/>
      <c r="P56" s="30"/>
      <c r="Q56" s="73" t="s">
        <v>215</v>
      </c>
      <c r="R56" s="29"/>
      <c r="S56" s="29"/>
      <c r="T56" s="29"/>
      <c r="U56" s="29"/>
      <c r="V56" s="29"/>
      <c r="W56" s="30"/>
      <c r="X56" s="73" t="s">
        <v>213</v>
      </c>
      <c r="Y56" s="29"/>
      <c r="Z56" s="29"/>
      <c r="AA56" s="29"/>
      <c r="AB56" s="29"/>
      <c r="AC56" s="29"/>
      <c r="AD56" s="30"/>
      <c r="AE56" s="60"/>
      <c r="AF56" s="29"/>
      <c r="AG56" s="29"/>
      <c r="AH56" s="30"/>
      <c r="AI56" s="18"/>
      <c r="AJ56" s="18"/>
      <c r="AK56" s="18"/>
      <c r="AL56" s="18"/>
      <c r="AM56" s="18"/>
      <c r="AN56" s="18"/>
      <c r="AO56" s="18"/>
      <c r="AP56" s="18"/>
      <c r="AQ56" s="18"/>
      <c r="AR56" s="18"/>
      <c r="AS56" s="18"/>
      <c r="AT56" s="18"/>
      <c r="AU56" s="18"/>
      <c r="AV56" s="18"/>
      <c r="AW56" s="18"/>
      <c r="AX56" s="18"/>
      <c r="AY56" s="18"/>
    </row>
    <row r="57" spans="1:51" ht="62.25" customHeight="1" x14ac:dyDescent="0.2">
      <c r="A57" s="24">
        <v>50</v>
      </c>
      <c r="B57" s="74"/>
      <c r="C57" s="29"/>
      <c r="D57" s="30"/>
      <c r="E57" s="80" t="s">
        <v>216</v>
      </c>
      <c r="F57" s="81"/>
      <c r="G57" s="81"/>
      <c r="H57" s="81"/>
      <c r="I57" s="83"/>
      <c r="J57" s="74" t="s">
        <v>105</v>
      </c>
      <c r="K57" s="29"/>
      <c r="L57" s="29"/>
      <c r="M57" s="29"/>
      <c r="N57" s="29"/>
      <c r="O57" s="29"/>
      <c r="P57" s="30"/>
      <c r="Q57" s="73" t="s">
        <v>215</v>
      </c>
      <c r="R57" s="29"/>
      <c r="S57" s="29"/>
      <c r="T57" s="29"/>
      <c r="U57" s="29"/>
      <c r="V57" s="29"/>
      <c r="W57" s="30"/>
      <c r="X57" s="73" t="s">
        <v>177</v>
      </c>
      <c r="Y57" s="29"/>
      <c r="Z57" s="29"/>
      <c r="AA57" s="29"/>
      <c r="AB57" s="29"/>
      <c r="AC57" s="29"/>
      <c r="AD57" s="30"/>
      <c r="AE57" s="60"/>
      <c r="AF57" s="29"/>
      <c r="AG57" s="29"/>
      <c r="AH57" s="30"/>
      <c r="AI57" s="18"/>
      <c r="AJ57" s="18"/>
      <c r="AK57" s="18"/>
      <c r="AL57" s="18"/>
      <c r="AM57" s="18"/>
      <c r="AN57" s="18"/>
      <c r="AO57" s="18"/>
      <c r="AP57" s="18"/>
      <c r="AQ57" s="18"/>
      <c r="AR57" s="18"/>
      <c r="AS57" s="18"/>
      <c r="AT57" s="18"/>
      <c r="AU57" s="18"/>
      <c r="AV57" s="18"/>
      <c r="AW57" s="18"/>
      <c r="AX57" s="18"/>
      <c r="AY57" s="18"/>
    </row>
    <row r="58" spans="1:51" ht="60.75" customHeight="1" x14ac:dyDescent="0.2">
      <c r="A58" s="24">
        <v>51</v>
      </c>
      <c r="B58" s="74"/>
      <c r="C58" s="29"/>
      <c r="D58" s="30"/>
      <c r="E58" s="74" t="s">
        <v>217</v>
      </c>
      <c r="F58" s="29"/>
      <c r="G58" s="29"/>
      <c r="H58" s="29"/>
      <c r="I58" s="30"/>
      <c r="J58" s="74" t="s">
        <v>218</v>
      </c>
      <c r="K58" s="29"/>
      <c r="L58" s="29"/>
      <c r="M58" s="29"/>
      <c r="N58" s="29"/>
      <c r="O58" s="29"/>
      <c r="P58" s="30"/>
      <c r="Q58" s="73" t="s">
        <v>180</v>
      </c>
      <c r="R58" s="29"/>
      <c r="S58" s="29"/>
      <c r="T58" s="29"/>
      <c r="U58" s="29"/>
      <c r="V58" s="29"/>
      <c r="W58" s="30"/>
      <c r="X58" s="73" t="s">
        <v>219</v>
      </c>
      <c r="Y58" s="29"/>
      <c r="Z58" s="29"/>
      <c r="AA58" s="29"/>
      <c r="AB58" s="29"/>
      <c r="AC58" s="29"/>
      <c r="AD58" s="30"/>
      <c r="AE58" s="60"/>
      <c r="AF58" s="29"/>
      <c r="AG58" s="29"/>
      <c r="AH58" s="30"/>
      <c r="AI58" s="18"/>
      <c r="AJ58" s="18"/>
      <c r="AK58" s="18"/>
      <c r="AL58" s="18"/>
      <c r="AM58" s="18"/>
      <c r="AN58" s="18"/>
      <c r="AO58" s="18"/>
      <c r="AP58" s="18"/>
      <c r="AQ58" s="18"/>
      <c r="AR58" s="18"/>
      <c r="AS58" s="18"/>
      <c r="AT58" s="18"/>
      <c r="AU58" s="18"/>
      <c r="AV58" s="18"/>
      <c r="AW58" s="18"/>
      <c r="AX58" s="18"/>
      <c r="AY58" s="18"/>
    </row>
    <row r="59" spans="1:51" ht="62.25" customHeight="1" x14ac:dyDescent="0.2">
      <c r="A59" s="24">
        <v>52</v>
      </c>
      <c r="B59" s="74"/>
      <c r="C59" s="29"/>
      <c r="D59" s="30"/>
      <c r="E59" s="74" t="s">
        <v>220</v>
      </c>
      <c r="F59" s="29"/>
      <c r="G59" s="29"/>
      <c r="H59" s="29"/>
      <c r="I59" s="30"/>
      <c r="J59" s="74" t="s">
        <v>218</v>
      </c>
      <c r="K59" s="29"/>
      <c r="L59" s="29"/>
      <c r="M59" s="29"/>
      <c r="N59" s="29"/>
      <c r="O59" s="29"/>
      <c r="P59" s="30"/>
      <c r="Q59" s="74" t="s">
        <v>183</v>
      </c>
      <c r="R59" s="29"/>
      <c r="S59" s="29"/>
      <c r="T59" s="29"/>
      <c r="U59" s="29"/>
      <c r="V59" s="29"/>
      <c r="W59" s="30"/>
      <c r="X59" s="73" t="s">
        <v>221</v>
      </c>
      <c r="Y59" s="29"/>
      <c r="Z59" s="29"/>
      <c r="AA59" s="29"/>
      <c r="AB59" s="29"/>
      <c r="AC59" s="29"/>
      <c r="AD59" s="30"/>
      <c r="AE59" s="60"/>
      <c r="AF59" s="29"/>
      <c r="AG59" s="29"/>
      <c r="AH59" s="30"/>
      <c r="AI59" s="18"/>
      <c r="AJ59" s="18"/>
      <c r="AK59" s="18"/>
      <c r="AL59" s="18"/>
      <c r="AM59" s="18"/>
      <c r="AN59" s="18"/>
      <c r="AO59" s="18"/>
      <c r="AP59" s="18"/>
      <c r="AQ59" s="18"/>
      <c r="AR59" s="18"/>
      <c r="AS59" s="18"/>
      <c r="AT59" s="18"/>
      <c r="AU59" s="18"/>
      <c r="AV59" s="18"/>
      <c r="AW59" s="18"/>
      <c r="AX59" s="18"/>
      <c r="AY59" s="18"/>
    </row>
    <row r="60" spans="1:51" ht="60.75" customHeight="1" x14ac:dyDescent="0.2">
      <c r="A60" s="24">
        <v>53</v>
      </c>
      <c r="B60" s="74"/>
      <c r="C60" s="29"/>
      <c r="D60" s="30"/>
      <c r="E60" s="80" t="s">
        <v>222</v>
      </c>
      <c r="F60" s="81"/>
      <c r="G60" s="81"/>
      <c r="H60" s="81"/>
      <c r="I60" s="83"/>
      <c r="J60" s="74" t="s">
        <v>105</v>
      </c>
      <c r="K60" s="29"/>
      <c r="L60" s="29"/>
      <c r="M60" s="29"/>
      <c r="N60" s="29"/>
      <c r="O60" s="29"/>
      <c r="P60" s="30"/>
      <c r="Q60" s="73" t="s">
        <v>223</v>
      </c>
      <c r="R60" s="29"/>
      <c r="S60" s="29"/>
      <c r="T60" s="29"/>
      <c r="U60" s="29"/>
      <c r="V60" s="29"/>
      <c r="W60" s="30"/>
      <c r="X60" s="73" t="s">
        <v>224</v>
      </c>
      <c r="Y60" s="29"/>
      <c r="Z60" s="29"/>
      <c r="AA60" s="29"/>
      <c r="AB60" s="29"/>
      <c r="AC60" s="29"/>
      <c r="AD60" s="30"/>
      <c r="AE60" s="60"/>
      <c r="AF60" s="29"/>
      <c r="AG60" s="29"/>
      <c r="AH60" s="30"/>
      <c r="AI60" s="18"/>
      <c r="AJ60" s="18"/>
      <c r="AK60" s="18"/>
      <c r="AL60" s="18"/>
      <c r="AM60" s="18"/>
      <c r="AN60" s="18"/>
      <c r="AO60" s="18"/>
      <c r="AP60" s="18"/>
      <c r="AQ60" s="18"/>
      <c r="AR60" s="18"/>
      <c r="AS60" s="18"/>
      <c r="AT60" s="18"/>
      <c r="AU60" s="18"/>
      <c r="AV60" s="18"/>
      <c r="AW60" s="18"/>
      <c r="AX60" s="18"/>
      <c r="AY60" s="18"/>
    </row>
    <row r="61" spans="1:51" ht="62.25" customHeight="1" x14ac:dyDescent="0.2">
      <c r="A61" s="24">
        <v>54</v>
      </c>
      <c r="B61" s="74"/>
      <c r="C61" s="29"/>
      <c r="D61" s="30"/>
      <c r="E61" s="80" t="s">
        <v>222</v>
      </c>
      <c r="F61" s="81"/>
      <c r="G61" s="81"/>
      <c r="H61" s="81"/>
      <c r="I61" s="83"/>
      <c r="J61" s="74" t="s">
        <v>105</v>
      </c>
      <c r="K61" s="29"/>
      <c r="L61" s="29"/>
      <c r="M61" s="29"/>
      <c r="N61" s="29"/>
      <c r="O61" s="29"/>
      <c r="P61" s="30"/>
      <c r="Q61" s="73" t="s">
        <v>225</v>
      </c>
      <c r="R61" s="29"/>
      <c r="S61" s="29"/>
      <c r="T61" s="29"/>
      <c r="U61" s="29"/>
      <c r="V61" s="29"/>
      <c r="W61" s="30"/>
      <c r="X61" s="73" t="s">
        <v>224</v>
      </c>
      <c r="Y61" s="29"/>
      <c r="Z61" s="29"/>
      <c r="AA61" s="29"/>
      <c r="AB61" s="29"/>
      <c r="AC61" s="29"/>
      <c r="AD61" s="30"/>
      <c r="AE61" s="60"/>
      <c r="AF61" s="29"/>
      <c r="AG61" s="29"/>
      <c r="AH61" s="30"/>
      <c r="AI61" s="18"/>
      <c r="AJ61" s="18"/>
      <c r="AK61" s="18"/>
      <c r="AL61" s="18"/>
      <c r="AM61" s="18"/>
      <c r="AN61" s="18"/>
      <c r="AO61" s="18"/>
      <c r="AP61" s="18"/>
      <c r="AQ61" s="18"/>
      <c r="AR61" s="18"/>
      <c r="AS61" s="18"/>
      <c r="AT61" s="18"/>
      <c r="AU61" s="18"/>
      <c r="AV61" s="18"/>
      <c r="AW61" s="18"/>
      <c r="AX61" s="18"/>
      <c r="AY61" s="18"/>
    </row>
    <row r="62" spans="1:51" ht="62.25" customHeight="1" x14ac:dyDescent="0.2">
      <c r="A62" s="24">
        <v>55</v>
      </c>
      <c r="B62" s="74"/>
      <c r="C62" s="29"/>
      <c r="D62" s="30"/>
      <c r="E62" s="80" t="s">
        <v>226</v>
      </c>
      <c r="F62" s="81"/>
      <c r="G62" s="81"/>
      <c r="H62" s="81"/>
      <c r="I62" s="83"/>
      <c r="J62" s="74" t="s">
        <v>105</v>
      </c>
      <c r="K62" s="29"/>
      <c r="L62" s="29"/>
      <c r="M62" s="29"/>
      <c r="N62" s="29"/>
      <c r="O62" s="29"/>
      <c r="P62" s="30"/>
      <c r="Q62" s="73" t="s">
        <v>227</v>
      </c>
      <c r="R62" s="29"/>
      <c r="S62" s="29"/>
      <c r="T62" s="29"/>
      <c r="U62" s="29"/>
      <c r="V62" s="29"/>
      <c r="W62" s="30"/>
      <c r="X62" s="73" t="s">
        <v>228</v>
      </c>
      <c r="Y62" s="29"/>
      <c r="Z62" s="29"/>
      <c r="AA62" s="29"/>
      <c r="AB62" s="29"/>
      <c r="AC62" s="29"/>
      <c r="AD62" s="30"/>
      <c r="AE62" s="60"/>
      <c r="AF62" s="29"/>
      <c r="AG62" s="29"/>
      <c r="AH62" s="30"/>
      <c r="AI62" s="18"/>
      <c r="AJ62" s="18"/>
      <c r="AK62" s="18"/>
      <c r="AL62" s="18"/>
      <c r="AM62" s="18"/>
      <c r="AN62" s="18"/>
      <c r="AO62" s="18"/>
      <c r="AP62" s="18"/>
      <c r="AQ62" s="18"/>
      <c r="AR62" s="18"/>
      <c r="AS62" s="18"/>
      <c r="AT62" s="18"/>
      <c r="AU62" s="18"/>
      <c r="AV62" s="18"/>
      <c r="AW62" s="18"/>
      <c r="AX62" s="18"/>
      <c r="AY62" s="18"/>
    </row>
    <row r="63" spans="1:51" ht="62.25" customHeight="1" x14ac:dyDescent="0.2">
      <c r="A63" s="24">
        <v>56</v>
      </c>
      <c r="B63" s="74"/>
      <c r="C63" s="29"/>
      <c r="D63" s="30"/>
      <c r="E63" s="80" t="s">
        <v>229</v>
      </c>
      <c r="F63" s="81"/>
      <c r="G63" s="81"/>
      <c r="H63" s="81"/>
      <c r="I63" s="83"/>
      <c r="J63" s="74" t="s">
        <v>105</v>
      </c>
      <c r="K63" s="29"/>
      <c r="L63" s="29"/>
      <c r="M63" s="29"/>
      <c r="N63" s="29"/>
      <c r="O63" s="29"/>
      <c r="P63" s="30"/>
      <c r="Q63" s="73" t="s">
        <v>230</v>
      </c>
      <c r="R63" s="29"/>
      <c r="S63" s="29"/>
      <c r="T63" s="29"/>
      <c r="U63" s="29"/>
      <c r="V63" s="29"/>
      <c r="W63" s="30"/>
      <c r="X63" s="73" t="s">
        <v>231</v>
      </c>
      <c r="Y63" s="29"/>
      <c r="Z63" s="29"/>
      <c r="AA63" s="29"/>
      <c r="AB63" s="29"/>
      <c r="AC63" s="29"/>
      <c r="AD63" s="30"/>
      <c r="AE63" s="60"/>
      <c r="AF63" s="29"/>
      <c r="AG63" s="29"/>
      <c r="AH63" s="30"/>
      <c r="AI63" s="18"/>
      <c r="AJ63" s="18"/>
      <c r="AK63" s="18"/>
      <c r="AL63" s="18"/>
      <c r="AM63" s="18"/>
      <c r="AN63" s="18"/>
      <c r="AO63" s="18"/>
      <c r="AP63" s="18"/>
      <c r="AQ63" s="18"/>
      <c r="AR63" s="18"/>
      <c r="AS63" s="18"/>
      <c r="AT63" s="18"/>
      <c r="AU63" s="18"/>
      <c r="AV63" s="18"/>
      <c r="AW63" s="18"/>
      <c r="AX63" s="18"/>
      <c r="AY63" s="18"/>
    </row>
    <row r="64" spans="1:51" ht="60.75" customHeight="1" x14ac:dyDescent="0.2">
      <c r="A64" s="24">
        <v>57</v>
      </c>
      <c r="B64" s="74"/>
      <c r="C64" s="29"/>
      <c r="D64" s="30"/>
      <c r="E64" s="74" t="s">
        <v>232</v>
      </c>
      <c r="F64" s="29"/>
      <c r="G64" s="29"/>
      <c r="H64" s="29"/>
      <c r="I64" s="30"/>
      <c r="J64" s="74" t="s">
        <v>233</v>
      </c>
      <c r="K64" s="29"/>
      <c r="L64" s="29"/>
      <c r="M64" s="29"/>
      <c r="N64" s="29"/>
      <c r="O64" s="29"/>
      <c r="P64" s="30"/>
      <c r="Q64" s="73" t="s">
        <v>197</v>
      </c>
      <c r="R64" s="29"/>
      <c r="S64" s="29"/>
      <c r="T64" s="29"/>
      <c r="U64" s="29"/>
      <c r="V64" s="29"/>
      <c r="W64" s="30"/>
      <c r="X64" s="73" t="s">
        <v>198</v>
      </c>
      <c r="Y64" s="29"/>
      <c r="Z64" s="29"/>
      <c r="AA64" s="29"/>
      <c r="AB64" s="29"/>
      <c r="AC64" s="29"/>
      <c r="AD64" s="30"/>
      <c r="AE64" s="60"/>
      <c r="AF64" s="29"/>
      <c r="AG64" s="29"/>
      <c r="AH64" s="30"/>
      <c r="AI64" s="18"/>
      <c r="AJ64" s="18"/>
      <c r="AK64" s="18"/>
      <c r="AL64" s="18"/>
      <c r="AM64" s="18"/>
      <c r="AN64" s="18"/>
      <c r="AO64" s="18"/>
      <c r="AP64" s="18"/>
      <c r="AQ64" s="18"/>
      <c r="AR64" s="18"/>
      <c r="AS64" s="18"/>
      <c r="AT64" s="18"/>
      <c r="AU64" s="18"/>
      <c r="AV64" s="18"/>
      <c r="AW64" s="18"/>
      <c r="AX64" s="18"/>
      <c r="AY64" s="18"/>
    </row>
    <row r="65" spans="1:51" ht="62.25" customHeight="1" x14ac:dyDescent="0.2">
      <c r="A65" s="24">
        <v>58</v>
      </c>
      <c r="B65" s="74"/>
      <c r="C65" s="29"/>
      <c r="D65" s="30"/>
      <c r="E65" s="74" t="s">
        <v>234</v>
      </c>
      <c r="F65" s="29"/>
      <c r="G65" s="29"/>
      <c r="H65" s="29"/>
      <c r="I65" s="30"/>
      <c r="J65" s="74" t="s">
        <v>233</v>
      </c>
      <c r="K65" s="29"/>
      <c r="L65" s="29"/>
      <c r="M65" s="29"/>
      <c r="N65" s="29"/>
      <c r="O65" s="29"/>
      <c r="P65" s="30"/>
      <c r="Q65" s="74" t="s">
        <v>183</v>
      </c>
      <c r="R65" s="29"/>
      <c r="S65" s="29"/>
      <c r="T65" s="29"/>
      <c r="U65" s="29"/>
      <c r="V65" s="29"/>
      <c r="W65" s="30"/>
      <c r="X65" s="73" t="s">
        <v>200</v>
      </c>
      <c r="Y65" s="29"/>
      <c r="Z65" s="29"/>
      <c r="AA65" s="29"/>
      <c r="AB65" s="29"/>
      <c r="AC65" s="29"/>
      <c r="AD65" s="30"/>
      <c r="AE65" s="60"/>
      <c r="AF65" s="29"/>
      <c r="AG65" s="29"/>
      <c r="AH65" s="30"/>
      <c r="AI65" s="18"/>
      <c r="AJ65" s="18"/>
      <c r="AK65" s="18"/>
      <c r="AL65" s="18"/>
      <c r="AM65" s="18"/>
      <c r="AN65" s="18"/>
      <c r="AO65" s="18"/>
      <c r="AP65" s="18"/>
      <c r="AQ65" s="18"/>
      <c r="AR65" s="18"/>
      <c r="AS65" s="18"/>
      <c r="AT65" s="18"/>
      <c r="AU65" s="18"/>
      <c r="AV65" s="18"/>
      <c r="AW65" s="18"/>
      <c r="AX65" s="18"/>
      <c r="AY65" s="18"/>
    </row>
    <row r="66" spans="1:51" ht="62.25" customHeight="1" x14ac:dyDescent="0.2">
      <c r="A66" s="24">
        <v>59</v>
      </c>
      <c r="B66" s="74"/>
      <c r="C66" s="29"/>
      <c r="D66" s="30"/>
      <c r="E66" s="74" t="s">
        <v>201</v>
      </c>
      <c r="F66" s="29"/>
      <c r="G66" s="29"/>
      <c r="H66" s="29"/>
      <c r="I66" s="30"/>
      <c r="J66" s="74" t="s">
        <v>105</v>
      </c>
      <c r="K66" s="29"/>
      <c r="L66" s="29"/>
      <c r="M66" s="29"/>
      <c r="N66" s="29"/>
      <c r="O66" s="29"/>
      <c r="P66" s="30"/>
      <c r="Q66" s="74" t="s">
        <v>235</v>
      </c>
      <c r="R66" s="29"/>
      <c r="S66" s="29"/>
      <c r="T66" s="29"/>
      <c r="U66" s="29"/>
      <c r="V66" s="29"/>
      <c r="W66" s="30"/>
      <c r="X66" s="73" t="s">
        <v>203</v>
      </c>
      <c r="Y66" s="29"/>
      <c r="Z66" s="29"/>
      <c r="AA66" s="29"/>
      <c r="AB66" s="29"/>
      <c r="AC66" s="29"/>
      <c r="AD66" s="30"/>
      <c r="AE66" s="60"/>
      <c r="AF66" s="29"/>
      <c r="AG66" s="29"/>
      <c r="AH66" s="30"/>
      <c r="AI66" s="18"/>
      <c r="AJ66" s="18"/>
      <c r="AK66" s="18"/>
      <c r="AL66" s="18"/>
      <c r="AM66" s="18"/>
      <c r="AN66" s="18"/>
      <c r="AO66" s="18"/>
      <c r="AP66" s="18"/>
      <c r="AQ66" s="18"/>
      <c r="AR66" s="18"/>
      <c r="AS66" s="18"/>
      <c r="AT66" s="18"/>
      <c r="AU66" s="18"/>
      <c r="AV66" s="18"/>
      <c r="AW66" s="18"/>
      <c r="AX66" s="18"/>
      <c r="AY66" s="18"/>
    </row>
    <row r="67" spans="1:51" ht="43.5" customHeight="1" x14ac:dyDescent="0.2">
      <c r="A67" s="24">
        <v>60</v>
      </c>
      <c r="B67" s="74"/>
      <c r="C67" s="29"/>
      <c r="D67" s="30"/>
      <c r="E67" s="80" t="s">
        <v>236</v>
      </c>
      <c r="F67" s="81"/>
      <c r="G67" s="81"/>
      <c r="H67" s="81"/>
      <c r="I67" s="83"/>
      <c r="J67" s="74"/>
      <c r="K67" s="29"/>
      <c r="L67" s="29"/>
      <c r="M67" s="29"/>
      <c r="N67" s="29"/>
      <c r="O67" s="29"/>
      <c r="P67" s="30"/>
      <c r="Q67" s="74" t="s">
        <v>237</v>
      </c>
      <c r="R67" s="29"/>
      <c r="S67" s="29"/>
      <c r="T67" s="29"/>
      <c r="U67" s="29"/>
      <c r="V67" s="29"/>
      <c r="W67" s="30"/>
      <c r="X67" s="74" t="s">
        <v>238</v>
      </c>
      <c r="Y67" s="29"/>
      <c r="Z67" s="29"/>
      <c r="AA67" s="29"/>
      <c r="AB67" s="29"/>
      <c r="AC67" s="29"/>
      <c r="AD67" s="30"/>
      <c r="AE67" s="60"/>
      <c r="AF67" s="29"/>
      <c r="AG67" s="29"/>
      <c r="AH67" s="30"/>
      <c r="AI67" s="18"/>
      <c r="AJ67" s="18"/>
      <c r="AK67" s="18"/>
      <c r="AL67" s="18"/>
      <c r="AM67" s="18"/>
      <c r="AN67" s="18"/>
      <c r="AO67" s="18"/>
      <c r="AP67" s="18"/>
      <c r="AQ67" s="18"/>
      <c r="AR67" s="18"/>
      <c r="AS67" s="18"/>
      <c r="AT67" s="18"/>
      <c r="AU67" s="18"/>
      <c r="AV67" s="18"/>
      <c r="AW67" s="18"/>
      <c r="AX67" s="18"/>
      <c r="AY67" s="18"/>
    </row>
    <row r="68" spans="1:51" ht="48" customHeight="1" x14ac:dyDescent="0.2">
      <c r="A68" s="24">
        <v>61</v>
      </c>
      <c r="B68" s="74"/>
      <c r="C68" s="29"/>
      <c r="D68" s="30"/>
      <c r="E68" s="80" t="s">
        <v>239</v>
      </c>
      <c r="F68" s="81"/>
      <c r="G68" s="81"/>
      <c r="H68" s="81"/>
      <c r="I68" s="83"/>
      <c r="J68" s="74"/>
      <c r="K68" s="29"/>
      <c r="L68" s="29"/>
      <c r="M68" s="29"/>
      <c r="N68" s="29"/>
      <c r="O68" s="29"/>
      <c r="P68" s="30"/>
      <c r="Q68" s="74" t="s">
        <v>240</v>
      </c>
      <c r="R68" s="29"/>
      <c r="S68" s="29"/>
      <c r="T68" s="29"/>
      <c r="U68" s="29"/>
      <c r="V68" s="29"/>
      <c r="W68" s="30"/>
      <c r="X68" s="74" t="s">
        <v>241</v>
      </c>
      <c r="Y68" s="29"/>
      <c r="Z68" s="29"/>
      <c r="AA68" s="29"/>
      <c r="AB68" s="29"/>
      <c r="AC68" s="29"/>
      <c r="AD68" s="30"/>
      <c r="AE68" s="60"/>
      <c r="AF68" s="29"/>
      <c r="AG68" s="29"/>
      <c r="AH68" s="30"/>
      <c r="AI68" s="18"/>
      <c r="AJ68" s="18"/>
      <c r="AK68" s="18"/>
      <c r="AL68" s="18"/>
      <c r="AM68" s="18"/>
      <c r="AN68" s="18"/>
      <c r="AO68" s="18"/>
      <c r="AP68" s="18"/>
      <c r="AQ68" s="18"/>
      <c r="AR68" s="18"/>
      <c r="AS68" s="18"/>
      <c r="AT68" s="18"/>
      <c r="AU68" s="18"/>
      <c r="AV68" s="18"/>
      <c r="AW68" s="18"/>
      <c r="AX68" s="18"/>
      <c r="AY68" s="18"/>
    </row>
    <row r="69" spans="1:51" ht="46.5" customHeight="1" x14ac:dyDescent="0.2">
      <c r="A69" s="24">
        <v>62</v>
      </c>
      <c r="B69" s="74"/>
      <c r="C69" s="29"/>
      <c r="D69" s="30"/>
      <c r="E69" s="80" t="s">
        <v>242</v>
      </c>
      <c r="F69" s="81"/>
      <c r="G69" s="81"/>
      <c r="H69" s="81"/>
      <c r="I69" s="83"/>
      <c r="J69" s="74" t="s">
        <v>243</v>
      </c>
      <c r="K69" s="29"/>
      <c r="L69" s="29"/>
      <c r="M69" s="29"/>
      <c r="N69" s="29"/>
      <c r="O69" s="29"/>
      <c r="P69" s="30"/>
      <c r="Q69" s="74" t="s">
        <v>244</v>
      </c>
      <c r="R69" s="29"/>
      <c r="S69" s="29"/>
      <c r="T69" s="29"/>
      <c r="U69" s="29"/>
      <c r="V69" s="29"/>
      <c r="W69" s="30"/>
      <c r="X69" s="74" t="s">
        <v>245</v>
      </c>
      <c r="Y69" s="29"/>
      <c r="Z69" s="29"/>
      <c r="AA69" s="29"/>
      <c r="AB69" s="29"/>
      <c r="AC69" s="29"/>
      <c r="AD69" s="30"/>
      <c r="AE69" s="60"/>
      <c r="AF69" s="29"/>
      <c r="AG69" s="29"/>
      <c r="AH69" s="30"/>
      <c r="AI69" s="18"/>
      <c r="AJ69" s="18"/>
      <c r="AK69" s="18"/>
      <c r="AL69" s="18"/>
      <c r="AM69" s="18"/>
      <c r="AN69" s="18"/>
      <c r="AO69" s="18"/>
      <c r="AP69" s="18"/>
      <c r="AQ69" s="18"/>
      <c r="AR69" s="18"/>
      <c r="AS69" s="18"/>
      <c r="AT69" s="18"/>
      <c r="AU69" s="18"/>
      <c r="AV69" s="18"/>
      <c r="AW69" s="18"/>
      <c r="AX69" s="18"/>
      <c r="AY69" s="18"/>
    </row>
    <row r="70" spans="1:51" ht="48" customHeight="1" x14ac:dyDescent="0.2">
      <c r="A70" s="24">
        <v>63</v>
      </c>
      <c r="B70" s="74"/>
      <c r="C70" s="29"/>
      <c r="D70" s="30"/>
      <c r="E70" s="80" t="s">
        <v>246</v>
      </c>
      <c r="F70" s="81"/>
      <c r="G70" s="81"/>
      <c r="H70" s="81"/>
      <c r="I70" s="83"/>
      <c r="J70" s="74" t="s">
        <v>243</v>
      </c>
      <c r="K70" s="29"/>
      <c r="L70" s="29"/>
      <c r="M70" s="29"/>
      <c r="N70" s="29"/>
      <c r="O70" s="29"/>
      <c r="P70" s="30"/>
      <c r="Q70" s="74" t="s">
        <v>247</v>
      </c>
      <c r="R70" s="29"/>
      <c r="S70" s="29"/>
      <c r="T70" s="29"/>
      <c r="U70" s="29"/>
      <c r="V70" s="29"/>
      <c r="W70" s="30"/>
      <c r="X70" s="74" t="s">
        <v>248</v>
      </c>
      <c r="Y70" s="29"/>
      <c r="Z70" s="29"/>
      <c r="AA70" s="29"/>
      <c r="AB70" s="29"/>
      <c r="AC70" s="29"/>
      <c r="AD70" s="30"/>
      <c r="AE70" s="60"/>
      <c r="AF70" s="29"/>
      <c r="AG70" s="29"/>
      <c r="AH70" s="30"/>
      <c r="AI70" s="18"/>
      <c r="AJ70" s="18"/>
      <c r="AK70" s="18"/>
      <c r="AL70" s="18"/>
      <c r="AM70" s="18"/>
      <c r="AN70" s="18"/>
      <c r="AO70" s="18"/>
      <c r="AP70" s="18"/>
      <c r="AQ70" s="18"/>
      <c r="AR70" s="18"/>
      <c r="AS70" s="18"/>
      <c r="AT70" s="18"/>
      <c r="AU70" s="18"/>
      <c r="AV70" s="18"/>
      <c r="AW70" s="18"/>
      <c r="AX70" s="18"/>
      <c r="AY70" s="18"/>
    </row>
    <row r="71" spans="1:51" ht="81" customHeight="1" x14ac:dyDescent="0.2">
      <c r="A71" s="24">
        <v>64</v>
      </c>
      <c r="B71" s="86"/>
      <c r="C71" s="29"/>
      <c r="D71" s="30"/>
      <c r="E71" s="80" t="s">
        <v>249</v>
      </c>
      <c r="F71" s="81"/>
      <c r="G71" s="81"/>
      <c r="H71" s="81"/>
      <c r="I71" s="83"/>
      <c r="J71" s="86" t="s">
        <v>250</v>
      </c>
      <c r="K71" s="29"/>
      <c r="L71" s="29"/>
      <c r="M71" s="29"/>
      <c r="N71" s="29"/>
      <c r="O71" s="29"/>
      <c r="P71" s="30"/>
      <c r="Q71" s="73" t="s">
        <v>251</v>
      </c>
      <c r="R71" s="29"/>
      <c r="S71" s="29"/>
      <c r="T71" s="29"/>
      <c r="U71" s="29"/>
      <c r="V71" s="29"/>
      <c r="W71" s="30"/>
      <c r="X71" s="73" t="s">
        <v>252</v>
      </c>
      <c r="Y71" s="29"/>
      <c r="Z71" s="29"/>
      <c r="AA71" s="29"/>
      <c r="AB71" s="29"/>
      <c r="AC71" s="29"/>
      <c r="AD71" s="30"/>
      <c r="AE71" s="60"/>
      <c r="AF71" s="29"/>
      <c r="AG71" s="29"/>
      <c r="AH71" s="30"/>
      <c r="AI71" s="26"/>
      <c r="AJ71" s="26"/>
      <c r="AK71" s="26"/>
      <c r="AL71" s="26"/>
      <c r="AM71" s="26"/>
      <c r="AN71" s="26"/>
      <c r="AO71" s="26"/>
      <c r="AP71" s="26"/>
      <c r="AQ71" s="26"/>
      <c r="AR71" s="26"/>
      <c r="AS71" s="26"/>
      <c r="AT71" s="26"/>
      <c r="AU71" s="26"/>
      <c r="AV71" s="26"/>
      <c r="AW71" s="26"/>
      <c r="AX71" s="26"/>
      <c r="AY71" s="26"/>
    </row>
    <row r="72" spans="1:51" ht="41.25" customHeight="1" x14ac:dyDescent="0.2">
      <c r="A72" s="24">
        <v>65</v>
      </c>
      <c r="B72" s="86"/>
      <c r="C72" s="29"/>
      <c r="D72" s="30"/>
      <c r="E72" s="80" t="s">
        <v>253</v>
      </c>
      <c r="F72" s="81"/>
      <c r="G72" s="81"/>
      <c r="H72" s="81"/>
      <c r="I72" s="83"/>
      <c r="J72" s="86"/>
      <c r="K72" s="29"/>
      <c r="L72" s="29"/>
      <c r="M72" s="29"/>
      <c r="N72" s="29"/>
      <c r="O72" s="29"/>
      <c r="P72" s="30"/>
      <c r="Q72" s="73" t="s">
        <v>254</v>
      </c>
      <c r="R72" s="29"/>
      <c r="S72" s="29"/>
      <c r="T72" s="29"/>
      <c r="U72" s="29"/>
      <c r="V72" s="29"/>
      <c r="W72" s="30"/>
      <c r="X72" s="73" t="s">
        <v>255</v>
      </c>
      <c r="Y72" s="29"/>
      <c r="Z72" s="29"/>
      <c r="AA72" s="29"/>
      <c r="AB72" s="29"/>
      <c r="AC72" s="29"/>
      <c r="AD72" s="30"/>
      <c r="AE72" s="60"/>
      <c r="AF72" s="29"/>
      <c r="AG72" s="29"/>
      <c r="AH72" s="30"/>
      <c r="AI72" s="26"/>
      <c r="AJ72" s="26"/>
      <c r="AK72" s="26"/>
      <c r="AL72" s="26"/>
      <c r="AM72" s="26"/>
      <c r="AN72" s="26"/>
      <c r="AO72" s="26"/>
      <c r="AP72" s="26"/>
      <c r="AQ72" s="26"/>
      <c r="AR72" s="26"/>
      <c r="AS72" s="26"/>
      <c r="AT72" s="26"/>
      <c r="AU72" s="26"/>
      <c r="AV72" s="26"/>
      <c r="AW72" s="26"/>
      <c r="AX72" s="26"/>
      <c r="AY72" s="26"/>
    </row>
    <row r="73" spans="1:51" ht="41.25" customHeight="1" x14ac:dyDescent="0.2">
      <c r="A73" s="24">
        <v>66</v>
      </c>
      <c r="B73" s="86"/>
      <c r="C73" s="29"/>
      <c r="D73" s="30"/>
      <c r="E73" s="80" t="s">
        <v>256</v>
      </c>
      <c r="F73" s="81"/>
      <c r="G73" s="81"/>
      <c r="H73" s="81"/>
      <c r="I73" s="83"/>
      <c r="J73" s="86"/>
      <c r="K73" s="29"/>
      <c r="L73" s="29"/>
      <c r="M73" s="29"/>
      <c r="N73" s="29"/>
      <c r="O73" s="29"/>
      <c r="P73" s="30"/>
      <c r="Q73" s="73" t="s">
        <v>257</v>
      </c>
      <c r="R73" s="29"/>
      <c r="S73" s="29"/>
      <c r="T73" s="29"/>
      <c r="U73" s="29"/>
      <c r="V73" s="29"/>
      <c r="W73" s="30"/>
      <c r="X73" s="73" t="s">
        <v>258</v>
      </c>
      <c r="Y73" s="29"/>
      <c r="Z73" s="29"/>
      <c r="AA73" s="29"/>
      <c r="AB73" s="29"/>
      <c r="AC73" s="29"/>
      <c r="AD73" s="30"/>
      <c r="AE73" s="60"/>
      <c r="AF73" s="29"/>
      <c r="AG73" s="29"/>
      <c r="AH73" s="30"/>
      <c r="AI73" s="26"/>
      <c r="AJ73" s="26"/>
      <c r="AK73" s="26"/>
      <c r="AL73" s="26"/>
      <c r="AM73" s="26"/>
      <c r="AN73" s="26"/>
      <c r="AO73" s="26"/>
      <c r="AP73" s="26"/>
      <c r="AQ73" s="26"/>
      <c r="AR73" s="26"/>
      <c r="AS73" s="26"/>
      <c r="AT73" s="26"/>
      <c r="AU73" s="26"/>
      <c r="AV73" s="26"/>
      <c r="AW73" s="26"/>
      <c r="AX73" s="26"/>
      <c r="AY73" s="26"/>
    </row>
    <row r="74" spans="1:51" ht="68.25" customHeight="1" x14ac:dyDescent="0.2">
      <c r="A74" s="24">
        <v>67</v>
      </c>
      <c r="B74" s="86"/>
      <c r="C74" s="29"/>
      <c r="D74" s="30"/>
      <c r="E74" s="80" t="s">
        <v>259</v>
      </c>
      <c r="F74" s="81"/>
      <c r="G74" s="81"/>
      <c r="H74" s="81"/>
      <c r="I74" s="83"/>
      <c r="J74" s="86"/>
      <c r="K74" s="29"/>
      <c r="L74" s="29"/>
      <c r="M74" s="29"/>
      <c r="N74" s="29"/>
      <c r="O74" s="29"/>
      <c r="P74" s="30"/>
      <c r="Q74" s="73" t="s">
        <v>260</v>
      </c>
      <c r="R74" s="29"/>
      <c r="S74" s="29"/>
      <c r="T74" s="29"/>
      <c r="U74" s="29"/>
      <c r="V74" s="29"/>
      <c r="W74" s="30"/>
      <c r="X74" s="73" t="s">
        <v>261</v>
      </c>
      <c r="Y74" s="29"/>
      <c r="Z74" s="29"/>
      <c r="AA74" s="29"/>
      <c r="AB74" s="29"/>
      <c r="AC74" s="29"/>
      <c r="AD74" s="30"/>
      <c r="AE74" s="60"/>
      <c r="AF74" s="29"/>
      <c r="AG74" s="29"/>
      <c r="AH74" s="30"/>
      <c r="AI74" s="26"/>
      <c r="AJ74" s="26"/>
      <c r="AK74" s="26"/>
      <c r="AL74" s="26"/>
      <c r="AM74" s="26"/>
      <c r="AN74" s="26"/>
      <c r="AO74" s="26"/>
      <c r="AP74" s="26"/>
      <c r="AQ74" s="26"/>
      <c r="AR74" s="26"/>
      <c r="AS74" s="26"/>
      <c r="AT74" s="26"/>
      <c r="AU74" s="26"/>
      <c r="AV74" s="26"/>
      <c r="AW74" s="26"/>
      <c r="AX74" s="26"/>
      <c r="AY74" s="26"/>
    </row>
    <row r="75" spans="1:51" ht="83.25" customHeight="1" x14ac:dyDescent="0.2">
      <c r="A75" s="24">
        <v>68</v>
      </c>
      <c r="B75" s="86"/>
      <c r="C75" s="29"/>
      <c r="D75" s="30"/>
      <c r="E75" s="80" t="s">
        <v>262</v>
      </c>
      <c r="F75" s="81"/>
      <c r="G75" s="81"/>
      <c r="H75" s="81"/>
      <c r="I75" s="83"/>
      <c r="J75" s="86" t="s">
        <v>263</v>
      </c>
      <c r="K75" s="29"/>
      <c r="L75" s="29"/>
      <c r="M75" s="29"/>
      <c r="N75" s="29"/>
      <c r="O75" s="29"/>
      <c r="P75" s="30"/>
      <c r="Q75" s="73" t="s">
        <v>264</v>
      </c>
      <c r="R75" s="29"/>
      <c r="S75" s="29"/>
      <c r="T75" s="29"/>
      <c r="U75" s="29"/>
      <c r="V75" s="29"/>
      <c r="W75" s="30"/>
      <c r="X75" s="73" t="s">
        <v>265</v>
      </c>
      <c r="Y75" s="29"/>
      <c r="Z75" s="29"/>
      <c r="AA75" s="29"/>
      <c r="AB75" s="29"/>
      <c r="AC75" s="29"/>
      <c r="AD75" s="30"/>
      <c r="AE75" s="60"/>
      <c r="AF75" s="29"/>
      <c r="AG75" s="29"/>
      <c r="AH75" s="30"/>
      <c r="AI75" s="26"/>
      <c r="AJ75" s="26"/>
      <c r="AK75" s="26"/>
      <c r="AL75" s="26"/>
      <c r="AM75" s="26"/>
      <c r="AN75" s="26"/>
      <c r="AO75" s="26"/>
      <c r="AP75" s="26"/>
      <c r="AQ75" s="26"/>
      <c r="AR75" s="26"/>
      <c r="AS75" s="26"/>
      <c r="AT75" s="26"/>
      <c r="AU75" s="26"/>
      <c r="AV75" s="26"/>
      <c r="AW75" s="26"/>
      <c r="AX75" s="26"/>
      <c r="AY75" s="26"/>
    </row>
    <row r="76" spans="1:51" ht="19.5" customHeight="1" x14ac:dyDescent="0.2">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row>
    <row r="77" spans="1:51" ht="19.5" customHeight="1" x14ac:dyDescent="0.2">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row>
    <row r="78" spans="1:51" ht="19.5" customHeight="1" x14ac:dyDescent="0.2">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row>
    <row r="79" spans="1:51" ht="19.5" customHeight="1" x14ac:dyDescent="0.2">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row>
    <row r="80" spans="1:51" ht="19.5" customHeight="1" x14ac:dyDescent="0.2">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row>
    <row r="81" spans="1:51" ht="19.5" customHeight="1" x14ac:dyDescent="0.2">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row>
    <row r="82" spans="1:51" ht="19.5" customHeight="1" x14ac:dyDescent="0.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row>
    <row r="83" spans="1:51" ht="19.5" customHeight="1" x14ac:dyDescent="0.2">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row>
    <row r="84" spans="1:51" ht="19.5" customHeight="1" x14ac:dyDescent="0.2">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row>
    <row r="85" spans="1:51" ht="19.5" customHeight="1" x14ac:dyDescent="0.2">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row>
    <row r="86" spans="1:51" ht="19.5" customHeight="1" x14ac:dyDescent="0.2">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row>
    <row r="87" spans="1:51" ht="19.5" customHeight="1" x14ac:dyDescent="0.2">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row>
    <row r="88" spans="1:51" ht="19.5" customHeight="1" x14ac:dyDescent="0.2">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row>
    <row r="89" spans="1:51" ht="19.5" customHeight="1" x14ac:dyDescent="0.2">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row>
    <row r="90" spans="1:51" ht="19.5" customHeight="1" x14ac:dyDescent="0.2">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row>
    <row r="91" spans="1:51" ht="19.5" customHeight="1" x14ac:dyDescent="0.2">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row>
    <row r="92" spans="1:51" ht="19.5" customHeight="1" x14ac:dyDescent="0.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row>
    <row r="93" spans="1:51" ht="19.5" customHeight="1" x14ac:dyDescent="0.2">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row>
    <row r="94" spans="1:51" ht="19.5" customHeight="1" x14ac:dyDescent="0.2">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row>
    <row r="95" spans="1:51" ht="19.5" customHeight="1" x14ac:dyDescent="0.2">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row>
    <row r="96" spans="1:51" ht="19.5" customHeight="1" x14ac:dyDescent="0.2">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row>
    <row r="97" spans="1:51" ht="19.5" customHeight="1" x14ac:dyDescent="0.2">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row>
    <row r="98" spans="1:51" ht="19.5" customHeight="1" x14ac:dyDescent="0.2">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row>
    <row r="99" spans="1:51" ht="19.5" customHeight="1" x14ac:dyDescent="0.2">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row>
    <row r="100" spans="1:51" ht="19.5" customHeight="1" x14ac:dyDescent="0.2">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row>
    <row r="101" spans="1:51" ht="19.5" customHeight="1" x14ac:dyDescent="0.2">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row>
    <row r="102" spans="1:51" ht="19.5" customHeight="1" x14ac:dyDescent="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row>
    <row r="103" spans="1:51" ht="19.5" customHeight="1" x14ac:dyDescent="0.2">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row>
    <row r="104" spans="1:51" ht="19.5" customHeight="1" x14ac:dyDescent="0.2">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row>
    <row r="105" spans="1:51" ht="19.5" customHeight="1" x14ac:dyDescent="0.2">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row>
    <row r="106" spans="1:51" ht="19.5" customHeight="1" x14ac:dyDescent="0.2">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row>
    <row r="107" spans="1:51" ht="19.5" customHeight="1" x14ac:dyDescent="0.2">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row>
    <row r="108" spans="1:51" ht="19.5" customHeight="1" x14ac:dyDescent="0.2">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row>
    <row r="109" spans="1:51" ht="19.5" customHeight="1" x14ac:dyDescent="0.2">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row>
    <row r="110" spans="1:51" ht="19.5" customHeight="1" x14ac:dyDescent="0.2">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row>
    <row r="111" spans="1:51" ht="19.5" customHeight="1" x14ac:dyDescent="0.2">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row>
    <row r="112" spans="1:51" ht="19.5" customHeight="1" x14ac:dyDescent="0.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row>
    <row r="113" spans="1:51" ht="19.5" customHeight="1" x14ac:dyDescent="0.2">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row>
    <row r="114" spans="1:51" ht="19.5" customHeight="1" x14ac:dyDescent="0.2">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row>
    <row r="115" spans="1:51" ht="19.5" customHeight="1" x14ac:dyDescent="0.2">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row>
    <row r="116" spans="1:51" ht="19.5" customHeight="1" x14ac:dyDescent="0.2">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row>
    <row r="117" spans="1:51" ht="19.5" customHeight="1" x14ac:dyDescent="0.2">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row>
    <row r="118" spans="1:51" ht="19.5" customHeight="1" x14ac:dyDescent="0.2">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row>
    <row r="119" spans="1:51" ht="19.5" customHeight="1" x14ac:dyDescent="0.2">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row>
    <row r="120" spans="1:51" ht="19.5" customHeight="1" x14ac:dyDescent="0.2">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row>
    <row r="121" spans="1:51" ht="19.5" customHeight="1" x14ac:dyDescent="0.2">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row>
    <row r="122" spans="1:51" ht="19.5" customHeight="1" x14ac:dyDescent="0.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row>
    <row r="123" spans="1:51" ht="19.5" customHeight="1" x14ac:dyDescent="0.2">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row>
    <row r="124" spans="1:51" ht="19.5" customHeight="1" x14ac:dyDescent="0.2">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row>
    <row r="125" spans="1:51" ht="19.5" customHeight="1" x14ac:dyDescent="0.2">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row>
    <row r="126" spans="1:51" ht="19.5" customHeight="1" x14ac:dyDescent="0.2">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row>
    <row r="127" spans="1:51" ht="19.5" customHeight="1" x14ac:dyDescent="0.2">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row>
    <row r="128" spans="1:51" ht="19.5" customHeight="1" x14ac:dyDescent="0.2">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row>
    <row r="129" spans="1:51" ht="19.5" customHeight="1" x14ac:dyDescent="0.2">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row>
    <row r="130" spans="1:51" ht="19.5" customHeight="1" x14ac:dyDescent="0.2">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row>
    <row r="131" spans="1:51" ht="19.5" customHeight="1" x14ac:dyDescent="0.2">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row>
    <row r="132" spans="1:51" ht="19.5" customHeight="1" x14ac:dyDescent="0.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row>
    <row r="133" spans="1:51" ht="19.5" customHeight="1" x14ac:dyDescent="0.2">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row>
    <row r="134" spans="1:51" ht="19.5" customHeight="1" x14ac:dyDescent="0.2">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row>
    <row r="135" spans="1:51" ht="19.5" customHeight="1" x14ac:dyDescent="0.2">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row>
    <row r="136" spans="1:51" ht="19.5" customHeight="1" x14ac:dyDescent="0.2">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row>
    <row r="137" spans="1:51" ht="19.5" customHeight="1" x14ac:dyDescent="0.2">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row>
    <row r="138" spans="1:51" ht="19.5" customHeight="1" x14ac:dyDescent="0.2">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row>
    <row r="139" spans="1:51" ht="19.5" customHeight="1" x14ac:dyDescent="0.2">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row>
    <row r="140" spans="1:51" ht="19.5" customHeight="1" x14ac:dyDescent="0.2">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row>
    <row r="141" spans="1:51" ht="19.5" customHeight="1" x14ac:dyDescent="0.2">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row>
    <row r="142" spans="1:51" ht="19.5" customHeight="1" x14ac:dyDescent="0.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row>
    <row r="143" spans="1:51" ht="19.5" customHeight="1" x14ac:dyDescent="0.2">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row>
    <row r="144" spans="1:51" ht="19.5" customHeight="1" x14ac:dyDescent="0.2">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row>
    <row r="145" spans="1:51" ht="19.5" customHeight="1" x14ac:dyDescent="0.2">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row>
    <row r="146" spans="1:51" ht="19.5" customHeight="1" x14ac:dyDescent="0.2">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row>
    <row r="147" spans="1:51" ht="19.5" customHeight="1" x14ac:dyDescent="0.2">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row>
    <row r="148" spans="1:51" ht="19.5" customHeight="1" x14ac:dyDescent="0.2">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row>
    <row r="149" spans="1:51" ht="19.5" customHeight="1" x14ac:dyDescent="0.2">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row>
    <row r="150" spans="1:51" ht="19.5" customHeight="1" x14ac:dyDescent="0.2">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row>
    <row r="151" spans="1:51" ht="19.5" customHeight="1" x14ac:dyDescent="0.2">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row>
    <row r="152" spans="1:51" ht="19.5" customHeight="1" x14ac:dyDescent="0.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row>
    <row r="153" spans="1:51" ht="19.5" customHeight="1" x14ac:dyDescent="0.2">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row>
    <row r="154" spans="1:51" ht="19.5" customHeight="1" x14ac:dyDescent="0.2">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row>
    <row r="155" spans="1:51" ht="19.5" customHeight="1" x14ac:dyDescent="0.2">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row>
    <row r="156" spans="1:51" ht="19.5" customHeight="1" x14ac:dyDescent="0.2">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row>
    <row r="157" spans="1:51" ht="19.5" customHeight="1" x14ac:dyDescent="0.2">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row>
    <row r="158" spans="1:51" ht="19.5" customHeight="1" x14ac:dyDescent="0.2">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row>
    <row r="159" spans="1:51" ht="19.5" customHeight="1" x14ac:dyDescent="0.2">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row>
    <row r="160" spans="1:51" ht="19.5" customHeight="1" x14ac:dyDescent="0.2">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row>
    <row r="161" spans="1:51" ht="19.5" customHeight="1" x14ac:dyDescent="0.2">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row>
    <row r="162" spans="1:51" ht="19.5" customHeight="1" x14ac:dyDescent="0.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row>
    <row r="163" spans="1:51" ht="19.5" customHeight="1" x14ac:dyDescent="0.2">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row>
    <row r="164" spans="1:51" ht="19.5" customHeight="1" x14ac:dyDescent="0.2">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row>
    <row r="165" spans="1:51" ht="19.5" customHeight="1" x14ac:dyDescent="0.2">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row>
    <row r="166" spans="1:51" ht="19.5" customHeight="1" x14ac:dyDescent="0.2">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row>
    <row r="167" spans="1:51" ht="19.5" customHeight="1" x14ac:dyDescent="0.2">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row>
    <row r="168" spans="1:51" ht="19.5" customHeight="1" x14ac:dyDescent="0.2">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row>
    <row r="169" spans="1:51" ht="19.5" customHeight="1" x14ac:dyDescent="0.2">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row>
    <row r="170" spans="1:51" ht="19.5" customHeight="1" x14ac:dyDescent="0.2">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row>
    <row r="171" spans="1:51" ht="19.5" customHeight="1" x14ac:dyDescent="0.2">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row>
    <row r="172" spans="1:51" ht="19.5" customHeight="1" x14ac:dyDescent="0.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row>
    <row r="173" spans="1:51" ht="19.5" customHeight="1" x14ac:dyDescent="0.2">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row>
    <row r="174" spans="1:51" ht="19.5" customHeight="1" x14ac:dyDescent="0.2">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row>
    <row r="175" spans="1:51" ht="19.5" customHeight="1" x14ac:dyDescent="0.2">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row>
    <row r="176" spans="1:51" ht="19.5" customHeight="1" x14ac:dyDescent="0.2">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row>
    <row r="177" spans="1:51" ht="19.5" customHeight="1" x14ac:dyDescent="0.2">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row>
    <row r="178" spans="1:51" ht="19.5" customHeight="1" x14ac:dyDescent="0.2">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row>
    <row r="179" spans="1:51" ht="19.5" customHeight="1" x14ac:dyDescent="0.2">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row>
    <row r="180" spans="1:51" ht="19.5" customHeight="1" x14ac:dyDescent="0.2">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row>
    <row r="181" spans="1:51" ht="19.5" customHeight="1" x14ac:dyDescent="0.2">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row>
    <row r="182" spans="1:51" ht="19.5" customHeight="1" x14ac:dyDescent="0.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row>
    <row r="183" spans="1:51" ht="19.5" customHeight="1" x14ac:dyDescent="0.2">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row>
    <row r="184" spans="1:51" ht="19.5" customHeight="1" x14ac:dyDescent="0.2">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row>
    <row r="185" spans="1:51" ht="19.5" customHeight="1" x14ac:dyDescent="0.2">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row>
    <row r="186" spans="1:51" ht="19.5" customHeight="1" x14ac:dyDescent="0.2">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row>
    <row r="187" spans="1:51" ht="19.5" customHeight="1" x14ac:dyDescent="0.2">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row>
    <row r="188" spans="1:51" ht="19.5" customHeight="1" x14ac:dyDescent="0.2">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row>
    <row r="189" spans="1:51" ht="19.5" customHeight="1" x14ac:dyDescent="0.2">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row>
    <row r="190" spans="1:51" ht="19.5" customHeight="1" x14ac:dyDescent="0.2">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row>
    <row r="191" spans="1:51" ht="19.5" customHeight="1" x14ac:dyDescent="0.2">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row>
    <row r="192" spans="1:51" ht="19.5" customHeight="1" x14ac:dyDescent="0.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row>
    <row r="193" spans="1:51" ht="19.5" customHeight="1" x14ac:dyDescent="0.2">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row>
    <row r="194" spans="1:51" ht="19.5" customHeight="1" x14ac:dyDescent="0.2">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row>
    <row r="195" spans="1:51" ht="19.5" customHeight="1" x14ac:dyDescent="0.2">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row>
    <row r="196" spans="1:51" ht="19.5" customHeight="1" x14ac:dyDescent="0.2">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row>
    <row r="197" spans="1:51" ht="19.5" customHeight="1" x14ac:dyDescent="0.2">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row>
    <row r="198" spans="1:51" ht="19.5" customHeight="1" x14ac:dyDescent="0.2">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row>
    <row r="199" spans="1:51" ht="19.5" customHeight="1" x14ac:dyDescent="0.2">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row>
    <row r="200" spans="1:51" ht="19.5" customHeight="1" x14ac:dyDescent="0.2">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row>
    <row r="201" spans="1:51" ht="19.5" customHeight="1" x14ac:dyDescent="0.2">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row>
    <row r="202" spans="1:51" ht="19.5" customHeight="1" x14ac:dyDescent="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row>
    <row r="203" spans="1:51" ht="19.5" customHeight="1" x14ac:dyDescent="0.2">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row>
    <row r="204" spans="1:51" ht="19.5" customHeight="1" x14ac:dyDescent="0.2">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row>
    <row r="205" spans="1:51" ht="19.5" customHeight="1" x14ac:dyDescent="0.2">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row>
    <row r="206" spans="1:51" ht="19.5" customHeight="1" x14ac:dyDescent="0.2">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row>
    <row r="207" spans="1:51" ht="19.5" customHeight="1" x14ac:dyDescent="0.2">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row>
    <row r="208" spans="1:51" ht="19.5" customHeight="1" x14ac:dyDescent="0.2">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row>
    <row r="209" spans="1:51" ht="19.5" customHeight="1" x14ac:dyDescent="0.2">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row>
    <row r="210" spans="1:51" ht="19.5" customHeight="1" x14ac:dyDescent="0.2">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row>
    <row r="211" spans="1:51" ht="19.5" customHeight="1" x14ac:dyDescent="0.2">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row>
    <row r="212" spans="1:51" ht="19.5" customHeight="1" x14ac:dyDescent="0.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row>
    <row r="213" spans="1:51" ht="19.5" customHeight="1" x14ac:dyDescent="0.2">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row>
    <row r="214" spans="1:51" ht="19.5" customHeight="1" x14ac:dyDescent="0.2">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row>
    <row r="215" spans="1:51" ht="19.5" customHeight="1" x14ac:dyDescent="0.2">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row>
    <row r="216" spans="1:51" ht="19.5" customHeight="1" x14ac:dyDescent="0.2">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row>
    <row r="217" spans="1:51" ht="19.5" customHeight="1" x14ac:dyDescent="0.2">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row>
    <row r="218" spans="1:51" ht="19.5" customHeight="1" x14ac:dyDescent="0.2">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row>
    <row r="219" spans="1:51" ht="19.5" customHeight="1" x14ac:dyDescent="0.2">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row>
    <row r="220" spans="1:51" ht="19.5" customHeight="1" x14ac:dyDescent="0.2">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row>
    <row r="221" spans="1:51" ht="19.5" customHeight="1" x14ac:dyDescent="0.2">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row>
    <row r="222" spans="1:51" ht="19.5" customHeight="1" x14ac:dyDescent="0.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row>
    <row r="223" spans="1:51" ht="19.5" customHeight="1" x14ac:dyDescent="0.2">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row>
    <row r="224" spans="1:51" ht="19.5" customHeight="1" x14ac:dyDescent="0.2">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row>
    <row r="225" spans="1:51" ht="19.5" customHeight="1" x14ac:dyDescent="0.2">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row>
    <row r="226" spans="1:51" ht="19.5" customHeight="1" x14ac:dyDescent="0.2">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row>
    <row r="227" spans="1:51" ht="19.5" customHeight="1" x14ac:dyDescent="0.2">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row>
    <row r="228" spans="1:51" ht="19.5" customHeight="1" x14ac:dyDescent="0.2">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row>
    <row r="229" spans="1:51" ht="19.5" customHeight="1" x14ac:dyDescent="0.2">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row>
    <row r="230" spans="1:51" ht="19.5" customHeight="1" x14ac:dyDescent="0.2">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row>
    <row r="231" spans="1:51" ht="19.5" customHeight="1" x14ac:dyDescent="0.2">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row>
    <row r="232" spans="1:51" ht="19.5" customHeight="1" x14ac:dyDescent="0.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row>
    <row r="233" spans="1:51" ht="19.5" customHeight="1" x14ac:dyDescent="0.2">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row>
    <row r="234" spans="1:51" ht="19.5" customHeight="1" x14ac:dyDescent="0.2">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row>
    <row r="235" spans="1:51" ht="19.5" customHeight="1" x14ac:dyDescent="0.2">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row>
    <row r="236" spans="1:51" ht="19.5" customHeight="1" x14ac:dyDescent="0.2">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row>
    <row r="237" spans="1:51" ht="19.5" customHeight="1" x14ac:dyDescent="0.2">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row>
    <row r="238" spans="1:51" ht="19.5" customHeight="1" x14ac:dyDescent="0.2">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row>
    <row r="239" spans="1:51" ht="19.5" customHeight="1" x14ac:dyDescent="0.2">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row>
    <row r="240" spans="1:51" ht="19.5" customHeight="1" x14ac:dyDescent="0.2">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row>
    <row r="241" spans="1:51" ht="19.5" customHeight="1" x14ac:dyDescent="0.2">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row>
    <row r="242" spans="1:51" ht="19.5" customHeight="1" x14ac:dyDescent="0.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row>
    <row r="243" spans="1:51" ht="19.5" customHeight="1" x14ac:dyDescent="0.2">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row>
    <row r="244" spans="1:51" ht="19.5" customHeight="1" x14ac:dyDescent="0.2">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row>
    <row r="245" spans="1:51" ht="19.5" customHeight="1" x14ac:dyDescent="0.2">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row>
    <row r="246" spans="1:51" ht="19.5" customHeight="1" x14ac:dyDescent="0.2">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row>
    <row r="247" spans="1:51" ht="19.5" customHeight="1" x14ac:dyDescent="0.2">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row>
    <row r="248" spans="1:51" ht="19.5" customHeight="1" x14ac:dyDescent="0.2">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row>
    <row r="249" spans="1:51" ht="19.5" customHeight="1" x14ac:dyDescent="0.2">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row>
    <row r="250" spans="1:51" ht="19.5" customHeight="1" x14ac:dyDescent="0.2">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row>
    <row r="251" spans="1:51" ht="19.5" customHeight="1" x14ac:dyDescent="0.2">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row>
    <row r="252" spans="1:51" ht="19.5" customHeight="1" x14ac:dyDescent="0.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row>
    <row r="253" spans="1:51" ht="19.5" customHeight="1" x14ac:dyDescent="0.2">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row>
    <row r="254" spans="1:51" ht="19.5" customHeight="1" x14ac:dyDescent="0.2">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row>
    <row r="255" spans="1:51" ht="19.5" customHeight="1" x14ac:dyDescent="0.2">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row>
    <row r="256" spans="1:51" ht="19.5" customHeight="1" x14ac:dyDescent="0.2">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row>
    <row r="257" spans="1:51" ht="19.5" customHeight="1" x14ac:dyDescent="0.2">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row>
    <row r="258" spans="1:51" ht="19.5" customHeight="1" x14ac:dyDescent="0.2">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row>
    <row r="259" spans="1:51" ht="19.5" customHeight="1" x14ac:dyDescent="0.2">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row>
    <row r="260" spans="1:51" ht="19.5" customHeight="1" x14ac:dyDescent="0.2">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row>
    <row r="261" spans="1:51" ht="19.5" customHeight="1" x14ac:dyDescent="0.2">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row>
    <row r="262" spans="1:51" ht="19.5" customHeight="1" x14ac:dyDescent="0.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row>
    <row r="263" spans="1:51" ht="19.5" customHeight="1" x14ac:dyDescent="0.2">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row>
    <row r="264" spans="1:51" ht="19.5" customHeight="1" x14ac:dyDescent="0.2">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row>
    <row r="265" spans="1:51" ht="19.5" customHeight="1" x14ac:dyDescent="0.2">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row>
    <row r="266" spans="1:51" ht="19.5" customHeight="1" x14ac:dyDescent="0.2">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row>
    <row r="267" spans="1:51" ht="19.5" customHeight="1" x14ac:dyDescent="0.2">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row>
    <row r="268" spans="1:51" ht="19.5" customHeight="1" x14ac:dyDescent="0.2">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row>
    <row r="269" spans="1:51" ht="19.5" customHeight="1" x14ac:dyDescent="0.2">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row>
    <row r="270" spans="1:51" ht="19.5" customHeight="1" x14ac:dyDescent="0.2">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row>
    <row r="271" spans="1:51" ht="19.5" customHeight="1" x14ac:dyDescent="0.2">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row>
    <row r="272" spans="1:51" ht="19.5" customHeight="1" x14ac:dyDescent="0.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row>
    <row r="273" spans="1:51" ht="19.5" customHeight="1" x14ac:dyDescent="0.2">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row>
    <row r="274" spans="1:51" ht="19.5" customHeight="1" x14ac:dyDescent="0.2">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row>
    <row r="275" spans="1:51" ht="19.5" customHeight="1" x14ac:dyDescent="0.2">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row>
    <row r="276" spans="1:51" ht="15.75" customHeight="1" x14ac:dyDescent="0.2"/>
    <row r="277" spans="1:51" ht="15.75" customHeight="1" x14ac:dyDescent="0.2"/>
    <row r="278" spans="1:51" ht="15.75" customHeight="1" x14ac:dyDescent="0.2"/>
    <row r="279" spans="1:51" ht="15.75" customHeight="1" x14ac:dyDescent="0.2"/>
    <row r="280" spans="1:51" ht="15.75" customHeight="1" x14ac:dyDescent="0.2"/>
    <row r="281" spans="1:51" ht="15.75" customHeight="1" x14ac:dyDescent="0.2"/>
    <row r="282" spans="1:51" ht="15.75" customHeight="1" x14ac:dyDescent="0.2"/>
    <row r="283" spans="1:51" ht="15.75" customHeight="1" x14ac:dyDescent="0.2"/>
    <row r="284" spans="1:51" ht="15.75" customHeight="1" x14ac:dyDescent="0.2"/>
    <row r="285" spans="1:51" ht="15.75" customHeight="1" x14ac:dyDescent="0.2"/>
    <row r="286" spans="1:51" ht="15.75" customHeight="1" x14ac:dyDescent="0.2"/>
    <row r="287" spans="1:51" ht="15.75" customHeight="1" x14ac:dyDescent="0.2"/>
    <row r="288" spans="1:51"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sheetData>
  <mergeCells count="429">
    <mergeCell ref="AE74:AH74"/>
    <mergeCell ref="Q75:W75"/>
    <mergeCell ref="X75:AD75"/>
    <mergeCell ref="AE75:AH75"/>
    <mergeCell ref="B72:D72"/>
    <mergeCell ref="E72:I72"/>
    <mergeCell ref="J72:P72"/>
    <mergeCell ref="Q72:W72"/>
    <mergeCell ref="X72:AD72"/>
    <mergeCell ref="AE72:AH72"/>
    <mergeCell ref="B73:D73"/>
    <mergeCell ref="AE73:AH73"/>
    <mergeCell ref="B74:D74"/>
    <mergeCell ref="E74:I74"/>
    <mergeCell ref="J74:P74"/>
    <mergeCell ref="B75:D75"/>
    <mergeCell ref="E75:I75"/>
    <mergeCell ref="J75:P75"/>
    <mergeCell ref="Q73:W73"/>
    <mergeCell ref="X73:AD73"/>
    <mergeCell ref="Q74:W74"/>
    <mergeCell ref="X74:AD74"/>
    <mergeCell ref="B70:D70"/>
    <mergeCell ref="E70:I70"/>
    <mergeCell ref="J70:P70"/>
    <mergeCell ref="Q70:W70"/>
    <mergeCell ref="X70:AD70"/>
    <mergeCell ref="AE70:AH70"/>
    <mergeCell ref="B71:D71"/>
    <mergeCell ref="E73:I73"/>
    <mergeCell ref="J73:P73"/>
    <mergeCell ref="B64:D64"/>
    <mergeCell ref="B65:D65"/>
    <mergeCell ref="E65:I65"/>
    <mergeCell ref="J65:P65"/>
    <mergeCell ref="Q65:W65"/>
    <mergeCell ref="X65:AD65"/>
    <mergeCell ref="AE65:AH65"/>
    <mergeCell ref="Q67:W67"/>
    <mergeCell ref="X67:AD67"/>
    <mergeCell ref="B66:D66"/>
    <mergeCell ref="E66:I66"/>
    <mergeCell ref="J66:P66"/>
    <mergeCell ref="Q66:W66"/>
    <mergeCell ref="X66:AD66"/>
    <mergeCell ref="AE66:AH66"/>
    <mergeCell ref="B67:D67"/>
    <mergeCell ref="AE67:AH67"/>
    <mergeCell ref="B60:D60"/>
    <mergeCell ref="B61:D61"/>
    <mergeCell ref="E61:I61"/>
    <mergeCell ref="J61:P61"/>
    <mergeCell ref="Q61:W61"/>
    <mergeCell ref="X61:AD61"/>
    <mergeCell ref="AE61:AH61"/>
    <mergeCell ref="Q63:W63"/>
    <mergeCell ref="X63:AD63"/>
    <mergeCell ref="B62:D62"/>
    <mergeCell ref="E62:I62"/>
    <mergeCell ref="J62:P62"/>
    <mergeCell ref="Q62:W62"/>
    <mergeCell ref="X62:AD62"/>
    <mergeCell ref="AE62:AH62"/>
    <mergeCell ref="B63:D63"/>
    <mergeCell ref="AE63:AH63"/>
    <mergeCell ref="E63:I63"/>
    <mergeCell ref="J63:P63"/>
    <mergeCell ref="B56:D56"/>
    <mergeCell ref="B57:D57"/>
    <mergeCell ref="E57:I57"/>
    <mergeCell ref="J57:P57"/>
    <mergeCell ref="Q57:W57"/>
    <mergeCell ref="X57:AD57"/>
    <mergeCell ref="AE57:AH57"/>
    <mergeCell ref="Q59:W59"/>
    <mergeCell ref="X59:AD59"/>
    <mergeCell ref="B58:D58"/>
    <mergeCell ref="E58:I58"/>
    <mergeCell ref="J58:P58"/>
    <mergeCell ref="Q58:W58"/>
    <mergeCell ref="X58:AD58"/>
    <mergeCell ref="AE58:AH58"/>
    <mergeCell ref="B59:D59"/>
    <mergeCell ref="AE59:AH59"/>
    <mergeCell ref="E59:I59"/>
    <mergeCell ref="J59:P59"/>
    <mergeCell ref="E71:I71"/>
    <mergeCell ref="J71:P71"/>
    <mergeCell ref="AE71:AH71"/>
    <mergeCell ref="E55:I55"/>
    <mergeCell ref="J55:P55"/>
    <mergeCell ref="E56:I56"/>
    <mergeCell ref="J56:P56"/>
    <mergeCell ref="Q56:W56"/>
    <mergeCell ref="X56:AD56"/>
    <mergeCell ref="AE56:AH56"/>
    <mergeCell ref="E60:I60"/>
    <mergeCell ref="J60:P60"/>
    <mergeCell ref="Q60:W60"/>
    <mergeCell ref="X60:AD60"/>
    <mergeCell ref="AE60:AH60"/>
    <mergeCell ref="E64:I64"/>
    <mergeCell ref="J64:P64"/>
    <mergeCell ref="Q64:W64"/>
    <mergeCell ref="X64:AD64"/>
    <mergeCell ref="AE64:AH64"/>
    <mergeCell ref="Q71:W71"/>
    <mergeCell ref="X71:AD71"/>
    <mergeCell ref="B53:D53"/>
    <mergeCell ref="E53:I53"/>
    <mergeCell ref="J53:P53"/>
    <mergeCell ref="Q53:W53"/>
    <mergeCell ref="X53:AD53"/>
    <mergeCell ref="AE53:AH53"/>
    <mergeCell ref="E50:I50"/>
    <mergeCell ref="J50:P50"/>
    <mergeCell ref="B51:D51"/>
    <mergeCell ref="E51:I51"/>
    <mergeCell ref="J51:P51"/>
    <mergeCell ref="E52:I52"/>
    <mergeCell ref="J52:P52"/>
    <mergeCell ref="Q51:W51"/>
    <mergeCell ref="X51:AD51"/>
    <mergeCell ref="AE51:AH51"/>
    <mergeCell ref="Q52:W52"/>
    <mergeCell ref="X52:AD52"/>
    <mergeCell ref="AE52:AH52"/>
    <mergeCell ref="B49:D49"/>
    <mergeCell ref="E49:I49"/>
    <mergeCell ref="J49:P49"/>
    <mergeCell ref="Q49:W49"/>
    <mergeCell ref="X49:AD49"/>
    <mergeCell ref="AE49:AH49"/>
    <mergeCell ref="B50:D50"/>
    <mergeCell ref="AE50:AH50"/>
    <mergeCell ref="B52:D52"/>
    <mergeCell ref="B47:D47"/>
    <mergeCell ref="E47:I47"/>
    <mergeCell ref="J47:P47"/>
    <mergeCell ref="Q47:W47"/>
    <mergeCell ref="X47:AD47"/>
    <mergeCell ref="AE47:AH47"/>
    <mergeCell ref="B48:D48"/>
    <mergeCell ref="Q50:W50"/>
    <mergeCell ref="X50:AD50"/>
    <mergeCell ref="E67:I67"/>
    <mergeCell ref="J67:P67"/>
    <mergeCell ref="E68:I68"/>
    <mergeCell ref="J68:P68"/>
    <mergeCell ref="Q68:W68"/>
    <mergeCell ref="X68:AD68"/>
    <mergeCell ref="AE68:AH68"/>
    <mergeCell ref="B68:D68"/>
    <mergeCell ref="B69:D69"/>
    <mergeCell ref="E69:I69"/>
    <mergeCell ref="J69:P69"/>
    <mergeCell ref="Q69:W69"/>
    <mergeCell ref="X69:AD69"/>
    <mergeCell ref="AE69:AH69"/>
    <mergeCell ref="Q55:W55"/>
    <mergeCell ref="X55:AD55"/>
    <mergeCell ref="B54:D54"/>
    <mergeCell ref="E54:I54"/>
    <mergeCell ref="J54:P54"/>
    <mergeCell ref="Q54:W54"/>
    <mergeCell ref="X54:AD54"/>
    <mergeCell ref="AE54:AH54"/>
    <mergeCell ref="B55:D55"/>
    <mergeCell ref="AE55:AH55"/>
    <mergeCell ref="B41:D41"/>
    <mergeCell ref="B42:D42"/>
    <mergeCell ref="E42:I42"/>
    <mergeCell ref="J42:P42"/>
    <mergeCell ref="Q42:W42"/>
    <mergeCell ref="X42:AD42"/>
    <mergeCell ref="AE42:AH42"/>
    <mergeCell ref="Q44:W44"/>
    <mergeCell ref="X44:AD44"/>
    <mergeCell ref="B43:D43"/>
    <mergeCell ref="E43:I43"/>
    <mergeCell ref="J43:P43"/>
    <mergeCell ref="Q43:W43"/>
    <mergeCell ref="X43:AD43"/>
    <mergeCell ref="AE43:AH43"/>
    <mergeCell ref="B44:D44"/>
    <mergeCell ref="AE44:AH44"/>
    <mergeCell ref="B37:D37"/>
    <mergeCell ref="B38:D38"/>
    <mergeCell ref="E38:I38"/>
    <mergeCell ref="J38:P38"/>
    <mergeCell ref="Q38:W38"/>
    <mergeCell ref="X38:AD38"/>
    <mergeCell ref="AE38:AH38"/>
    <mergeCell ref="Q40:W40"/>
    <mergeCell ref="X40:AD40"/>
    <mergeCell ref="B39:D39"/>
    <mergeCell ref="E39:I39"/>
    <mergeCell ref="J39:P39"/>
    <mergeCell ref="Q39:W39"/>
    <mergeCell ref="X39:AD39"/>
    <mergeCell ref="AE39:AH39"/>
    <mergeCell ref="B40:D40"/>
    <mergeCell ref="AE40:AH40"/>
    <mergeCell ref="E40:I40"/>
    <mergeCell ref="J40:P40"/>
    <mergeCell ref="B33:D33"/>
    <mergeCell ref="B34:D34"/>
    <mergeCell ref="E34:I34"/>
    <mergeCell ref="J34:P34"/>
    <mergeCell ref="Q34:W34"/>
    <mergeCell ref="X34:AD34"/>
    <mergeCell ref="AE34:AH34"/>
    <mergeCell ref="Q36:W36"/>
    <mergeCell ref="X36:AD36"/>
    <mergeCell ref="B35:D35"/>
    <mergeCell ref="E35:I35"/>
    <mergeCell ref="J35:P35"/>
    <mergeCell ref="Q35:W35"/>
    <mergeCell ref="X35:AD35"/>
    <mergeCell ref="AE35:AH35"/>
    <mergeCell ref="B36:D36"/>
    <mergeCell ref="AE36:AH36"/>
    <mergeCell ref="E36:I36"/>
    <mergeCell ref="J36:P36"/>
    <mergeCell ref="AE22:AH22"/>
    <mergeCell ref="E48:I48"/>
    <mergeCell ref="J48:P48"/>
    <mergeCell ref="AE48:AH48"/>
    <mergeCell ref="E32:I32"/>
    <mergeCell ref="J32:P32"/>
    <mergeCell ref="E33:I33"/>
    <mergeCell ref="J33:P33"/>
    <mergeCell ref="Q33:W33"/>
    <mergeCell ref="X33:AD33"/>
    <mergeCell ref="AE33:AH33"/>
    <mergeCell ref="E37:I37"/>
    <mergeCell ref="J37:P37"/>
    <mergeCell ref="Q37:W37"/>
    <mergeCell ref="X37:AD37"/>
    <mergeCell ref="AE37:AH37"/>
    <mergeCell ref="E41:I41"/>
    <mergeCell ref="J41:P41"/>
    <mergeCell ref="Q41:W41"/>
    <mergeCell ref="X41:AD41"/>
    <mergeCell ref="AE41:AH41"/>
    <mergeCell ref="Q48:W48"/>
    <mergeCell ref="X48:AD48"/>
    <mergeCell ref="B18:D18"/>
    <mergeCell ref="E18:I18"/>
    <mergeCell ref="J18:P18"/>
    <mergeCell ref="Q18:W18"/>
    <mergeCell ref="X18:AD18"/>
    <mergeCell ref="AE18:AH18"/>
    <mergeCell ref="B19:D19"/>
    <mergeCell ref="AE19:AH19"/>
    <mergeCell ref="B21:D21"/>
    <mergeCell ref="B17:D17"/>
    <mergeCell ref="E17:I17"/>
    <mergeCell ref="J17:P17"/>
    <mergeCell ref="Q17:W17"/>
    <mergeCell ref="X17:AD17"/>
    <mergeCell ref="AE17:AH17"/>
    <mergeCell ref="E14:I14"/>
    <mergeCell ref="J14:P14"/>
    <mergeCell ref="B15:D15"/>
    <mergeCell ref="E15:I15"/>
    <mergeCell ref="J15:P15"/>
    <mergeCell ref="E16:I16"/>
    <mergeCell ref="J16:P16"/>
    <mergeCell ref="Q14:W14"/>
    <mergeCell ref="X14:AD14"/>
    <mergeCell ref="Q15:W15"/>
    <mergeCell ref="X15:AD15"/>
    <mergeCell ref="AE15:AH15"/>
    <mergeCell ref="Q16:W16"/>
    <mergeCell ref="X16:AD16"/>
    <mergeCell ref="AE16:AH16"/>
    <mergeCell ref="B13:D13"/>
    <mergeCell ref="E13:I13"/>
    <mergeCell ref="J13:P13"/>
    <mergeCell ref="Q13:W13"/>
    <mergeCell ref="X13:AD13"/>
    <mergeCell ref="AE13:AH13"/>
    <mergeCell ref="B14:D14"/>
    <mergeCell ref="AE14:AH14"/>
    <mergeCell ref="B16:D16"/>
    <mergeCell ref="E44:I44"/>
    <mergeCell ref="J44:P44"/>
    <mergeCell ref="E45:I45"/>
    <mergeCell ref="J45:P45"/>
    <mergeCell ref="Q45:W45"/>
    <mergeCell ref="X45:AD45"/>
    <mergeCell ref="AE45:AH45"/>
    <mergeCell ref="B45:D45"/>
    <mergeCell ref="B46:D46"/>
    <mergeCell ref="E46:I46"/>
    <mergeCell ref="J46:P46"/>
    <mergeCell ref="Q46:W46"/>
    <mergeCell ref="X46:AD46"/>
    <mergeCell ref="AE46:AH46"/>
    <mergeCell ref="Q32:W32"/>
    <mergeCell ref="X32:AD32"/>
    <mergeCell ref="B31:D31"/>
    <mergeCell ref="E31:I31"/>
    <mergeCell ref="J31:P31"/>
    <mergeCell ref="Q31:W31"/>
    <mergeCell ref="X31:AD31"/>
    <mergeCell ref="AE31:AH31"/>
    <mergeCell ref="B32:D32"/>
    <mergeCell ref="AE32:AH32"/>
    <mergeCell ref="E29:I29"/>
    <mergeCell ref="J29:P29"/>
    <mergeCell ref="Q29:W29"/>
    <mergeCell ref="X29:AD29"/>
    <mergeCell ref="AE29:AH29"/>
    <mergeCell ref="B29:D29"/>
    <mergeCell ref="B30:D30"/>
    <mergeCell ref="E30:I30"/>
    <mergeCell ref="J30:P30"/>
    <mergeCell ref="Q30:W30"/>
    <mergeCell ref="X30:AD30"/>
    <mergeCell ref="AE30:AH30"/>
    <mergeCell ref="B26:D26"/>
    <mergeCell ref="E26:I26"/>
    <mergeCell ref="J26:P26"/>
    <mergeCell ref="Q26:W26"/>
    <mergeCell ref="X26:AD26"/>
    <mergeCell ref="AE26:AH26"/>
    <mergeCell ref="Q28:W28"/>
    <mergeCell ref="X28:AD28"/>
    <mergeCell ref="B27:D27"/>
    <mergeCell ref="E27:I27"/>
    <mergeCell ref="J27:P27"/>
    <mergeCell ref="Q27:W27"/>
    <mergeCell ref="X27:AD27"/>
    <mergeCell ref="AE27:AH27"/>
    <mergeCell ref="B28:D28"/>
    <mergeCell ref="AE28:AH28"/>
    <mergeCell ref="E28:I28"/>
    <mergeCell ref="J28:P28"/>
    <mergeCell ref="AE23:AH23"/>
    <mergeCell ref="B24:D24"/>
    <mergeCell ref="AE24:AH24"/>
    <mergeCell ref="E24:I24"/>
    <mergeCell ref="J24:P24"/>
    <mergeCell ref="E25:I25"/>
    <mergeCell ref="J25:P25"/>
    <mergeCell ref="Q25:W25"/>
    <mergeCell ref="X25:AD25"/>
    <mergeCell ref="AE25:AH25"/>
    <mergeCell ref="B25:D25"/>
    <mergeCell ref="B20:D20"/>
    <mergeCell ref="E20:I20"/>
    <mergeCell ref="J20:P20"/>
    <mergeCell ref="E21:I21"/>
    <mergeCell ref="J21:P21"/>
    <mergeCell ref="Q24:W24"/>
    <mergeCell ref="X24:AD24"/>
    <mergeCell ref="B23:D23"/>
    <mergeCell ref="E23:I23"/>
    <mergeCell ref="J23:P23"/>
    <mergeCell ref="Q23:W23"/>
    <mergeCell ref="X23:AD23"/>
    <mergeCell ref="B22:D22"/>
    <mergeCell ref="E22:I22"/>
    <mergeCell ref="J22:P22"/>
    <mergeCell ref="Q22:W22"/>
    <mergeCell ref="X22:AD22"/>
    <mergeCell ref="Q19:W19"/>
    <mergeCell ref="X19:AD19"/>
    <mergeCell ref="Q20:W20"/>
    <mergeCell ref="X20:AD20"/>
    <mergeCell ref="AE20:AH20"/>
    <mergeCell ref="Q21:W21"/>
    <mergeCell ref="X21:AD21"/>
    <mergeCell ref="AE21:AH21"/>
    <mergeCell ref="E19:I19"/>
    <mergeCell ref="J19:P19"/>
    <mergeCell ref="B12:D12"/>
    <mergeCell ref="E12:I12"/>
    <mergeCell ref="J12:P12"/>
    <mergeCell ref="Q12:W12"/>
    <mergeCell ref="X12:AD12"/>
    <mergeCell ref="AE12:AH12"/>
    <mergeCell ref="E9:I9"/>
    <mergeCell ref="J9:P9"/>
    <mergeCell ref="B10:D10"/>
    <mergeCell ref="E10:I10"/>
    <mergeCell ref="J10:P10"/>
    <mergeCell ref="E11:I11"/>
    <mergeCell ref="J11:P11"/>
    <mergeCell ref="Q9:W9"/>
    <mergeCell ref="X9:AD9"/>
    <mergeCell ref="Q10:W10"/>
    <mergeCell ref="X10:AD10"/>
    <mergeCell ref="AE10:AH10"/>
    <mergeCell ref="Q11:W11"/>
    <mergeCell ref="X11:AD11"/>
    <mergeCell ref="AE11:AH11"/>
    <mergeCell ref="B8:D8"/>
    <mergeCell ref="E8:I8"/>
    <mergeCell ref="J8:P8"/>
    <mergeCell ref="Q8:W8"/>
    <mergeCell ref="X8:AD8"/>
    <mergeCell ref="AE8:AH8"/>
    <mergeCell ref="B9:D9"/>
    <mergeCell ref="AE9:AH9"/>
    <mergeCell ref="B11:D11"/>
    <mergeCell ref="A4:E4"/>
    <mergeCell ref="F4:AH4"/>
    <mergeCell ref="A6:A7"/>
    <mergeCell ref="B6:D7"/>
    <mergeCell ref="E6:I7"/>
    <mergeCell ref="J6:P7"/>
    <mergeCell ref="Q6:W7"/>
    <mergeCell ref="X6:AD7"/>
    <mergeCell ref="AE6:AH7"/>
    <mergeCell ref="A1:E1"/>
    <mergeCell ref="F1:Q1"/>
    <mergeCell ref="R1:V1"/>
    <mergeCell ref="W1:AH1"/>
    <mergeCell ref="F2:Q2"/>
    <mergeCell ref="R2:V2"/>
    <mergeCell ref="W2:AH2"/>
    <mergeCell ref="A2:E2"/>
    <mergeCell ref="A3:E3"/>
    <mergeCell ref="F3:Q3"/>
    <mergeCell ref="R3:V3"/>
    <mergeCell ref="W3:AH3"/>
  </mergeCells>
  <dataValidations count="2">
    <dataValidation type="list" allowBlank="1" showErrorMessage="1" sqref="AE8:AE75" xr:uid="{00000000-0002-0000-0400-000000000000}">
      <formula1>"合格,不合格,未テスト,N/A"</formula1>
    </dataValidation>
    <dataValidation type="list" allowBlank="1" showErrorMessage="1" sqref="F1" xr:uid="{00000000-0002-0000-0400-000001000000}">
      <formula1>"単体テスト,結合テスト,システムテスト"</formula1>
    </dataValidation>
  </dataValidations>
  <pageMargins left="0.70866141732283505" right="0.70866141732283505" top="0.74803149606299202" bottom="0.74803149606299202" header="0" footer="0"/>
  <pageSetup paperSize="9" orientation="landscape"/>
  <headerFooter>
    <oddHeader>&amp;L&amp;F</oddHeader>
    <oddFooter>&amp;L08-BM/PM/VTI&amp;C社外秘&amp;R&amp;P</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E319"/>
  <sheetViews>
    <sheetView tabSelected="1" workbookViewId="0">
      <selection activeCell="AG14" sqref="AG14:AI14"/>
    </sheetView>
  </sheetViews>
  <sheetFormatPr baseColWidth="10" defaultColWidth="14.5" defaultRowHeight="15" customHeight="1" x14ac:dyDescent="0.2"/>
  <cols>
    <col min="1" max="8" width="3.6640625" customWidth="1"/>
    <col min="9" max="9" width="5.5" customWidth="1"/>
    <col min="10" max="15" width="3.6640625" customWidth="1"/>
    <col min="16" max="16" width="8.5" customWidth="1"/>
    <col min="17" max="22" width="3.6640625" customWidth="1"/>
    <col min="23" max="23" width="26.1640625" customWidth="1"/>
    <col min="24" max="30" width="7.5" customWidth="1"/>
    <col min="31" max="37" width="3.6640625" customWidth="1"/>
    <col min="38" max="38" width="8" customWidth="1"/>
    <col min="39" max="52" width="3.6640625" customWidth="1"/>
    <col min="53" max="53" width="8.6640625" customWidth="1"/>
    <col min="54" max="135" width="3.6640625" customWidth="1"/>
  </cols>
  <sheetData>
    <row r="1" spans="1:135" ht="19.5" customHeight="1" x14ac:dyDescent="0.2">
      <c r="A1" s="57" t="s">
        <v>266</v>
      </c>
      <c r="B1" s="29"/>
      <c r="C1" s="29"/>
      <c r="D1" s="29"/>
      <c r="E1" s="30"/>
      <c r="F1" s="60" t="s">
        <v>68</v>
      </c>
      <c r="G1" s="29"/>
      <c r="H1" s="29"/>
      <c r="I1" s="29"/>
      <c r="J1" s="29"/>
      <c r="K1" s="29"/>
      <c r="L1" s="29"/>
      <c r="M1" s="29"/>
      <c r="N1" s="29"/>
      <c r="O1" s="29"/>
      <c r="P1" s="29"/>
      <c r="Q1" s="30"/>
      <c r="R1" s="57" t="s">
        <v>267</v>
      </c>
      <c r="S1" s="29"/>
      <c r="T1" s="29"/>
      <c r="U1" s="29"/>
      <c r="V1" s="30"/>
      <c r="W1" s="70" t="s">
        <v>70</v>
      </c>
      <c r="X1" s="29"/>
      <c r="Y1" s="29"/>
      <c r="Z1" s="29"/>
      <c r="AA1" s="29"/>
      <c r="AB1" s="29"/>
      <c r="AC1" s="29"/>
      <c r="AD1" s="29"/>
      <c r="AE1" s="29"/>
      <c r="AF1" s="29"/>
      <c r="AG1" s="29"/>
      <c r="AH1" s="30"/>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8"/>
      <c r="CZ1" s="18"/>
      <c r="DA1" s="18"/>
      <c r="DB1" s="18"/>
      <c r="DC1" s="18"/>
      <c r="DD1" s="18"/>
      <c r="DE1" s="18"/>
      <c r="DF1" s="18"/>
      <c r="DG1" s="18"/>
      <c r="DH1" s="18"/>
      <c r="DI1" s="18"/>
      <c r="DJ1" s="18"/>
      <c r="DK1" s="18"/>
      <c r="DL1" s="18"/>
      <c r="DM1" s="18"/>
      <c r="DN1" s="18"/>
      <c r="DO1" s="18"/>
      <c r="DP1" s="18"/>
      <c r="DQ1" s="18"/>
      <c r="DR1" s="18"/>
      <c r="DS1" s="18"/>
      <c r="DT1" s="18"/>
      <c r="DU1" s="18"/>
      <c r="DV1" s="18"/>
      <c r="DW1" s="18"/>
      <c r="DX1" s="18"/>
      <c r="DY1" s="18"/>
      <c r="DZ1" s="18"/>
      <c r="EA1" s="18"/>
      <c r="EB1" s="18"/>
      <c r="EC1" s="18"/>
      <c r="ED1" s="18"/>
      <c r="EE1" s="18"/>
    </row>
    <row r="2" spans="1:135" ht="19.5" customHeight="1" x14ac:dyDescent="0.2">
      <c r="A2" s="57" t="s">
        <v>268</v>
      </c>
      <c r="B2" s="29"/>
      <c r="C2" s="29"/>
      <c r="D2" s="29"/>
      <c r="E2" s="30"/>
      <c r="F2" s="70" t="s">
        <v>14</v>
      </c>
      <c r="G2" s="29"/>
      <c r="H2" s="29"/>
      <c r="I2" s="29"/>
      <c r="J2" s="29"/>
      <c r="K2" s="29"/>
      <c r="L2" s="29"/>
      <c r="M2" s="29"/>
      <c r="N2" s="29"/>
      <c r="O2" s="29"/>
      <c r="P2" s="29"/>
      <c r="Q2" s="30"/>
      <c r="R2" s="57" t="s">
        <v>269</v>
      </c>
      <c r="S2" s="29"/>
      <c r="T2" s="29"/>
      <c r="U2" s="29"/>
      <c r="V2" s="30"/>
      <c r="W2" s="58">
        <v>46127</v>
      </c>
      <c r="X2" s="29"/>
      <c r="Y2" s="29"/>
      <c r="Z2" s="29"/>
      <c r="AA2" s="29"/>
      <c r="AB2" s="29"/>
      <c r="AC2" s="29"/>
      <c r="AD2" s="29"/>
      <c r="AE2" s="29"/>
      <c r="AF2" s="29"/>
      <c r="AG2" s="29"/>
      <c r="AH2" s="30"/>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row>
    <row r="3" spans="1:135" ht="19.5" customHeight="1" x14ac:dyDescent="0.2">
      <c r="A3" s="57" t="s">
        <v>270</v>
      </c>
      <c r="B3" s="29"/>
      <c r="C3" s="29"/>
      <c r="D3" s="29"/>
      <c r="E3" s="30"/>
      <c r="F3" s="70" t="s">
        <v>16</v>
      </c>
      <c r="G3" s="29"/>
      <c r="H3" s="29"/>
      <c r="I3" s="29"/>
      <c r="J3" s="29"/>
      <c r="K3" s="29"/>
      <c r="L3" s="29"/>
      <c r="M3" s="29"/>
      <c r="N3" s="29"/>
      <c r="O3" s="29"/>
      <c r="P3" s="29"/>
      <c r="Q3" s="30"/>
      <c r="R3" s="57" t="s">
        <v>271</v>
      </c>
      <c r="S3" s="29"/>
      <c r="T3" s="29"/>
      <c r="U3" s="29"/>
      <c r="V3" s="30"/>
      <c r="W3" s="58"/>
      <c r="X3" s="29"/>
      <c r="Y3" s="29"/>
      <c r="Z3" s="29"/>
      <c r="AA3" s="29"/>
      <c r="AB3" s="29"/>
      <c r="AC3" s="29"/>
      <c r="AD3" s="29"/>
      <c r="AE3" s="29"/>
      <c r="AF3" s="29"/>
      <c r="AG3" s="29"/>
      <c r="AH3" s="30"/>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c r="ED3" s="18"/>
      <c r="EE3" s="18"/>
    </row>
    <row r="4" spans="1:135" ht="43.5" customHeight="1" x14ac:dyDescent="0.2">
      <c r="A4" s="57" t="s">
        <v>272</v>
      </c>
      <c r="B4" s="29"/>
      <c r="C4" s="29"/>
      <c r="D4" s="29"/>
      <c r="E4" s="30"/>
      <c r="F4" s="70" t="s">
        <v>76</v>
      </c>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30"/>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row>
    <row r="5" spans="1:135" ht="19.5" customHeight="1" x14ac:dyDescent="0.2">
      <c r="A5" s="69" t="s">
        <v>273</v>
      </c>
      <c r="B5" s="29"/>
      <c r="C5" s="29"/>
      <c r="D5" s="29"/>
      <c r="E5" s="29"/>
      <c r="F5" s="29"/>
      <c r="G5" s="29"/>
      <c r="H5" s="29"/>
      <c r="I5" s="29"/>
      <c r="J5" s="29"/>
      <c r="K5" s="29"/>
      <c r="L5" s="29"/>
      <c r="M5" s="29"/>
      <c r="N5" s="29"/>
      <c r="O5" s="29"/>
      <c r="P5" s="29"/>
      <c r="Q5" s="29"/>
      <c r="R5" s="29"/>
      <c r="S5" s="76"/>
      <c r="T5" s="69" t="s">
        <v>274</v>
      </c>
      <c r="U5" s="29"/>
      <c r="V5" s="29"/>
      <c r="W5" s="29"/>
      <c r="X5" s="29"/>
      <c r="Y5" s="29"/>
      <c r="Z5" s="29"/>
      <c r="AA5" s="29"/>
      <c r="AB5" s="29"/>
      <c r="AC5" s="29"/>
      <c r="AD5" s="29"/>
      <c r="AE5" s="29"/>
      <c r="AF5" s="29"/>
      <c r="AG5" s="29"/>
      <c r="AH5" s="30"/>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8"/>
      <c r="DP5" s="18"/>
      <c r="DQ5" s="18"/>
      <c r="DR5" s="18"/>
      <c r="DS5" s="18"/>
      <c r="DT5" s="18"/>
      <c r="DU5" s="18"/>
      <c r="DV5" s="18"/>
      <c r="DW5" s="18"/>
      <c r="DX5" s="18"/>
      <c r="DY5" s="18"/>
      <c r="DZ5" s="18"/>
      <c r="EA5" s="18"/>
      <c r="EB5" s="18"/>
      <c r="EC5" s="18"/>
      <c r="ED5" s="18"/>
      <c r="EE5" s="18"/>
    </row>
    <row r="6" spans="1:135" ht="19.5" customHeight="1" x14ac:dyDescent="0.2">
      <c r="A6" s="69" t="s">
        <v>275</v>
      </c>
      <c r="B6" s="29"/>
      <c r="C6" s="29"/>
      <c r="D6" s="29"/>
      <c r="E6" s="29"/>
      <c r="F6" s="29"/>
      <c r="G6" s="30"/>
      <c r="H6" s="69" t="s">
        <v>276</v>
      </c>
      <c r="I6" s="29"/>
      <c r="J6" s="30"/>
      <c r="K6" s="69" t="s">
        <v>277</v>
      </c>
      <c r="L6" s="29"/>
      <c r="M6" s="30"/>
      <c r="N6" s="69" t="s">
        <v>278</v>
      </c>
      <c r="O6" s="29"/>
      <c r="P6" s="30"/>
      <c r="Q6" s="69" t="s">
        <v>279</v>
      </c>
      <c r="R6" s="29"/>
      <c r="S6" s="30"/>
      <c r="T6" s="69" t="s">
        <v>280</v>
      </c>
      <c r="U6" s="29"/>
      <c r="V6" s="30"/>
      <c r="W6" s="69" t="s">
        <v>281</v>
      </c>
      <c r="X6" s="29"/>
      <c r="Y6" s="30"/>
      <c r="Z6" s="69" t="s">
        <v>282</v>
      </c>
      <c r="AA6" s="29"/>
      <c r="AB6" s="30"/>
      <c r="AC6" s="69" t="s">
        <v>283</v>
      </c>
      <c r="AD6" s="29"/>
      <c r="AE6" s="30"/>
      <c r="AF6" s="69" t="s">
        <v>284</v>
      </c>
      <c r="AG6" s="29"/>
      <c r="AH6" s="30"/>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18"/>
      <c r="DP6" s="18"/>
      <c r="DQ6" s="18"/>
      <c r="DR6" s="18"/>
      <c r="DS6" s="18"/>
      <c r="DT6" s="18"/>
      <c r="DU6" s="18"/>
      <c r="DV6" s="18"/>
      <c r="DW6" s="18"/>
      <c r="DX6" s="18"/>
      <c r="DY6" s="18"/>
      <c r="DZ6" s="18"/>
      <c r="EA6" s="18"/>
      <c r="EB6" s="18"/>
      <c r="EC6" s="18"/>
      <c r="ED6" s="18"/>
      <c r="EE6" s="18"/>
    </row>
    <row r="7" spans="1:135" ht="19.5" customHeight="1" x14ac:dyDescent="0.2">
      <c r="A7" s="60" t="s">
        <v>285</v>
      </c>
      <c r="B7" s="29"/>
      <c r="C7" s="29"/>
      <c r="D7" s="29"/>
      <c r="E7" s="29"/>
      <c r="F7" s="29"/>
      <c r="G7" s="30"/>
      <c r="H7" s="60">
        <f t="shared" ref="H7:H8" si="0">COUNTIF($AE$94:$AF$1049,"N")</f>
        <v>24</v>
      </c>
      <c r="I7" s="29"/>
      <c r="J7" s="30"/>
      <c r="K7" s="60">
        <f t="shared" ref="K7:K8" si="1">COUNTIF($AE$94:$AF$1049,"A")</f>
        <v>0</v>
      </c>
      <c r="L7" s="29"/>
      <c r="M7" s="30"/>
      <c r="N7" s="60">
        <f t="shared" ref="N7:N8" si="2">COUNTIF($AE$94:$AF$1049,"B")</f>
        <v>0</v>
      </c>
      <c r="O7" s="29"/>
      <c r="P7" s="30"/>
      <c r="Q7" s="60">
        <f t="shared" ref="Q7:Q8" si="3">SUM(H7:P7)</f>
        <v>24</v>
      </c>
      <c r="R7" s="29"/>
      <c r="S7" s="30"/>
      <c r="T7" s="60">
        <f>COUNTIF($AG$94:$AI$105,T$6)</f>
        <v>0</v>
      </c>
      <c r="U7" s="29"/>
      <c r="V7" s="30"/>
      <c r="W7" s="60">
        <f>COUNTIF($AG$94:$AI$105,W$6)</f>
        <v>0</v>
      </c>
      <c r="X7" s="29"/>
      <c r="Y7" s="30"/>
      <c r="Z7" s="60">
        <f>COUNTIF($AG$94:$AI$105,Z$6)</f>
        <v>0</v>
      </c>
      <c r="AA7" s="29"/>
      <c r="AB7" s="30"/>
      <c r="AC7" s="60">
        <f>COUNTIF($AG$94:$AI$105,AC$6)</f>
        <v>0</v>
      </c>
      <c r="AD7" s="29"/>
      <c r="AE7" s="30"/>
      <c r="AF7" s="60">
        <f t="shared" ref="AF7:AF8" si="4">SUM(T7:AE7)</f>
        <v>0</v>
      </c>
      <c r="AG7" s="29"/>
      <c r="AH7" s="30"/>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row>
    <row r="8" spans="1:135" ht="19.5" customHeight="1" x14ac:dyDescent="0.2">
      <c r="A8" s="60" t="s">
        <v>286</v>
      </c>
      <c r="B8" s="29"/>
      <c r="C8" s="29"/>
      <c r="D8" s="29"/>
      <c r="E8" s="29"/>
      <c r="F8" s="29"/>
      <c r="G8" s="30"/>
      <c r="H8" s="60">
        <f t="shared" si="0"/>
        <v>24</v>
      </c>
      <c r="I8" s="29"/>
      <c r="J8" s="30"/>
      <c r="K8" s="60">
        <f t="shared" si="1"/>
        <v>0</v>
      </c>
      <c r="L8" s="29"/>
      <c r="M8" s="30"/>
      <c r="N8" s="60">
        <f t="shared" si="2"/>
        <v>0</v>
      </c>
      <c r="O8" s="29"/>
      <c r="P8" s="30"/>
      <c r="Q8" s="60">
        <f t="shared" si="3"/>
        <v>24</v>
      </c>
      <c r="R8" s="29"/>
      <c r="S8" s="30"/>
      <c r="T8" s="60">
        <f>COUNTIF($AV$94:$AX$105,T$6)</f>
        <v>0</v>
      </c>
      <c r="U8" s="29"/>
      <c r="V8" s="30"/>
      <c r="W8" s="60">
        <f>COUNTIF($AV$94:$AX$105,W$6)</f>
        <v>0</v>
      </c>
      <c r="X8" s="29"/>
      <c r="Y8" s="30"/>
      <c r="Z8" s="60">
        <f>COUNTIF($AV$94:$AX$105,Z$6)</f>
        <v>0</v>
      </c>
      <c r="AA8" s="29"/>
      <c r="AB8" s="30"/>
      <c r="AC8" s="60">
        <f>COUNTIF($AV$94:$AX$105,AC$6)</f>
        <v>0</v>
      </c>
      <c r="AD8" s="29"/>
      <c r="AE8" s="30"/>
      <c r="AF8" s="60">
        <f t="shared" si="4"/>
        <v>0</v>
      </c>
      <c r="AG8" s="29"/>
      <c r="AH8" s="30"/>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8"/>
      <c r="DK8" s="18"/>
      <c r="DL8" s="18"/>
      <c r="DM8" s="18"/>
      <c r="DN8" s="18"/>
      <c r="DO8" s="18"/>
      <c r="DP8" s="18"/>
      <c r="DQ8" s="18"/>
      <c r="DR8" s="18"/>
      <c r="DS8" s="18"/>
      <c r="DT8" s="18"/>
      <c r="DU8" s="18"/>
      <c r="DV8" s="18"/>
      <c r="DW8" s="18"/>
      <c r="DX8" s="18">
        <v>25</v>
      </c>
      <c r="DY8" s="18">
        <v>26</v>
      </c>
      <c r="DZ8" s="18">
        <v>27</v>
      </c>
      <c r="EA8" s="18">
        <v>28</v>
      </c>
      <c r="EB8" s="18">
        <v>29</v>
      </c>
      <c r="EC8" s="18">
        <v>30</v>
      </c>
      <c r="ED8" s="18">
        <v>31</v>
      </c>
      <c r="EE8" s="18">
        <v>32</v>
      </c>
    </row>
    <row r="9" spans="1:135" ht="19.5" customHeight="1" x14ac:dyDescent="0.2">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row>
    <row r="10" spans="1:135" ht="19.5" customHeight="1" x14ac:dyDescent="0.2">
      <c r="A10" s="72" t="s">
        <v>287</v>
      </c>
      <c r="B10" s="65" t="s">
        <v>78</v>
      </c>
      <c r="C10" s="45"/>
      <c r="D10" s="46"/>
      <c r="E10" s="65" t="s">
        <v>79</v>
      </c>
      <c r="F10" s="45"/>
      <c r="G10" s="45"/>
      <c r="H10" s="45"/>
      <c r="I10" s="46"/>
      <c r="J10" s="65" t="s">
        <v>80</v>
      </c>
      <c r="K10" s="45"/>
      <c r="L10" s="45"/>
      <c r="M10" s="45"/>
      <c r="N10" s="45"/>
      <c r="O10" s="45"/>
      <c r="P10" s="46"/>
      <c r="Q10" s="65" t="s">
        <v>81</v>
      </c>
      <c r="R10" s="45"/>
      <c r="S10" s="45"/>
      <c r="T10" s="45"/>
      <c r="U10" s="45"/>
      <c r="V10" s="45"/>
      <c r="W10" s="46"/>
      <c r="X10" s="65" t="s">
        <v>82</v>
      </c>
      <c r="Y10" s="45"/>
      <c r="Z10" s="45"/>
      <c r="AA10" s="45"/>
      <c r="AB10" s="45"/>
      <c r="AC10" s="45"/>
      <c r="AD10" s="46"/>
      <c r="AE10" s="65" t="s">
        <v>288</v>
      </c>
      <c r="AF10" s="46"/>
      <c r="AG10" s="96" t="s">
        <v>289</v>
      </c>
      <c r="AH10" s="29"/>
      <c r="AI10" s="29"/>
      <c r="AJ10" s="29"/>
      <c r="AK10" s="29"/>
      <c r="AL10" s="29"/>
      <c r="AM10" s="29"/>
      <c r="AN10" s="29"/>
      <c r="AO10" s="29"/>
      <c r="AP10" s="29"/>
      <c r="AQ10" s="29"/>
      <c r="AR10" s="29"/>
      <c r="AS10" s="29"/>
      <c r="AT10" s="29"/>
      <c r="AU10" s="30"/>
      <c r="AV10" s="96" t="s">
        <v>290</v>
      </c>
      <c r="AW10" s="29"/>
      <c r="AX10" s="29"/>
      <c r="AY10" s="29"/>
      <c r="AZ10" s="29"/>
      <c r="BA10" s="29"/>
      <c r="BB10" s="29"/>
      <c r="BC10" s="29"/>
      <c r="BD10" s="29"/>
      <c r="BE10" s="29"/>
      <c r="BF10" s="29"/>
      <c r="BG10" s="29"/>
      <c r="BH10" s="29"/>
      <c r="BI10" s="29"/>
      <c r="BJ10" s="30"/>
      <c r="BK10" s="65" t="s">
        <v>291</v>
      </c>
      <c r="BL10" s="45"/>
      <c r="BM10" s="45"/>
      <c r="BN10" s="45"/>
      <c r="BO10" s="45"/>
      <c r="BP10" s="45"/>
      <c r="BQ10" s="46"/>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18"/>
      <c r="DP10" s="18"/>
      <c r="DQ10" s="18"/>
      <c r="DR10" s="18"/>
      <c r="DS10" s="18"/>
      <c r="DT10" s="18"/>
      <c r="DU10" s="18"/>
      <c r="DV10" s="18"/>
      <c r="DW10" s="18"/>
      <c r="DX10" s="18"/>
      <c r="DY10" s="18"/>
      <c r="DZ10" s="18"/>
      <c r="EA10" s="18"/>
      <c r="EB10" s="18"/>
      <c r="EC10" s="18"/>
      <c r="ED10" s="18"/>
      <c r="EE10" s="18"/>
    </row>
    <row r="11" spans="1:135" ht="42.75" customHeight="1" x14ac:dyDescent="0.2">
      <c r="A11" s="63"/>
      <c r="B11" s="47"/>
      <c r="C11" s="48"/>
      <c r="D11" s="49"/>
      <c r="E11" s="47"/>
      <c r="F11" s="48"/>
      <c r="G11" s="48"/>
      <c r="H11" s="48"/>
      <c r="I11" s="49"/>
      <c r="J11" s="47"/>
      <c r="K11" s="48"/>
      <c r="L11" s="48"/>
      <c r="M11" s="48"/>
      <c r="N11" s="48"/>
      <c r="O11" s="48"/>
      <c r="P11" s="49"/>
      <c r="Q11" s="47"/>
      <c r="R11" s="48"/>
      <c r="S11" s="48"/>
      <c r="T11" s="48"/>
      <c r="U11" s="48"/>
      <c r="V11" s="48"/>
      <c r="W11" s="49"/>
      <c r="X11" s="47"/>
      <c r="Y11" s="48"/>
      <c r="Z11" s="48"/>
      <c r="AA11" s="48"/>
      <c r="AB11" s="48"/>
      <c r="AC11" s="48"/>
      <c r="AD11" s="49"/>
      <c r="AE11" s="47"/>
      <c r="AF11" s="49"/>
      <c r="AG11" s="96" t="s">
        <v>292</v>
      </c>
      <c r="AH11" s="29"/>
      <c r="AI11" s="30"/>
      <c r="AJ11" s="96" t="s">
        <v>293</v>
      </c>
      <c r="AK11" s="29"/>
      <c r="AL11" s="30"/>
      <c r="AM11" s="96" t="s">
        <v>9</v>
      </c>
      <c r="AN11" s="29"/>
      <c r="AO11" s="30"/>
      <c r="AP11" s="96" t="s">
        <v>294</v>
      </c>
      <c r="AQ11" s="29"/>
      <c r="AR11" s="30"/>
      <c r="AS11" s="96" t="s">
        <v>295</v>
      </c>
      <c r="AT11" s="29"/>
      <c r="AU11" s="30"/>
      <c r="AV11" s="96" t="s">
        <v>296</v>
      </c>
      <c r="AW11" s="29"/>
      <c r="AX11" s="30"/>
      <c r="AY11" s="96" t="s">
        <v>293</v>
      </c>
      <c r="AZ11" s="29"/>
      <c r="BA11" s="30"/>
      <c r="BB11" s="96" t="s">
        <v>297</v>
      </c>
      <c r="BC11" s="29"/>
      <c r="BD11" s="30"/>
      <c r="BE11" s="96" t="s">
        <v>294</v>
      </c>
      <c r="BF11" s="29"/>
      <c r="BG11" s="30"/>
      <c r="BH11" s="96" t="s">
        <v>298</v>
      </c>
      <c r="BI11" s="29"/>
      <c r="BJ11" s="30"/>
      <c r="BK11" s="47"/>
      <c r="BL11" s="48"/>
      <c r="BM11" s="48"/>
      <c r="BN11" s="48"/>
      <c r="BO11" s="48"/>
      <c r="BP11" s="48"/>
      <c r="BQ11" s="49"/>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row>
    <row r="12" spans="1:135" x14ac:dyDescent="0.2">
      <c r="A12" s="24">
        <f t="shared" ref="A12:A15" si="5">ROW()-11</f>
        <v>1</v>
      </c>
      <c r="B12" s="74"/>
      <c r="C12" s="29"/>
      <c r="D12" s="30"/>
      <c r="E12" s="74" t="s">
        <v>299</v>
      </c>
      <c r="F12" s="29"/>
      <c r="G12" s="29"/>
      <c r="H12" s="29"/>
      <c r="I12" s="30"/>
      <c r="J12" s="73" t="s">
        <v>85</v>
      </c>
      <c r="K12" s="29"/>
      <c r="L12" s="29"/>
      <c r="M12" s="29"/>
      <c r="N12" s="29"/>
      <c r="O12" s="29"/>
      <c r="P12" s="30"/>
      <c r="Q12" s="74" t="s">
        <v>300</v>
      </c>
      <c r="R12" s="29"/>
      <c r="S12" s="29"/>
      <c r="T12" s="29"/>
      <c r="U12" s="29"/>
      <c r="V12" s="29"/>
      <c r="W12" s="30"/>
      <c r="X12" s="74" t="s">
        <v>301</v>
      </c>
      <c r="Y12" s="29"/>
      <c r="Z12" s="29"/>
      <c r="AA12" s="29"/>
      <c r="AB12" s="29"/>
      <c r="AC12" s="29"/>
      <c r="AD12" s="30"/>
      <c r="AE12" s="39" t="s">
        <v>302</v>
      </c>
      <c r="AF12" s="30"/>
      <c r="AG12" s="39"/>
      <c r="AH12" s="29"/>
      <c r="AI12" s="30"/>
      <c r="AJ12" s="39"/>
      <c r="AK12" s="29"/>
      <c r="AL12" s="30"/>
      <c r="AM12" s="39"/>
      <c r="AN12" s="29"/>
      <c r="AO12" s="30"/>
      <c r="AP12" s="88"/>
      <c r="AQ12" s="29"/>
      <c r="AR12" s="30"/>
      <c r="AS12" s="88"/>
      <c r="AT12" s="29"/>
      <c r="AU12" s="30"/>
      <c r="AV12" s="39"/>
      <c r="AW12" s="29"/>
      <c r="AX12" s="30"/>
      <c r="AY12" s="39"/>
      <c r="AZ12" s="29"/>
      <c r="BA12" s="30"/>
      <c r="BB12" s="39"/>
      <c r="BC12" s="29"/>
      <c r="BD12" s="30"/>
      <c r="BE12" s="88"/>
      <c r="BF12" s="29"/>
      <c r="BG12" s="30"/>
      <c r="BH12" s="88"/>
      <c r="BI12" s="29"/>
      <c r="BJ12" s="30"/>
      <c r="BK12" s="74"/>
      <c r="BL12" s="29"/>
      <c r="BM12" s="29"/>
      <c r="BN12" s="29"/>
      <c r="BO12" s="29"/>
      <c r="BP12" s="29"/>
      <c r="BQ12" s="30"/>
      <c r="BR12" s="18"/>
      <c r="BS12" s="18"/>
      <c r="BT12" s="18"/>
      <c r="BU12" s="18"/>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8"/>
      <c r="DK12" s="18"/>
      <c r="DL12" s="18"/>
      <c r="DM12" s="18"/>
      <c r="DN12" s="18"/>
      <c r="DO12" s="18"/>
      <c r="DP12" s="18"/>
      <c r="DQ12" s="18"/>
      <c r="DR12" s="18"/>
      <c r="DS12" s="18"/>
      <c r="DT12" s="18"/>
      <c r="DU12" s="18"/>
      <c r="DV12" s="18"/>
      <c r="DW12" s="18"/>
      <c r="DX12" s="18"/>
      <c r="DY12" s="18"/>
      <c r="DZ12" s="18"/>
      <c r="EA12" s="18"/>
      <c r="EB12" s="18"/>
      <c r="EC12" s="18"/>
      <c r="ED12" s="18"/>
      <c r="EE12" s="18"/>
    </row>
    <row r="13" spans="1:135" x14ac:dyDescent="0.2">
      <c r="A13" s="24">
        <f t="shared" si="5"/>
        <v>2</v>
      </c>
      <c r="B13" s="74"/>
      <c r="C13" s="29"/>
      <c r="D13" s="30"/>
      <c r="E13" s="74" t="s">
        <v>303</v>
      </c>
      <c r="F13" s="29"/>
      <c r="G13" s="29"/>
      <c r="H13" s="29"/>
      <c r="I13" s="30"/>
      <c r="J13" s="74" t="s">
        <v>91</v>
      </c>
      <c r="K13" s="29"/>
      <c r="L13" s="29"/>
      <c r="M13" s="29"/>
      <c r="N13" s="29"/>
      <c r="O13" s="29"/>
      <c r="P13" s="30"/>
      <c r="Q13" s="74" t="s">
        <v>304</v>
      </c>
      <c r="R13" s="29"/>
      <c r="S13" s="29"/>
      <c r="T13" s="29"/>
      <c r="U13" s="29"/>
      <c r="V13" s="29"/>
      <c r="W13" s="30"/>
      <c r="X13" s="74" t="s">
        <v>305</v>
      </c>
      <c r="Y13" s="29"/>
      <c r="Z13" s="29"/>
      <c r="AA13" s="29"/>
      <c r="AB13" s="29"/>
      <c r="AC13" s="29"/>
      <c r="AD13" s="30"/>
      <c r="AE13" s="39" t="s">
        <v>306</v>
      </c>
      <c r="AF13" s="30"/>
      <c r="AG13" s="39"/>
      <c r="AH13" s="29"/>
      <c r="AI13" s="30"/>
      <c r="AJ13" s="39"/>
      <c r="AK13" s="29"/>
      <c r="AL13" s="30"/>
      <c r="AM13" s="39"/>
      <c r="AN13" s="29"/>
      <c r="AO13" s="30"/>
      <c r="AP13" s="88"/>
      <c r="AQ13" s="29"/>
      <c r="AR13" s="30"/>
      <c r="AS13" s="88"/>
      <c r="AT13" s="29"/>
      <c r="AU13" s="30"/>
      <c r="AV13" s="39"/>
      <c r="AW13" s="29"/>
      <c r="AX13" s="30"/>
      <c r="AY13" s="39"/>
      <c r="AZ13" s="29"/>
      <c r="BA13" s="30"/>
      <c r="BB13" s="39"/>
      <c r="BC13" s="29"/>
      <c r="BD13" s="30"/>
      <c r="BE13" s="88"/>
      <c r="BF13" s="29"/>
      <c r="BG13" s="30"/>
      <c r="BH13" s="88"/>
      <c r="BI13" s="29"/>
      <c r="BJ13" s="30"/>
      <c r="BK13" s="74"/>
      <c r="BL13" s="29"/>
      <c r="BM13" s="29"/>
      <c r="BN13" s="29"/>
      <c r="BO13" s="29"/>
      <c r="BP13" s="29"/>
      <c r="BQ13" s="30"/>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row>
    <row r="14" spans="1:135" x14ac:dyDescent="0.2">
      <c r="A14" s="24">
        <f t="shared" si="5"/>
        <v>3</v>
      </c>
      <c r="B14" s="70"/>
      <c r="C14" s="29"/>
      <c r="D14" s="30"/>
      <c r="E14" s="70" t="s">
        <v>307</v>
      </c>
      <c r="F14" s="29"/>
      <c r="G14" s="29"/>
      <c r="H14" s="29"/>
      <c r="I14" s="30"/>
      <c r="J14" s="74" t="s">
        <v>93</v>
      </c>
      <c r="K14" s="29"/>
      <c r="L14" s="29"/>
      <c r="M14" s="29"/>
      <c r="N14" s="29"/>
      <c r="O14" s="29"/>
      <c r="P14" s="30"/>
      <c r="Q14" s="74" t="s">
        <v>304</v>
      </c>
      <c r="R14" s="29"/>
      <c r="S14" s="29"/>
      <c r="T14" s="29"/>
      <c r="U14" s="29"/>
      <c r="V14" s="29"/>
      <c r="W14" s="30"/>
      <c r="X14" s="74" t="s">
        <v>308</v>
      </c>
      <c r="Y14" s="29"/>
      <c r="Z14" s="29"/>
      <c r="AA14" s="29"/>
      <c r="AB14" s="29"/>
      <c r="AC14" s="29"/>
      <c r="AD14" s="30"/>
      <c r="AE14" s="39" t="s">
        <v>309</v>
      </c>
      <c r="AF14" s="30"/>
      <c r="AG14" s="60"/>
      <c r="AH14" s="29"/>
      <c r="AI14" s="30"/>
      <c r="AJ14" s="39"/>
      <c r="AK14" s="29"/>
      <c r="AL14" s="30"/>
      <c r="AM14" s="60"/>
      <c r="AN14" s="29"/>
      <c r="AO14" s="30"/>
      <c r="AP14" s="95"/>
      <c r="AQ14" s="29"/>
      <c r="AR14" s="30"/>
      <c r="AS14" s="95"/>
      <c r="AT14" s="29"/>
      <c r="AU14" s="30"/>
      <c r="AV14" s="60"/>
      <c r="AW14" s="29"/>
      <c r="AX14" s="30"/>
      <c r="AY14" s="39"/>
      <c r="AZ14" s="29"/>
      <c r="BA14" s="30"/>
      <c r="BB14" s="60"/>
      <c r="BC14" s="29"/>
      <c r="BD14" s="30"/>
      <c r="BE14" s="95"/>
      <c r="BF14" s="29"/>
      <c r="BG14" s="30"/>
      <c r="BH14" s="95"/>
      <c r="BI14" s="29"/>
      <c r="BJ14" s="30"/>
      <c r="BK14" s="70"/>
      <c r="BL14" s="29"/>
      <c r="BM14" s="29"/>
      <c r="BN14" s="29"/>
      <c r="BO14" s="29"/>
      <c r="BP14" s="29"/>
      <c r="BQ14" s="30"/>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8"/>
      <c r="DK14" s="18"/>
      <c r="DL14" s="18"/>
      <c r="DM14" s="18"/>
      <c r="DN14" s="18"/>
      <c r="DO14" s="18"/>
      <c r="DP14" s="18"/>
      <c r="DQ14" s="18"/>
      <c r="DR14" s="18"/>
      <c r="DS14" s="18"/>
      <c r="DT14" s="18"/>
      <c r="DU14" s="18"/>
      <c r="DV14" s="18"/>
      <c r="DW14" s="18"/>
      <c r="DX14" s="18"/>
      <c r="DY14" s="18"/>
      <c r="DZ14" s="18"/>
      <c r="EA14" s="18"/>
      <c r="EB14" s="18"/>
      <c r="EC14" s="18"/>
      <c r="ED14" s="18"/>
      <c r="EE14" s="18"/>
    </row>
    <row r="15" spans="1:135" ht="42.75" customHeight="1" x14ac:dyDescent="0.2">
      <c r="A15" s="24">
        <f t="shared" si="5"/>
        <v>4</v>
      </c>
      <c r="B15" s="70"/>
      <c r="C15" s="29"/>
      <c r="D15" s="30"/>
      <c r="E15" s="74" t="s">
        <v>310</v>
      </c>
      <c r="F15" s="29"/>
      <c r="G15" s="29"/>
      <c r="H15" s="29"/>
      <c r="I15" s="30"/>
      <c r="J15" s="74" t="s">
        <v>95</v>
      </c>
      <c r="K15" s="29"/>
      <c r="L15" s="29"/>
      <c r="M15" s="29"/>
      <c r="N15" s="29"/>
      <c r="O15" s="29"/>
      <c r="P15" s="30"/>
      <c r="Q15" s="74" t="s">
        <v>304</v>
      </c>
      <c r="R15" s="29"/>
      <c r="S15" s="29"/>
      <c r="T15" s="29"/>
      <c r="U15" s="29"/>
      <c r="V15" s="29"/>
      <c r="W15" s="30"/>
      <c r="X15" s="74" t="s">
        <v>311</v>
      </c>
      <c r="Y15" s="29"/>
      <c r="Z15" s="29"/>
      <c r="AA15" s="29"/>
      <c r="AB15" s="29"/>
      <c r="AC15" s="29"/>
      <c r="AD15" s="30"/>
      <c r="AE15" s="39" t="s">
        <v>312</v>
      </c>
      <c r="AF15" s="30"/>
      <c r="AG15" s="60"/>
      <c r="AH15" s="29"/>
      <c r="AI15" s="30"/>
      <c r="AJ15" s="60"/>
      <c r="AK15" s="29"/>
      <c r="AL15" s="30"/>
      <c r="AM15" s="60"/>
      <c r="AN15" s="29"/>
      <c r="AO15" s="30"/>
      <c r="AP15" s="95"/>
      <c r="AQ15" s="29"/>
      <c r="AR15" s="30"/>
      <c r="AS15" s="95"/>
      <c r="AT15" s="29"/>
      <c r="AU15" s="30"/>
      <c r="AV15" s="60"/>
      <c r="AW15" s="29"/>
      <c r="AX15" s="30"/>
      <c r="AY15" s="60"/>
      <c r="AZ15" s="29"/>
      <c r="BA15" s="30"/>
      <c r="BB15" s="60"/>
      <c r="BC15" s="29"/>
      <c r="BD15" s="30"/>
      <c r="BE15" s="95"/>
      <c r="BF15" s="29"/>
      <c r="BG15" s="30"/>
      <c r="BH15" s="95"/>
      <c r="BI15" s="29"/>
      <c r="BJ15" s="30"/>
      <c r="BK15" s="70"/>
      <c r="BL15" s="29"/>
      <c r="BM15" s="29"/>
      <c r="BN15" s="29"/>
      <c r="BO15" s="29"/>
      <c r="BP15" s="29"/>
      <c r="BQ15" s="30"/>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row>
    <row r="16" spans="1:135" ht="18.75" customHeight="1" x14ac:dyDescent="0.2">
      <c r="A16" s="97" t="s">
        <v>313</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30"/>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8"/>
      <c r="DK16" s="18"/>
      <c r="DL16" s="18"/>
      <c r="DM16" s="18"/>
      <c r="DN16" s="18"/>
      <c r="DO16" s="18"/>
      <c r="DP16" s="18"/>
      <c r="DQ16" s="18"/>
      <c r="DR16" s="18"/>
      <c r="DS16" s="18"/>
      <c r="DT16" s="18"/>
      <c r="DU16" s="18"/>
      <c r="DV16" s="18"/>
      <c r="DW16" s="18"/>
      <c r="DX16" s="18"/>
      <c r="DY16" s="18"/>
      <c r="DZ16" s="18"/>
      <c r="EA16" s="18"/>
      <c r="EB16" s="18"/>
      <c r="EC16" s="18"/>
      <c r="ED16" s="18"/>
      <c r="EE16" s="18"/>
    </row>
    <row r="17" spans="1:135" x14ac:dyDescent="0.2">
      <c r="A17" s="24">
        <f t="shared" ref="A17:A26" si="6">ROW()-12</f>
        <v>5</v>
      </c>
      <c r="B17" s="74"/>
      <c r="C17" s="29"/>
      <c r="D17" s="30"/>
      <c r="E17" s="74" t="s">
        <v>313</v>
      </c>
      <c r="F17" s="29"/>
      <c r="G17" s="29"/>
      <c r="H17" s="29"/>
      <c r="I17" s="30"/>
      <c r="J17" s="87" t="s">
        <v>314</v>
      </c>
      <c r="K17" s="45"/>
      <c r="L17" s="45"/>
      <c r="M17" s="45"/>
      <c r="N17" s="45"/>
      <c r="O17" s="45"/>
      <c r="P17" s="46"/>
      <c r="Q17" s="74" t="s">
        <v>315</v>
      </c>
      <c r="R17" s="29"/>
      <c r="S17" s="29"/>
      <c r="T17" s="29"/>
      <c r="U17" s="29"/>
      <c r="V17" s="29"/>
      <c r="W17" s="30"/>
      <c r="X17" s="74" t="s">
        <v>316</v>
      </c>
      <c r="Y17" s="29"/>
      <c r="Z17" s="29"/>
      <c r="AA17" s="29"/>
      <c r="AB17" s="29"/>
      <c r="AC17" s="29"/>
      <c r="AD17" s="30"/>
      <c r="AE17" s="39" t="s">
        <v>302</v>
      </c>
      <c r="AF17" s="30"/>
      <c r="AG17" s="39"/>
      <c r="AH17" s="29"/>
      <c r="AI17" s="30"/>
      <c r="AJ17" s="39"/>
      <c r="AK17" s="29"/>
      <c r="AL17" s="30"/>
      <c r="AM17" s="39"/>
      <c r="AN17" s="29"/>
      <c r="AO17" s="30"/>
      <c r="AP17" s="88"/>
      <c r="AQ17" s="29"/>
      <c r="AR17" s="30"/>
      <c r="AS17" s="88"/>
      <c r="AT17" s="29"/>
      <c r="AU17" s="30"/>
      <c r="AV17" s="39"/>
      <c r="AW17" s="29"/>
      <c r="AX17" s="30"/>
      <c r="AY17" s="39"/>
      <c r="AZ17" s="29"/>
      <c r="BA17" s="30"/>
      <c r="BB17" s="39"/>
      <c r="BC17" s="29"/>
      <c r="BD17" s="30"/>
      <c r="BE17" s="88"/>
      <c r="BF17" s="29"/>
      <c r="BG17" s="30"/>
      <c r="BH17" s="88"/>
      <c r="BI17" s="29"/>
      <c r="BJ17" s="30"/>
      <c r="BK17" s="74"/>
      <c r="BL17" s="29"/>
      <c r="BM17" s="29"/>
      <c r="BN17" s="29"/>
      <c r="BO17" s="29"/>
      <c r="BP17" s="29"/>
      <c r="BQ17" s="30"/>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row>
    <row r="18" spans="1:135" x14ac:dyDescent="0.2">
      <c r="A18" s="24">
        <f t="shared" si="6"/>
        <v>6</v>
      </c>
      <c r="B18" s="74"/>
      <c r="C18" s="29"/>
      <c r="D18" s="30"/>
      <c r="E18" s="74" t="s">
        <v>303</v>
      </c>
      <c r="F18" s="29"/>
      <c r="G18" s="29"/>
      <c r="H18" s="29"/>
      <c r="I18" s="30"/>
      <c r="J18" s="89"/>
      <c r="K18" s="52"/>
      <c r="L18" s="52"/>
      <c r="M18" s="52"/>
      <c r="N18" s="52"/>
      <c r="O18" s="52"/>
      <c r="P18" s="90"/>
      <c r="Q18" s="74" t="s">
        <v>317</v>
      </c>
      <c r="R18" s="29"/>
      <c r="S18" s="29"/>
      <c r="T18" s="29"/>
      <c r="U18" s="29"/>
      <c r="V18" s="29"/>
      <c r="W18" s="30"/>
      <c r="X18" s="74" t="s">
        <v>318</v>
      </c>
      <c r="Y18" s="29"/>
      <c r="Z18" s="29"/>
      <c r="AA18" s="29"/>
      <c r="AB18" s="29"/>
      <c r="AC18" s="29"/>
      <c r="AD18" s="30"/>
      <c r="AE18" s="39" t="s">
        <v>319</v>
      </c>
      <c r="AF18" s="30"/>
      <c r="AG18" s="39"/>
      <c r="AH18" s="29"/>
      <c r="AI18" s="30"/>
      <c r="AJ18" s="39"/>
      <c r="AK18" s="29"/>
      <c r="AL18" s="30"/>
      <c r="AM18" s="39"/>
      <c r="AN18" s="29"/>
      <c r="AO18" s="30"/>
      <c r="AP18" s="88"/>
      <c r="AQ18" s="29"/>
      <c r="AR18" s="30"/>
      <c r="AS18" s="88"/>
      <c r="AT18" s="29"/>
      <c r="AU18" s="30"/>
      <c r="AV18" s="39"/>
      <c r="AW18" s="29"/>
      <c r="AX18" s="30"/>
      <c r="AY18" s="39"/>
      <c r="AZ18" s="29"/>
      <c r="BA18" s="30"/>
      <c r="BB18" s="39"/>
      <c r="BC18" s="29"/>
      <c r="BD18" s="30"/>
      <c r="BE18" s="88"/>
      <c r="BF18" s="29"/>
      <c r="BG18" s="30"/>
      <c r="BH18" s="88"/>
      <c r="BI18" s="29"/>
      <c r="BJ18" s="30"/>
      <c r="BK18" s="74"/>
      <c r="BL18" s="29"/>
      <c r="BM18" s="29"/>
      <c r="BN18" s="29"/>
      <c r="BO18" s="29"/>
      <c r="BP18" s="29"/>
      <c r="BQ18" s="30"/>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K18" s="18"/>
      <c r="DL18" s="18"/>
      <c r="DM18" s="18"/>
      <c r="DN18" s="18"/>
      <c r="DO18" s="18"/>
      <c r="DP18" s="18"/>
      <c r="DQ18" s="18"/>
      <c r="DR18" s="18"/>
      <c r="DS18" s="18"/>
      <c r="DT18" s="18"/>
      <c r="DU18" s="18"/>
      <c r="DV18" s="18"/>
      <c r="DW18" s="18"/>
      <c r="DX18" s="18"/>
      <c r="DY18" s="18"/>
      <c r="DZ18" s="18"/>
      <c r="EA18" s="18"/>
      <c r="EB18" s="18"/>
      <c r="EC18" s="18"/>
      <c r="ED18" s="18"/>
      <c r="EE18" s="18"/>
    </row>
    <row r="19" spans="1:135" x14ac:dyDescent="0.2">
      <c r="A19" s="24">
        <f t="shared" si="6"/>
        <v>7</v>
      </c>
      <c r="B19" s="70"/>
      <c r="C19" s="29"/>
      <c r="D19" s="30"/>
      <c r="E19" s="70" t="s">
        <v>307</v>
      </c>
      <c r="F19" s="29"/>
      <c r="G19" s="29"/>
      <c r="H19" s="29"/>
      <c r="I19" s="30"/>
      <c r="J19" s="89"/>
      <c r="K19" s="52"/>
      <c r="L19" s="52"/>
      <c r="M19" s="52"/>
      <c r="N19" s="52"/>
      <c r="O19" s="52"/>
      <c r="P19" s="90"/>
      <c r="Q19" s="74" t="s">
        <v>320</v>
      </c>
      <c r="R19" s="29"/>
      <c r="S19" s="29"/>
      <c r="T19" s="29"/>
      <c r="U19" s="29"/>
      <c r="V19" s="29"/>
      <c r="W19" s="30"/>
      <c r="X19" s="74" t="s">
        <v>321</v>
      </c>
      <c r="Y19" s="29"/>
      <c r="Z19" s="29"/>
      <c r="AA19" s="29"/>
      <c r="AB19" s="29"/>
      <c r="AC19" s="29"/>
      <c r="AD19" s="30"/>
      <c r="AE19" s="39" t="s">
        <v>309</v>
      </c>
      <c r="AF19" s="30"/>
      <c r="AG19" s="60"/>
      <c r="AH19" s="29"/>
      <c r="AI19" s="30"/>
      <c r="AJ19" s="39"/>
      <c r="AK19" s="29"/>
      <c r="AL19" s="30"/>
      <c r="AM19" s="60"/>
      <c r="AN19" s="29"/>
      <c r="AO19" s="30"/>
      <c r="AP19" s="95"/>
      <c r="AQ19" s="29"/>
      <c r="AR19" s="30"/>
      <c r="AS19" s="95"/>
      <c r="AT19" s="29"/>
      <c r="AU19" s="30"/>
      <c r="AV19" s="60"/>
      <c r="AW19" s="29"/>
      <c r="AX19" s="30"/>
      <c r="AY19" s="39"/>
      <c r="AZ19" s="29"/>
      <c r="BA19" s="30"/>
      <c r="BB19" s="60"/>
      <c r="BC19" s="29"/>
      <c r="BD19" s="30"/>
      <c r="BE19" s="95"/>
      <c r="BF19" s="29"/>
      <c r="BG19" s="30"/>
      <c r="BH19" s="95"/>
      <c r="BI19" s="29"/>
      <c r="BJ19" s="30"/>
      <c r="BK19" s="70"/>
      <c r="BL19" s="29"/>
      <c r="BM19" s="29"/>
      <c r="BN19" s="29"/>
      <c r="BO19" s="29"/>
      <c r="BP19" s="29"/>
      <c r="BQ19" s="30"/>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row>
    <row r="20" spans="1:135" x14ac:dyDescent="0.2">
      <c r="A20" s="24">
        <f t="shared" si="6"/>
        <v>8</v>
      </c>
      <c r="B20" s="70"/>
      <c r="C20" s="29"/>
      <c r="D20" s="30"/>
      <c r="E20" s="74" t="s">
        <v>310</v>
      </c>
      <c r="F20" s="29"/>
      <c r="G20" s="29"/>
      <c r="H20" s="29"/>
      <c r="I20" s="30"/>
      <c r="J20" s="89"/>
      <c r="K20" s="52"/>
      <c r="L20" s="52"/>
      <c r="M20" s="52"/>
      <c r="N20" s="52"/>
      <c r="O20" s="52"/>
      <c r="P20" s="90"/>
      <c r="Q20" s="74" t="s">
        <v>322</v>
      </c>
      <c r="R20" s="29"/>
      <c r="S20" s="29"/>
      <c r="T20" s="29"/>
      <c r="U20" s="29"/>
      <c r="V20" s="29"/>
      <c r="W20" s="30"/>
      <c r="X20" s="74" t="s">
        <v>323</v>
      </c>
      <c r="Y20" s="29"/>
      <c r="Z20" s="29"/>
      <c r="AA20" s="29"/>
      <c r="AB20" s="29"/>
      <c r="AC20" s="29"/>
      <c r="AD20" s="30"/>
      <c r="AE20" s="39" t="s">
        <v>324</v>
      </c>
      <c r="AF20" s="30"/>
      <c r="AG20" s="60"/>
      <c r="AH20" s="29"/>
      <c r="AI20" s="30"/>
      <c r="AJ20" s="60"/>
      <c r="AK20" s="29"/>
      <c r="AL20" s="30"/>
      <c r="AM20" s="60"/>
      <c r="AN20" s="29"/>
      <c r="AO20" s="30"/>
      <c r="AP20" s="95"/>
      <c r="AQ20" s="29"/>
      <c r="AR20" s="30"/>
      <c r="AS20" s="95"/>
      <c r="AT20" s="29"/>
      <c r="AU20" s="30"/>
      <c r="AV20" s="60"/>
      <c r="AW20" s="29"/>
      <c r="AX20" s="30"/>
      <c r="AY20" s="60"/>
      <c r="AZ20" s="29"/>
      <c r="BA20" s="30"/>
      <c r="BB20" s="60"/>
      <c r="BC20" s="29"/>
      <c r="BD20" s="30"/>
      <c r="BE20" s="95"/>
      <c r="BF20" s="29"/>
      <c r="BG20" s="30"/>
      <c r="BH20" s="95"/>
      <c r="BI20" s="29"/>
      <c r="BJ20" s="30"/>
      <c r="BK20" s="70"/>
      <c r="BL20" s="29"/>
      <c r="BM20" s="29"/>
      <c r="BN20" s="29"/>
      <c r="BO20" s="29"/>
      <c r="BP20" s="29"/>
      <c r="BQ20" s="30"/>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K20" s="18"/>
      <c r="DL20" s="18"/>
      <c r="DM20" s="18"/>
      <c r="DN20" s="18"/>
      <c r="DO20" s="18"/>
      <c r="DP20" s="18"/>
      <c r="DQ20" s="18"/>
      <c r="DR20" s="18"/>
      <c r="DS20" s="18"/>
      <c r="DT20" s="18"/>
      <c r="DU20" s="18"/>
      <c r="DV20" s="18"/>
      <c r="DW20" s="18"/>
      <c r="DX20" s="18"/>
      <c r="DY20" s="18"/>
      <c r="DZ20" s="18"/>
      <c r="EA20" s="18"/>
      <c r="EB20" s="18"/>
      <c r="EC20" s="18"/>
      <c r="ED20" s="18"/>
      <c r="EE20" s="18"/>
    </row>
    <row r="21" spans="1:135" ht="15.75" customHeight="1" x14ac:dyDescent="0.2">
      <c r="A21" s="24">
        <f t="shared" si="6"/>
        <v>9</v>
      </c>
      <c r="B21" s="70"/>
      <c r="C21" s="29"/>
      <c r="D21" s="30"/>
      <c r="E21" s="74" t="s">
        <v>325</v>
      </c>
      <c r="F21" s="29"/>
      <c r="G21" s="29"/>
      <c r="H21" s="29"/>
      <c r="I21" s="30"/>
      <c r="J21" s="89"/>
      <c r="K21" s="52"/>
      <c r="L21" s="52"/>
      <c r="M21" s="52"/>
      <c r="N21" s="52"/>
      <c r="O21" s="52"/>
      <c r="P21" s="90"/>
      <c r="Q21" s="74" t="s">
        <v>326</v>
      </c>
      <c r="R21" s="29"/>
      <c r="S21" s="29"/>
      <c r="T21" s="29"/>
      <c r="U21" s="29"/>
      <c r="V21" s="29"/>
      <c r="W21" s="30"/>
      <c r="X21" s="74" t="s">
        <v>327</v>
      </c>
      <c r="Y21" s="29"/>
      <c r="Z21" s="29"/>
      <c r="AA21" s="29"/>
      <c r="AB21" s="29"/>
      <c r="AC21" s="29"/>
      <c r="AD21" s="30"/>
      <c r="AE21" s="39" t="s">
        <v>328</v>
      </c>
      <c r="AF21" s="30"/>
      <c r="AG21" s="60"/>
      <c r="AH21" s="29"/>
      <c r="AI21" s="30"/>
      <c r="AJ21" s="60"/>
      <c r="AK21" s="29"/>
      <c r="AL21" s="30"/>
      <c r="AM21" s="60"/>
      <c r="AN21" s="29"/>
      <c r="AO21" s="30"/>
      <c r="AP21" s="95"/>
      <c r="AQ21" s="29"/>
      <c r="AR21" s="30"/>
      <c r="AS21" s="95"/>
      <c r="AT21" s="29"/>
      <c r="AU21" s="30"/>
      <c r="AV21" s="60"/>
      <c r="AW21" s="29"/>
      <c r="AX21" s="30"/>
      <c r="AY21" s="60"/>
      <c r="AZ21" s="29"/>
      <c r="BA21" s="30"/>
      <c r="BB21" s="60"/>
      <c r="BC21" s="29"/>
      <c r="BD21" s="30"/>
      <c r="BE21" s="95"/>
      <c r="BF21" s="29"/>
      <c r="BG21" s="30"/>
      <c r="BH21" s="95"/>
      <c r="BI21" s="29"/>
      <c r="BJ21" s="30"/>
      <c r="BK21" s="70"/>
      <c r="BL21" s="29"/>
      <c r="BM21" s="29"/>
      <c r="BN21" s="29"/>
      <c r="BO21" s="29"/>
      <c r="BP21" s="29"/>
      <c r="BQ21" s="30"/>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row>
    <row r="22" spans="1:135" ht="15.75" customHeight="1" x14ac:dyDescent="0.2">
      <c r="A22" s="24">
        <f t="shared" si="6"/>
        <v>10</v>
      </c>
      <c r="B22" s="70"/>
      <c r="C22" s="29"/>
      <c r="D22" s="30"/>
      <c r="E22" s="74" t="s">
        <v>329</v>
      </c>
      <c r="F22" s="29"/>
      <c r="G22" s="29"/>
      <c r="H22" s="29"/>
      <c r="I22" s="30"/>
      <c r="J22" s="89"/>
      <c r="K22" s="52"/>
      <c r="L22" s="52"/>
      <c r="M22" s="52"/>
      <c r="N22" s="52"/>
      <c r="O22" s="52"/>
      <c r="P22" s="90"/>
      <c r="Q22" s="74" t="s">
        <v>330</v>
      </c>
      <c r="R22" s="29"/>
      <c r="S22" s="29"/>
      <c r="T22" s="29"/>
      <c r="U22" s="29"/>
      <c r="V22" s="29"/>
      <c r="W22" s="30"/>
      <c r="X22" s="74" t="s">
        <v>331</v>
      </c>
      <c r="Y22" s="29"/>
      <c r="Z22" s="29"/>
      <c r="AA22" s="29"/>
      <c r="AB22" s="29"/>
      <c r="AC22" s="29"/>
      <c r="AD22" s="30"/>
      <c r="AE22" s="39" t="s">
        <v>332</v>
      </c>
      <c r="AF22" s="30"/>
      <c r="AG22" s="60"/>
      <c r="AH22" s="29"/>
      <c r="AI22" s="30"/>
      <c r="AJ22" s="60"/>
      <c r="AK22" s="29"/>
      <c r="AL22" s="30"/>
      <c r="AM22" s="60"/>
      <c r="AN22" s="29"/>
      <c r="AO22" s="30"/>
      <c r="AP22" s="95"/>
      <c r="AQ22" s="29"/>
      <c r="AR22" s="30"/>
      <c r="AS22" s="95"/>
      <c r="AT22" s="29"/>
      <c r="AU22" s="30"/>
      <c r="AV22" s="60"/>
      <c r="AW22" s="29"/>
      <c r="AX22" s="30"/>
      <c r="AY22" s="60"/>
      <c r="AZ22" s="29"/>
      <c r="BA22" s="30"/>
      <c r="BB22" s="60"/>
      <c r="BC22" s="29"/>
      <c r="BD22" s="30"/>
      <c r="BE22" s="95"/>
      <c r="BF22" s="29"/>
      <c r="BG22" s="30"/>
      <c r="BH22" s="95"/>
      <c r="BI22" s="29"/>
      <c r="BJ22" s="30"/>
      <c r="BK22" s="70"/>
      <c r="BL22" s="29"/>
      <c r="BM22" s="29"/>
      <c r="BN22" s="29"/>
      <c r="BO22" s="29"/>
      <c r="BP22" s="29"/>
      <c r="BQ22" s="30"/>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K22" s="18"/>
      <c r="DL22" s="18"/>
      <c r="DM22" s="18"/>
      <c r="DN22" s="18"/>
      <c r="DO22" s="18"/>
      <c r="DP22" s="18"/>
      <c r="DQ22" s="18"/>
      <c r="DR22" s="18"/>
      <c r="DS22" s="18"/>
      <c r="DT22" s="18"/>
      <c r="DU22" s="18"/>
      <c r="DV22" s="18"/>
      <c r="DW22" s="18"/>
      <c r="DX22" s="18"/>
      <c r="DY22" s="18"/>
      <c r="DZ22" s="18"/>
      <c r="EA22" s="18"/>
      <c r="EB22" s="18"/>
      <c r="EC22" s="18"/>
      <c r="ED22" s="18"/>
      <c r="EE22" s="18"/>
    </row>
    <row r="23" spans="1:135" ht="15.75" customHeight="1" x14ac:dyDescent="0.2">
      <c r="A23" s="24">
        <f t="shared" si="6"/>
        <v>11</v>
      </c>
      <c r="B23" s="70"/>
      <c r="C23" s="29"/>
      <c r="D23" s="30"/>
      <c r="E23" s="74" t="s">
        <v>333</v>
      </c>
      <c r="F23" s="29"/>
      <c r="G23" s="29"/>
      <c r="H23" s="29"/>
      <c r="I23" s="30"/>
      <c r="J23" s="89"/>
      <c r="K23" s="52"/>
      <c r="L23" s="52"/>
      <c r="M23" s="52"/>
      <c r="N23" s="52"/>
      <c r="O23" s="52"/>
      <c r="P23" s="90"/>
      <c r="Q23" s="74" t="s">
        <v>334</v>
      </c>
      <c r="R23" s="29"/>
      <c r="S23" s="29"/>
      <c r="T23" s="29"/>
      <c r="U23" s="29"/>
      <c r="V23" s="29"/>
      <c r="W23" s="30"/>
      <c r="X23" s="74" t="s">
        <v>335</v>
      </c>
      <c r="Y23" s="29"/>
      <c r="Z23" s="29"/>
      <c r="AA23" s="29"/>
      <c r="AB23" s="29"/>
      <c r="AC23" s="29"/>
      <c r="AD23" s="30"/>
      <c r="AE23" s="39" t="s">
        <v>336</v>
      </c>
      <c r="AF23" s="30"/>
      <c r="AG23" s="60"/>
      <c r="AH23" s="29"/>
      <c r="AI23" s="30"/>
      <c r="AJ23" s="60"/>
      <c r="AK23" s="29"/>
      <c r="AL23" s="30"/>
      <c r="AM23" s="60"/>
      <c r="AN23" s="29"/>
      <c r="AO23" s="30"/>
      <c r="AP23" s="95"/>
      <c r="AQ23" s="29"/>
      <c r="AR23" s="30"/>
      <c r="AS23" s="95"/>
      <c r="AT23" s="29"/>
      <c r="AU23" s="30"/>
      <c r="AV23" s="60"/>
      <c r="AW23" s="29"/>
      <c r="AX23" s="30"/>
      <c r="AY23" s="60"/>
      <c r="AZ23" s="29"/>
      <c r="BA23" s="30"/>
      <c r="BB23" s="60"/>
      <c r="BC23" s="29"/>
      <c r="BD23" s="30"/>
      <c r="BE23" s="95"/>
      <c r="BF23" s="29"/>
      <c r="BG23" s="30"/>
      <c r="BH23" s="95"/>
      <c r="BI23" s="29"/>
      <c r="BJ23" s="30"/>
      <c r="BK23" s="70"/>
      <c r="BL23" s="29"/>
      <c r="BM23" s="29"/>
      <c r="BN23" s="29"/>
      <c r="BO23" s="29"/>
      <c r="BP23" s="29"/>
      <c r="BQ23" s="30"/>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row>
    <row r="24" spans="1:135" ht="15.75" customHeight="1" x14ac:dyDescent="0.2">
      <c r="A24" s="24">
        <f t="shared" si="6"/>
        <v>12</v>
      </c>
      <c r="B24" s="70"/>
      <c r="C24" s="29"/>
      <c r="D24" s="30"/>
      <c r="E24" s="74" t="s">
        <v>337</v>
      </c>
      <c r="F24" s="29"/>
      <c r="G24" s="29"/>
      <c r="H24" s="29"/>
      <c r="I24" s="30"/>
      <c r="J24" s="89"/>
      <c r="K24" s="52"/>
      <c r="L24" s="52"/>
      <c r="M24" s="52"/>
      <c r="N24" s="52"/>
      <c r="O24" s="52"/>
      <c r="P24" s="90"/>
      <c r="Q24" s="74" t="s">
        <v>338</v>
      </c>
      <c r="R24" s="29"/>
      <c r="S24" s="29"/>
      <c r="T24" s="29"/>
      <c r="U24" s="29"/>
      <c r="V24" s="29"/>
      <c r="W24" s="30"/>
      <c r="X24" s="74" t="s">
        <v>339</v>
      </c>
      <c r="Y24" s="29"/>
      <c r="Z24" s="29"/>
      <c r="AA24" s="29"/>
      <c r="AB24" s="29"/>
      <c r="AC24" s="29"/>
      <c r="AD24" s="30"/>
      <c r="AE24" s="39" t="s">
        <v>340</v>
      </c>
      <c r="AF24" s="30"/>
      <c r="AG24" s="60"/>
      <c r="AH24" s="29"/>
      <c r="AI24" s="30"/>
      <c r="AJ24" s="60"/>
      <c r="AK24" s="29"/>
      <c r="AL24" s="30"/>
      <c r="AM24" s="60"/>
      <c r="AN24" s="29"/>
      <c r="AO24" s="30"/>
      <c r="AP24" s="95"/>
      <c r="AQ24" s="29"/>
      <c r="AR24" s="30"/>
      <c r="AS24" s="95"/>
      <c r="AT24" s="29"/>
      <c r="AU24" s="30"/>
      <c r="AV24" s="60"/>
      <c r="AW24" s="29"/>
      <c r="AX24" s="30"/>
      <c r="AY24" s="60"/>
      <c r="AZ24" s="29"/>
      <c r="BA24" s="30"/>
      <c r="BB24" s="60"/>
      <c r="BC24" s="29"/>
      <c r="BD24" s="30"/>
      <c r="BE24" s="95"/>
      <c r="BF24" s="29"/>
      <c r="BG24" s="30"/>
      <c r="BH24" s="95"/>
      <c r="BI24" s="29"/>
      <c r="BJ24" s="30"/>
      <c r="BK24" s="70"/>
      <c r="BL24" s="29"/>
      <c r="BM24" s="29"/>
      <c r="BN24" s="29"/>
      <c r="BO24" s="29"/>
      <c r="BP24" s="29"/>
      <c r="BQ24" s="30"/>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18"/>
      <c r="DP24" s="18"/>
      <c r="DQ24" s="18"/>
      <c r="DR24" s="18"/>
      <c r="DS24" s="18"/>
      <c r="DT24" s="18"/>
      <c r="DU24" s="18"/>
      <c r="DV24" s="18"/>
      <c r="DW24" s="18"/>
      <c r="DX24" s="18"/>
      <c r="DY24" s="18"/>
      <c r="DZ24" s="18"/>
      <c r="EA24" s="18"/>
      <c r="EB24" s="18"/>
      <c r="EC24" s="18"/>
      <c r="ED24" s="18"/>
      <c r="EE24" s="18"/>
    </row>
    <row r="25" spans="1:135" ht="15.75" customHeight="1" x14ac:dyDescent="0.2">
      <c r="A25" s="24">
        <f t="shared" si="6"/>
        <v>13</v>
      </c>
      <c r="B25" s="70"/>
      <c r="C25" s="29"/>
      <c r="D25" s="30"/>
      <c r="E25" s="74" t="s">
        <v>341</v>
      </c>
      <c r="F25" s="29"/>
      <c r="G25" s="29"/>
      <c r="H25" s="29"/>
      <c r="I25" s="30"/>
      <c r="J25" s="89"/>
      <c r="K25" s="52"/>
      <c r="L25" s="52"/>
      <c r="M25" s="52"/>
      <c r="N25" s="52"/>
      <c r="O25" s="52"/>
      <c r="P25" s="90"/>
      <c r="Q25" s="74" t="s">
        <v>342</v>
      </c>
      <c r="R25" s="29"/>
      <c r="S25" s="29"/>
      <c r="T25" s="29"/>
      <c r="U25" s="29"/>
      <c r="V25" s="29"/>
      <c r="W25" s="30"/>
      <c r="X25" s="74" t="s">
        <v>343</v>
      </c>
      <c r="Y25" s="29"/>
      <c r="Z25" s="29"/>
      <c r="AA25" s="29"/>
      <c r="AB25" s="29"/>
      <c r="AC25" s="29"/>
      <c r="AD25" s="30"/>
      <c r="AE25" s="39" t="s">
        <v>344</v>
      </c>
      <c r="AF25" s="30"/>
      <c r="AG25" s="60"/>
      <c r="AH25" s="29"/>
      <c r="AI25" s="30"/>
      <c r="AJ25" s="60"/>
      <c r="AK25" s="29"/>
      <c r="AL25" s="30"/>
      <c r="AM25" s="60"/>
      <c r="AN25" s="29"/>
      <c r="AO25" s="30"/>
      <c r="AP25" s="95"/>
      <c r="AQ25" s="29"/>
      <c r="AR25" s="30"/>
      <c r="AS25" s="95"/>
      <c r="AT25" s="29"/>
      <c r="AU25" s="30"/>
      <c r="AV25" s="60"/>
      <c r="AW25" s="29"/>
      <c r="AX25" s="30"/>
      <c r="AY25" s="60"/>
      <c r="AZ25" s="29"/>
      <c r="BA25" s="30"/>
      <c r="BB25" s="60"/>
      <c r="BC25" s="29"/>
      <c r="BD25" s="30"/>
      <c r="BE25" s="95"/>
      <c r="BF25" s="29"/>
      <c r="BG25" s="30"/>
      <c r="BH25" s="95"/>
      <c r="BI25" s="29"/>
      <c r="BJ25" s="30"/>
      <c r="BK25" s="70"/>
      <c r="BL25" s="29"/>
      <c r="BM25" s="29"/>
      <c r="BN25" s="29"/>
      <c r="BO25" s="29"/>
      <c r="BP25" s="29"/>
      <c r="BQ25" s="30"/>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row>
    <row r="26" spans="1:135" ht="15.75" customHeight="1" x14ac:dyDescent="0.2">
      <c r="A26" s="24">
        <f t="shared" si="6"/>
        <v>14</v>
      </c>
      <c r="B26" s="70"/>
      <c r="C26" s="29"/>
      <c r="D26" s="30"/>
      <c r="E26" s="74" t="s">
        <v>345</v>
      </c>
      <c r="F26" s="29"/>
      <c r="G26" s="29"/>
      <c r="H26" s="29"/>
      <c r="I26" s="30"/>
      <c r="J26" s="98"/>
      <c r="K26" s="99"/>
      <c r="L26" s="99"/>
      <c r="M26" s="99"/>
      <c r="N26" s="99"/>
      <c r="O26" s="99"/>
      <c r="P26" s="100"/>
      <c r="Q26" s="74" t="s">
        <v>346</v>
      </c>
      <c r="R26" s="29"/>
      <c r="S26" s="29"/>
      <c r="T26" s="29"/>
      <c r="U26" s="29"/>
      <c r="V26" s="29"/>
      <c r="W26" s="30"/>
      <c r="X26" s="74" t="s">
        <v>347</v>
      </c>
      <c r="Y26" s="29"/>
      <c r="Z26" s="29"/>
      <c r="AA26" s="29"/>
      <c r="AB26" s="29"/>
      <c r="AC26" s="29"/>
      <c r="AD26" s="30"/>
      <c r="AE26" s="39" t="s">
        <v>348</v>
      </c>
      <c r="AF26" s="30"/>
      <c r="AG26" s="60"/>
      <c r="AH26" s="29"/>
      <c r="AI26" s="30"/>
      <c r="AJ26" s="60"/>
      <c r="AK26" s="29"/>
      <c r="AL26" s="30"/>
      <c r="AM26" s="60"/>
      <c r="AN26" s="29"/>
      <c r="AO26" s="30"/>
      <c r="AP26" s="95"/>
      <c r="AQ26" s="29"/>
      <c r="AR26" s="30"/>
      <c r="AS26" s="95"/>
      <c r="AT26" s="29"/>
      <c r="AU26" s="30"/>
      <c r="AV26" s="60"/>
      <c r="AW26" s="29"/>
      <c r="AX26" s="30"/>
      <c r="AY26" s="60"/>
      <c r="AZ26" s="29"/>
      <c r="BA26" s="30"/>
      <c r="BB26" s="60"/>
      <c r="BC26" s="29"/>
      <c r="BD26" s="30"/>
      <c r="BE26" s="95"/>
      <c r="BF26" s="29"/>
      <c r="BG26" s="30"/>
      <c r="BH26" s="95"/>
      <c r="BI26" s="29"/>
      <c r="BJ26" s="30"/>
      <c r="BK26" s="70"/>
      <c r="BL26" s="29"/>
      <c r="BM26" s="29"/>
      <c r="BN26" s="29"/>
      <c r="BO26" s="29"/>
      <c r="BP26" s="29"/>
      <c r="BQ26" s="30"/>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K26" s="18"/>
      <c r="DL26" s="18"/>
      <c r="DM26" s="18"/>
      <c r="DN26" s="18"/>
      <c r="DO26" s="18"/>
      <c r="DP26" s="18"/>
      <c r="DQ26" s="18"/>
      <c r="DR26" s="18"/>
      <c r="DS26" s="18"/>
      <c r="DT26" s="18"/>
      <c r="DU26" s="18"/>
      <c r="DV26" s="18"/>
      <c r="DW26" s="18"/>
      <c r="DX26" s="18"/>
      <c r="DY26" s="18"/>
      <c r="DZ26" s="18"/>
      <c r="EA26" s="18"/>
      <c r="EB26" s="18"/>
      <c r="EC26" s="18"/>
      <c r="ED26" s="18"/>
      <c r="EE26" s="18"/>
    </row>
    <row r="27" spans="1:135" ht="18.75" customHeight="1" x14ac:dyDescent="0.2">
      <c r="A27" s="97" t="s">
        <v>349</v>
      </c>
      <c r="B27" s="29"/>
      <c r="C27" s="29"/>
      <c r="D27" s="29"/>
      <c r="E27" s="29"/>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30"/>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18"/>
      <c r="DP27" s="18"/>
      <c r="DQ27" s="18"/>
      <c r="DR27" s="18"/>
      <c r="DS27" s="18"/>
      <c r="DT27" s="18"/>
      <c r="DU27" s="18"/>
      <c r="DV27" s="18"/>
      <c r="DW27" s="18"/>
      <c r="DX27" s="18"/>
      <c r="DY27" s="18"/>
      <c r="DZ27" s="18"/>
      <c r="EA27" s="18"/>
      <c r="EB27" s="18"/>
      <c r="EC27" s="18"/>
      <c r="ED27" s="18"/>
      <c r="EE27" s="18"/>
    </row>
    <row r="28" spans="1:135" ht="15.75" customHeight="1" x14ac:dyDescent="0.2">
      <c r="A28" s="24">
        <f t="shared" ref="A28:A33" si="7">ROW()-13</f>
        <v>15</v>
      </c>
      <c r="B28" s="70"/>
      <c r="C28" s="29"/>
      <c r="D28" s="30"/>
      <c r="E28" s="74" t="s">
        <v>350</v>
      </c>
      <c r="F28" s="29"/>
      <c r="G28" s="29"/>
      <c r="H28" s="29"/>
      <c r="I28" s="30"/>
      <c r="J28" s="74"/>
      <c r="K28" s="29"/>
      <c r="L28" s="29"/>
      <c r="M28" s="29"/>
      <c r="N28" s="29"/>
      <c r="O28" s="29"/>
      <c r="P28" s="30"/>
      <c r="Q28" s="74" t="s">
        <v>351</v>
      </c>
      <c r="R28" s="29"/>
      <c r="S28" s="29"/>
      <c r="T28" s="29"/>
      <c r="U28" s="29"/>
      <c r="V28" s="29"/>
      <c r="W28" s="30"/>
      <c r="X28" s="74" t="s">
        <v>352</v>
      </c>
      <c r="Y28" s="29"/>
      <c r="Z28" s="29"/>
      <c r="AA28" s="29"/>
      <c r="AB28" s="29"/>
      <c r="AC28" s="29"/>
      <c r="AD28" s="30"/>
      <c r="AE28" s="60" t="s">
        <v>353</v>
      </c>
      <c r="AF28" s="30"/>
      <c r="AG28" s="60"/>
      <c r="AH28" s="29"/>
      <c r="AI28" s="30"/>
      <c r="AJ28" s="39"/>
      <c r="AK28" s="29"/>
      <c r="AL28" s="30"/>
      <c r="AM28" s="60"/>
      <c r="AN28" s="29"/>
      <c r="AO28" s="30"/>
      <c r="AP28" s="95"/>
      <c r="AQ28" s="29"/>
      <c r="AR28" s="30"/>
      <c r="AS28" s="95"/>
      <c r="AT28" s="29"/>
      <c r="AU28" s="30"/>
      <c r="AV28" s="60"/>
      <c r="AW28" s="29"/>
      <c r="AX28" s="30"/>
      <c r="AY28" s="39"/>
      <c r="AZ28" s="29"/>
      <c r="BA28" s="30"/>
      <c r="BB28" s="60"/>
      <c r="BC28" s="29"/>
      <c r="BD28" s="30"/>
      <c r="BE28" s="95"/>
      <c r="BF28" s="29"/>
      <c r="BG28" s="30"/>
      <c r="BH28" s="95"/>
      <c r="BI28" s="29"/>
      <c r="BJ28" s="30"/>
      <c r="BK28" s="74"/>
      <c r="BL28" s="29"/>
      <c r="BM28" s="29"/>
      <c r="BN28" s="29"/>
      <c r="BO28" s="29"/>
      <c r="BP28" s="29"/>
      <c r="BQ28" s="30"/>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row>
    <row r="29" spans="1:135" ht="15.75" customHeight="1" x14ac:dyDescent="0.2">
      <c r="A29" s="24">
        <f t="shared" si="7"/>
        <v>16</v>
      </c>
      <c r="B29" s="74"/>
      <c r="C29" s="29"/>
      <c r="D29" s="30"/>
      <c r="E29" s="77" t="s">
        <v>354</v>
      </c>
      <c r="F29" s="78"/>
      <c r="G29" s="78"/>
      <c r="H29" s="78"/>
      <c r="I29" s="79"/>
      <c r="J29" s="39"/>
      <c r="K29" s="29"/>
      <c r="L29" s="29"/>
      <c r="M29" s="29"/>
      <c r="N29" s="29"/>
      <c r="O29" s="29"/>
      <c r="P29" s="30"/>
      <c r="Q29" s="75" t="s">
        <v>355</v>
      </c>
      <c r="R29" s="29"/>
      <c r="S29" s="29"/>
      <c r="T29" s="29"/>
      <c r="U29" s="29"/>
      <c r="V29" s="29"/>
      <c r="W29" s="76"/>
      <c r="X29" s="101" t="s">
        <v>356</v>
      </c>
      <c r="Y29" s="78"/>
      <c r="Z29" s="78"/>
      <c r="AA29" s="78"/>
      <c r="AB29" s="78"/>
      <c r="AC29" s="78"/>
      <c r="AD29" s="79"/>
      <c r="AE29" s="60" t="s">
        <v>309</v>
      </c>
      <c r="AF29" s="30"/>
      <c r="AG29" s="39"/>
      <c r="AH29" s="29"/>
      <c r="AI29" s="30"/>
      <c r="AJ29" s="39"/>
      <c r="AK29" s="29"/>
      <c r="AL29" s="30"/>
      <c r="AM29" s="39"/>
      <c r="AN29" s="29"/>
      <c r="AO29" s="30"/>
      <c r="AP29" s="88"/>
      <c r="AQ29" s="29"/>
      <c r="AR29" s="30"/>
      <c r="AS29" s="88"/>
      <c r="AT29" s="29"/>
      <c r="AU29" s="30"/>
      <c r="AV29" s="39"/>
      <c r="AW29" s="29"/>
      <c r="AX29" s="30"/>
      <c r="AY29" s="39"/>
      <c r="AZ29" s="29"/>
      <c r="BA29" s="30"/>
      <c r="BB29" s="39"/>
      <c r="BC29" s="29"/>
      <c r="BD29" s="30"/>
      <c r="BE29" s="88"/>
      <c r="BF29" s="29"/>
      <c r="BG29" s="30"/>
      <c r="BH29" s="88"/>
      <c r="BI29" s="29"/>
      <c r="BJ29" s="30"/>
      <c r="BK29" s="74"/>
      <c r="BL29" s="29"/>
      <c r="BM29" s="29"/>
      <c r="BN29" s="29"/>
      <c r="BO29" s="29"/>
      <c r="BP29" s="29"/>
      <c r="BQ29" s="30"/>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c r="DT29" s="18"/>
      <c r="DU29" s="18"/>
      <c r="DV29" s="18"/>
      <c r="DW29" s="18"/>
      <c r="DX29" s="18"/>
      <c r="DY29" s="18"/>
      <c r="DZ29" s="18"/>
      <c r="EA29" s="18"/>
      <c r="EB29" s="18"/>
      <c r="EC29" s="18"/>
      <c r="ED29" s="18"/>
      <c r="EE29" s="18"/>
    </row>
    <row r="30" spans="1:135" ht="15.75" customHeight="1" x14ac:dyDescent="0.2">
      <c r="A30" s="24">
        <f t="shared" si="7"/>
        <v>17</v>
      </c>
      <c r="B30" s="74"/>
      <c r="C30" s="29"/>
      <c r="D30" s="30"/>
      <c r="E30" s="87" t="s">
        <v>357</v>
      </c>
      <c r="F30" s="45"/>
      <c r="G30" s="45"/>
      <c r="H30" s="45"/>
      <c r="I30" s="102"/>
      <c r="J30" s="39"/>
      <c r="K30" s="29"/>
      <c r="L30" s="29"/>
      <c r="M30" s="29"/>
      <c r="N30" s="29"/>
      <c r="O30" s="29"/>
      <c r="P30" s="30"/>
      <c r="Q30" s="74" t="s">
        <v>358</v>
      </c>
      <c r="R30" s="29"/>
      <c r="S30" s="29"/>
      <c r="T30" s="29"/>
      <c r="U30" s="29"/>
      <c r="V30" s="29"/>
      <c r="W30" s="30"/>
      <c r="X30" s="77" t="s">
        <v>359</v>
      </c>
      <c r="Y30" s="78"/>
      <c r="Z30" s="78"/>
      <c r="AA30" s="78"/>
      <c r="AB30" s="78"/>
      <c r="AC30" s="78"/>
      <c r="AD30" s="79"/>
      <c r="AE30" s="60" t="s">
        <v>309</v>
      </c>
      <c r="AF30" s="30"/>
      <c r="AG30" s="39"/>
      <c r="AH30" s="29"/>
      <c r="AI30" s="30"/>
      <c r="AJ30" s="39"/>
      <c r="AK30" s="29"/>
      <c r="AL30" s="30"/>
      <c r="AM30" s="39"/>
      <c r="AN30" s="29"/>
      <c r="AO30" s="30"/>
      <c r="AP30" s="88"/>
      <c r="AQ30" s="29"/>
      <c r="AR30" s="30"/>
      <c r="AS30" s="88"/>
      <c r="AT30" s="29"/>
      <c r="AU30" s="30"/>
      <c r="AV30" s="39"/>
      <c r="AW30" s="29"/>
      <c r="AX30" s="30"/>
      <c r="AY30" s="39"/>
      <c r="AZ30" s="29"/>
      <c r="BA30" s="30"/>
      <c r="BB30" s="39"/>
      <c r="BC30" s="29"/>
      <c r="BD30" s="30"/>
      <c r="BE30" s="88"/>
      <c r="BF30" s="29"/>
      <c r="BG30" s="30"/>
      <c r="BH30" s="88"/>
      <c r="BI30" s="29"/>
      <c r="BJ30" s="30"/>
      <c r="BK30" s="74"/>
      <c r="BL30" s="29"/>
      <c r="BM30" s="29"/>
      <c r="BN30" s="29"/>
      <c r="BO30" s="29"/>
      <c r="BP30" s="29"/>
      <c r="BQ30" s="30"/>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8"/>
      <c r="DZ30" s="18"/>
      <c r="EA30" s="18"/>
      <c r="EB30" s="18"/>
      <c r="EC30" s="18"/>
      <c r="ED30" s="18"/>
      <c r="EE30" s="18"/>
    </row>
    <row r="31" spans="1:135" ht="15.75" customHeight="1" x14ac:dyDescent="0.2">
      <c r="A31" s="24">
        <f t="shared" si="7"/>
        <v>18</v>
      </c>
      <c r="B31" s="74"/>
      <c r="C31" s="29"/>
      <c r="D31" s="30"/>
      <c r="E31" s="89"/>
      <c r="F31" s="52"/>
      <c r="G31" s="52"/>
      <c r="H31" s="52"/>
      <c r="I31" s="103"/>
      <c r="J31" s="87" t="s">
        <v>360</v>
      </c>
      <c r="K31" s="45"/>
      <c r="L31" s="45"/>
      <c r="M31" s="45"/>
      <c r="N31" s="45"/>
      <c r="O31" s="45"/>
      <c r="P31" s="46"/>
      <c r="Q31" s="74" t="s">
        <v>361</v>
      </c>
      <c r="R31" s="29"/>
      <c r="S31" s="29"/>
      <c r="T31" s="29"/>
      <c r="U31" s="29"/>
      <c r="V31" s="29"/>
      <c r="W31" s="30"/>
      <c r="X31" s="74" t="s">
        <v>362</v>
      </c>
      <c r="Y31" s="29"/>
      <c r="Z31" s="29"/>
      <c r="AA31" s="29"/>
      <c r="AB31" s="29"/>
      <c r="AC31" s="29"/>
      <c r="AD31" s="30"/>
      <c r="AE31" s="39" t="s">
        <v>363</v>
      </c>
      <c r="AF31" s="30"/>
      <c r="AG31" s="39"/>
      <c r="AH31" s="29"/>
      <c r="AI31" s="30"/>
      <c r="AJ31" s="39"/>
      <c r="AK31" s="29"/>
      <c r="AL31" s="30"/>
      <c r="AM31" s="39"/>
      <c r="AN31" s="29"/>
      <c r="AO31" s="30"/>
      <c r="AP31" s="88"/>
      <c r="AQ31" s="29"/>
      <c r="AR31" s="30"/>
      <c r="AS31" s="88"/>
      <c r="AT31" s="29"/>
      <c r="AU31" s="30"/>
      <c r="AV31" s="39"/>
      <c r="AW31" s="29"/>
      <c r="AX31" s="30"/>
      <c r="AY31" s="39"/>
      <c r="AZ31" s="29"/>
      <c r="BA31" s="30"/>
      <c r="BB31" s="39"/>
      <c r="BC31" s="29"/>
      <c r="BD31" s="30"/>
      <c r="BE31" s="88"/>
      <c r="BF31" s="29"/>
      <c r="BG31" s="30"/>
      <c r="BH31" s="88"/>
      <c r="BI31" s="29"/>
      <c r="BJ31" s="30"/>
      <c r="BK31" s="74"/>
      <c r="BL31" s="29"/>
      <c r="BM31" s="29"/>
      <c r="BN31" s="29"/>
      <c r="BO31" s="29"/>
      <c r="BP31" s="29"/>
      <c r="BQ31" s="30"/>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8"/>
      <c r="DZ31" s="18"/>
      <c r="EA31" s="18"/>
      <c r="EB31" s="18"/>
      <c r="EC31" s="18"/>
      <c r="ED31" s="18"/>
      <c r="EE31" s="18"/>
    </row>
    <row r="32" spans="1:135" ht="15.75" customHeight="1" x14ac:dyDescent="0.2">
      <c r="A32" s="24">
        <f t="shared" si="7"/>
        <v>19</v>
      </c>
      <c r="B32" s="74"/>
      <c r="C32" s="29"/>
      <c r="D32" s="30"/>
      <c r="E32" s="89"/>
      <c r="F32" s="52"/>
      <c r="G32" s="52"/>
      <c r="H32" s="52"/>
      <c r="I32" s="103"/>
      <c r="J32" s="89"/>
      <c r="K32" s="52"/>
      <c r="L32" s="52"/>
      <c r="M32" s="52"/>
      <c r="N32" s="52"/>
      <c r="O32" s="52"/>
      <c r="P32" s="90"/>
      <c r="Q32" s="75" t="s">
        <v>364</v>
      </c>
      <c r="R32" s="29"/>
      <c r="S32" s="29"/>
      <c r="T32" s="29"/>
      <c r="U32" s="29"/>
      <c r="V32" s="29"/>
      <c r="W32" s="30"/>
      <c r="X32" s="74" t="s">
        <v>365</v>
      </c>
      <c r="Y32" s="29"/>
      <c r="Z32" s="29"/>
      <c r="AA32" s="29"/>
      <c r="AB32" s="29"/>
      <c r="AC32" s="29"/>
      <c r="AD32" s="30"/>
      <c r="AE32" s="39" t="s">
        <v>366</v>
      </c>
      <c r="AF32" s="30"/>
      <c r="AG32" s="39"/>
      <c r="AH32" s="29"/>
      <c r="AI32" s="30"/>
      <c r="AJ32" s="39"/>
      <c r="AK32" s="29"/>
      <c r="AL32" s="30"/>
      <c r="AM32" s="39"/>
      <c r="AN32" s="29"/>
      <c r="AO32" s="30"/>
      <c r="AP32" s="88"/>
      <c r="AQ32" s="29"/>
      <c r="AR32" s="30"/>
      <c r="AS32" s="88"/>
      <c r="AT32" s="29"/>
      <c r="AU32" s="30"/>
      <c r="AV32" s="39"/>
      <c r="AW32" s="29"/>
      <c r="AX32" s="30"/>
      <c r="AY32" s="39"/>
      <c r="AZ32" s="29"/>
      <c r="BA32" s="30"/>
      <c r="BB32" s="39"/>
      <c r="BC32" s="29"/>
      <c r="BD32" s="30"/>
      <c r="BE32" s="88"/>
      <c r="BF32" s="29"/>
      <c r="BG32" s="30"/>
      <c r="BH32" s="88"/>
      <c r="BI32" s="29"/>
      <c r="BJ32" s="30"/>
      <c r="BK32" s="74"/>
      <c r="BL32" s="29"/>
      <c r="BM32" s="29"/>
      <c r="BN32" s="29"/>
      <c r="BO32" s="29"/>
      <c r="BP32" s="29"/>
      <c r="BQ32" s="30"/>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8"/>
      <c r="DZ32" s="18"/>
      <c r="EA32" s="18"/>
      <c r="EB32" s="18"/>
      <c r="EC32" s="18"/>
      <c r="ED32" s="18"/>
      <c r="EE32" s="18"/>
    </row>
    <row r="33" spans="1:135" ht="15.75" customHeight="1" x14ac:dyDescent="0.2">
      <c r="A33" s="24">
        <f t="shared" si="7"/>
        <v>20</v>
      </c>
      <c r="B33" s="74"/>
      <c r="C33" s="29"/>
      <c r="D33" s="30"/>
      <c r="E33" s="47"/>
      <c r="F33" s="48"/>
      <c r="G33" s="48"/>
      <c r="H33" s="48"/>
      <c r="I33" s="104"/>
      <c r="J33" s="47"/>
      <c r="K33" s="48"/>
      <c r="L33" s="48"/>
      <c r="M33" s="48"/>
      <c r="N33" s="48"/>
      <c r="O33" s="48"/>
      <c r="P33" s="49"/>
      <c r="Q33" s="75" t="s">
        <v>367</v>
      </c>
      <c r="R33" s="29"/>
      <c r="S33" s="29"/>
      <c r="T33" s="29"/>
      <c r="U33" s="29"/>
      <c r="V33" s="29"/>
      <c r="W33" s="30"/>
      <c r="X33" s="74" t="s">
        <v>368</v>
      </c>
      <c r="Y33" s="29"/>
      <c r="Z33" s="29"/>
      <c r="AA33" s="29"/>
      <c r="AB33" s="29"/>
      <c r="AC33" s="29"/>
      <c r="AD33" s="30"/>
      <c r="AE33" s="39" t="s">
        <v>369</v>
      </c>
      <c r="AF33" s="30"/>
      <c r="AG33" s="39"/>
      <c r="AH33" s="29"/>
      <c r="AI33" s="30"/>
      <c r="AJ33" s="39"/>
      <c r="AK33" s="29"/>
      <c r="AL33" s="30"/>
      <c r="AM33" s="39"/>
      <c r="AN33" s="29"/>
      <c r="AO33" s="30"/>
      <c r="AP33" s="88"/>
      <c r="AQ33" s="29"/>
      <c r="AR33" s="30"/>
      <c r="AS33" s="88"/>
      <c r="AT33" s="29"/>
      <c r="AU33" s="30"/>
      <c r="AV33" s="39"/>
      <c r="AW33" s="29"/>
      <c r="AX33" s="30"/>
      <c r="AY33" s="39"/>
      <c r="AZ33" s="29"/>
      <c r="BA33" s="30"/>
      <c r="BB33" s="39"/>
      <c r="BC33" s="29"/>
      <c r="BD33" s="30"/>
      <c r="BE33" s="88"/>
      <c r="BF33" s="29"/>
      <c r="BG33" s="30"/>
      <c r="BH33" s="88"/>
      <c r="BI33" s="29"/>
      <c r="BJ33" s="30"/>
      <c r="BK33" s="74"/>
      <c r="BL33" s="29"/>
      <c r="BM33" s="29"/>
      <c r="BN33" s="29"/>
      <c r="BO33" s="29"/>
      <c r="BP33" s="29"/>
      <c r="BQ33" s="30"/>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8"/>
      <c r="DZ33" s="18"/>
      <c r="EA33" s="18"/>
      <c r="EB33" s="18"/>
      <c r="EC33" s="18"/>
      <c r="ED33" s="18"/>
      <c r="EE33" s="18"/>
    </row>
    <row r="34" spans="1:135" ht="18.75" customHeight="1" x14ac:dyDescent="0.2">
      <c r="A34" s="97" t="s">
        <v>370</v>
      </c>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30"/>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
      <c r="DZ34" s="18"/>
      <c r="EA34" s="18"/>
      <c r="EB34" s="18"/>
      <c r="EC34" s="18"/>
      <c r="ED34" s="18"/>
      <c r="EE34" s="18"/>
    </row>
    <row r="35" spans="1:135" ht="93" customHeight="1" x14ac:dyDescent="0.2">
      <c r="A35" s="24">
        <f t="shared" ref="A35:A36" si="8">ROW()-14</f>
        <v>21</v>
      </c>
      <c r="B35" s="74"/>
      <c r="C35" s="29"/>
      <c r="D35" s="30"/>
      <c r="E35" s="74" t="s">
        <v>371</v>
      </c>
      <c r="F35" s="29"/>
      <c r="G35" s="29"/>
      <c r="H35" s="29"/>
      <c r="I35" s="30"/>
      <c r="J35" s="74"/>
      <c r="K35" s="29"/>
      <c r="L35" s="29"/>
      <c r="M35" s="29"/>
      <c r="N35" s="29"/>
      <c r="O35" s="29"/>
      <c r="P35" s="30"/>
      <c r="Q35" s="74" t="s">
        <v>372</v>
      </c>
      <c r="R35" s="29"/>
      <c r="S35" s="29"/>
      <c r="T35" s="29"/>
      <c r="U35" s="29"/>
      <c r="V35" s="29"/>
      <c r="W35" s="30"/>
      <c r="X35" s="85" t="s">
        <v>373</v>
      </c>
      <c r="Y35" s="29"/>
      <c r="Z35" s="29"/>
      <c r="AA35" s="29"/>
      <c r="AB35" s="29"/>
      <c r="AC35" s="29"/>
      <c r="AD35" s="30"/>
      <c r="AE35" s="39" t="s">
        <v>309</v>
      </c>
      <c r="AF35" s="30"/>
      <c r="AG35" s="39"/>
      <c r="AH35" s="29"/>
      <c r="AI35" s="30"/>
      <c r="AJ35" s="39"/>
      <c r="AK35" s="29"/>
      <c r="AL35" s="30"/>
      <c r="AM35" s="39"/>
      <c r="AN35" s="29"/>
      <c r="AO35" s="30"/>
      <c r="AP35" s="88"/>
      <c r="AQ35" s="29"/>
      <c r="AR35" s="30"/>
      <c r="AS35" s="88"/>
      <c r="AT35" s="29"/>
      <c r="AU35" s="30"/>
      <c r="AV35" s="39"/>
      <c r="AW35" s="29"/>
      <c r="AX35" s="30"/>
      <c r="AY35" s="39"/>
      <c r="AZ35" s="29"/>
      <c r="BA35" s="30"/>
      <c r="BB35" s="39"/>
      <c r="BC35" s="29"/>
      <c r="BD35" s="30"/>
      <c r="BE35" s="88"/>
      <c r="BF35" s="29"/>
      <c r="BG35" s="30"/>
      <c r="BH35" s="88"/>
      <c r="BI35" s="29"/>
      <c r="BJ35" s="30"/>
      <c r="BK35" s="74"/>
      <c r="BL35" s="29"/>
      <c r="BM35" s="29"/>
      <c r="BN35" s="29"/>
      <c r="BO35" s="29"/>
      <c r="BP35" s="29"/>
      <c r="BQ35" s="30"/>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row>
    <row r="36" spans="1:135" ht="60.75" customHeight="1" x14ac:dyDescent="0.2">
      <c r="A36" s="24">
        <f t="shared" si="8"/>
        <v>22</v>
      </c>
      <c r="B36" s="74"/>
      <c r="C36" s="29"/>
      <c r="D36" s="30"/>
      <c r="E36" s="87" t="s">
        <v>374</v>
      </c>
      <c r="F36" s="45"/>
      <c r="G36" s="45"/>
      <c r="H36" s="45"/>
      <c r="I36" s="46"/>
      <c r="J36" s="74"/>
      <c r="K36" s="29"/>
      <c r="L36" s="29"/>
      <c r="M36" s="29"/>
      <c r="N36" s="29"/>
      <c r="O36" s="29"/>
      <c r="P36" s="30"/>
      <c r="Q36" s="73" t="s">
        <v>375</v>
      </c>
      <c r="R36" s="29"/>
      <c r="S36" s="29"/>
      <c r="T36" s="29"/>
      <c r="U36" s="29"/>
      <c r="V36" s="29"/>
      <c r="W36" s="30"/>
      <c r="X36" s="73" t="s">
        <v>376</v>
      </c>
      <c r="Y36" s="29"/>
      <c r="Z36" s="29"/>
      <c r="AA36" s="29"/>
      <c r="AB36" s="29"/>
      <c r="AC36" s="29"/>
      <c r="AD36" s="30"/>
      <c r="AE36" s="39" t="s">
        <v>309</v>
      </c>
      <c r="AF36" s="30"/>
      <c r="AG36" s="39"/>
      <c r="AH36" s="29"/>
      <c r="AI36" s="30"/>
      <c r="AJ36" s="39"/>
      <c r="AK36" s="29"/>
      <c r="AL36" s="30"/>
      <c r="AM36" s="39"/>
      <c r="AN36" s="29"/>
      <c r="AO36" s="30"/>
      <c r="AP36" s="88"/>
      <c r="AQ36" s="29"/>
      <c r="AR36" s="30"/>
      <c r="AS36" s="88"/>
      <c r="AT36" s="29"/>
      <c r="AU36" s="30"/>
      <c r="AV36" s="39"/>
      <c r="AW36" s="29"/>
      <c r="AX36" s="30"/>
      <c r="AY36" s="39"/>
      <c r="AZ36" s="29"/>
      <c r="BA36" s="30"/>
      <c r="BB36" s="39"/>
      <c r="BC36" s="29"/>
      <c r="BD36" s="30"/>
      <c r="BE36" s="88"/>
      <c r="BF36" s="29"/>
      <c r="BG36" s="30"/>
      <c r="BH36" s="88"/>
      <c r="BI36" s="29"/>
      <c r="BJ36" s="30"/>
      <c r="BK36" s="74"/>
      <c r="BL36" s="29"/>
      <c r="BM36" s="29"/>
      <c r="BN36" s="29"/>
      <c r="BO36" s="29"/>
      <c r="BP36" s="29"/>
      <c r="BQ36" s="30"/>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K36" s="18"/>
      <c r="DL36" s="18"/>
      <c r="DM36" s="18"/>
      <c r="DN36" s="18"/>
      <c r="DO36" s="18"/>
      <c r="DP36" s="18"/>
      <c r="DQ36" s="18"/>
      <c r="DR36" s="18"/>
      <c r="DS36" s="18"/>
      <c r="DT36" s="18"/>
      <c r="DU36" s="18"/>
      <c r="DV36" s="18"/>
      <c r="DW36" s="18"/>
      <c r="DX36" s="18"/>
      <c r="DY36" s="18"/>
      <c r="DZ36" s="18"/>
      <c r="EA36" s="18"/>
      <c r="EB36" s="18"/>
      <c r="EC36" s="18"/>
      <c r="ED36" s="18"/>
      <c r="EE36" s="18"/>
    </row>
    <row r="37" spans="1:135" ht="60.75" customHeight="1" x14ac:dyDescent="0.2">
      <c r="A37" s="24"/>
      <c r="B37" s="74"/>
      <c r="C37" s="29"/>
      <c r="D37" s="30"/>
      <c r="E37" s="89"/>
      <c r="F37" s="52"/>
      <c r="G37" s="52"/>
      <c r="H37" s="52"/>
      <c r="I37" s="90"/>
      <c r="J37" s="74"/>
      <c r="K37" s="29"/>
      <c r="L37" s="29"/>
      <c r="M37" s="29"/>
      <c r="N37" s="29"/>
      <c r="O37" s="29"/>
      <c r="P37" s="30"/>
      <c r="Q37" s="73" t="s">
        <v>377</v>
      </c>
      <c r="R37" s="29"/>
      <c r="S37" s="29"/>
      <c r="T37" s="29"/>
      <c r="U37" s="29"/>
      <c r="V37" s="29"/>
      <c r="W37" s="30"/>
      <c r="X37" s="73" t="s">
        <v>376</v>
      </c>
      <c r="Y37" s="29"/>
      <c r="Z37" s="29"/>
      <c r="AA37" s="29"/>
      <c r="AB37" s="29"/>
      <c r="AC37" s="29"/>
      <c r="AD37" s="30"/>
      <c r="AE37" s="39" t="s">
        <v>309</v>
      </c>
      <c r="AF37" s="30"/>
      <c r="AG37" s="39"/>
      <c r="AH37" s="29"/>
      <c r="AI37" s="30"/>
      <c r="AJ37" s="39"/>
      <c r="AK37" s="29"/>
      <c r="AL37" s="30"/>
      <c r="AM37" s="39"/>
      <c r="AN37" s="29"/>
      <c r="AO37" s="30"/>
      <c r="AP37" s="88"/>
      <c r="AQ37" s="29"/>
      <c r="AR37" s="30"/>
      <c r="AS37" s="88"/>
      <c r="AT37" s="29"/>
      <c r="AU37" s="30"/>
      <c r="AV37" s="39"/>
      <c r="AW37" s="29"/>
      <c r="AX37" s="30"/>
      <c r="AY37" s="39"/>
      <c r="AZ37" s="29"/>
      <c r="BA37" s="30"/>
      <c r="BB37" s="39"/>
      <c r="BC37" s="29"/>
      <c r="BD37" s="30"/>
      <c r="BE37" s="88"/>
      <c r="BF37" s="29"/>
      <c r="BG37" s="30"/>
      <c r="BH37" s="88"/>
      <c r="BI37" s="29"/>
      <c r="BJ37" s="30"/>
      <c r="BK37" s="74"/>
      <c r="BL37" s="29"/>
      <c r="BM37" s="29"/>
      <c r="BN37" s="29"/>
      <c r="BO37" s="29"/>
      <c r="BP37" s="29"/>
      <c r="BQ37" s="30"/>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row>
    <row r="38" spans="1:135" ht="60.75" customHeight="1" x14ac:dyDescent="0.2">
      <c r="A38" s="24">
        <f t="shared" ref="A38:A42" si="9">ROW()-14</f>
        <v>24</v>
      </c>
      <c r="B38" s="74"/>
      <c r="C38" s="29"/>
      <c r="D38" s="30"/>
      <c r="E38" s="89"/>
      <c r="F38" s="52"/>
      <c r="G38" s="52"/>
      <c r="H38" s="52"/>
      <c r="I38" s="90"/>
      <c r="J38" s="74"/>
      <c r="K38" s="29"/>
      <c r="L38" s="29"/>
      <c r="M38" s="29"/>
      <c r="N38" s="29"/>
      <c r="O38" s="29"/>
      <c r="P38" s="30"/>
      <c r="Q38" s="73" t="s">
        <v>378</v>
      </c>
      <c r="R38" s="29"/>
      <c r="S38" s="29"/>
      <c r="T38" s="29"/>
      <c r="U38" s="29"/>
      <c r="V38" s="29"/>
      <c r="W38" s="30"/>
      <c r="X38" s="73" t="s">
        <v>379</v>
      </c>
      <c r="Y38" s="29"/>
      <c r="Z38" s="29"/>
      <c r="AA38" s="29"/>
      <c r="AB38" s="29"/>
      <c r="AC38" s="29"/>
      <c r="AD38" s="30"/>
      <c r="AE38" s="39" t="s">
        <v>309</v>
      </c>
      <c r="AF38" s="30"/>
      <c r="AG38" s="39"/>
      <c r="AH38" s="29"/>
      <c r="AI38" s="30"/>
      <c r="AJ38" s="39"/>
      <c r="AK38" s="29"/>
      <c r="AL38" s="30"/>
      <c r="AM38" s="39"/>
      <c r="AN38" s="29"/>
      <c r="AO38" s="30"/>
      <c r="AP38" s="88"/>
      <c r="AQ38" s="29"/>
      <c r="AR38" s="30"/>
      <c r="AS38" s="88"/>
      <c r="AT38" s="29"/>
      <c r="AU38" s="30"/>
      <c r="AV38" s="39"/>
      <c r="AW38" s="29"/>
      <c r="AX38" s="30"/>
      <c r="AY38" s="39"/>
      <c r="AZ38" s="29"/>
      <c r="BA38" s="30"/>
      <c r="BB38" s="39"/>
      <c r="BC38" s="29"/>
      <c r="BD38" s="30"/>
      <c r="BE38" s="88"/>
      <c r="BF38" s="29"/>
      <c r="BG38" s="30"/>
      <c r="BH38" s="88"/>
      <c r="BI38" s="29"/>
      <c r="BJ38" s="30"/>
      <c r="BK38" s="74"/>
      <c r="BL38" s="29"/>
      <c r="BM38" s="29"/>
      <c r="BN38" s="29"/>
      <c r="BO38" s="29"/>
      <c r="BP38" s="29"/>
      <c r="BQ38" s="30"/>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K38" s="18"/>
      <c r="DL38" s="18"/>
      <c r="DM38" s="18"/>
      <c r="DN38" s="18"/>
      <c r="DO38" s="18"/>
      <c r="DP38" s="18"/>
      <c r="DQ38" s="18"/>
      <c r="DR38" s="18"/>
      <c r="DS38" s="18"/>
      <c r="DT38" s="18"/>
      <c r="DU38" s="18"/>
      <c r="DV38" s="18"/>
      <c r="DW38" s="18"/>
      <c r="DX38" s="18"/>
      <c r="DY38" s="18"/>
      <c r="DZ38" s="18"/>
      <c r="EA38" s="18"/>
      <c r="EB38" s="18"/>
      <c r="EC38" s="18"/>
      <c r="ED38" s="18"/>
      <c r="EE38" s="18"/>
    </row>
    <row r="39" spans="1:135" ht="60.75" customHeight="1" x14ac:dyDescent="0.2">
      <c r="A39" s="24">
        <f t="shared" si="9"/>
        <v>25</v>
      </c>
      <c r="B39" s="74"/>
      <c r="C39" s="29"/>
      <c r="D39" s="30"/>
      <c r="E39" s="89"/>
      <c r="F39" s="52"/>
      <c r="G39" s="52"/>
      <c r="H39" s="52"/>
      <c r="I39" s="90"/>
      <c r="J39" s="74"/>
      <c r="K39" s="29"/>
      <c r="L39" s="29"/>
      <c r="M39" s="29"/>
      <c r="N39" s="29"/>
      <c r="O39" s="29"/>
      <c r="P39" s="30"/>
      <c r="Q39" s="73" t="s">
        <v>380</v>
      </c>
      <c r="R39" s="29"/>
      <c r="S39" s="29"/>
      <c r="T39" s="29"/>
      <c r="U39" s="29"/>
      <c r="V39" s="29"/>
      <c r="W39" s="30"/>
      <c r="X39" s="73" t="s">
        <v>381</v>
      </c>
      <c r="Y39" s="29"/>
      <c r="Z39" s="29"/>
      <c r="AA39" s="29"/>
      <c r="AB39" s="29"/>
      <c r="AC39" s="29"/>
      <c r="AD39" s="30"/>
      <c r="AE39" s="39" t="s">
        <v>309</v>
      </c>
      <c r="AF39" s="30"/>
      <c r="AG39" s="39"/>
      <c r="AH39" s="29"/>
      <c r="AI39" s="30"/>
      <c r="AJ39" s="39"/>
      <c r="AK39" s="29"/>
      <c r="AL39" s="30"/>
      <c r="AM39" s="39"/>
      <c r="AN39" s="29"/>
      <c r="AO39" s="30"/>
      <c r="AP39" s="88"/>
      <c r="AQ39" s="29"/>
      <c r="AR39" s="30"/>
      <c r="AS39" s="88"/>
      <c r="AT39" s="29"/>
      <c r="AU39" s="30"/>
      <c r="AV39" s="39"/>
      <c r="AW39" s="29"/>
      <c r="AX39" s="30"/>
      <c r="AY39" s="39"/>
      <c r="AZ39" s="29"/>
      <c r="BA39" s="30"/>
      <c r="BB39" s="39"/>
      <c r="BC39" s="29"/>
      <c r="BD39" s="30"/>
      <c r="BE39" s="88"/>
      <c r="BF39" s="29"/>
      <c r="BG39" s="30"/>
      <c r="BH39" s="88"/>
      <c r="BI39" s="29"/>
      <c r="BJ39" s="30"/>
      <c r="BK39" s="74"/>
      <c r="BL39" s="29"/>
      <c r="BM39" s="29"/>
      <c r="BN39" s="29"/>
      <c r="BO39" s="29"/>
      <c r="BP39" s="29"/>
      <c r="BQ39" s="30"/>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row>
    <row r="40" spans="1:135" ht="80.25" customHeight="1" x14ac:dyDescent="0.2">
      <c r="A40" s="24">
        <f t="shared" si="9"/>
        <v>26</v>
      </c>
      <c r="B40" s="74"/>
      <c r="C40" s="29"/>
      <c r="D40" s="30"/>
      <c r="E40" s="89"/>
      <c r="F40" s="52"/>
      <c r="G40" s="52"/>
      <c r="H40" s="52"/>
      <c r="I40" s="90"/>
      <c r="J40" s="74"/>
      <c r="K40" s="29"/>
      <c r="L40" s="29"/>
      <c r="M40" s="29"/>
      <c r="N40" s="29"/>
      <c r="O40" s="29"/>
      <c r="P40" s="30"/>
      <c r="Q40" s="73" t="s">
        <v>382</v>
      </c>
      <c r="R40" s="29"/>
      <c r="S40" s="29"/>
      <c r="T40" s="29"/>
      <c r="U40" s="29"/>
      <c r="V40" s="29"/>
      <c r="W40" s="30"/>
      <c r="X40" s="74" t="s">
        <v>383</v>
      </c>
      <c r="Y40" s="29"/>
      <c r="Z40" s="29"/>
      <c r="AA40" s="29"/>
      <c r="AB40" s="29"/>
      <c r="AC40" s="29"/>
      <c r="AD40" s="30"/>
      <c r="AE40" s="39" t="s">
        <v>309</v>
      </c>
      <c r="AF40" s="30"/>
      <c r="AG40" s="39"/>
      <c r="AH40" s="29"/>
      <c r="AI40" s="30"/>
      <c r="AJ40" s="39"/>
      <c r="AK40" s="29"/>
      <c r="AL40" s="30"/>
      <c r="AM40" s="39"/>
      <c r="AN40" s="29"/>
      <c r="AO40" s="30"/>
      <c r="AP40" s="88"/>
      <c r="AQ40" s="29"/>
      <c r="AR40" s="30"/>
      <c r="AS40" s="88"/>
      <c r="AT40" s="29"/>
      <c r="AU40" s="30"/>
      <c r="AV40" s="39"/>
      <c r="AW40" s="29"/>
      <c r="AX40" s="30"/>
      <c r="AY40" s="39"/>
      <c r="AZ40" s="29"/>
      <c r="BA40" s="30"/>
      <c r="BB40" s="39"/>
      <c r="BC40" s="29"/>
      <c r="BD40" s="30"/>
      <c r="BE40" s="88"/>
      <c r="BF40" s="29"/>
      <c r="BG40" s="30"/>
      <c r="BH40" s="88"/>
      <c r="BI40" s="29"/>
      <c r="BJ40" s="30"/>
      <c r="BK40" s="74"/>
      <c r="BL40" s="29"/>
      <c r="BM40" s="29"/>
      <c r="BN40" s="29"/>
      <c r="BO40" s="29"/>
      <c r="BP40" s="29"/>
      <c r="BQ40" s="30"/>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K40" s="18"/>
      <c r="DL40" s="18"/>
      <c r="DM40" s="18"/>
      <c r="DN40" s="18"/>
      <c r="DO40" s="18"/>
      <c r="DP40" s="18"/>
      <c r="DQ40" s="18"/>
      <c r="DR40" s="18"/>
      <c r="DS40" s="18"/>
      <c r="DT40" s="18"/>
      <c r="DU40" s="18"/>
      <c r="DV40" s="18"/>
      <c r="DW40" s="18"/>
      <c r="DX40" s="18"/>
      <c r="DY40" s="18"/>
      <c r="DZ40" s="18"/>
      <c r="EA40" s="18"/>
      <c r="EB40" s="18"/>
      <c r="EC40" s="18"/>
      <c r="ED40" s="18"/>
      <c r="EE40" s="18"/>
    </row>
    <row r="41" spans="1:135" ht="80.25" customHeight="1" x14ac:dyDescent="0.2">
      <c r="A41" s="24">
        <f t="shared" si="9"/>
        <v>27</v>
      </c>
      <c r="B41" s="74"/>
      <c r="C41" s="29"/>
      <c r="D41" s="30"/>
      <c r="E41" s="89"/>
      <c r="F41" s="52"/>
      <c r="G41" s="52"/>
      <c r="H41" s="52"/>
      <c r="I41" s="90"/>
      <c r="J41" s="74"/>
      <c r="K41" s="29"/>
      <c r="L41" s="29"/>
      <c r="M41" s="29"/>
      <c r="N41" s="29"/>
      <c r="O41" s="29"/>
      <c r="P41" s="30"/>
      <c r="Q41" s="73" t="s">
        <v>384</v>
      </c>
      <c r="R41" s="29"/>
      <c r="S41" s="29"/>
      <c r="T41" s="29"/>
      <c r="U41" s="29"/>
      <c r="V41" s="29"/>
      <c r="W41" s="30"/>
      <c r="X41" s="74" t="s">
        <v>383</v>
      </c>
      <c r="Y41" s="29"/>
      <c r="Z41" s="29"/>
      <c r="AA41" s="29"/>
      <c r="AB41" s="29"/>
      <c r="AC41" s="29"/>
      <c r="AD41" s="30"/>
      <c r="AE41" s="39" t="s">
        <v>309</v>
      </c>
      <c r="AF41" s="30"/>
      <c r="AG41" s="39"/>
      <c r="AH41" s="29"/>
      <c r="AI41" s="30"/>
      <c r="AJ41" s="39"/>
      <c r="AK41" s="29"/>
      <c r="AL41" s="30"/>
      <c r="AM41" s="39"/>
      <c r="AN41" s="29"/>
      <c r="AO41" s="30"/>
      <c r="AP41" s="88"/>
      <c r="AQ41" s="29"/>
      <c r="AR41" s="30"/>
      <c r="AS41" s="88"/>
      <c r="AT41" s="29"/>
      <c r="AU41" s="30"/>
      <c r="AV41" s="39"/>
      <c r="AW41" s="29"/>
      <c r="AX41" s="30"/>
      <c r="AY41" s="39"/>
      <c r="AZ41" s="29"/>
      <c r="BA41" s="30"/>
      <c r="BB41" s="39"/>
      <c r="BC41" s="29"/>
      <c r="BD41" s="30"/>
      <c r="BE41" s="88"/>
      <c r="BF41" s="29"/>
      <c r="BG41" s="30"/>
      <c r="BH41" s="88"/>
      <c r="BI41" s="29"/>
      <c r="BJ41" s="30"/>
      <c r="BK41" s="74"/>
      <c r="BL41" s="29"/>
      <c r="BM41" s="29"/>
      <c r="BN41" s="29"/>
      <c r="BO41" s="29"/>
      <c r="BP41" s="29"/>
      <c r="BQ41" s="30"/>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8"/>
      <c r="DG41" s="18"/>
      <c r="DH41" s="18"/>
      <c r="DI41" s="18"/>
      <c r="DJ41" s="18"/>
      <c r="DK41" s="18"/>
      <c r="DL41" s="18"/>
      <c r="DM41" s="18"/>
      <c r="DN41" s="18"/>
      <c r="DO41" s="18"/>
      <c r="DP41" s="18"/>
      <c r="DQ41" s="18"/>
      <c r="DR41" s="18"/>
      <c r="DS41" s="18"/>
      <c r="DT41" s="18"/>
      <c r="DU41" s="18"/>
      <c r="DV41" s="18"/>
      <c r="DW41" s="18"/>
      <c r="DX41" s="18"/>
      <c r="DY41" s="18"/>
      <c r="DZ41" s="18"/>
      <c r="EA41" s="18"/>
      <c r="EB41" s="18"/>
      <c r="EC41" s="18"/>
      <c r="ED41" s="18"/>
      <c r="EE41" s="18"/>
    </row>
    <row r="42" spans="1:135" ht="80.25" customHeight="1" x14ac:dyDescent="0.2">
      <c r="A42" s="24">
        <f t="shared" si="9"/>
        <v>28</v>
      </c>
      <c r="B42" s="74"/>
      <c r="C42" s="29"/>
      <c r="D42" s="30"/>
      <c r="E42" s="89"/>
      <c r="F42" s="52"/>
      <c r="G42" s="52"/>
      <c r="H42" s="52"/>
      <c r="I42" s="90"/>
      <c r="J42" s="74"/>
      <c r="K42" s="29"/>
      <c r="L42" s="29"/>
      <c r="M42" s="29"/>
      <c r="N42" s="29"/>
      <c r="O42" s="29"/>
      <c r="P42" s="30"/>
      <c r="Q42" s="73" t="s">
        <v>385</v>
      </c>
      <c r="R42" s="29"/>
      <c r="S42" s="29"/>
      <c r="T42" s="29"/>
      <c r="U42" s="29"/>
      <c r="V42" s="29"/>
      <c r="W42" s="30"/>
      <c r="X42" s="74" t="s">
        <v>383</v>
      </c>
      <c r="Y42" s="29"/>
      <c r="Z42" s="29"/>
      <c r="AA42" s="29"/>
      <c r="AB42" s="29"/>
      <c r="AC42" s="29"/>
      <c r="AD42" s="30"/>
      <c r="AE42" s="39" t="s">
        <v>309</v>
      </c>
      <c r="AF42" s="30"/>
      <c r="AG42" s="39"/>
      <c r="AH42" s="29"/>
      <c r="AI42" s="30"/>
      <c r="AJ42" s="39"/>
      <c r="AK42" s="29"/>
      <c r="AL42" s="30"/>
      <c r="AM42" s="39"/>
      <c r="AN42" s="29"/>
      <c r="AO42" s="30"/>
      <c r="AP42" s="88"/>
      <c r="AQ42" s="29"/>
      <c r="AR42" s="30"/>
      <c r="AS42" s="88"/>
      <c r="AT42" s="29"/>
      <c r="AU42" s="30"/>
      <c r="AV42" s="39"/>
      <c r="AW42" s="29"/>
      <c r="AX42" s="30"/>
      <c r="AY42" s="39"/>
      <c r="AZ42" s="29"/>
      <c r="BA42" s="30"/>
      <c r="BB42" s="39"/>
      <c r="BC42" s="29"/>
      <c r="BD42" s="30"/>
      <c r="BE42" s="88"/>
      <c r="BF42" s="29"/>
      <c r="BG42" s="30"/>
      <c r="BH42" s="88"/>
      <c r="BI42" s="29"/>
      <c r="BJ42" s="30"/>
      <c r="BK42" s="74"/>
      <c r="BL42" s="29"/>
      <c r="BM42" s="29"/>
      <c r="BN42" s="29"/>
      <c r="BO42" s="29"/>
      <c r="BP42" s="29"/>
      <c r="BQ42" s="30"/>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K42" s="18"/>
      <c r="DL42" s="18"/>
      <c r="DM42" s="18"/>
      <c r="DN42" s="18"/>
      <c r="DO42" s="18"/>
      <c r="DP42" s="18"/>
      <c r="DQ42" s="18"/>
      <c r="DR42" s="18"/>
      <c r="DS42" s="18"/>
      <c r="DT42" s="18"/>
      <c r="DU42" s="18"/>
      <c r="DV42" s="18"/>
      <c r="DW42" s="18"/>
      <c r="DX42" s="18"/>
      <c r="DY42" s="18"/>
      <c r="DZ42" s="18"/>
      <c r="EA42" s="18"/>
      <c r="EB42" s="18"/>
      <c r="EC42" s="18"/>
      <c r="ED42" s="18"/>
      <c r="EE42" s="18"/>
    </row>
    <row r="43" spans="1:135" ht="62.25" customHeight="1" x14ac:dyDescent="0.2">
      <c r="A43" s="24"/>
      <c r="B43" s="74"/>
      <c r="C43" s="29"/>
      <c r="D43" s="30"/>
      <c r="E43" s="89"/>
      <c r="F43" s="52"/>
      <c r="G43" s="52"/>
      <c r="H43" s="52"/>
      <c r="I43" s="90"/>
      <c r="J43" s="74"/>
      <c r="K43" s="29"/>
      <c r="L43" s="29"/>
      <c r="M43" s="29"/>
      <c r="N43" s="29"/>
      <c r="O43" s="29"/>
      <c r="P43" s="30"/>
      <c r="Q43" s="73" t="s">
        <v>386</v>
      </c>
      <c r="R43" s="29"/>
      <c r="S43" s="29"/>
      <c r="T43" s="29"/>
      <c r="U43" s="29"/>
      <c r="V43" s="29"/>
      <c r="W43" s="30"/>
      <c r="X43" s="74" t="s">
        <v>387</v>
      </c>
      <c r="Y43" s="29"/>
      <c r="Z43" s="29"/>
      <c r="AA43" s="29"/>
      <c r="AB43" s="29"/>
      <c r="AC43" s="29"/>
      <c r="AD43" s="30"/>
      <c r="AE43" s="39" t="s">
        <v>309</v>
      </c>
      <c r="AF43" s="30"/>
      <c r="AG43" s="39"/>
      <c r="AH43" s="29"/>
      <c r="AI43" s="30"/>
      <c r="AJ43" s="39"/>
      <c r="AK43" s="29"/>
      <c r="AL43" s="30"/>
      <c r="AM43" s="39"/>
      <c r="AN43" s="29"/>
      <c r="AO43" s="30"/>
      <c r="AP43" s="88"/>
      <c r="AQ43" s="29"/>
      <c r="AR43" s="30"/>
      <c r="AS43" s="88"/>
      <c r="AT43" s="29"/>
      <c r="AU43" s="30"/>
      <c r="AV43" s="39"/>
      <c r="AW43" s="29"/>
      <c r="AX43" s="30"/>
      <c r="AY43" s="39"/>
      <c r="AZ43" s="29"/>
      <c r="BA43" s="30"/>
      <c r="BB43" s="39"/>
      <c r="BC43" s="29"/>
      <c r="BD43" s="30"/>
      <c r="BE43" s="88"/>
      <c r="BF43" s="29"/>
      <c r="BG43" s="30"/>
      <c r="BH43" s="88"/>
      <c r="BI43" s="29"/>
      <c r="BJ43" s="30"/>
      <c r="BK43" s="74"/>
      <c r="BL43" s="29"/>
      <c r="BM43" s="29"/>
      <c r="BN43" s="29"/>
      <c r="BO43" s="29"/>
      <c r="BP43" s="29"/>
      <c r="BQ43" s="30"/>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row>
    <row r="44" spans="1:135" ht="62.25" customHeight="1" x14ac:dyDescent="0.2">
      <c r="A44" s="24">
        <f t="shared" ref="A44:A45" si="10">ROW()-14</f>
        <v>30</v>
      </c>
      <c r="B44" s="74"/>
      <c r="C44" s="29"/>
      <c r="D44" s="30"/>
      <c r="E44" s="47"/>
      <c r="F44" s="48"/>
      <c r="G44" s="48"/>
      <c r="H44" s="48"/>
      <c r="I44" s="49"/>
      <c r="J44" s="74" t="s">
        <v>388</v>
      </c>
      <c r="K44" s="29"/>
      <c r="L44" s="29"/>
      <c r="M44" s="29"/>
      <c r="N44" s="29"/>
      <c r="O44" s="29"/>
      <c r="P44" s="30"/>
      <c r="Q44" s="73" t="s">
        <v>389</v>
      </c>
      <c r="R44" s="29"/>
      <c r="S44" s="29"/>
      <c r="T44" s="29"/>
      <c r="U44" s="29"/>
      <c r="V44" s="29"/>
      <c r="W44" s="30"/>
      <c r="X44" s="74" t="s">
        <v>390</v>
      </c>
      <c r="Y44" s="29"/>
      <c r="Z44" s="29"/>
      <c r="AA44" s="29"/>
      <c r="AB44" s="29"/>
      <c r="AC44" s="29"/>
      <c r="AD44" s="30"/>
      <c r="AE44" s="39" t="s">
        <v>309</v>
      </c>
      <c r="AF44" s="30"/>
      <c r="AG44" s="39"/>
      <c r="AH44" s="29"/>
      <c r="AI44" s="30"/>
      <c r="AJ44" s="39"/>
      <c r="AK44" s="29"/>
      <c r="AL44" s="30"/>
      <c r="AM44" s="39"/>
      <c r="AN44" s="29"/>
      <c r="AO44" s="30"/>
      <c r="AP44" s="88"/>
      <c r="AQ44" s="29"/>
      <c r="AR44" s="30"/>
      <c r="AS44" s="88"/>
      <c r="AT44" s="29"/>
      <c r="AU44" s="30"/>
      <c r="AV44" s="39"/>
      <c r="AW44" s="29"/>
      <c r="AX44" s="30"/>
      <c r="AY44" s="39"/>
      <c r="AZ44" s="29"/>
      <c r="BA44" s="30"/>
      <c r="BB44" s="39"/>
      <c r="BC44" s="29"/>
      <c r="BD44" s="30"/>
      <c r="BE44" s="88"/>
      <c r="BF44" s="29"/>
      <c r="BG44" s="30"/>
      <c r="BH44" s="88"/>
      <c r="BI44" s="29"/>
      <c r="BJ44" s="30"/>
      <c r="BK44" s="74"/>
      <c r="BL44" s="29"/>
      <c r="BM44" s="29"/>
      <c r="BN44" s="29"/>
      <c r="BO44" s="29"/>
      <c r="BP44" s="29"/>
      <c r="BQ44" s="30"/>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K44" s="18"/>
      <c r="DL44" s="18"/>
      <c r="DM44" s="18"/>
      <c r="DN44" s="18"/>
      <c r="DO44" s="18"/>
      <c r="DP44" s="18"/>
      <c r="DQ44" s="18"/>
      <c r="DR44" s="18"/>
      <c r="DS44" s="18"/>
      <c r="DT44" s="18"/>
      <c r="DU44" s="18"/>
      <c r="DV44" s="18"/>
      <c r="DW44" s="18"/>
      <c r="DX44" s="18"/>
      <c r="DY44" s="18"/>
      <c r="DZ44" s="18"/>
      <c r="EA44" s="18"/>
      <c r="EB44" s="18"/>
      <c r="EC44" s="18"/>
      <c r="ED44" s="18"/>
      <c r="EE44" s="18"/>
    </row>
    <row r="45" spans="1:135" ht="60.75" customHeight="1" x14ac:dyDescent="0.2">
      <c r="A45" s="24">
        <f t="shared" si="10"/>
        <v>31</v>
      </c>
      <c r="B45" s="74"/>
      <c r="C45" s="29"/>
      <c r="D45" s="30"/>
      <c r="E45" s="87" t="s">
        <v>391</v>
      </c>
      <c r="F45" s="45"/>
      <c r="G45" s="45"/>
      <c r="H45" s="45"/>
      <c r="I45" s="46"/>
      <c r="J45" s="74"/>
      <c r="K45" s="29"/>
      <c r="L45" s="29"/>
      <c r="M45" s="29"/>
      <c r="N45" s="29"/>
      <c r="O45" s="29"/>
      <c r="P45" s="30"/>
      <c r="Q45" s="73" t="s">
        <v>392</v>
      </c>
      <c r="R45" s="29"/>
      <c r="S45" s="29"/>
      <c r="T45" s="29"/>
      <c r="U45" s="29"/>
      <c r="V45" s="29"/>
      <c r="W45" s="30"/>
      <c r="X45" s="73" t="s">
        <v>376</v>
      </c>
      <c r="Y45" s="29"/>
      <c r="Z45" s="29"/>
      <c r="AA45" s="29"/>
      <c r="AB45" s="29"/>
      <c r="AC45" s="29"/>
      <c r="AD45" s="30"/>
      <c r="AE45" s="39" t="s">
        <v>309</v>
      </c>
      <c r="AF45" s="30"/>
      <c r="AG45" s="39"/>
      <c r="AH45" s="29"/>
      <c r="AI45" s="30"/>
      <c r="AJ45" s="39"/>
      <c r="AK45" s="29"/>
      <c r="AL45" s="30"/>
      <c r="AM45" s="39"/>
      <c r="AN45" s="29"/>
      <c r="AO45" s="30"/>
      <c r="AP45" s="88"/>
      <c r="AQ45" s="29"/>
      <c r="AR45" s="30"/>
      <c r="AS45" s="88"/>
      <c r="AT45" s="29"/>
      <c r="AU45" s="30"/>
      <c r="AV45" s="39"/>
      <c r="AW45" s="29"/>
      <c r="AX45" s="30"/>
      <c r="AY45" s="39"/>
      <c r="AZ45" s="29"/>
      <c r="BA45" s="30"/>
      <c r="BB45" s="39"/>
      <c r="BC45" s="29"/>
      <c r="BD45" s="30"/>
      <c r="BE45" s="88"/>
      <c r="BF45" s="29"/>
      <c r="BG45" s="30"/>
      <c r="BH45" s="88"/>
      <c r="BI45" s="29"/>
      <c r="BJ45" s="30"/>
      <c r="BK45" s="74"/>
      <c r="BL45" s="29"/>
      <c r="BM45" s="29"/>
      <c r="BN45" s="29"/>
      <c r="BO45" s="29"/>
      <c r="BP45" s="29"/>
      <c r="BQ45" s="30"/>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row>
    <row r="46" spans="1:135" ht="60.75" customHeight="1" x14ac:dyDescent="0.2">
      <c r="A46" s="24"/>
      <c r="B46" s="74"/>
      <c r="C46" s="29"/>
      <c r="D46" s="30"/>
      <c r="E46" s="89"/>
      <c r="F46" s="52"/>
      <c r="G46" s="52"/>
      <c r="H46" s="52"/>
      <c r="I46" s="90"/>
      <c r="J46" s="74"/>
      <c r="K46" s="29"/>
      <c r="L46" s="29"/>
      <c r="M46" s="29"/>
      <c r="N46" s="29"/>
      <c r="O46" s="29"/>
      <c r="P46" s="30"/>
      <c r="Q46" s="73" t="s">
        <v>377</v>
      </c>
      <c r="R46" s="29"/>
      <c r="S46" s="29"/>
      <c r="T46" s="29"/>
      <c r="U46" s="29"/>
      <c r="V46" s="29"/>
      <c r="W46" s="30"/>
      <c r="X46" s="73" t="s">
        <v>376</v>
      </c>
      <c r="Y46" s="29"/>
      <c r="Z46" s="29"/>
      <c r="AA46" s="29"/>
      <c r="AB46" s="29"/>
      <c r="AC46" s="29"/>
      <c r="AD46" s="30"/>
      <c r="AE46" s="39" t="s">
        <v>309</v>
      </c>
      <c r="AF46" s="30"/>
      <c r="AG46" s="39"/>
      <c r="AH46" s="29"/>
      <c r="AI46" s="30"/>
      <c r="AJ46" s="39"/>
      <c r="AK46" s="29"/>
      <c r="AL46" s="30"/>
      <c r="AM46" s="39"/>
      <c r="AN46" s="29"/>
      <c r="AO46" s="30"/>
      <c r="AP46" s="88"/>
      <c r="AQ46" s="29"/>
      <c r="AR46" s="30"/>
      <c r="AS46" s="88"/>
      <c r="AT46" s="29"/>
      <c r="AU46" s="30"/>
      <c r="AV46" s="39"/>
      <c r="AW46" s="29"/>
      <c r="AX46" s="30"/>
      <c r="AY46" s="39"/>
      <c r="AZ46" s="29"/>
      <c r="BA46" s="30"/>
      <c r="BB46" s="39"/>
      <c r="BC46" s="29"/>
      <c r="BD46" s="30"/>
      <c r="BE46" s="88"/>
      <c r="BF46" s="29"/>
      <c r="BG46" s="30"/>
      <c r="BH46" s="88"/>
      <c r="BI46" s="29"/>
      <c r="BJ46" s="30"/>
      <c r="BK46" s="74"/>
      <c r="BL46" s="29"/>
      <c r="BM46" s="29"/>
      <c r="BN46" s="29"/>
      <c r="BO46" s="29"/>
      <c r="BP46" s="29"/>
      <c r="BQ46" s="30"/>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K46" s="18"/>
      <c r="DL46" s="18"/>
      <c r="DM46" s="18"/>
      <c r="DN46" s="18"/>
      <c r="DO46" s="18"/>
      <c r="DP46" s="18"/>
      <c r="DQ46" s="18"/>
      <c r="DR46" s="18"/>
      <c r="DS46" s="18"/>
      <c r="DT46" s="18"/>
      <c r="DU46" s="18"/>
      <c r="DV46" s="18"/>
      <c r="DW46" s="18"/>
      <c r="DX46" s="18"/>
      <c r="DY46" s="18"/>
      <c r="DZ46" s="18"/>
      <c r="EA46" s="18"/>
      <c r="EB46" s="18"/>
      <c r="EC46" s="18"/>
      <c r="ED46" s="18"/>
      <c r="EE46" s="18"/>
    </row>
    <row r="47" spans="1:135" ht="62.25" customHeight="1" x14ac:dyDescent="0.2">
      <c r="A47" s="24">
        <f t="shared" ref="A47:A67" si="11">ROW()-14</f>
        <v>33</v>
      </c>
      <c r="B47" s="74"/>
      <c r="C47" s="29"/>
      <c r="D47" s="30"/>
      <c r="E47" s="89"/>
      <c r="F47" s="52"/>
      <c r="G47" s="52"/>
      <c r="H47" s="52"/>
      <c r="I47" s="90"/>
      <c r="J47" s="74"/>
      <c r="K47" s="29"/>
      <c r="L47" s="29"/>
      <c r="M47" s="29"/>
      <c r="N47" s="29"/>
      <c r="O47" s="29"/>
      <c r="P47" s="30"/>
      <c r="Q47" s="74" t="s">
        <v>393</v>
      </c>
      <c r="R47" s="29"/>
      <c r="S47" s="29"/>
      <c r="T47" s="29"/>
      <c r="U47" s="29"/>
      <c r="V47" s="29"/>
      <c r="W47" s="30"/>
      <c r="X47" s="73" t="s">
        <v>394</v>
      </c>
      <c r="Y47" s="29"/>
      <c r="Z47" s="29"/>
      <c r="AA47" s="29"/>
      <c r="AB47" s="29"/>
      <c r="AC47" s="29"/>
      <c r="AD47" s="30"/>
      <c r="AE47" s="39" t="s">
        <v>309</v>
      </c>
      <c r="AF47" s="30"/>
      <c r="AG47" s="39"/>
      <c r="AH47" s="29"/>
      <c r="AI47" s="30"/>
      <c r="AJ47" s="39"/>
      <c r="AK47" s="29"/>
      <c r="AL47" s="30"/>
      <c r="AM47" s="39"/>
      <c r="AN47" s="29"/>
      <c r="AO47" s="30"/>
      <c r="AP47" s="88"/>
      <c r="AQ47" s="29"/>
      <c r="AR47" s="30"/>
      <c r="AS47" s="88"/>
      <c r="AT47" s="29"/>
      <c r="AU47" s="30"/>
      <c r="AV47" s="39"/>
      <c r="AW47" s="29"/>
      <c r="AX47" s="30"/>
      <c r="AY47" s="39"/>
      <c r="AZ47" s="29"/>
      <c r="BA47" s="30"/>
      <c r="BB47" s="39"/>
      <c r="BC47" s="29"/>
      <c r="BD47" s="30"/>
      <c r="BE47" s="88"/>
      <c r="BF47" s="29"/>
      <c r="BG47" s="30"/>
      <c r="BH47" s="88"/>
      <c r="BI47" s="29"/>
      <c r="BJ47" s="30"/>
      <c r="BK47" s="74"/>
      <c r="BL47" s="29"/>
      <c r="BM47" s="29"/>
      <c r="BN47" s="29"/>
      <c r="BO47" s="29"/>
      <c r="BP47" s="29"/>
      <c r="BQ47" s="30"/>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row>
    <row r="48" spans="1:135" ht="62.25" customHeight="1" x14ac:dyDescent="0.2">
      <c r="A48" s="24">
        <f t="shared" si="11"/>
        <v>34</v>
      </c>
      <c r="B48" s="74"/>
      <c r="C48" s="29"/>
      <c r="D48" s="30"/>
      <c r="E48" s="89"/>
      <c r="F48" s="52"/>
      <c r="G48" s="52"/>
      <c r="H48" s="52"/>
      <c r="I48" s="90"/>
      <c r="J48" s="74"/>
      <c r="K48" s="29"/>
      <c r="L48" s="29"/>
      <c r="M48" s="29"/>
      <c r="N48" s="29"/>
      <c r="O48" s="29"/>
      <c r="P48" s="30"/>
      <c r="Q48" s="74" t="s">
        <v>395</v>
      </c>
      <c r="R48" s="29"/>
      <c r="S48" s="29"/>
      <c r="T48" s="29"/>
      <c r="U48" s="29"/>
      <c r="V48" s="29"/>
      <c r="W48" s="30"/>
      <c r="X48" s="73" t="s">
        <v>394</v>
      </c>
      <c r="Y48" s="29"/>
      <c r="Z48" s="29"/>
      <c r="AA48" s="29"/>
      <c r="AB48" s="29"/>
      <c r="AC48" s="29"/>
      <c r="AD48" s="30"/>
      <c r="AE48" s="39" t="s">
        <v>309</v>
      </c>
      <c r="AF48" s="30"/>
      <c r="AG48" s="39"/>
      <c r="AH48" s="29"/>
      <c r="AI48" s="30"/>
      <c r="AJ48" s="39"/>
      <c r="AK48" s="29"/>
      <c r="AL48" s="30"/>
      <c r="AM48" s="39"/>
      <c r="AN48" s="29"/>
      <c r="AO48" s="30"/>
      <c r="AP48" s="88"/>
      <c r="AQ48" s="29"/>
      <c r="AR48" s="30"/>
      <c r="AS48" s="88"/>
      <c r="AT48" s="29"/>
      <c r="AU48" s="30"/>
      <c r="AV48" s="39"/>
      <c r="AW48" s="29"/>
      <c r="AX48" s="30"/>
      <c r="AY48" s="39"/>
      <c r="AZ48" s="29"/>
      <c r="BA48" s="30"/>
      <c r="BB48" s="39"/>
      <c r="BC48" s="29"/>
      <c r="BD48" s="30"/>
      <c r="BE48" s="88"/>
      <c r="BF48" s="29"/>
      <c r="BG48" s="30"/>
      <c r="BH48" s="88"/>
      <c r="BI48" s="29"/>
      <c r="BJ48" s="30"/>
      <c r="BK48" s="74"/>
      <c r="BL48" s="29"/>
      <c r="BM48" s="29"/>
      <c r="BN48" s="29"/>
      <c r="BO48" s="29"/>
      <c r="BP48" s="29"/>
      <c r="BQ48" s="30"/>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18"/>
      <c r="DP48" s="18"/>
      <c r="DQ48" s="18"/>
      <c r="DR48" s="18"/>
      <c r="DS48" s="18"/>
      <c r="DT48" s="18"/>
      <c r="DU48" s="18"/>
      <c r="DV48" s="18"/>
      <c r="DW48" s="18"/>
      <c r="DX48" s="18"/>
      <c r="DY48" s="18"/>
      <c r="DZ48" s="18"/>
      <c r="EA48" s="18"/>
      <c r="EB48" s="18"/>
      <c r="EC48" s="18"/>
      <c r="ED48" s="18"/>
      <c r="EE48" s="18"/>
    </row>
    <row r="49" spans="1:135" ht="70.5" customHeight="1" x14ac:dyDescent="0.2">
      <c r="A49" s="24">
        <f t="shared" si="11"/>
        <v>35</v>
      </c>
      <c r="B49" s="74"/>
      <c r="C49" s="29"/>
      <c r="D49" s="30"/>
      <c r="E49" s="89"/>
      <c r="F49" s="52"/>
      <c r="G49" s="52"/>
      <c r="H49" s="52"/>
      <c r="I49" s="90"/>
      <c r="J49" s="74"/>
      <c r="K49" s="29"/>
      <c r="L49" s="29"/>
      <c r="M49" s="29"/>
      <c r="N49" s="29"/>
      <c r="O49" s="29"/>
      <c r="P49" s="30"/>
      <c r="Q49" s="74" t="s">
        <v>396</v>
      </c>
      <c r="R49" s="29"/>
      <c r="S49" s="29"/>
      <c r="T49" s="29"/>
      <c r="U49" s="29"/>
      <c r="V49" s="29"/>
      <c r="W49" s="30"/>
      <c r="X49" s="73" t="s">
        <v>397</v>
      </c>
      <c r="Y49" s="29"/>
      <c r="Z49" s="29"/>
      <c r="AA49" s="29"/>
      <c r="AB49" s="29"/>
      <c r="AC49" s="29"/>
      <c r="AD49" s="30"/>
      <c r="AE49" s="39" t="s">
        <v>309</v>
      </c>
      <c r="AF49" s="30"/>
      <c r="AG49" s="39"/>
      <c r="AH49" s="29"/>
      <c r="AI49" s="30"/>
      <c r="AJ49" s="39"/>
      <c r="AK49" s="29"/>
      <c r="AL49" s="30"/>
      <c r="AM49" s="39"/>
      <c r="AN49" s="29"/>
      <c r="AO49" s="30"/>
      <c r="AP49" s="88"/>
      <c r="AQ49" s="29"/>
      <c r="AR49" s="30"/>
      <c r="AS49" s="88"/>
      <c r="AT49" s="29"/>
      <c r="AU49" s="30"/>
      <c r="AV49" s="39"/>
      <c r="AW49" s="29"/>
      <c r="AX49" s="30"/>
      <c r="AY49" s="39"/>
      <c r="AZ49" s="29"/>
      <c r="BA49" s="30"/>
      <c r="BB49" s="39"/>
      <c r="BC49" s="29"/>
      <c r="BD49" s="30"/>
      <c r="BE49" s="88"/>
      <c r="BF49" s="29"/>
      <c r="BG49" s="30"/>
      <c r="BH49" s="88"/>
      <c r="BI49" s="29"/>
      <c r="BJ49" s="30"/>
      <c r="BK49" s="74"/>
      <c r="BL49" s="29"/>
      <c r="BM49" s="29"/>
      <c r="BN49" s="29"/>
      <c r="BO49" s="29"/>
      <c r="BP49" s="29"/>
      <c r="BQ49" s="30"/>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row>
    <row r="50" spans="1:135" ht="66.75" customHeight="1" x14ac:dyDescent="0.2">
      <c r="A50" s="24">
        <f t="shared" si="11"/>
        <v>36</v>
      </c>
      <c r="B50" s="74"/>
      <c r="C50" s="29"/>
      <c r="D50" s="30"/>
      <c r="E50" s="89"/>
      <c r="F50" s="52"/>
      <c r="G50" s="52"/>
      <c r="H50" s="52"/>
      <c r="I50" s="90"/>
      <c r="J50" s="74"/>
      <c r="K50" s="29"/>
      <c r="L50" s="29"/>
      <c r="M50" s="29"/>
      <c r="N50" s="29"/>
      <c r="O50" s="29"/>
      <c r="P50" s="30"/>
      <c r="Q50" s="73" t="s">
        <v>398</v>
      </c>
      <c r="R50" s="29"/>
      <c r="S50" s="29"/>
      <c r="T50" s="29"/>
      <c r="U50" s="29"/>
      <c r="V50" s="29"/>
      <c r="W50" s="30"/>
      <c r="X50" s="74" t="s">
        <v>383</v>
      </c>
      <c r="Y50" s="29"/>
      <c r="Z50" s="29"/>
      <c r="AA50" s="29"/>
      <c r="AB50" s="29"/>
      <c r="AC50" s="29"/>
      <c r="AD50" s="30"/>
      <c r="AE50" s="39" t="s">
        <v>309</v>
      </c>
      <c r="AF50" s="30"/>
      <c r="AG50" s="39"/>
      <c r="AH50" s="29"/>
      <c r="AI50" s="30"/>
      <c r="AJ50" s="39"/>
      <c r="AK50" s="29"/>
      <c r="AL50" s="30"/>
      <c r="AM50" s="39"/>
      <c r="AN50" s="29"/>
      <c r="AO50" s="30"/>
      <c r="AP50" s="88"/>
      <c r="AQ50" s="29"/>
      <c r="AR50" s="30"/>
      <c r="AS50" s="88"/>
      <c r="AT50" s="29"/>
      <c r="AU50" s="30"/>
      <c r="AV50" s="39"/>
      <c r="AW50" s="29"/>
      <c r="AX50" s="30"/>
      <c r="AY50" s="39"/>
      <c r="AZ50" s="29"/>
      <c r="BA50" s="30"/>
      <c r="BB50" s="39"/>
      <c r="BC50" s="29"/>
      <c r="BD50" s="30"/>
      <c r="BE50" s="88"/>
      <c r="BF50" s="29"/>
      <c r="BG50" s="30"/>
      <c r="BH50" s="88"/>
      <c r="BI50" s="29"/>
      <c r="BJ50" s="30"/>
      <c r="BK50" s="74"/>
      <c r="BL50" s="29"/>
      <c r="BM50" s="29"/>
      <c r="BN50" s="29"/>
      <c r="BO50" s="29"/>
      <c r="BP50" s="29"/>
      <c r="BQ50" s="30"/>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K50" s="18"/>
      <c r="DL50" s="18"/>
      <c r="DM50" s="18"/>
      <c r="DN50" s="18"/>
      <c r="DO50" s="18"/>
      <c r="DP50" s="18"/>
      <c r="DQ50" s="18"/>
      <c r="DR50" s="18"/>
      <c r="DS50" s="18"/>
      <c r="DT50" s="18"/>
      <c r="DU50" s="18"/>
      <c r="DV50" s="18"/>
      <c r="DW50" s="18"/>
      <c r="DX50" s="18"/>
      <c r="DY50" s="18"/>
      <c r="DZ50" s="18"/>
      <c r="EA50" s="18"/>
      <c r="EB50" s="18"/>
      <c r="EC50" s="18"/>
      <c r="ED50" s="18"/>
      <c r="EE50" s="18"/>
    </row>
    <row r="51" spans="1:135" ht="66.75" customHeight="1" x14ac:dyDescent="0.2">
      <c r="A51" s="24">
        <f t="shared" si="11"/>
        <v>37</v>
      </c>
      <c r="B51" s="74"/>
      <c r="C51" s="29"/>
      <c r="D51" s="30"/>
      <c r="E51" s="89"/>
      <c r="F51" s="52"/>
      <c r="G51" s="52"/>
      <c r="H51" s="52"/>
      <c r="I51" s="90"/>
      <c r="J51" s="74"/>
      <c r="K51" s="29"/>
      <c r="L51" s="29"/>
      <c r="M51" s="29"/>
      <c r="N51" s="29"/>
      <c r="O51" s="29"/>
      <c r="P51" s="30"/>
      <c r="Q51" s="73" t="s">
        <v>399</v>
      </c>
      <c r="R51" s="29"/>
      <c r="S51" s="29"/>
      <c r="T51" s="29"/>
      <c r="U51" s="29"/>
      <c r="V51" s="29"/>
      <c r="W51" s="30"/>
      <c r="X51" s="74" t="s">
        <v>383</v>
      </c>
      <c r="Y51" s="29"/>
      <c r="Z51" s="29"/>
      <c r="AA51" s="29"/>
      <c r="AB51" s="29"/>
      <c r="AC51" s="29"/>
      <c r="AD51" s="30"/>
      <c r="AE51" s="39" t="s">
        <v>309</v>
      </c>
      <c r="AF51" s="30"/>
      <c r="AG51" s="39"/>
      <c r="AH51" s="29"/>
      <c r="AI51" s="30"/>
      <c r="AJ51" s="39"/>
      <c r="AK51" s="29"/>
      <c r="AL51" s="30"/>
      <c r="AM51" s="39"/>
      <c r="AN51" s="29"/>
      <c r="AO51" s="30"/>
      <c r="AP51" s="88"/>
      <c r="AQ51" s="29"/>
      <c r="AR51" s="30"/>
      <c r="AS51" s="88"/>
      <c r="AT51" s="29"/>
      <c r="AU51" s="30"/>
      <c r="AV51" s="39"/>
      <c r="AW51" s="29"/>
      <c r="AX51" s="30"/>
      <c r="AY51" s="39"/>
      <c r="AZ51" s="29"/>
      <c r="BA51" s="30"/>
      <c r="BB51" s="39"/>
      <c r="BC51" s="29"/>
      <c r="BD51" s="30"/>
      <c r="BE51" s="88"/>
      <c r="BF51" s="29"/>
      <c r="BG51" s="30"/>
      <c r="BH51" s="88"/>
      <c r="BI51" s="29"/>
      <c r="BJ51" s="30"/>
      <c r="BK51" s="74"/>
      <c r="BL51" s="29"/>
      <c r="BM51" s="29"/>
      <c r="BN51" s="29"/>
      <c r="BO51" s="29"/>
      <c r="BP51" s="29"/>
      <c r="BQ51" s="30"/>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row>
    <row r="52" spans="1:135" ht="83.25" customHeight="1" x14ac:dyDescent="0.2">
      <c r="A52" s="24">
        <f t="shared" si="11"/>
        <v>38</v>
      </c>
      <c r="B52" s="74"/>
      <c r="C52" s="29"/>
      <c r="D52" s="30"/>
      <c r="E52" s="89"/>
      <c r="F52" s="52"/>
      <c r="G52" s="52"/>
      <c r="H52" s="52"/>
      <c r="I52" s="90"/>
      <c r="J52" s="74"/>
      <c r="K52" s="29"/>
      <c r="L52" s="29"/>
      <c r="M52" s="29"/>
      <c r="N52" s="29"/>
      <c r="O52" s="29"/>
      <c r="P52" s="30"/>
      <c r="Q52" s="73" t="s">
        <v>385</v>
      </c>
      <c r="R52" s="29"/>
      <c r="S52" s="29"/>
      <c r="T52" s="29"/>
      <c r="U52" s="29"/>
      <c r="V52" s="29"/>
      <c r="W52" s="30"/>
      <c r="X52" s="74" t="s">
        <v>383</v>
      </c>
      <c r="Y52" s="29"/>
      <c r="Z52" s="29"/>
      <c r="AA52" s="29"/>
      <c r="AB52" s="29"/>
      <c r="AC52" s="29"/>
      <c r="AD52" s="30"/>
      <c r="AE52" s="39" t="s">
        <v>309</v>
      </c>
      <c r="AF52" s="30"/>
      <c r="AG52" s="39"/>
      <c r="AH52" s="29"/>
      <c r="AI52" s="30"/>
      <c r="AJ52" s="39"/>
      <c r="AK52" s="29"/>
      <c r="AL52" s="30"/>
      <c r="AM52" s="39"/>
      <c r="AN52" s="29"/>
      <c r="AO52" s="30"/>
      <c r="AP52" s="88"/>
      <c r="AQ52" s="29"/>
      <c r="AR52" s="30"/>
      <c r="AS52" s="88"/>
      <c r="AT52" s="29"/>
      <c r="AU52" s="30"/>
      <c r="AV52" s="39"/>
      <c r="AW52" s="29"/>
      <c r="AX52" s="30"/>
      <c r="AY52" s="39"/>
      <c r="AZ52" s="29"/>
      <c r="BA52" s="30"/>
      <c r="BB52" s="39"/>
      <c r="BC52" s="29"/>
      <c r="BD52" s="30"/>
      <c r="BE52" s="88"/>
      <c r="BF52" s="29"/>
      <c r="BG52" s="30"/>
      <c r="BH52" s="88"/>
      <c r="BI52" s="29"/>
      <c r="BJ52" s="30"/>
      <c r="BK52" s="74"/>
      <c r="BL52" s="29"/>
      <c r="BM52" s="29"/>
      <c r="BN52" s="29"/>
      <c r="BO52" s="29"/>
      <c r="BP52" s="29"/>
      <c r="BQ52" s="30"/>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K52" s="18"/>
      <c r="DL52" s="18"/>
      <c r="DM52" s="18"/>
      <c r="DN52" s="18"/>
      <c r="DO52" s="18"/>
      <c r="DP52" s="18"/>
      <c r="DQ52" s="18"/>
      <c r="DR52" s="18"/>
      <c r="DS52" s="18"/>
      <c r="DT52" s="18"/>
      <c r="DU52" s="18"/>
      <c r="DV52" s="18"/>
      <c r="DW52" s="18"/>
      <c r="DX52" s="18"/>
      <c r="DY52" s="18"/>
      <c r="DZ52" s="18"/>
      <c r="EA52" s="18"/>
      <c r="EB52" s="18"/>
      <c r="EC52" s="18"/>
      <c r="ED52" s="18"/>
      <c r="EE52" s="18"/>
    </row>
    <row r="53" spans="1:135" ht="66.75" customHeight="1" x14ac:dyDescent="0.2">
      <c r="A53" s="24">
        <f t="shared" si="11"/>
        <v>39</v>
      </c>
      <c r="B53" s="74"/>
      <c r="C53" s="29"/>
      <c r="D53" s="30"/>
      <c r="E53" s="47"/>
      <c r="F53" s="48"/>
      <c r="G53" s="48"/>
      <c r="H53" s="48"/>
      <c r="I53" s="49"/>
      <c r="J53" s="74"/>
      <c r="K53" s="29"/>
      <c r="L53" s="29"/>
      <c r="M53" s="29"/>
      <c r="N53" s="29"/>
      <c r="O53" s="29"/>
      <c r="P53" s="30"/>
      <c r="Q53" s="73" t="s">
        <v>400</v>
      </c>
      <c r="R53" s="29"/>
      <c r="S53" s="29"/>
      <c r="T53" s="29"/>
      <c r="U53" s="29"/>
      <c r="V53" s="29"/>
      <c r="W53" s="30"/>
      <c r="X53" s="74" t="s">
        <v>387</v>
      </c>
      <c r="Y53" s="29"/>
      <c r="Z53" s="29"/>
      <c r="AA53" s="29"/>
      <c r="AB53" s="29"/>
      <c r="AC53" s="29"/>
      <c r="AD53" s="30"/>
      <c r="AE53" s="39" t="s">
        <v>309</v>
      </c>
      <c r="AF53" s="30"/>
      <c r="AG53" s="39"/>
      <c r="AH53" s="29"/>
      <c r="AI53" s="30"/>
      <c r="AJ53" s="39"/>
      <c r="AK53" s="29"/>
      <c r="AL53" s="30"/>
      <c r="AM53" s="39"/>
      <c r="AN53" s="29"/>
      <c r="AO53" s="30"/>
      <c r="AP53" s="88"/>
      <c r="AQ53" s="29"/>
      <c r="AR53" s="30"/>
      <c r="AS53" s="88"/>
      <c r="AT53" s="29"/>
      <c r="AU53" s="30"/>
      <c r="AV53" s="39"/>
      <c r="AW53" s="29"/>
      <c r="AX53" s="30"/>
      <c r="AY53" s="39"/>
      <c r="AZ53" s="29"/>
      <c r="BA53" s="30"/>
      <c r="BB53" s="39"/>
      <c r="BC53" s="29"/>
      <c r="BD53" s="30"/>
      <c r="BE53" s="88"/>
      <c r="BF53" s="29"/>
      <c r="BG53" s="30"/>
      <c r="BH53" s="88"/>
      <c r="BI53" s="29"/>
      <c r="BJ53" s="30"/>
      <c r="BK53" s="74"/>
      <c r="BL53" s="29"/>
      <c r="BM53" s="29"/>
      <c r="BN53" s="29"/>
      <c r="BO53" s="29"/>
      <c r="BP53" s="29"/>
      <c r="BQ53" s="30"/>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row>
    <row r="54" spans="1:135" ht="60.75" customHeight="1" x14ac:dyDescent="0.2">
      <c r="A54" s="24">
        <f t="shared" si="11"/>
        <v>40</v>
      </c>
      <c r="B54" s="74"/>
      <c r="C54" s="29"/>
      <c r="D54" s="30"/>
      <c r="E54" s="87" t="s">
        <v>401</v>
      </c>
      <c r="F54" s="45"/>
      <c r="G54" s="45"/>
      <c r="H54" s="45"/>
      <c r="I54" s="46"/>
      <c r="J54" s="74"/>
      <c r="K54" s="29"/>
      <c r="L54" s="29"/>
      <c r="M54" s="29"/>
      <c r="N54" s="29"/>
      <c r="O54" s="29"/>
      <c r="P54" s="30"/>
      <c r="Q54" s="73" t="s">
        <v>402</v>
      </c>
      <c r="R54" s="29"/>
      <c r="S54" s="29"/>
      <c r="T54" s="29"/>
      <c r="U54" s="29"/>
      <c r="V54" s="29"/>
      <c r="W54" s="30"/>
      <c r="X54" s="73" t="s">
        <v>403</v>
      </c>
      <c r="Y54" s="29"/>
      <c r="Z54" s="29"/>
      <c r="AA54" s="29"/>
      <c r="AB54" s="29"/>
      <c r="AC54" s="29"/>
      <c r="AD54" s="30"/>
      <c r="AE54" s="39" t="s">
        <v>309</v>
      </c>
      <c r="AF54" s="30"/>
      <c r="AG54" s="39"/>
      <c r="AH54" s="29"/>
      <c r="AI54" s="30"/>
      <c r="AJ54" s="39"/>
      <c r="AK54" s="29"/>
      <c r="AL54" s="30"/>
      <c r="AM54" s="39"/>
      <c r="AN54" s="29"/>
      <c r="AO54" s="30"/>
      <c r="AP54" s="88"/>
      <c r="AQ54" s="29"/>
      <c r="AR54" s="30"/>
      <c r="AS54" s="88"/>
      <c r="AT54" s="29"/>
      <c r="AU54" s="30"/>
      <c r="AV54" s="39"/>
      <c r="AW54" s="29"/>
      <c r="AX54" s="30"/>
      <c r="AY54" s="39"/>
      <c r="AZ54" s="29"/>
      <c r="BA54" s="30"/>
      <c r="BB54" s="39"/>
      <c r="BC54" s="29"/>
      <c r="BD54" s="30"/>
      <c r="BE54" s="88"/>
      <c r="BF54" s="29"/>
      <c r="BG54" s="30"/>
      <c r="BH54" s="88"/>
      <c r="BI54" s="29"/>
      <c r="BJ54" s="30"/>
      <c r="BK54" s="74"/>
      <c r="BL54" s="29"/>
      <c r="BM54" s="29"/>
      <c r="BN54" s="29"/>
      <c r="BO54" s="29"/>
      <c r="BP54" s="29"/>
      <c r="BQ54" s="30"/>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K54" s="18"/>
      <c r="DL54" s="18"/>
      <c r="DM54" s="18"/>
      <c r="DN54" s="18"/>
      <c r="DO54" s="18"/>
      <c r="DP54" s="18"/>
      <c r="DQ54" s="18"/>
      <c r="DR54" s="18"/>
      <c r="DS54" s="18"/>
      <c r="DT54" s="18"/>
      <c r="DU54" s="18"/>
      <c r="DV54" s="18"/>
      <c r="DW54" s="18"/>
      <c r="DX54" s="18"/>
      <c r="DY54" s="18"/>
      <c r="DZ54" s="18"/>
      <c r="EA54" s="18"/>
      <c r="EB54" s="18"/>
      <c r="EC54" s="18"/>
      <c r="ED54" s="18"/>
      <c r="EE54" s="18"/>
    </row>
    <row r="55" spans="1:135" ht="62.25" customHeight="1" x14ac:dyDescent="0.2">
      <c r="A55" s="24">
        <f t="shared" si="11"/>
        <v>41</v>
      </c>
      <c r="B55" s="74"/>
      <c r="C55" s="29"/>
      <c r="D55" s="30"/>
      <c r="E55" s="89"/>
      <c r="F55" s="52"/>
      <c r="G55" s="52"/>
      <c r="H55" s="52"/>
      <c r="I55" s="90"/>
      <c r="J55" s="74"/>
      <c r="K55" s="29"/>
      <c r="L55" s="29"/>
      <c r="M55" s="29"/>
      <c r="N55" s="29"/>
      <c r="O55" s="29"/>
      <c r="P55" s="30"/>
      <c r="Q55" s="74" t="s">
        <v>404</v>
      </c>
      <c r="R55" s="29"/>
      <c r="S55" s="29"/>
      <c r="T55" s="29"/>
      <c r="U55" s="29"/>
      <c r="V55" s="29"/>
      <c r="W55" s="30"/>
      <c r="X55" s="73" t="s">
        <v>405</v>
      </c>
      <c r="Y55" s="29"/>
      <c r="Z55" s="29"/>
      <c r="AA55" s="29"/>
      <c r="AB55" s="29"/>
      <c r="AC55" s="29"/>
      <c r="AD55" s="30"/>
      <c r="AE55" s="39" t="s">
        <v>309</v>
      </c>
      <c r="AF55" s="30"/>
      <c r="AG55" s="39"/>
      <c r="AH55" s="29"/>
      <c r="AI55" s="30"/>
      <c r="AJ55" s="39"/>
      <c r="AK55" s="29"/>
      <c r="AL55" s="30"/>
      <c r="AM55" s="39"/>
      <c r="AN55" s="29"/>
      <c r="AO55" s="30"/>
      <c r="AP55" s="88"/>
      <c r="AQ55" s="29"/>
      <c r="AR55" s="30"/>
      <c r="AS55" s="88"/>
      <c r="AT55" s="29"/>
      <c r="AU55" s="30"/>
      <c r="AV55" s="39"/>
      <c r="AW55" s="29"/>
      <c r="AX55" s="30"/>
      <c r="AY55" s="39"/>
      <c r="AZ55" s="29"/>
      <c r="BA55" s="30"/>
      <c r="BB55" s="39"/>
      <c r="BC55" s="29"/>
      <c r="BD55" s="30"/>
      <c r="BE55" s="88"/>
      <c r="BF55" s="29"/>
      <c r="BG55" s="30"/>
      <c r="BH55" s="88"/>
      <c r="BI55" s="29"/>
      <c r="BJ55" s="30"/>
      <c r="BK55" s="74"/>
      <c r="BL55" s="29"/>
      <c r="BM55" s="29"/>
      <c r="BN55" s="29"/>
      <c r="BO55" s="29"/>
      <c r="BP55" s="29"/>
      <c r="BQ55" s="30"/>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row>
    <row r="56" spans="1:135" ht="62.25" customHeight="1" x14ac:dyDescent="0.2">
      <c r="A56" s="24">
        <f t="shared" si="11"/>
        <v>42</v>
      </c>
      <c r="B56" s="74"/>
      <c r="C56" s="29"/>
      <c r="D56" s="30"/>
      <c r="E56" s="89"/>
      <c r="F56" s="52"/>
      <c r="G56" s="52"/>
      <c r="H56" s="52"/>
      <c r="I56" s="90"/>
      <c r="J56" s="74"/>
      <c r="K56" s="29"/>
      <c r="L56" s="29"/>
      <c r="M56" s="29"/>
      <c r="N56" s="29"/>
      <c r="O56" s="29"/>
      <c r="P56" s="30"/>
      <c r="Q56" s="74" t="s">
        <v>406</v>
      </c>
      <c r="R56" s="29"/>
      <c r="S56" s="29"/>
      <c r="T56" s="29"/>
      <c r="U56" s="29"/>
      <c r="V56" s="29"/>
      <c r="W56" s="30"/>
      <c r="X56" s="73" t="s">
        <v>407</v>
      </c>
      <c r="Y56" s="29"/>
      <c r="Z56" s="29"/>
      <c r="AA56" s="29"/>
      <c r="AB56" s="29"/>
      <c r="AC56" s="29"/>
      <c r="AD56" s="30"/>
      <c r="AE56" s="39" t="s">
        <v>309</v>
      </c>
      <c r="AF56" s="30"/>
      <c r="AG56" s="39"/>
      <c r="AH56" s="29"/>
      <c r="AI56" s="30"/>
      <c r="AJ56" s="39"/>
      <c r="AK56" s="29"/>
      <c r="AL56" s="30"/>
      <c r="AM56" s="39"/>
      <c r="AN56" s="29"/>
      <c r="AO56" s="30"/>
      <c r="AP56" s="88"/>
      <c r="AQ56" s="29"/>
      <c r="AR56" s="30"/>
      <c r="AS56" s="88"/>
      <c r="AT56" s="29"/>
      <c r="AU56" s="30"/>
      <c r="AV56" s="39"/>
      <c r="AW56" s="29"/>
      <c r="AX56" s="30"/>
      <c r="AY56" s="39"/>
      <c r="AZ56" s="29"/>
      <c r="BA56" s="30"/>
      <c r="BB56" s="39"/>
      <c r="BC56" s="29"/>
      <c r="BD56" s="30"/>
      <c r="BE56" s="88"/>
      <c r="BF56" s="29"/>
      <c r="BG56" s="30"/>
      <c r="BH56" s="88"/>
      <c r="BI56" s="29"/>
      <c r="BJ56" s="30"/>
      <c r="BK56" s="74"/>
      <c r="BL56" s="29"/>
      <c r="BM56" s="29"/>
      <c r="BN56" s="29"/>
      <c r="BO56" s="29"/>
      <c r="BP56" s="29"/>
      <c r="BQ56" s="30"/>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K56" s="18"/>
      <c r="DL56" s="18"/>
      <c r="DM56" s="18"/>
      <c r="DN56" s="18"/>
      <c r="DO56" s="18"/>
      <c r="DP56" s="18"/>
      <c r="DQ56" s="18"/>
      <c r="DR56" s="18"/>
      <c r="DS56" s="18"/>
      <c r="DT56" s="18"/>
      <c r="DU56" s="18"/>
      <c r="DV56" s="18"/>
      <c r="DW56" s="18"/>
      <c r="DX56" s="18"/>
      <c r="DY56" s="18"/>
      <c r="DZ56" s="18"/>
      <c r="EA56" s="18"/>
      <c r="EB56" s="18"/>
      <c r="EC56" s="18"/>
      <c r="ED56" s="18"/>
      <c r="EE56" s="18"/>
    </row>
    <row r="57" spans="1:135" ht="62.25" customHeight="1" x14ac:dyDescent="0.2">
      <c r="A57" s="24">
        <f t="shared" si="11"/>
        <v>43</v>
      </c>
      <c r="B57" s="74"/>
      <c r="C57" s="29"/>
      <c r="D57" s="30"/>
      <c r="E57" s="89"/>
      <c r="F57" s="52"/>
      <c r="G57" s="52"/>
      <c r="H57" s="52"/>
      <c r="I57" s="90"/>
      <c r="J57" s="74"/>
      <c r="K57" s="29"/>
      <c r="L57" s="29"/>
      <c r="M57" s="29"/>
      <c r="N57" s="29"/>
      <c r="O57" s="29"/>
      <c r="P57" s="30"/>
      <c r="Q57" s="74" t="s">
        <v>408</v>
      </c>
      <c r="R57" s="29"/>
      <c r="S57" s="29"/>
      <c r="T57" s="29"/>
      <c r="U57" s="29"/>
      <c r="V57" s="29"/>
      <c r="W57" s="30"/>
      <c r="X57" s="73" t="s">
        <v>409</v>
      </c>
      <c r="Y57" s="29"/>
      <c r="Z57" s="29"/>
      <c r="AA57" s="29"/>
      <c r="AB57" s="29"/>
      <c r="AC57" s="29"/>
      <c r="AD57" s="30"/>
      <c r="AE57" s="39" t="s">
        <v>309</v>
      </c>
      <c r="AF57" s="30"/>
      <c r="AG57" s="39"/>
      <c r="AH57" s="29"/>
      <c r="AI57" s="30"/>
      <c r="AJ57" s="39"/>
      <c r="AK57" s="29"/>
      <c r="AL57" s="30"/>
      <c r="AM57" s="39"/>
      <c r="AN57" s="29"/>
      <c r="AO57" s="30"/>
      <c r="AP57" s="88"/>
      <c r="AQ57" s="29"/>
      <c r="AR57" s="30"/>
      <c r="AS57" s="88"/>
      <c r="AT57" s="29"/>
      <c r="AU57" s="30"/>
      <c r="AV57" s="39"/>
      <c r="AW57" s="29"/>
      <c r="AX57" s="30"/>
      <c r="AY57" s="39"/>
      <c r="AZ57" s="29"/>
      <c r="BA57" s="30"/>
      <c r="BB57" s="39"/>
      <c r="BC57" s="29"/>
      <c r="BD57" s="30"/>
      <c r="BE57" s="88"/>
      <c r="BF57" s="29"/>
      <c r="BG57" s="30"/>
      <c r="BH57" s="88"/>
      <c r="BI57" s="29"/>
      <c r="BJ57" s="30"/>
      <c r="BK57" s="74"/>
      <c r="BL57" s="29"/>
      <c r="BM57" s="29"/>
      <c r="BN57" s="29"/>
      <c r="BO57" s="29"/>
      <c r="BP57" s="29"/>
      <c r="BQ57" s="30"/>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row>
    <row r="58" spans="1:135" ht="70.5" customHeight="1" x14ac:dyDescent="0.2">
      <c r="A58" s="24">
        <f t="shared" si="11"/>
        <v>44</v>
      </c>
      <c r="B58" s="74"/>
      <c r="C58" s="29"/>
      <c r="D58" s="30"/>
      <c r="E58" s="89"/>
      <c r="F58" s="52"/>
      <c r="G58" s="52"/>
      <c r="H58" s="52"/>
      <c r="I58" s="90"/>
      <c r="J58" s="74"/>
      <c r="K58" s="29"/>
      <c r="L58" s="29"/>
      <c r="M58" s="29"/>
      <c r="N58" s="29"/>
      <c r="O58" s="29"/>
      <c r="P58" s="30"/>
      <c r="Q58" s="74" t="s">
        <v>410</v>
      </c>
      <c r="R58" s="29"/>
      <c r="S58" s="29"/>
      <c r="T58" s="29"/>
      <c r="U58" s="29"/>
      <c r="V58" s="29"/>
      <c r="W58" s="30"/>
      <c r="X58" s="73" t="s">
        <v>411</v>
      </c>
      <c r="Y58" s="29"/>
      <c r="Z58" s="29"/>
      <c r="AA58" s="29"/>
      <c r="AB58" s="29"/>
      <c r="AC58" s="29"/>
      <c r="AD58" s="30"/>
      <c r="AE58" s="39" t="s">
        <v>309</v>
      </c>
      <c r="AF58" s="30"/>
      <c r="AG58" s="39"/>
      <c r="AH58" s="29"/>
      <c r="AI58" s="30"/>
      <c r="AJ58" s="39"/>
      <c r="AK58" s="29"/>
      <c r="AL58" s="30"/>
      <c r="AM58" s="39"/>
      <c r="AN58" s="29"/>
      <c r="AO58" s="30"/>
      <c r="AP58" s="88"/>
      <c r="AQ58" s="29"/>
      <c r="AR58" s="30"/>
      <c r="AS58" s="88"/>
      <c r="AT58" s="29"/>
      <c r="AU58" s="30"/>
      <c r="AV58" s="39"/>
      <c r="AW58" s="29"/>
      <c r="AX58" s="30"/>
      <c r="AY58" s="39"/>
      <c r="AZ58" s="29"/>
      <c r="BA58" s="30"/>
      <c r="BB58" s="39"/>
      <c r="BC58" s="29"/>
      <c r="BD58" s="30"/>
      <c r="BE58" s="88"/>
      <c r="BF58" s="29"/>
      <c r="BG58" s="30"/>
      <c r="BH58" s="88"/>
      <c r="BI58" s="29"/>
      <c r="BJ58" s="30"/>
      <c r="BK58" s="74"/>
      <c r="BL58" s="29"/>
      <c r="BM58" s="29"/>
      <c r="BN58" s="29"/>
      <c r="BO58" s="29"/>
      <c r="BP58" s="29"/>
      <c r="BQ58" s="30"/>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K58" s="18"/>
      <c r="DL58" s="18"/>
      <c r="DM58" s="18"/>
      <c r="DN58" s="18"/>
      <c r="DO58" s="18"/>
      <c r="DP58" s="18"/>
      <c r="DQ58" s="18"/>
      <c r="DR58" s="18"/>
      <c r="DS58" s="18"/>
      <c r="DT58" s="18"/>
      <c r="DU58" s="18"/>
      <c r="DV58" s="18"/>
      <c r="DW58" s="18"/>
      <c r="DX58" s="18"/>
      <c r="DY58" s="18"/>
      <c r="DZ58" s="18"/>
      <c r="EA58" s="18"/>
      <c r="EB58" s="18"/>
      <c r="EC58" s="18"/>
      <c r="ED58" s="18"/>
      <c r="EE58" s="18"/>
    </row>
    <row r="59" spans="1:135" ht="66.75" customHeight="1" x14ac:dyDescent="0.2">
      <c r="A59" s="24">
        <f t="shared" si="11"/>
        <v>45</v>
      </c>
      <c r="B59" s="74"/>
      <c r="C59" s="29"/>
      <c r="D59" s="30"/>
      <c r="E59" s="89"/>
      <c r="F59" s="52"/>
      <c r="G59" s="52"/>
      <c r="H59" s="52"/>
      <c r="I59" s="90"/>
      <c r="J59" s="74"/>
      <c r="K59" s="29"/>
      <c r="L59" s="29"/>
      <c r="M59" s="29"/>
      <c r="N59" s="29"/>
      <c r="O59" s="29"/>
      <c r="P59" s="30"/>
      <c r="Q59" s="74" t="s">
        <v>412</v>
      </c>
      <c r="R59" s="29"/>
      <c r="S59" s="29"/>
      <c r="T59" s="29"/>
      <c r="U59" s="29"/>
      <c r="V59" s="29"/>
      <c r="W59" s="30"/>
      <c r="X59" s="74" t="s">
        <v>413</v>
      </c>
      <c r="Y59" s="29"/>
      <c r="Z59" s="29"/>
      <c r="AA59" s="29"/>
      <c r="AB59" s="29"/>
      <c r="AC59" s="29"/>
      <c r="AD59" s="30"/>
      <c r="AE59" s="39" t="s">
        <v>309</v>
      </c>
      <c r="AF59" s="30"/>
      <c r="AG59" s="39"/>
      <c r="AH59" s="29"/>
      <c r="AI59" s="30"/>
      <c r="AJ59" s="39"/>
      <c r="AK59" s="29"/>
      <c r="AL59" s="30"/>
      <c r="AM59" s="39"/>
      <c r="AN59" s="29"/>
      <c r="AO59" s="30"/>
      <c r="AP59" s="88"/>
      <c r="AQ59" s="29"/>
      <c r="AR59" s="30"/>
      <c r="AS59" s="88"/>
      <c r="AT59" s="29"/>
      <c r="AU59" s="30"/>
      <c r="AV59" s="39"/>
      <c r="AW59" s="29"/>
      <c r="AX59" s="30"/>
      <c r="AY59" s="39"/>
      <c r="AZ59" s="29"/>
      <c r="BA59" s="30"/>
      <c r="BB59" s="39"/>
      <c r="BC59" s="29"/>
      <c r="BD59" s="30"/>
      <c r="BE59" s="88"/>
      <c r="BF59" s="29"/>
      <c r="BG59" s="30"/>
      <c r="BH59" s="88"/>
      <c r="BI59" s="29"/>
      <c r="BJ59" s="30"/>
      <c r="BK59" s="74"/>
      <c r="BL59" s="29"/>
      <c r="BM59" s="29"/>
      <c r="BN59" s="29"/>
      <c r="BO59" s="29"/>
      <c r="BP59" s="29"/>
      <c r="BQ59" s="30"/>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row>
    <row r="60" spans="1:135" ht="66.75" customHeight="1" x14ac:dyDescent="0.2">
      <c r="A60" s="24">
        <f t="shared" si="11"/>
        <v>46</v>
      </c>
      <c r="B60" s="74"/>
      <c r="C60" s="29"/>
      <c r="D60" s="30"/>
      <c r="E60" s="89"/>
      <c r="F60" s="52"/>
      <c r="G60" s="52"/>
      <c r="H60" s="52"/>
      <c r="I60" s="90"/>
      <c r="J60" s="74"/>
      <c r="K60" s="29"/>
      <c r="L60" s="29"/>
      <c r="M60" s="29"/>
      <c r="N60" s="29"/>
      <c r="O60" s="29"/>
      <c r="P60" s="30"/>
      <c r="Q60" s="74" t="s">
        <v>414</v>
      </c>
      <c r="R60" s="29"/>
      <c r="S60" s="29"/>
      <c r="T60" s="29"/>
      <c r="U60" s="29"/>
      <c r="V60" s="29"/>
      <c r="W60" s="30"/>
      <c r="X60" s="73" t="s">
        <v>411</v>
      </c>
      <c r="Y60" s="29"/>
      <c r="Z60" s="29"/>
      <c r="AA60" s="29"/>
      <c r="AB60" s="29"/>
      <c r="AC60" s="29"/>
      <c r="AD60" s="30"/>
      <c r="AE60" s="39" t="s">
        <v>309</v>
      </c>
      <c r="AF60" s="30"/>
      <c r="AG60" s="39"/>
      <c r="AH60" s="29"/>
      <c r="AI60" s="30"/>
      <c r="AJ60" s="39"/>
      <c r="AK60" s="29"/>
      <c r="AL60" s="30"/>
      <c r="AM60" s="39"/>
      <c r="AN60" s="29"/>
      <c r="AO60" s="30"/>
      <c r="AP60" s="88"/>
      <c r="AQ60" s="29"/>
      <c r="AR60" s="30"/>
      <c r="AS60" s="88"/>
      <c r="AT60" s="29"/>
      <c r="AU60" s="30"/>
      <c r="AV60" s="39"/>
      <c r="AW60" s="29"/>
      <c r="AX60" s="30"/>
      <c r="AY60" s="39"/>
      <c r="AZ60" s="29"/>
      <c r="BA60" s="30"/>
      <c r="BB60" s="39"/>
      <c r="BC60" s="29"/>
      <c r="BD60" s="30"/>
      <c r="BE60" s="88"/>
      <c r="BF60" s="29"/>
      <c r="BG60" s="30"/>
      <c r="BH60" s="88"/>
      <c r="BI60" s="29"/>
      <c r="BJ60" s="30"/>
      <c r="BK60" s="74"/>
      <c r="BL60" s="29"/>
      <c r="BM60" s="29"/>
      <c r="BN60" s="29"/>
      <c r="BO60" s="29"/>
      <c r="BP60" s="29"/>
      <c r="BQ60" s="30"/>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K60" s="18"/>
      <c r="DL60" s="18"/>
      <c r="DM60" s="18"/>
      <c r="DN60" s="18"/>
      <c r="DO60" s="18"/>
      <c r="DP60" s="18"/>
      <c r="DQ60" s="18"/>
      <c r="DR60" s="18"/>
      <c r="DS60" s="18"/>
      <c r="DT60" s="18"/>
      <c r="DU60" s="18"/>
      <c r="DV60" s="18"/>
      <c r="DW60" s="18"/>
      <c r="DX60" s="18"/>
      <c r="DY60" s="18"/>
      <c r="DZ60" s="18"/>
      <c r="EA60" s="18"/>
      <c r="EB60" s="18"/>
      <c r="EC60" s="18"/>
      <c r="ED60" s="18"/>
      <c r="EE60" s="18"/>
    </row>
    <row r="61" spans="1:135" ht="66.75" customHeight="1" x14ac:dyDescent="0.2">
      <c r="A61" s="24">
        <f t="shared" si="11"/>
        <v>47</v>
      </c>
      <c r="B61" s="74"/>
      <c r="C61" s="29"/>
      <c r="D61" s="30"/>
      <c r="E61" s="89"/>
      <c r="F61" s="52"/>
      <c r="G61" s="52"/>
      <c r="H61" s="52"/>
      <c r="I61" s="90"/>
      <c r="J61" s="74"/>
      <c r="K61" s="29"/>
      <c r="L61" s="29"/>
      <c r="M61" s="29"/>
      <c r="N61" s="29"/>
      <c r="O61" s="29"/>
      <c r="P61" s="30"/>
      <c r="Q61" s="74" t="s">
        <v>415</v>
      </c>
      <c r="R61" s="29"/>
      <c r="S61" s="29"/>
      <c r="T61" s="29"/>
      <c r="U61" s="29"/>
      <c r="V61" s="29"/>
      <c r="W61" s="30"/>
      <c r="X61" s="85" t="s">
        <v>416</v>
      </c>
      <c r="Y61" s="29"/>
      <c r="Z61" s="29"/>
      <c r="AA61" s="29"/>
      <c r="AB61" s="29"/>
      <c r="AC61" s="29"/>
      <c r="AD61" s="30"/>
      <c r="AE61" s="39" t="s">
        <v>309</v>
      </c>
      <c r="AF61" s="30"/>
      <c r="AG61" s="39"/>
      <c r="AH61" s="29"/>
      <c r="AI61" s="30"/>
      <c r="AJ61" s="39"/>
      <c r="AK61" s="29"/>
      <c r="AL61" s="30"/>
      <c r="AM61" s="39"/>
      <c r="AN61" s="29"/>
      <c r="AO61" s="30"/>
      <c r="AP61" s="88"/>
      <c r="AQ61" s="29"/>
      <c r="AR61" s="30"/>
      <c r="AS61" s="88"/>
      <c r="AT61" s="29"/>
      <c r="AU61" s="30"/>
      <c r="AV61" s="39"/>
      <c r="AW61" s="29"/>
      <c r="AX61" s="30"/>
      <c r="AY61" s="39"/>
      <c r="AZ61" s="29"/>
      <c r="BA61" s="30"/>
      <c r="BB61" s="39"/>
      <c r="BC61" s="29"/>
      <c r="BD61" s="30"/>
      <c r="BE61" s="88"/>
      <c r="BF61" s="29"/>
      <c r="BG61" s="30"/>
      <c r="BH61" s="88"/>
      <c r="BI61" s="29"/>
      <c r="BJ61" s="30"/>
      <c r="BK61" s="74"/>
      <c r="BL61" s="29"/>
      <c r="BM61" s="29"/>
      <c r="BN61" s="29"/>
      <c r="BO61" s="29"/>
      <c r="BP61" s="29"/>
      <c r="BQ61" s="30"/>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row>
    <row r="62" spans="1:135" ht="66.75" customHeight="1" x14ac:dyDescent="0.2">
      <c r="A62" s="24">
        <f t="shared" si="11"/>
        <v>48</v>
      </c>
      <c r="B62" s="74"/>
      <c r="C62" s="29"/>
      <c r="D62" s="30"/>
      <c r="E62" s="89"/>
      <c r="F62" s="52"/>
      <c r="G62" s="52"/>
      <c r="H62" s="52"/>
      <c r="I62" s="90"/>
      <c r="J62" s="74"/>
      <c r="K62" s="29"/>
      <c r="L62" s="29"/>
      <c r="M62" s="29"/>
      <c r="N62" s="29"/>
      <c r="O62" s="29"/>
      <c r="P62" s="30"/>
      <c r="Q62" s="74" t="s">
        <v>417</v>
      </c>
      <c r="R62" s="29"/>
      <c r="S62" s="29"/>
      <c r="T62" s="29"/>
      <c r="U62" s="29"/>
      <c r="V62" s="29"/>
      <c r="W62" s="30"/>
      <c r="X62" s="74" t="s">
        <v>418</v>
      </c>
      <c r="Y62" s="29"/>
      <c r="Z62" s="29"/>
      <c r="AA62" s="29"/>
      <c r="AB62" s="29"/>
      <c r="AC62" s="29"/>
      <c r="AD62" s="30"/>
      <c r="AE62" s="39" t="s">
        <v>309</v>
      </c>
      <c r="AF62" s="30"/>
      <c r="AG62" s="39"/>
      <c r="AH62" s="29"/>
      <c r="AI62" s="30"/>
      <c r="AJ62" s="39"/>
      <c r="AK62" s="29"/>
      <c r="AL62" s="30"/>
      <c r="AM62" s="39"/>
      <c r="AN62" s="29"/>
      <c r="AO62" s="30"/>
      <c r="AP62" s="88"/>
      <c r="AQ62" s="29"/>
      <c r="AR62" s="30"/>
      <c r="AS62" s="88"/>
      <c r="AT62" s="29"/>
      <c r="AU62" s="30"/>
      <c r="AV62" s="39"/>
      <c r="AW62" s="29"/>
      <c r="AX62" s="30"/>
      <c r="AY62" s="39"/>
      <c r="AZ62" s="29"/>
      <c r="BA62" s="30"/>
      <c r="BB62" s="39"/>
      <c r="BC62" s="29"/>
      <c r="BD62" s="30"/>
      <c r="BE62" s="88"/>
      <c r="BF62" s="29"/>
      <c r="BG62" s="30"/>
      <c r="BH62" s="88"/>
      <c r="BI62" s="29"/>
      <c r="BJ62" s="30"/>
      <c r="BK62" s="74"/>
      <c r="BL62" s="29"/>
      <c r="BM62" s="29"/>
      <c r="BN62" s="29"/>
      <c r="BO62" s="29"/>
      <c r="BP62" s="29"/>
      <c r="BQ62" s="30"/>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8"/>
      <c r="EC62" s="18"/>
      <c r="ED62" s="18"/>
      <c r="EE62" s="18"/>
    </row>
    <row r="63" spans="1:135" ht="66.75" customHeight="1" x14ac:dyDescent="0.2">
      <c r="A63" s="24">
        <f t="shared" si="11"/>
        <v>49</v>
      </c>
      <c r="B63" s="74"/>
      <c r="C63" s="29"/>
      <c r="D63" s="30"/>
      <c r="E63" s="89"/>
      <c r="F63" s="52"/>
      <c r="G63" s="52"/>
      <c r="H63" s="52"/>
      <c r="I63" s="90"/>
      <c r="J63" s="74"/>
      <c r="K63" s="29"/>
      <c r="L63" s="29"/>
      <c r="M63" s="29"/>
      <c r="N63" s="29"/>
      <c r="O63" s="29"/>
      <c r="P63" s="30"/>
      <c r="Q63" s="74" t="s">
        <v>419</v>
      </c>
      <c r="R63" s="29"/>
      <c r="S63" s="29"/>
      <c r="T63" s="29"/>
      <c r="U63" s="29"/>
      <c r="V63" s="29"/>
      <c r="W63" s="30"/>
      <c r="X63" s="85" t="s">
        <v>420</v>
      </c>
      <c r="Y63" s="29"/>
      <c r="Z63" s="29"/>
      <c r="AA63" s="29"/>
      <c r="AB63" s="29"/>
      <c r="AC63" s="29"/>
      <c r="AD63" s="30"/>
      <c r="AE63" s="39" t="s">
        <v>309</v>
      </c>
      <c r="AF63" s="30"/>
      <c r="AG63" s="39"/>
      <c r="AH63" s="29"/>
      <c r="AI63" s="30"/>
      <c r="AJ63" s="39"/>
      <c r="AK63" s="29"/>
      <c r="AL63" s="30"/>
      <c r="AM63" s="39"/>
      <c r="AN63" s="29"/>
      <c r="AO63" s="30"/>
      <c r="AP63" s="88"/>
      <c r="AQ63" s="29"/>
      <c r="AR63" s="30"/>
      <c r="AS63" s="88"/>
      <c r="AT63" s="29"/>
      <c r="AU63" s="30"/>
      <c r="AV63" s="39"/>
      <c r="AW63" s="29"/>
      <c r="AX63" s="30"/>
      <c r="AY63" s="39"/>
      <c r="AZ63" s="29"/>
      <c r="BA63" s="30"/>
      <c r="BB63" s="39"/>
      <c r="BC63" s="29"/>
      <c r="BD63" s="30"/>
      <c r="BE63" s="88"/>
      <c r="BF63" s="29"/>
      <c r="BG63" s="30"/>
      <c r="BH63" s="88"/>
      <c r="BI63" s="29"/>
      <c r="BJ63" s="30"/>
      <c r="BK63" s="74"/>
      <c r="BL63" s="29"/>
      <c r="BM63" s="29"/>
      <c r="BN63" s="29"/>
      <c r="BO63" s="29"/>
      <c r="BP63" s="29"/>
      <c r="BQ63" s="30"/>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row>
    <row r="64" spans="1:135" ht="66.75" customHeight="1" x14ac:dyDescent="0.2">
      <c r="A64" s="24">
        <f t="shared" si="11"/>
        <v>50</v>
      </c>
      <c r="B64" s="74"/>
      <c r="C64" s="29"/>
      <c r="D64" s="30"/>
      <c r="E64" s="47"/>
      <c r="F64" s="48"/>
      <c r="G64" s="48"/>
      <c r="H64" s="48"/>
      <c r="I64" s="49"/>
      <c r="J64" s="74"/>
      <c r="K64" s="29"/>
      <c r="L64" s="29"/>
      <c r="M64" s="29"/>
      <c r="N64" s="29"/>
      <c r="O64" s="29"/>
      <c r="P64" s="30"/>
      <c r="Q64" s="74" t="s">
        <v>421</v>
      </c>
      <c r="R64" s="29"/>
      <c r="S64" s="29"/>
      <c r="T64" s="29"/>
      <c r="U64" s="29"/>
      <c r="V64" s="29"/>
      <c r="W64" s="30"/>
      <c r="X64" s="74" t="s">
        <v>422</v>
      </c>
      <c r="Y64" s="29"/>
      <c r="Z64" s="29"/>
      <c r="AA64" s="29"/>
      <c r="AB64" s="29"/>
      <c r="AC64" s="29"/>
      <c r="AD64" s="30"/>
      <c r="AE64" s="39" t="s">
        <v>309</v>
      </c>
      <c r="AF64" s="30"/>
      <c r="AG64" s="39"/>
      <c r="AH64" s="29"/>
      <c r="AI64" s="30"/>
      <c r="AJ64" s="39"/>
      <c r="AK64" s="29"/>
      <c r="AL64" s="30"/>
      <c r="AM64" s="39"/>
      <c r="AN64" s="29"/>
      <c r="AO64" s="30"/>
      <c r="AP64" s="88"/>
      <c r="AQ64" s="29"/>
      <c r="AR64" s="30"/>
      <c r="AS64" s="88"/>
      <c r="AT64" s="29"/>
      <c r="AU64" s="30"/>
      <c r="AV64" s="39"/>
      <c r="AW64" s="29"/>
      <c r="AX64" s="30"/>
      <c r="AY64" s="39"/>
      <c r="AZ64" s="29"/>
      <c r="BA64" s="30"/>
      <c r="BB64" s="39"/>
      <c r="BC64" s="29"/>
      <c r="BD64" s="30"/>
      <c r="BE64" s="88"/>
      <c r="BF64" s="29"/>
      <c r="BG64" s="30"/>
      <c r="BH64" s="88"/>
      <c r="BI64" s="29"/>
      <c r="BJ64" s="30"/>
      <c r="BK64" s="74"/>
      <c r="BL64" s="29"/>
      <c r="BM64" s="29"/>
      <c r="BN64" s="29"/>
      <c r="BO64" s="29"/>
      <c r="BP64" s="29"/>
      <c r="BQ64" s="30"/>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8"/>
      <c r="EC64" s="18"/>
      <c r="ED64" s="18"/>
      <c r="EE64" s="18"/>
    </row>
    <row r="65" spans="1:135" ht="60.75" customHeight="1" x14ac:dyDescent="0.2">
      <c r="A65" s="24">
        <f t="shared" si="11"/>
        <v>51</v>
      </c>
      <c r="B65" s="74"/>
      <c r="C65" s="29"/>
      <c r="D65" s="30"/>
      <c r="E65" s="87" t="s">
        <v>423</v>
      </c>
      <c r="F65" s="45"/>
      <c r="G65" s="45"/>
      <c r="H65" s="45"/>
      <c r="I65" s="46"/>
      <c r="J65" s="74"/>
      <c r="K65" s="29"/>
      <c r="L65" s="29"/>
      <c r="M65" s="29"/>
      <c r="N65" s="29"/>
      <c r="O65" s="29"/>
      <c r="P65" s="30"/>
      <c r="Q65" s="73" t="s">
        <v>402</v>
      </c>
      <c r="R65" s="29"/>
      <c r="S65" s="29"/>
      <c r="T65" s="29"/>
      <c r="U65" s="29"/>
      <c r="V65" s="29"/>
      <c r="W65" s="30"/>
      <c r="X65" s="73" t="s">
        <v>424</v>
      </c>
      <c r="Y65" s="29"/>
      <c r="Z65" s="29"/>
      <c r="AA65" s="29"/>
      <c r="AB65" s="29"/>
      <c r="AC65" s="29"/>
      <c r="AD65" s="30"/>
      <c r="AE65" s="39" t="s">
        <v>309</v>
      </c>
      <c r="AF65" s="30"/>
      <c r="AG65" s="39"/>
      <c r="AH65" s="29"/>
      <c r="AI65" s="30"/>
      <c r="AJ65" s="39"/>
      <c r="AK65" s="29"/>
      <c r="AL65" s="30"/>
      <c r="AM65" s="39"/>
      <c r="AN65" s="29"/>
      <c r="AO65" s="30"/>
      <c r="AP65" s="88"/>
      <c r="AQ65" s="29"/>
      <c r="AR65" s="30"/>
      <c r="AS65" s="88"/>
      <c r="AT65" s="29"/>
      <c r="AU65" s="30"/>
      <c r="AV65" s="39"/>
      <c r="AW65" s="29"/>
      <c r="AX65" s="30"/>
      <c r="AY65" s="39"/>
      <c r="AZ65" s="29"/>
      <c r="BA65" s="30"/>
      <c r="BB65" s="39"/>
      <c r="BC65" s="29"/>
      <c r="BD65" s="30"/>
      <c r="BE65" s="88"/>
      <c r="BF65" s="29"/>
      <c r="BG65" s="30"/>
      <c r="BH65" s="88"/>
      <c r="BI65" s="29"/>
      <c r="BJ65" s="30"/>
      <c r="BK65" s="74"/>
      <c r="BL65" s="29"/>
      <c r="BM65" s="29"/>
      <c r="BN65" s="29"/>
      <c r="BO65" s="29"/>
      <c r="BP65" s="29"/>
      <c r="BQ65" s="30"/>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row>
    <row r="66" spans="1:135" ht="62.25" customHeight="1" x14ac:dyDescent="0.2">
      <c r="A66" s="24">
        <f t="shared" si="11"/>
        <v>52</v>
      </c>
      <c r="B66" s="74"/>
      <c r="C66" s="29"/>
      <c r="D66" s="30"/>
      <c r="E66" s="89"/>
      <c r="F66" s="52"/>
      <c r="G66" s="52"/>
      <c r="H66" s="52"/>
      <c r="I66" s="90"/>
      <c r="J66" s="74"/>
      <c r="K66" s="29"/>
      <c r="L66" s="29"/>
      <c r="M66" s="29"/>
      <c r="N66" s="29"/>
      <c r="O66" s="29"/>
      <c r="P66" s="30"/>
      <c r="Q66" s="74" t="s">
        <v>404</v>
      </c>
      <c r="R66" s="29"/>
      <c r="S66" s="29"/>
      <c r="T66" s="29"/>
      <c r="U66" s="29"/>
      <c r="V66" s="29"/>
      <c r="W66" s="30"/>
      <c r="X66" s="73" t="s">
        <v>425</v>
      </c>
      <c r="Y66" s="29"/>
      <c r="Z66" s="29"/>
      <c r="AA66" s="29"/>
      <c r="AB66" s="29"/>
      <c r="AC66" s="29"/>
      <c r="AD66" s="30"/>
      <c r="AE66" s="39" t="s">
        <v>309</v>
      </c>
      <c r="AF66" s="30"/>
      <c r="AG66" s="39"/>
      <c r="AH66" s="29"/>
      <c r="AI66" s="30"/>
      <c r="AJ66" s="39"/>
      <c r="AK66" s="29"/>
      <c r="AL66" s="30"/>
      <c r="AM66" s="39"/>
      <c r="AN66" s="29"/>
      <c r="AO66" s="30"/>
      <c r="AP66" s="88"/>
      <c r="AQ66" s="29"/>
      <c r="AR66" s="30"/>
      <c r="AS66" s="88"/>
      <c r="AT66" s="29"/>
      <c r="AU66" s="30"/>
      <c r="AV66" s="39"/>
      <c r="AW66" s="29"/>
      <c r="AX66" s="30"/>
      <c r="AY66" s="39"/>
      <c r="AZ66" s="29"/>
      <c r="BA66" s="30"/>
      <c r="BB66" s="39"/>
      <c r="BC66" s="29"/>
      <c r="BD66" s="30"/>
      <c r="BE66" s="88"/>
      <c r="BF66" s="29"/>
      <c r="BG66" s="30"/>
      <c r="BH66" s="88"/>
      <c r="BI66" s="29"/>
      <c r="BJ66" s="30"/>
      <c r="BK66" s="74"/>
      <c r="BL66" s="29"/>
      <c r="BM66" s="29"/>
      <c r="BN66" s="29"/>
      <c r="BO66" s="29"/>
      <c r="BP66" s="29"/>
      <c r="BQ66" s="30"/>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8"/>
      <c r="DK66" s="18"/>
      <c r="DL66" s="18"/>
      <c r="DM66" s="18"/>
      <c r="DN66" s="18"/>
      <c r="DO66" s="18"/>
      <c r="DP66" s="18"/>
      <c r="DQ66" s="18"/>
      <c r="DR66" s="18"/>
      <c r="DS66" s="18"/>
      <c r="DT66" s="18"/>
      <c r="DU66" s="18"/>
      <c r="DV66" s="18"/>
      <c r="DW66" s="18"/>
      <c r="DX66" s="18"/>
      <c r="DY66" s="18"/>
      <c r="DZ66" s="18"/>
      <c r="EA66" s="18"/>
      <c r="EB66" s="18"/>
      <c r="EC66" s="18"/>
      <c r="ED66" s="18"/>
      <c r="EE66" s="18"/>
    </row>
    <row r="67" spans="1:135" ht="70.5" customHeight="1" x14ac:dyDescent="0.2">
      <c r="A67" s="24">
        <f t="shared" si="11"/>
        <v>53</v>
      </c>
      <c r="B67" s="74"/>
      <c r="C67" s="29"/>
      <c r="D67" s="30"/>
      <c r="E67" s="89"/>
      <c r="F67" s="52"/>
      <c r="G67" s="52"/>
      <c r="H67" s="52"/>
      <c r="I67" s="90"/>
      <c r="J67" s="74"/>
      <c r="K67" s="29"/>
      <c r="L67" s="29"/>
      <c r="M67" s="29"/>
      <c r="N67" s="29"/>
      <c r="O67" s="29"/>
      <c r="P67" s="30"/>
      <c r="Q67" s="74" t="s">
        <v>406</v>
      </c>
      <c r="R67" s="29"/>
      <c r="S67" s="29"/>
      <c r="T67" s="29"/>
      <c r="U67" s="29"/>
      <c r="V67" s="29"/>
      <c r="W67" s="30"/>
      <c r="X67" s="73" t="s">
        <v>407</v>
      </c>
      <c r="Y67" s="29"/>
      <c r="Z67" s="29"/>
      <c r="AA67" s="29"/>
      <c r="AB67" s="29"/>
      <c r="AC67" s="29"/>
      <c r="AD67" s="30"/>
      <c r="AE67" s="39" t="s">
        <v>309</v>
      </c>
      <c r="AF67" s="30"/>
      <c r="AG67" s="39"/>
      <c r="AH67" s="29"/>
      <c r="AI67" s="30"/>
      <c r="AJ67" s="39"/>
      <c r="AK67" s="29"/>
      <c r="AL67" s="30"/>
      <c r="AM67" s="39"/>
      <c r="AN67" s="29"/>
      <c r="AO67" s="30"/>
      <c r="AP67" s="88"/>
      <c r="AQ67" s="29"/>
      <c r="AR67" s="30"/>
      <c r="AS67" s="88"/>
      <c r="AT67" s="29"/>
      <c r="AU67" s="30"/>
      <c r="AV67" s="39"/>
      <c r="AW67" s="29"/>
      <c r="AX67" s="30"/>
      <c r="AY67" s="39"/>
      <c r="AZ67" s="29"/>
      <c r="BA67" s="30"/>
      <c r="BB67" s="39"/>
      <c r="BC67" s="29"/>
      <c r="BD67" s="30"/>
      <c r="BE67" s="88"/>
      <c r="BF67" s="29"/>
      <c r="BG67" s="30"/>
      <c r="BH67" s="88"/>
      <c r="BI67" s="29"/>
      <c r="BJ67" s="30"/>
      <c r="BK67" s="74"/>
      <c r="BL67" s="29"/>
      <c r="BM67" s="29"/>
      <c r="BN67" s="29"/>
      <c r="BO67" s="29"/>
      <c r="BP67" s="29"/>
      <c r="BQ67" s="30"/>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row>
    <row r="68" spans="1:135" ht="66.75" customHeight="1" x14ac:dyDescent="0.2">
      <c r="A68" s="24"/>
      <c r="B68" s="74"/>
      <c r="C68" s="29"/>
      <c r="D68" s="30"/>
      <c r="E68" s="89"/>
      <c r="F68" s="52"/>
      <c r="G68" s="52"/>
      <c r="H68" s="52"/>
      <c r="I68" s="90"/>
      <c r="J68" s="74"/>
      <c r="K68" s="29"/>
      <c r="L68" s="29"/>
      <c r="M68" s="29"/>
      <c r="N68" s="29"/>
      <c r="O68" s="29"/>
      <c r="P68" s="30"/>
      <c r="Q68" s="74" t="s">
        <v>408</v>
      </c>
      <c r="R68" s="29"/>
      <c r="S68" s="29"/>
      <c r="T68" s="29"/>
      <c r="U68" s="29"/>
      <c r="V68" s="29"/>
      <c r="W68" s="30"/>
      <c r="X68" s="73" t="s">
        <v>409</v>
      </c>
      <c r="Y68" s="29"/>
      <c r="Z68" s="29"/>
      <c r="AA68" s="29"/>
      <c r="AB68" s="29"/>
      <c r="AC68" s="29"/>
      <c r="AD68" s="30"/>
      <c r="AE68" s="39" t="s">
        <v>309</v>
      </c>
      <c r="AF68" s="30"/>
      <c r="AG68" s="39"/>
      <c r="AH68" s="29"/>
      <c r="AI68" s="30"/>
      <c r="AJ68" s="39"/>
      <c r="AK68" s="29"/>
      <c r="AL68" s="30"/>
      <c r="AM68" s="39"/>
      <c r="AN68" s="29"/>
      <c r="AO68" s="30"/>
      <c r="AP68" s="88"/>
      <c r="AQ68" s="29"/>
      <c r="AR68" s="30"/>
      <c r="AS68" s="88"/>
      <c r="AT68" s="29"/>
      <c r="AU68" s="30"/>
      <c r="AV68" s="39"/>
      <c r="AW68" s="29"/>
      <c r="AX68" s="30"/>
      <c r="AY68" s="39"/>
      <c r="AZ68" s="29"/>
      <c r="BA68" s="30"/>
      <c r="BB68" s="39"/>
      <c r="BC68" s="29"/>
      <c r="BD68" s="30"/>
      <c r="BE68" s="88"/>
      <c r="BF68" s="29"/>
      <c r="BG68" s="30"/>
      <c r="BH68" s="88"/>
      <c r="BI68" s="29"/>
      <c r="BJ68" s="30"/>
      <c r="BK68" s="74"/>
      <c r="BL68" s="29"/>
      <c r="BM68" s="29"/>
      <c r="BN68" s="29"/>
      <c r="BO68" s="29"/>
      <c r="BP68" s="29"/>
      <c r="BQ68" s="30"/>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K68" s="18"/>
      <c r="DL68" s="18"/>
      <c r="DM68" s="18"/>
      <c r="DN68" s="18"/>
      <c r="DO68" s="18"/>
      <c r="DP68" s="18"/>
      <c r="DQ68" s="18"/>
      <c r="DR68" s="18"/>
      <c r="DS68" s="18"/>
      <c r="DT68" s="18"/>
      <c r="DU68" s="18"/>
      <c r="DV68" s="18"/>
      <c r="DW68" s="18"/>
      <c r="DX68" s="18"/>
      <c r="DY68" s="18"/>
      <c r="DZ68" s="18"/>
      <c r="EA68" s="18"/>
      <c r="EB68" s="18"/>
      <c r="EC68" s="18"/>
      <c r="ED68" s="18"/>
      <c r="EE68" s="18"/>
    </row>
    <row r="69" spans="1:135" ht="66.75" customHeight="1" x14ac:dyDescent="0.2">
      <c r="A69" s="24">
        <f t="shared" ref="A69:A75" si="12">ROW()-14</f>
        <v>55</v>
      </c>
      <c r="B69" s="74"/>
      <c r="C69" s="29"/>
      <c r="D69" s="30"/>
      <c r="E69" s="89"/>
      <c r="F69" s="52"/>
      <c r="G69" s="52"/>
      <c r="H69" s="52"/>
      <c r="I69" s="90"/>
      <c r="J69" s="74"/>
      <c r="K69" s="29"/>
      <c r="L69" s="29"/>
      <c r="M69" s="29"/>
      <c r="N69" s="29"/>
      <c r="O69" s="29"/>
      <c r="P69" s="30"/>
      <c r="Q69" s="74" t="s">
        <v>426</v>
      </c>
      <c r="R69" s="29"/>
      <c r="S69" s="29"/>
      <c r="T69" s="29"/>
      <c r="U69" s="29"/>
      <c r="V69" s="29"/>
      <c r="W69" s="30"/>
      <c r="X69" s="74" t="s">
        <v>427</v>
      </c>
      <c r="Y69" s="29"/>
      <c r="Z69" s="29"/>
      <c r="AA69" s="29"/>
      <c r="AB69" s="29"/>
      <c r="AC69" s="29"/>
      <c r="AD69" s="30"/>
      <c r="AE69" s="39" t="s">
        <v>309</v>
      </c>
      <c r="AF69" s="30"/>
      <c r="AG69" s="39"/>
      <c r="AH69" s="29"/>
      <c r="AI69" s="30"/>
      <c r="AJ69" s="39"/>
      <c r="AK69" s="29"/>
      <c r="AL69" s="30"/>
      <c r="AM69" s="39"/>
      <c r="AN69" s="29"/>
      <c r="AO69" s="30"/>
      <c r="AP69" s="88"/>
      <c r="AQ69" s="29"/>
      <c r="AR69" s="30"/>
      <c r="AS69" s="88"/>
      <c r="AT69" s="29"/>
      <c r="AU69" s="30"/>
      <c r="AV69" s="39"/>
      <c r="AW69" s="29"/>
      <c r="AX69" s="30"/>
      <c r="AY69" s="39"/>
      <c r="AZ69" s="29"/>
      <c r="BA69" s="30"/>
      <c r="BB69" s="39"/>
      <c r="BC69" s="29"/>
      <c r="BD69" s="30"/>
      <c r="BE69" s="88"/>
      <c r="BF69" s="29"/>
      <c r="BG69" s="30"/>
      <c r="BH69" s="88"/>
      <c r="BI69" s="29"/>
      <c r="BJ69" s="30"/>
      <c r="BK69" s="74"/>
      <c r="BL69" s="29"/>
      <c r="BM69" s="29"/>
      <c r="BN69" s="29"/>
      <c r="BO69" s="29"/>
      <c r="BP69" s="29"/>
      <c r="BQ69" s="30"/>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row>
    <row r="70" spans="1:135" ht="66.75" customHeight="1" x14ac:dyDescent="0.2">
      <c r="A70" s="24">
        <f t="shared" si="12"/>
        <v>56</v>
      </c>
      <c r="B70" s="74"/>
      <c r="C70" s="29"/>
      <c r="D70" s="30"/>
      <c r="E70" s="89"/>
      <c r="F70" s="52"/>
      <c r="G70" s="52"/>
      <c r="H70" s="52"/>
      <c r="I70" s="90"/>
      <c r="J70" s="74"/>
      <c r="K70" s="29"/>
      <c r="L70" s="29"/>
      <c r="M70" s="29"/>
      <c r="N70" s="29"/>
      <c r="O70" s="29"/>
      <c r="P70" s="30"/>
      <c r="Q70" s="74" t="s">
        <v>428</v>
      </c>
      <c r="R70" s="29"/>
      <c r="S70" s="29"/>
      <c r="T70" s="29"/>
      <c r="U70" s="29"/>
      <c r="V70" s="29"/>
      <c r="W70" s="30"/>
      <c r="X70" s="74" t="s">
        <v>429</v>
      </c>
      <c r="Y70" s="29"/>
      <c r="Z70" s="29"/>
      <c r="AA70" s="29"/>
      <c r="AB70" s="29"/>
      <c r="AC70" s="29"/>
      <c r="AD70" s="30"/>
      <c r="AE70" s="39" t="s">
        <v>309</v>
      </c>
      <c r="AF70" s="30"/>
      <c r="AG70" s="39"/>
      <c r="AH70" s="29"/>
      <c r="AI70" s="30"/>
      <c r="AJ70" s="39"/>
      <c r="AK70" s="29"/>
      <c r="AL70" s="30"/>
      <c r="AM70" s="39"/>
      <c r="AN70" s="29"/>
      <c r="AO70" s="30"/>
      <c r="AP70" s="88"/>
      <c r="AQ70" s="29"/>
      <c r="AR70" s="30"/>
      <c r="AS70" s="88"/>
      <c r="AT70" s="29"/>
      <c r="AU70" s="30"/>
      <c r="AV70" s="39"/>
      <c r="AW70" s="29"/>
      <c r="AX70" s="30"/>
      <c r="AY70" s="39"/>
      <c r="AZ70" s="29"/>
      <c r="BA70" s="30"/>
      <c r="BB70" s="39"/>
      <c r="BC70" s="29"/>
      <c r="BD70" s="30"/>
      <c r="BE70" s="88"/>
      <c r="BF70" s="29"/>
      <c r="BG70" s="30"/>
      <c r="BH70" s="88"/>
      <c r="BI70" s="29"/>
      <c r="BJ70" s="30"/>
      <c r="BK70" s="74"/>
      <c r="BL70" s="29"/>
      <c r="BM70" s="29"/>
      <c r="BN70" s="29"/>
      <c r="BO70" s="29"/>
      <c r="BP70" s="29"/>
      <c r="BQ70" s="30"/>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8"/>
      <c r="DK70" s="18"/>
      <c r="DL70" s="18"/>
      <c r="DM70" s="18"/>
      <c r="DN70" s="18"/>
      <c r="DO70" s="18"/>
      <c r="DP70" s="18"/>
      <c r="DQ70" s="18"/>
      <c r="DR70" s="18"/>
      <c r="DS70" s="18"/>
      <c r="DT70" s="18"/>
      <c r="DU70" s="18"/>
      <c r="DV70" s="18"/>
      <c r="DW70" s="18"/>
      <c r="DX70" s="18"/>
      <c r="DY70" s="18"/>
      <c r="DZ70" s="18"/>
      <c r="EA70" s="18"/>
      <c r="EB70" s="18"/>
      <c r="EC70" s="18"/>
      <c r="ED70" s="18"/>
      <c r="EE70" s="18"/>
    </row>
    <row r="71" spans="1:135" ht="66.75" customHeight="1" x14ac:dyDescent="0.2">
      <c r="A71" s="24">
        <f t="shared" si="12"/>
        <v>57</v>
      </c>
      <c r="B71" s="74"/>
      <c r="C71" s="29"/>
      <c r="D71" s="30"/>
      <c r="E71" s="89"/>
      <c r="F71" s="52"/>
      <c r="G71" s="52"/>
      <c r="H71" s="52"/>
      <c r="I71" s="90"/>
      <c r="J71" s="74"/>
      <c r="K71" s="29"/>
      <c r="L71" s="29"/>
      <c r="M71" s="29"/>
      <c r="N71" s="29"/>
      <c r="O71" s="29"/>
      <c r="P71" s="30"/>
      <c r="Q71" s="74" t="s">
        <v>430</v>
      </c>
      <c r="R71" s="29"/>
      <c r="S71" s="29"/>
      <c r="T71" s="29"/>
      <c r="U71" s="29"/>
      <c r="V71" s="29"/>
      <c r="W71" s="30"/>
      <c r="X71" s="74" t="s">
        <v>431</v>
      </c>
      <c r="Y71" s="29"/>
      <c r="Z71" s="29"/>
      <c r="AA71" s="29"/>
      <c r="AB71" s="29"/>
      <c r="AC71" s="29"/>
      <c r="AD71" s="30"/>
      <c r="AE71" s="39" t="s">
        <v>309</v>
      </c>
      <c r="AF71" s="30"/>
      <c r="AG71" s="39"/>
      <c r="AH71" s="29"/>
      <c r="AI71" s="30"/>
      <c r="AJ71" s="39"/>
      <c r="AK71" s="29"/>
      <c r="AL71" s="30"/>
      <c r="AM71" s="39"/>
      <c r="AN71" s="29"/>
      <c r="AO71" s="30"/>
      <c r="AP71" s="88"/>
      <c r="AQ71" s="29"/>
      <c r="AR71" s="30"/>
      <c r="AS71" s="88"/>
      <c r="AT71" s="29"/>
      <c r="AU71" s="30"/>
      <c r="AV71" s="39"/>
      <c r="AW71" s="29"/>
      <c r="AX71" s="30"/>
      <c r="AY71" s="39"/>
      <c r="AZ71" s="29"/>
      <c r="BA71" s="30"/>
      <c r="BB71" s="39"/>
      <c r="BC71" s="29"/>
      <c r="BD71" s="30"/>
      <c r="BE71" s="88"/>
      <c r="BF71" s="29"/>
      <c r="BG71" s="30"/>
      <c r="BH71" s="88"/>
      <c r="BI71" s="29"/>
      <c r="BJ71" s="30"/>
      <c r="BK71" s="74"/>
      <c r="BL71" s="29"/>
      <c r="BM71" s="29"/>
      <c r="BN71" s="29"/>
      <c r="BO71" s="29"/>
      <c r="BP71" s="29"/>
      <c r="BQ71" s="30"/>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row>
    <row r="72" spans="1:135" ht="66.75" customHeight="1" x14ac:dyDescent="0.2">
      <c r="A72" s="24">
        <f t="shared" si="12"/>
        <v>58</v>
      </c>
      <c r="B72" s="74"/>
      <c r="C72" s="29"/>
      <c r="D72" s="30"/>
      <c r="E72" s="89"/>
      <c r="F72" s="52"/>
      <c r="G72" s="52"/>
      <c r="H72" s="52"/>
      <c r="I72" s="90"/>
      <c r="J72" s="74"/>
      <c r="K72" s="29"/>
      <c r="L72" s="29"/>
      <c r="M72" s="29"/>
      <c r="N72" s="29"/>
      <c r="O72" s="29"/>
      <c r="P72" s="30"/>
      <c r="Q72" s="74" t="s">
        <v>432</v>
      </c>
      <c r="R72" s="29"/>
      <c r="S72" s="29"/>
      <c r="T72" s="29"/>
      <c r="U72" s="29"/>
      <c r="V72" s="29"/>
      <c r="W72" s="30"/>
      <c r="X72" s="74" t="s">
        <v>433</v>
      </c>
      <c r="Y72" s="29"/>
      <c r="Z72" s="29"/>
      <c r="AA72" s="29"/>
      <c r="AB72" s="29"/>
      <c r="AC72" s="29"/>
      <c r="AD72" s="30"/>
      <c r="AE72" s="39" t="s">
        <v>309</v>
      </c>
      <c r="AF72" s="30"/>
      <c r="AG72" s="39"/>
      <c r="AH72" s="29"/>
      <c r="AI72" s="30"/>
      <c r="AJ72" s="39"/>
      <c r="AK72" s="29"/>
      <c r="AL72" s="30"/>
      <c r="AM72" s="39"/>
      <c r="AN72" s="29"/>
      <c r="AO72" s="30"/>
      <c r="AP72" s="88"/>
      <c r="AQ72" s="29"/>
      <c r="AR72" s="30"/>
      <c r="AS72" s="88"/>
      <c r="AT72" s="29"/>
      <c r="AU72" s="30"/>
      <c r="AV72" s="39"/>
      <c r="AW72" s="29"/>
      <c r="AX72" s="30"/>
      <c r="AY72" s="39"/>
      <c r="AZ72" s="29"/>
      <c r="BA72" s="30"/>
      <c r="BB72" s="39"/>
      <c r="BC72" s="29"/>
      <c r="BD72" s="30"/>
      <c r="BE72" s="88"/>
      <c r="BF72" s="29"/>
      <c r="BG72" s="30"/>
      <c r="BH72" s="88"/>
      <c r="BI72" s="29"/>
      <c r="BJ72" s="30"/>
      <c r="BK72" s="74"/>
      <c r="BL72" s="29"/>
      <c r="BM72" s="29"/>
      <c r="BN72" s="29"/>
      <c r="BO72" s="29"/>
      <c r="BP72" s="29"/>
      <c r="BQ72" s="30"/>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8"/>
      <c r="DK72" s="18"/>
      <c r="DL72" s="18"/>
      <c r="DM72" s="18"/>
      <c r="DN72" s="18"/>
      <c r="DO72" s="18"/>
      <c r="DP72" s="18"/>
      <c r="DQ72" s="18"/>
      <c r="DR72" s="18"/>
      <c r="DS72" s="18"/>
      <c r="DT72" s="18"/>
      <c r="DU72" s="18"/>
      <c r="DV72" s="18"/>
      <c r="DW72" s="18"/>
      <c r="DX72" s="18"/>
      <c r="DY72" s="18"/>
      <c r="DZ72" s="18"/>
      <c r="EA72" s="18"/>
      <c r="EB72" s="18"/>
      <c r="EC72" s="18"/>
      <c r="ED72" s="18"/>
      <c r="EE72" s="18"/>
    </row>
    <row r="73" spans="1:135" ht="85.5" customHeight="1" x14ac:dyDescent="0.2">
      <c r="A73" s="27">
        <f t="shared" si="12"/>
        <v>59</v>
      </c>
      <c r="B73" s="86"/>
      <c r="C73" s="29"/>
      <c r="D73" s="30"/>
      <c r="E73" s="47"/>
      <c r="F73" s="48"/>
      <c r="G73" s="48"/>
      <c r="H73" s="48"/>
      <c r="I73" s="49"/>
      <c r="J73" s="86"/>
      <c r="K73" s="29"/>
      <c r="L73" s="29"/>
      <c r="M73" s="29"/>
      <c r="N73" s="29"/>
      <c r="O73" s="29"/>
      <c r="P73" s="30"/>
      <c r="Q73" s="73" t="s">
        <v>434</v>
      </c>
      <c r="R73" s="29"/>
      <c r="S73" s="29"/>
      <c r="T73" s="29"/>
      <c r="U73" s="29"/>
      <c r="V73" s="29"/>
      <c r="W73" s="30"/>
      <c r="X73" s="73" t="s">
        <v>435</v>
      </c>
      <c r="Y73" s="29"/>
      <c r="Z73" s="29"/>
      <c r="AA73" s="29"/>
      <c r="AB73" s="29"/>
      <c r="AC73" s="29"/>
      <c r="AD73" s="30"/>
      <c r="AE73" s="94" t="s">
        <v>309</v>
      </c>
      <c r="AF73" s="30"/>
      <c r="AG73" s="86"/>
      <c r="AH73" s="29"/>
      <c r="AI73" s="30"/>
      <c r="AJ73" s="86"/>
      <c r="AK73" s="29"/>
      <c r="AL73" s="30"/>
      <c r="AM73" s="86"/>
      <c r="AN73" s="29"/>
      <c r="AO73" s="30"/>
      <c r="AP73" s="93"/>
      <c r="AQ73" s="29"/>
      <c r="AR73" s="30"/>
      <c r="AS73" s="93"/>
      <c r="AT73" s="29"/>
      <c r="AU73" s="30"/>
      <c r="AV73" s="86"/>
      <c r="AW73" s="29"/>
      <c r="AX73" s="30"/>
      <c r="AY73" s="86"/>
      <c r="AZ73" s="29"/>
      <c r="BA73" s="30"/>
      <c r="BB73" s="86"/>
      <c r="BC73" s="29"/>
      <c r="BD73" s="30"/>
      <c r="BE73" s="93"/>
      <c r="BF73" s="29"/>
      <c r="BG73" s="30"/>
      <c r="BH73" s="93"/>
      <c r="BI73" s="29"/>
      <c r="BJ73" s="30"/>
      <c r="BK73" s="86"/>
      <c r="BL73" s="29"/>
      <c r="BM73" s="29"/>
      <c r="BN73" s="29"/>
      <c r="BO73" s="29"/>
      <c r="BP73" s="29"/>
      <c r="BQ73" s="30"/>
      <c r="BR73" s="26"/>
      <c r="BS73" s="26"/>
      <c r="BT73" s="26"/>
      <c r="BU73" s="26"/>
      <c r="BV73" s="26"/>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26"/>
      <c r="CU73" s="26"/>
      <c r="CV73" s="26"/>
      <c r="CW73" s="26"/>
      <c r="CX73" s="26"/>
      <c r="CY73" s="26"/>
      <c r="CZ73" s="26"/>
      <c r="DA73" s="26"/>
      <c r="DB73" s="26"/>
      <c r="DC73" s="26"/>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row>
    <row r="74" spans="1:135" ht="60.75" customHeight="1" x14ac:dyDescent="0.2">
      <c r="A74" s="24">
        <f t="shared" si="12"/>
        <v>60</v>
      </c>
      <c r="B74" s="74"/>
      <c r="C74" s="29"/>
      <c r="D74" s="30"/>
      <c r="E74" s="87" t="s">
        <v>436</v>
      </c>
      <c r="F74" s="45"/>
      <c r="G74" s="45"/>
      <c r="H74" s="45"/>
      <c r="I74" s="46"/>
      <c r="J74" s="74"/>
      <c r="K74" s="29"/>
      <c r="L74" s="29"/>
      <c r="M74" s="29"/>
      <c r="N74" s="29"/>
      <c r="O74" s="29"/>
      <c r="P74" s="30"/>
      <c r="Q74" s="73" t="s">
        <v>402</v>
      </c>
      <c r="R74" s="29"/>
      <c r="S74" s="29"/>
      <c r="T74" s="29"/>
      <c r="U74" s="29"/>
      <c r="V74" s="29"/>
      <c r="W74" s="30"/>
      <c r="X74" s="73" t="s">
        <v>424</v>
      </c>
      <c r="Y74" s="29"/>
      <c r="Z74" s="29"/>
      <c r="AA74" s="29"/>
      <c r="AB74" s="29"/>
      <c r="AC74" s="29"/>
      <c r="AD74" s="30"/>
      <c r="AE74" s="39" t="s">
        <v>309</v>
      </c>
      <c r="AF74" s="30"/>
      <c r="AG74" s="39"/>
      <c r="AH74" s="29"/>
      <c r="AI74" s="30"/>
      <c r="AJ74" s="39"/>
      <c r="AK74" s="29"/>
      <c r="AL74" s="30"/>
      <c r="AM74" s="39"/>
      <c r="AN74" s="29"/>
      <c r="AO74" s="30"/>
      <c r="AP74" s="88"/>
      <c r="AQ74" s="29"/>
      <c r="AR74" s="30"/>
      <c r="AS74" s="88"/>
      <c r="AT74" s="29"/>
      <c r="AU74" s="30"/>
      <c r="AV74" s="39"/>
      <c r="AW74" s="29"/>
      <c r="AX74" s="30"/>
      <c r="AY74" s="39"/>
      <c r="AZ74" s="29"/>
      <c r="BA74" s="30"/>
      <c r="BB74" s="39"/>
      <c r="BC74" s="29"/>
      <c r="BD74" s="30"/>
      <c r="BE74" s="88"/>
      <c r="BF74" s="29"/>
      <c r="BG74" s="30"/>
      <c r="BH74" s="88"/>
      <c r="BI74" s="29"/>
      <c r="BJ74" s="30"/>
      <c r="BK74" s="74"/>
      <c r="BL74" s="29"/>
      <c r="BM74" s="29"/>
      <c r="BN74" s="29"/>
      <c r="BO74" s="29"/>
      <c r="BP74" s="29"/>
      <c r="BQ74" s="30"/>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K74" s="18"/>
      <c r="DL74" s="18"/>
      <c r="DM74" s="18"/>
      <c r="DN74" s="18"/>
      <c r="DO74" s="18"/>
      <c r="DP74" s="18"/>
      <c r="DQ74" s="18"/>
      <c r="DR74" s="18"/>
      <c r="DS74" s="18"/>
      <c r="DT74" s="18"/>
      <c r="DU74" s="18"/>
      <c r="DV74" s="18"/>
      <c r="DW74" s="18"/>
      <c r="DX74" s="18"/>
      <c r="DY74" s="18"/>
      <c r="DZ74" s="18"/>
      <c r="EA74" s="18"/>
      <c r="EB74" s="18"/>
      <c r="EC74" s="18"/>
      <c r="ED74" s="18"/>
      <c r="EE74" s="18"/>
    </row>
    <row r="75" spans="1:135" ht="62.25" customHeight="1" x14ac:dyDescent="0.2">
      <c r="A75" s="24">
        <f t="shared" si="12"/>
        <v>61</v>
      </c>
      <c r="B75" s="74"/>
      <c r="C75" s="29"/>
      <c r="D75" s="30"/>
      <c r="E75" s="89"/>
      <c r="F75" s="52"/>
      <c r="G75" s="52"/>
      <c r="H75" s="52"/>
      <c r="I75" s="90"/>
      <c r="J75" s="74"/>
      <c r="K75" s="29"/>
      <c r="L75" s="29"/>
      <c r="M75" s="29"/>
      <c r="N75" s="29"/>
      <c r="O75" s="29"/>
      <c r="P75" s="30"/>
      <c r="Q75" s="74" t="s">
        <v>404</v>
      </c>
      <c r="R75" s="29"/>
      <c r="S75" s="29"/>
      <c r="T75" s="29"/>
      <c r="U75" s="29"/>
      <c r="V75" s="29"/>
      <c r="W75" s="30"/>
      <c r="X75" s="73" t="s">
        <v>425</v>
      </c>
      <c r="Y75" s="29"/>
      <c r="Z75" s="29"/>
      <c r="AA75" s="29"/>
      <c r="AB75" s="29"/>
      <c r="AC75" s="29"/>
      <c r="AD75" s="30"/>
      <c r="AE75" s="39" t="s">
        <v>309</v>
      </c>
      <c r="AF75" s="30"/>
      <c r="AG75" s="39"/>
      <c r="AH75" s="29"/>
      <c r="AI75" s="30"/>
      <c r="AJ75" s="39"/>
      <c r="AK75" s="29"/>
      <c r="AL75" s="30"/>
      <c r="AM75" s="39"/>
      <c r="AN75" s="29"/>
      <c r="AO75" s="30"/>
      <c r="AP75" s="88"/>
      <c r="AQ75" s="29"/>
      <c r="AR75" s="30"/>
      <c r="AS75" s="88"/>
      <c r="AT75" s="29"/>
      <c r="AU75" s="30"/>
      <c r="AV75" s="39"/>
      <c r="AW75" s="29"/>
      <c r="AX75" s="30"/>
      <c r="AY75" s="39"/>
      <c r="AZ75" s="29"/>
      <c r="BA75" s="30"/>
      <c r="BB75" s="39"/>
      <c r="BC75" s="29"/>
      <c r="BD75" s="30"/>
      <c r="BE75" s="88"/>
      <c r="BF75" s="29"/>
      <c r="BG75" s="30"/>
      <c r="BH75" s="88"/>
      <c r="BI75" s="29"/>
      <c r="BJ75" s="30"/>
      <c r="BK75" s="74"/>
      <c r="BL75" s="29"/>
      <c r="BM75" s="29"/>
      <c r="BN75" s="29"/>
      <c r="BO75" s="29"/>
      <c r="BP75" s="29"/>
      <c r="BQ75" s="30"/>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c r="EA75" s="18"/>
      <c r="EB75" s="18"/>
      <c r="EC75" s="18"/>
      <c r="ED75" s="18"/>
      <c r="EE75" s="18"/>
    </row>
    <row r="76" spans="1:135" ht="70.5" customHeight="1" x14ac:dyDescent="0.2">
      <c r="A76" s="24"/>
      <c r="B76" s="74"/>
      <c r="C76" s="29"/>
      <c r="D76" s="30"/>
      <c r="E76" s="89"/>
      <c r="F76" s="52"/>
      <c r="G76" s="52"/>
      <c r="H76" s="52"/>
      <c r="I76" s="90"/>
      <c r="J76" s="74"/>
      <c r="K76" s="29"/>
      <c r="L76" s="29"/>
      <c r="M76" s="29"/>
      <c r="N76" s="29"/>
      <c r="O76" s="29"/>
      <c r="P76" s="30"/>
      <c r="Q76" s="74" t="s">
        <v>406</v>
      </c>
      <c r="R76" s="29"/>
      <c r="S76" s="29"/>
      <c r="T76" s="29"/>
      <c r="U76" s="29"/>
      <c r="V76" s="29"/>
      <c r="W76" s="30"/>
      <c r="X76" s="73" t="s">
        <v>407</v>
      </c>
      <c r="Y76" s="29"/>
      <c r="Z76" s="29"/>
      <c r="AA76" s="29"/>
      <c r="AB76" s="29"/>
      <c r="AC76" s="29"/>
      <c r="AD76" s="30"/>
      <c r="AE76" s="39" t="s">
        <v>309</v>
      </c>
      <c r="AF76" s="30"/>
      <c r="AG76" s="39"/>
      <c r="AH76" s="29"/>
      <c r="AI76" s="30"/>
      <c r="AJ76" s="39"/>
      <c r="AK76" s="29"/>
      <c r="AL76" s="30"/>
      <c r="AM76" s="39"/>
      <c r="AN76" s="29"/>
      <c r="AO76" s="30"/>
      <c r="AP76" s="88"/>
      <c r="AQ76" s="29"/>
      <c r="AR76" s="30"/>
      <c r="AS76" s="88"/>
      <c r="AT76" s="29"/>
      <c r="AU76" s="30"/>
      <c r="AV76" s="39"/>
      <c r="AW76" s="29"/>
      <c r="AX76" s="30"/>
      <c r="AY76" s="39"/>
      <c r="AZ76" s="29"/>
      <c r="BA76" s="30"/>
      <c r="BB76" s="39"/>
      <c r="BC76" s="29"/>
      <c r="BD76" s="30"/>
      <c r="BE76" s="88"/>
      <c r="BF76" s="29"/>
      <c r="BG76" s="30"/>
      <c r="BH76" s="88"/>
      <c r="BI76" s="29"/>
      <c r="BJ76" s="30"/>
      <c r="BK76" s="74"/>
      <c r="BL76" s="29"/>
      <c r="BM76" s="29"/>
      <c r="BN76" s="29"/>
      <c r="BO76" s="29"/>
      <c r="BP76" s="29"/>
      <c r="BQ76" s="30"/>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8"/>
      <c r="DK76" s="18"/>
      <c r="DL76" s="18"/>
      <c r="DM76" s="18"/>
      <c r="DN76" s="18"/>
      <c r="DO76" s="18"/>
      <c r="DP76" s="18"/>
      <c r="DQ76" s="18"/>
      <c r="DR76" s="18"/>
      <c r="DS76" s="18"/>
      <c r="DT76" s="18"/>
      <c r="DU76" s="18"/>
      <c r="DV76" s="18"/>
      <c r="DW76" s="18"/>
      <c r="DX76" s="18"/>
      <c r="DY76" s="18"/>
      <c r="DZ76" s="18"/>
      <c r="EA76" s="18"/>
      <c r="EB76" s="18"/>
      <c r="EC76" s="18"/>
      <c r="ED76" s="18"/>
      <c r="EE76" s="18"/>
    </row>
    <row r="77" spans="1:135" ht="70.5" customHeight="1" x14ac:dyDescent="0.2">
      <c r="A77" s="24">
        <f t="shared" ref="A77:A93" si="13">ROW()-14</f>
        <v>63</v>
      </c>
      <c r="B77" s="74"/>
      <c r="C77" s="29"/>
      <c r="D77" s="30"/>
      <c r="E77" s="89"/>
      <c r="F77" s="52"/>
      <c r="G77" s="52"/>
      <c r="H77" s="52"/>
      <c r="I77" s="90"/>
      <c r="J77" s="74"/>
      <c r="K77" s="29"/>
      <c r="L77" s="29"/>
      <c r="M77" s="29"/>
      <c r="N77" s="29"/>
      <c r="O77" s="29"/>
      <c r="P77" s="30"/>
      <c r="Q77" s="74" t="s">
        <v>408</v>
      </c>
      <c r="R77" s="29"/>
      <c r="S77" s="29"/>
      <c r="T77" s="29"/>
      <c r="U77" s="29"/>
      <c r="V77" s="29"/>
      <c r="W77" s="30"/>
      <c r="X77" s="73" t="s">
        <v>409</v>
      </c>
      <c r="Y77" s="29"/>
      <c r="Z77" s="29"/>
      <c r="AA77" s="29"/>
      <c r="AB77" s="29"/>
      <c r="AC77" s="29"/>
      <c r="AD77" s="30"/>
      <c r="AE77" s="39" t="s">
        <v>309</v>
      </c>
      <c r="AF77" s="30"/>
      <c r="AG77" s="39"/>
      <c r="AH77" s="29"/>
      <c r="AI77" s="30"/>
      <c r="AJ77" s="39"/>
      <c r="AK77" s="29"/>
      <c r="AL77" s="30"/>
      <c r="AM77" s="39"/>
      <c r="AN77" s="29"/>
      <c r="AO77" s="30"/>
      <c r="AP77" s="88"/>
      <c r="AQ77" s="29"/>
      <c r="AR77" s="30"/>
      <c r="AS77" s="88"/>
      <c r="AT77" s="29"/>
      <c r="AU77" s="30"/>
      <c r="AV77" s="39"/>
      <c r="AW77" s="29"/>
      <c r="AX77" s="30"/>
      <c r="AY77" s="39"/>
      <c r="AZ77" s="29"/>
      <c r="BA77" s="30"/>
      <c r="BB77" s="39"/>
      <c r="BC77" s="29"/>
      <c r="BD77" s="30"/>
      <c r="BE77" s="88"/>
      <c r="BF77" s="29"/>
      <c r="BG77" s="30"/>
      <c r="BH77" s="88"/>
      <c r="BI77" s="29"/>
      <c r="BJ77" s="30"/>
      <c r="BK77" s="74"/>
      <c r="BL77" s="29"/>
      <c r="BM77" s="29"/>
      <c r="BN77" s="29"/>
      <c r="BO77" s="29"/>
      <c r="BP77" s="29"/>
      <c r="BQ77" s="30"/>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c r="EA77" s="18"/>
      <c r="EB77" s="18"/>
      <c r="EC77" s="18"/>
      <c r="ED77" s="18"/>
      <c r="EE77" s="18"/>
    </row>
    <row r="78" spans="1:135" ht="66.75" customHeight="1" x14ac:dyDescent="0.2">
      <c r="A78" s="24">
        <f t="shared" si="13"/>
        <v>64</v>
      </c>
      <c r="B78" s="74"/>
      <c r="C78" s="29"/>
      <c r="D78" s="30"/>
      <c r="E78" s="89"/>
      <c r="F78" s="52"/>
      <c r="G78" s="52"/>
      <c r="H78" s="52"/>
      <c r="I78" s="90"/>
      <c r="J78" s="74"/>
      <c r="K78" s="29"/>
      <c r="L78" s="29"/>
      <c r="M78" s="29"/>
      <c r="N78" s="29"/>
      <c r="O78" s="29"/>
      <c r="P78" s="30"/>
      <c r="Q78" s="74" t="s">
        <v>426</v>
      </c>
      <c r="R78" s="29"/>
      <c r="S78" s="29"/>
      <c r="T78" s="29"/>
      <c r="U78" s="29"/>
      <c r="V78" s="29"/>
      <c r="W78" s="30"/>
      <c r="X78" s="74" t="s">
        <v>427</v>
      </c>
      <c r="Y78" s="29"/>
      <c r="Z78" s="29"/>
      <c r="AA78" s="29"/>
      <c r="AB78" s="29"/>
      <c r="AC78" s="29"/>
      <c r="AD78" s="30"/>
      <c r="AE78" s="39" t="s">
        <v>309</v>
      </c>
      <c r="AF78" s="30"/>
      <c r="AG78" s="39"/>
      <c r="AH78" s="29"/>
      <c r="AI78" s="30"/>
      <c r="AJ78" s="39"/>
      <c r="AK78" s="29"/>
      <c r="AL78" s="30"/>
      <c r="AM78" s="39"/>
      <c r="AN78" s="29"/>
      <c r="AO78" s="30"/>
      <c r="AP78" s="88"/>
      <c r="AQ78" s="29"/>
      <c r="AR78" s="30"/>
      <c r="AS78" s="88"/>
      <c r="AT78" s="29"/>
      <c r="AU78" s="30"/>
      <c r="AV78" s="39"/>
      <c r="AW78" s="29"/>
      <c r="AX78" s="30"/>
      <c r="AY78" s="39"/>
      <c r="AZ78" s="29"/>
      <c r="BA78" s="30"/>
      <c r="BB78" s="39"/>
      <c r="BC78" s="29"/>
      <c r="BD78" s="30"/>
      <c r="BE78" s="88"/>
      <c r="BF78" s="29"/>
      <c r="BG78" s="30"/>
      <c r="BH78" s="88"/>
      <c r="BI78" s="29"/>
      <c r="BJ78" s="30"/>
      <c r="BK78" s="74"/>
      <c r="BL78" s="29"/>
      <c r="BM78" s="29"/>
      <c r="BN78" s="29"/>
      <c r="BO78" s="29"/>
      <c r="BP78" s="29"/>
      <c r="BQ78" s="30"/>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8"/>
      <c r="DK78" s="18"/>
      <c r="DL78" s="18"/>
      <c r="DM78" s="18"/>
      <c r="DN78" s="18"/>
      <c r="DO78" s="18"/>
      <c r="DP78" s="18"/>
      <c r="DQ78" s="18"/>
      <c r="DR78" s="18"/>
      <c r="DS78" s="18"/>
      <c r="DT78" s="18"/>
      <c r="DU78" s="18"/>
      <c r="DV78" s="18"/>
      <c r="DW78" s="18"/>
      <c r="DX78" s="18"/>
      <c r="DY78" s="18"/>
      <c r="DZ78" s="18"/>
      <c r="EA78" s="18"/>
      <c r="EB78" s="18"/>
      <c r="EC78" s="18"/>
      <c r="ED78" s="18"/>
      <c r="EE78" s="18"/>
    </row>
    <row r="79" spans="1:135" ht="66.75" customHeight="1" x14ac:dyDescent="0.2">
      <c r="A79" s="24">
        <f t="shared" si="13"/>
        <v>65</v>
      </c>
      <c r="B79" s="74"/>
      <c r="C79" s="29"/>
      <c r="D79" s="30"/>
      <c r="E79" s="89"/>
      <c r="F79" s="52"/>
      <c r="G79" s="52"/>
      <c r="H79" s="52"/>
      <c r="I79" s="90"/>
      <c r="J79" s="74"/>
      <c r="K79" s="29"/>
      <c r="L79" s="29"/>
      <c r="M79" s="29"/>
      <c r="N79" s="29"/>
      <c r="O79" s="29"/>
      <c r="P79" s="30"/>
      <c r="Q79" s="74" t="s">
        <v>428</v>
      </c>
      <c r="R79" s="29"/>
      <c r="S79" s="29"/>
      <c r="T79" s="29"/>
      <c r="U79" s="29"/>
      <c r="V79" s="29"/>
      <c r="W79" s="30"/>
      <c r="X79" s="74" t="s">
        <v>437</v>
      </c>
      <c r="Y79" s="29"/>
      <c r="Z79" s="29"/>
      <c r="AA79" s="29"/>
      <c r="AB79" s="29"/>
      <c r="AC79" s="29"/>
      <c r="AD79" s="30"/>
      <c r="AE79" s="39" t="s">
        <v>309</v>
      </c>
      <c r="AF79" s="30"/>
      <c r="AG79" s="39"/>
      <c r="AH79" s="29"/>
      <c r="AI79" s="30"/>
      <c r="AJ79" s="39"/>
      <c r="AK79" s="29"/>
      <c r="AL79" s="30"/>
      <c r="AM79" s="39"/>
      <c r="AN79" s="29"/>
      <c r="AO79" s="30"/>
      <c r="AP79" s="88"/>
      <c r="AQ79" s="29"/>
      <c r="AR79" s="30"/>
      <c r="AS79" s="88"/>
      <c r="AT79" s="29"/>
      <c r="AU79" s="30"/>
      <c r="AV79" s="39"/>
      <c r="AW79" s="29"/>
      <c r="AX79" s="30"/>
      <c r="AY79" s="39"/>
      <c r="AZ79" s="29"/>
      <c r="BA79" s="30"/>
      <c r="BB79" s="39"/>
      <c r="BC79" s="29"/>
      <c r="BD79" s="30"/>
      <c r="BE79" s="88"/>
      <c r="BF79" s="29"/>
      <c r="BG79" s="30"/>
      <c r="BH79" s="88"/>
      <c r="BI79" s="29"/>
      <c r="BJ79" s="30"/>
      <c r="BK79" s="74"/>
      <c r="BL79" s="29"/>
      <c r="BM79" s="29"/>
      <c r="BN79" s="29"/>
      <c r="BO79" s="29"/>
      <c r="BP79" s="29"/>
      <c r="BQ79" s="30"/>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c r="EA79" s="18"/>
      <c r="EB79" s="18"/>
      <c r="EC79" s="18"/>
      <c r="ED79" s="18"/>
      <c r="EE79" s="18"/>
    </row>
    <row r="80" spans="1:135" ht="66.75" customHeight="1" x14ac:dyDescent="0.2">
      <c r="A80" s="24">
        <f t="shared" si="13"/>
        <v>66</v>
      </c>
      <c r="B80" s="74"/>
      <c r="C80" s="29"/>
      <c r="D80" s="30"/>
      <c r="E80" s="89"/>
      <c r="F80" s="52"/>
      <c r="G80" s="52"/>
      <c r="H80" s="52"/>
      <c r="I80" s="90"/>
      <c r="J80" s="74"/>
      <c r="K80" s="29"/>
      <c r="L80" s="29"/>
      <c r="M80" s="29"/>
      <c r="N80" s="29"/>
      <c r="O80" s="29"/>
      <c r="P80" s="30"/>
      <c r="Q80" s="74" t="s">
        <v>438</v>
      </c>
      <c r="R80" s="29"/>
      <c r="S80" s="29"/>
      <c r="T80" s="29"/>
      <c r="U80" s="29"/>
      <c r="V80" s="29"/>
      <c r="W80" s="30"/>
      <c r="X80" s="74" t="s">
        <v>431</v>
      </c>
      <c r="Y80" s="29"/>
      <c r="Z80" s="29"/>
      <c r="AA80" s="29"/>
      <c r="AB80" s="29"/>
      <c r="AC80" s="29"/>
      <c r="AD80" s="30"/>
      <c r="AE80" s="39" t="s">
        <v>309</v>
      </c>
      <c r="AF80" s="30"/>
      <c r="AG80" s="39"/>
      <c r="AH80" s="29"/>
      <c r="AI80" s="30"/>
      <c r="AJ80" s="39"/>
      <c r="AK80" s="29"/>
      <c r="AL80" s="30"/>
      <c r="AM80" s="39"/>
      <c r="AN80" s="29"/>
      <c r="AO80" s="30"/>
      <c r="AP80" s="88"/>
      <c r="AQ80" s="29"/>
      <c r="AR80" s="30"/>
      <c r="AS80" s="88"/>
      <c r="AT80" s="29"/>
      <c r="AU80" s="30"/>
      <c r="AV80" s="39"/>
      <c r="AW80" s="29"/>
      <c r="AX80" s="30"/>
      <c r="AY80" s="39"/>
      <c r="AZ80" s="29"/>
      <c r="BA80" s="30"/>
      <c r="BB80" s="39"/>
      <c r="BC80" s="29"/>
      <c r="BD80" s="30"/>
      <c r="BE80" s="88"/>
      <c r="BF80" s="29"/>
      <c r="BG80" s="30"/>
      <c r="BH80" s="88"/>
      <c r="BI80" s="29"/>
      <c r="BJ80" s="30"/>
      <c r="BK80" s="74"/>
      <c r="BL80" s="29"/>
      <c r="BM80" s="29"/>
      <c r="BN80" s="29"/>
      <c r="BO80" s="29"/>
      <c r="BP80" s="29"/>
      <c r="BQ80" s="30"/>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8"/>
      <c r="DG80" s="18"/>
      <c r="DH80" s="18"/>
      <c r="DI80" s="18"/>
      <c r="DJ80" s="18"/>
      <c r="DK80" s="18"/>
      <c r="DL80" s="18"/>
      <c r="DM80" s="18"/>
      <c r="DN80" s="18"/>
      <c r="DO80" s="18"/>
      <c r="DP80" s="18"/>
      <c r="DQ80" s="18"/>
      <c r="DR80" s="18"/>
      <c r="DS80" s="18"/>
      <c r="DT80" s="18"/>
      <c r="DU80" s="18"/>
      <c r="DV80" s="18"/>
      <c r="DW80" s="18"/>
      <c r="DX80" s="18"/>
      <c r="DY80" s="18"/>
      <c r="DZ80" s="18"/>
      <c r="EA80" s="18"/>
      <c r="EB80" s="18"/>
      <c r="EC80" s="18"/>
      <c r="ED80" s="18"/>
      <c r="EE80" s="18"/>
    </row>
    <row r="81" spans="1:135" ht="66.75" customHeight="1" x14ac:dyDescent="0.2">
      <c r="A81" s="24">
        <f t="shared" si="13"/>
        <v>67</v>
      </c>
      <c r="B81" s="74"/>
      <c r="C81" s="29"/>
      <c r="D81" s="30"/>
      <c r="E81" s="89"/>
      <c r="F81" s="52"/>
      <c r="G81" s="52"/>
      <c r="H81" s="52"/>
      <c r="I81" s="90"/>
      <c r="J81" s="74"/>
      <c r="K81" s="29"/>
      <c r="L81" s="29"/>
      <c r="M81" s="29"/>
      <c r="N81" s="29"/>
      <c r="O81" s="29"/>
      <c r="P81" s="30"/>
      <c r="Q81" s="74" t="s">
        <v>432</v>
      </c>
      <c r="R81" s="29"/>
      <c r="S81" s="29"/>
      <c r="T81" s="29"/>
      <c r="U81" s="29"/>
      <c r="V81" s="29"/>
      <c r="W81" s="30"/>
      <c r="X81" s="74" t="s">
        <v>439</v>
      </c>
      <c r="Y81" s="29"/>
      <c r="Z81" s="29"/>
      <c r="AA81" s="29"/>
      <c r="AB81" s="29"/>
      <c r="AC81" s="29"/>
      <c r="AD81" s="30"/>
      <c r="AE81" s="39" t="s">
        <v>309</v>
      </c>
      <c r="AF81" s="30"/>
      <c r="AG81" s="39"/>
      <c r="AH81" s="29"/>
      <c r="AI81" s="30"/>
      <c r="AJ81" s="39"/>
      <c r="AK81" s="29"/>
      <c r="AL81" s="30"/>
      <c r="AM81" s="39"/>
      <c r="AN81" s="29"/>
      <c r="AO81" s="30"/>
      <c r="AP81" s="88"/>
      <c r="AQ81" s="29"/>
      <c r="AR81" s="30"/>
      <c r="AS81" s="88"/>
      <c r="AT81" s="29"/>
      <c r="AU81" s="30"/>
      <c r="AV81" s="39"/>
      <c r="AW81" s="29"/>
      <c r="AX81" s="30"/>
      <c r="AY81" s="39"/>
      <c r="AZ81" s="29"/>
      <c r="BA81" s="30"/>
      <c r="BB81" s="39"/>
      <c r="BC81" s="29"/>
      <c r="BD81" s="30"/>
      <c r="BE81" s="88"/>
      <c r="BF81" s="29"/>
      <c r="BG81" s="30"/>
      <c r="BH81" s="88"/>
      <c r="BI81" s="29"/>
      <c r="BJ81" s="30"/>
      <c r="BK81" s="74"/>
      <c r="BL81" s="29"/>
      <c r="BM81" s="29"/>
      <c r="BN81" s="29"/>
      <c r="BO81" s="29"/>
      <c r="BP81" s="29"/>
      <c r="BQ81" s="30"/>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row>
    <row r="82" spans="1:135" ht="66.75" customHeight="1" x14ac:dyDescent="0.2">
      <c r="A82" s="24">
        <f t="shared" si="13"/>
        <v>68</v>
      </c>
      <c r="B82" s="74"/>
      <c r="C82" s="29"/>
      <c r="D82" s="30"/>
      <c r="E82" s="47"/>
      <c r="F82" s="48"/>
      <c r="G82" s="48"/>
      <c r="H82" s="48"/>
      <c r="I82" s="49"/>
      <c r="J82" s="74"/>
      <c r="K82" s="29"/>
      <c r="L82" s="29"/>
      <c r="M82" s="29"/>
      <c r="N82" s="29"/>
      <c r="O82" s="29"/>
      <c r="P82" s="30"/>
      <c r="Q82" s="73" t="s">
        <v>440</v>
      </c>
      <c r="R82" s="29"/>
      <c r="S82" s="29"/>
      <c r="T82" s="29"/>
      <c r="U82" s="29"/>
      <c r="V82" s="29"/>
      <c r="W82" s="30"/>
      <c r="X82" s="73" t="s">
        <v>441</v>
      </c>
      <c r="Y82" s="29"/>
      <c r="Z82" s="29"/>
      <c r="AA82" s="29"/>
      <c r="AB82" s="29"/>
      <c r="AC82" s="29"/>
      <c r="AD82" s="30"/>
      <c r="AE82" s="39" t="s">
        <v>309</v>
      </c>
      <c r="AF82" s="30"/>
      <c r="AG82" s="39"/>
      <c r="AH82" s="29"/>
      <c r="AI82" s="30"/>
      <c r="AJ82" s="39"/>
      <c r="AK82" s="29"/>
      <c r="AL82" s="30"/>
      <c r="AM82" s="39"/>
      <c r="AN82" s="29"/>
      <c r="AO82" s="30"/>
      <c r="AP82" s="88"/>
      <c r="AQ82" s="29"/>
      <c r="AR82" s="30"/>
      <c r="AS82" s="88"/>
      <c r="AT82" s="29"/>
      <c r="AU82" s="30"/>
      <c r="AV82" s="39"/>
      <c r="AW82" s="29"/>
      <c r="AX82" s="30"/>
      <c r="AY82" s="39"/>
      <c r="AZ82" s="29"/>
      <c r="BA82" s="30"/>
      <c r="BB82" s="39"/>
      <c r="BC82" s="29"/>
      <c r="BD82" s="30"/>
      <c r="BE82" s="88"/>
      <c r="BF82" s="29"/>
      <c r="BG82" s="30"/>
      <c r="BH82" s="88"/>
      <c r="BI82" s="29"/>
      <c r="BJ82" s="30"/>
      <c r="BK82" s="74"/>
      <c r="BL82" s="29"/>
      <c r="BM82" s="29"/>
      <c r="BN82" s="29"/>
      <c r="BO82" s="29"/>
      <c r="BP82" s="29"/>
      <c r="BQ82" s="30"/>
      <c r="BR82" s="18"/>
      <c r="BS82" s="18"/>
      <c r="BT82" s="18"/>
      <c r="BU82" s="18"/>
      <c r="BV82" s="18"/>
      <c r="BW82" s="18"/>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8"/>
      <c r="DG82" s="18"/>
      <c r="DH82" s="18"/>
      <c r="DI82" s="18"/>
      <c r="DJ82" s="18"/>
      <c r="DK82" s="18"/>
      <c r="DL82" s="18"/>
      <c r="DM82" s="18"/>
      <c r="DN82" s="18"/>
      <c r="DO82" s="18"/>
      <c r="DP82" s="18"/>
      <c r="DQ82" s="18"/>
      <c r="DR82" s="18"/>
      <c r="DS82" s="18"/>
      <c r="DT82" s="18"/>
      <c r="DU82" s="18"/>
      <c r="DV82" s="18"/>
      <c r="DW82" s="18"/>
      <c r="DX82" s="18"/>
      <c r="DY82" s="18"/>
      <c r="DZ82" s="18"/>
      <c r="EA82" s="18"/>
      <c r="EB82" s="18"/>
      <c r="EC82" s="18"/>
      <c r="ED82" s="18"/>
      <c r="EE82" s="18"/>
    </row>
    <row r="83" spans="1:135" ht="60.75" customHeight="1" x14ac:dyDescent="0.2">
      <c r="A83" s="24">
        <f t="shared" si="13"/>
        <v>69</v>
      </c>
      <c r="B83" s="74"/>
      <c r="C83" s="29"/>
      <c r="D83" s="30"/>
      <c r="E83" s="87" t="s">
        <v>442</v>
      </c>
      <c r="F83" s="45"/>
      <c r="G83" s="45"/>
      <c r="H83" s="45"/>
      <c r="I83" s="46"/>
      <c r="J83" s="74"/>
      <c r="K83" s="29"/>
      <c r="L83" s="29"/>
      <c r="M83" s="29"/>
      <c r="N83" s="29"/>
      <c r="O83" s="29"/>
      <c r="P83" s="30"/>
      <c r="Q83" s="73" t="s">
        <v>443</v>
      </c>
      <c r="R83" s="29"/>
      <c r="S83" s="29"/>
      <c r="T83" s="29"/>
      <c r="U83" s="29"/>
      <c r="V83" s="29"/>
      <c r="W83" s="30"/>
      <c r="X83" s="73" t="s">
        <v>444</v>
      </c>
      <c r="Y83" s="29"/>
      <c r="Z83" s="29"/>
      <c r="AA83" s="29"/>
      <c r="AB83" s="29"/>
      <c r="AC83" s="29"/>
      <c r="AD83" s="30"/>
      <c r="AE83" s="39" t="s">
        <v>309</v>
      </c>
      <c r="AF83" s="30"/>
      <c r="AG83" s="39"/>
      <c r="AH83" s="29"/>
      <c r="AI83" s="30"/>
      <c r="AJ83" s="39"/>
      <c r="AK83" s="29"/>
      <c r="AL83" s="30"/>
      <c r="AM83" s="39"/>
      <c r="AN83" s="29"/>
      <c r="AO83" s="30"/>
      <c r="AP83" s="88"/>
      <c r="AQ83" s="29"/>
      <c r="AR83" s="30"/>
      <c r="AS83" s="88"/>
      <c r="AT83" s="29"/>
      <c r="AU83" s="30"/>
      <c r="AV83" s="39"/>
      <c r="AW83" s="29"/>
      <c r="AX83" s="30"/>
      <c r="AY83" s="39"/>
      <c r="AZ83" s="29"/>
      <c r="BA83" s="30"/>
      <c r="BB83" s="39"/>
      <c r="BC83" s="29"/>
      <c r="BD83" s="30"/>
      <c r="BE83" s="88"/>
      <c r="BF83" s="29"/>
      <c r="BG83" s="30"/>
      <c r="BH83" s="88"/>
      <c r="BI83" s="29"/>
      <c r="BJ83" s="30"/>
      <c r="BK83" s="74"/>
      <c r="BL83" s="29"/>
      <c r="BM83" s="29"/>
      <c r="BN83" s="29"/>
      <c r="BO83" s="29"/>
      <c r="BP83" s="29"/>
      <c r="BQ83" s="30"/>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c r="EA83" s="18"/>
      <c r="EB83" s="18"/>
      <c r="EC83" s="18"/>
      <c r="ED83" s="18"/>
      <c r="EE83" s="18"/>
    </row>
    <row r="84" spans="1:135" ht="62.25" customHeight="1" x14ac:dyDescent="0.2">
      <c r="A84" s="24">
        <f t="shared" si="13"/>
        <v>70</v>
      </c>
      <c r="B84" s="74"/>
      <c r="C84" s="29"/>
      <c r="D84" s="30"/>
      <c r="E84" s="89"/>
      <c r="F84" s="52"/>
      <c r="G84" s="52"/>
      <c r="H84" s="52"/>
      <c r="I84" s="90"/>
      <c r="J84" s="74"/>
      <c r="K84" s="29"/>
      <c r="L84" s="29"/>
      <c r="M84" s="29"/>
      <c r="N84" s="29"/>
      <c r="O84" s="29"/>
      <c r="P84" s="30"/>
      <c r="Q84" s="74" t="s">
        <v>445</v>
      </c>
      <c r="R84" s="29"/>
      <c r="S84" s="29"/>
      <c r="T84" s="29"/>
      <c r="U84" s="29"/>
      <c r="V84" s="29"/>
      <c r="W84" s="30"/>
      <c r="X84" s="73" t="s">
        <v>446</v>
      </c>
      <c r="Y84" s="29"/>
      <c r="Z84" s="29"/>
      <c r="AA84" s="29"/>
      <c r="AB84" s="29"/>
      <c r="AC84" s="29"/>
      <c r="AD84" s="30"/>
      <c r="AE84" s="39" t="s">
        <v>309</v>
      </c>
      <c r="AF84" s="30"/>
      <c r="AG84" s="39"/>
      <c r="AH84" s="29"/>
      <c r="AI84" s="30"/>
      <c r="AJ84" s="39"/>
      <c r="AK84" s="29"/>
      <c r="AL84" s="30"/>
      <c r="AM84" s="39"/>
      <c r="AN84" s="29"/>
      <c r="AO84" s="30"/>
      <c r="AP84" s="88"/>
      <c r="AQ84" s="29"/>
      <c r="AR84" s="30"/>
      <c r="AS84" s="88"/>
      <c r="AT84" s="29"/>
      <c r="AU84" s="30"/>
      <c r="AV84" s="39"/>
      <c r="AW84" s="29"/>
      <c r="AX84" s="30"/>
      <c r="AY84" s="39"/>
      <c r="AZ84" s="29"/>
      <c r="BA84" s="30"/>
      <c r="BB84" s="39"/>
      <c r="BC84" s="29"/>
      <c r="BD84" s="30"/>
      <c r="BE84" s="88"/>
      <c r="BF84" s="29"/>
      <c r="BG84" s="30"/>
      <c r="BH84" s="88"/>
      <c r="BI84" s="29"/>
      <c r="BJ84" s="30"/>
      <c r="BK84" s="74"/>
      <c r="BL84" s="29"/>
      <c r="BM84" s="29"/>
      <c r="BN84" s="29"/>
      <c r="BO84" s="29"/>
      <c r="BP84" s="29"/>
      <c r="BQ84" s="30"/>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8"/>
      <c r="DG84" s="18"/>
      <c r="DH84" s="18"/>
      <c r="DI84" s="18"/>
      <c r="DJ84" s="18"/>
      <c r="DK84" s="18"/>
      <c r="DL84" s="18"/>
      <c r="DM84" s="18"/>
      <c r="DN84" s="18"/>
      <c r="DO84" s="18"/>
      <c r="DP84" s="18"/>
      <c r="DQ84" s="18"/>
      <c r="DR84" s="18"/>
      <c r="DS84" s="18"/>
      <c r="DT84" s="18"/>
      <c r="DU84" s="18"/>
      <c r="DV84" s="18"/>
      <c r="DW84" s="18"/>
      <c r="DX84" s="18"/>
      <c r="DY84" s="18"/>
      <c r="DZ84" s="18"/>
      <c r="EA84" s="18"/>
      <c r="EB84" s="18"/>
      <c r="EC84" s="18"/>
      <c r="ED84" s="18"/>
      <c r="EE84" s="18"/>
    </row>
    <row r="85" spans="1:135" ht="70.5" customHeight="1" x14ac:dyDescent="0.2">
      <c r="A85" s="24">
        <f t="shared" si="13"/>
        <v>71</v>
      </c>
      <c r="B85" s="74"/>
      <c r="C85" s="29"/>
      <c r="D85" s="30"/>
      <c r="E85" s="89"/>
      <c r="F85" s="52"/>
      <c r="G85" s="52"/>
      <c r="H85" s="52"/>
      <c r="I85" s="90"/>
      <c r="J85" s="74"/>
      <c r="K85" s="29"/>
      <c r="L85" s="29"/>
      <c r="M85" s="29"/>
      <c r="N85" s="29"/>
      <c r="O85" s="29"/>
      <c r="P85" s="30"/>
      <c r="Q85" s="74" t="s">
        <v>447</v>
      </c>
      <c r="R85" s="29"/>
      <c r="S85" s="29"/>
      <c r="T85" s="29"/>
      <c r="U85" s="29"/>
      <c r="V85" s="29"/>
      <c r="W85" s="30"/>
      <c r="X85" s="74" t="s">
        <v>448</v>
      </c>
      <c r="Y85" s="29"/>
      <c r="Z85" s="29"/>
      <c r="AA85" s="29"/>
      <c r="AB85" s="29"/>
      <c r="AC85" s="29"/>
      <c r="AD85" s="30"/>
      <c r="AE85" s="39" t="s">
        <v>309</v>
      </c>
      <c r="AF85" s="30"/>
      <c r="AG85" s="39"/>
      <c r="AH85" s="29"/>
      <c r="AI85" s="30"/>
      <c r="AJ85" s="39"/>
      <c r="AK85" s="29"/>
      <c r="AL85" s="30"/>
      <c r="AM85" s="39"/>
      <c r="AN85" s="29"/>
      <c r="AO85" s="30"/>
      <c r="AP85" s="88"/>
      <c r="AQ85" s="29"/>
      <c r="AR85" s="30"/>
      <c r="AS85" s="88"/>
      <c r="AT85" s="29"/>
      <c r="AU85" s="30"/>
      <c r="AV85" s="39"/>
      <c r="AW85" s="29"/>
      <c r="AX85" s="30"/>
      <c r="AY85" s="39"/>
      <c r="AZ85" s="29"/>
      <c r="BA85" s="30"/>
      <c r="BB85" s="39"/>
      <c r="BC85" s="29"/>
      <c r="BD85" s="30"/>
      <c r="BE85" s="88"/>
      <c r="BF85" s="29"/>
      <c r="BG85" s="30"/>
      <c r="BH85" s="88"/>
      <c r="BI85" s="29"/>
      <c r="BJ85" s="30"/>
      <c r="BK85" s="74"/>
      <c r="BL85" s="29"/>
      <c r="BM85" s="29"/>
      <c r="BN85" s="29"/>
      <c r="BO85" s="29"/>
      <c r="BP85" s="29"/>
      <c r="BQ85" s="30"/>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8"/>
      <c r="DE85" s="18"/>
      <c r="DF85" s="18"/>
      <c r="DG85" s="18"/>
      <c r="DH85" s="18"/>
      <c r="DI85" s="18"/>
      <c r="DJ85" s="18"/>
      <c r="DK85" s="18"/>
      <c r="DL85" s="18"/>
      <c r="DM85" s="18"/>
      <c r="DN85" s="18"/>
      <c r="DO85" s="18"/>
      <c r="DP85" s="18"/>
      <c r="DQ85" s="18"/>
      <c r="DR85" s="18"/>
      <c r="DS85" s="18"/>
      <c r="DT85" s="18"/>
      <c r="DU85" s="18"/>
      <c r="DV85" s="18"/>
      <c r="DW85" s="18"/>
      <c r="DX85" s="18"/>
      <c r="DY85" s="18"/>
      <c r="DZ85" s="18"/>
      <c r="EA85" s="18"/>
      <c r="EB85" s="18"/>
      <c r="EC85" s="18"/>
      <c r="ED85" s="18"/>
      <c r="EE85" s="18"/>
    </row>
    <row r="86" spans="1:135" ht="66.75" customHeight="1" x14ac:dyDescent="0.2">
      <c r="A86" s="24">
        <f t="shared" si="13"/>
        <v>72</v>
      </c>
      <c r="B86" s="74"/>
      <c r="C86" s="29"/>
      <c r="D86" s="30"/>
      <c r="E86" s="89"/>
      <c r="F86" s="52"/>
      <c r="G86" s="52"/>
      <c r="H86" s="52"/>
      <c r="I86" s="90"/>
      <c r="J86" s="74"/>
      <c r="K86" s="29"/>
      <c r="L86" s="29"/>
      <c r="M86" s="29"/>
      <c r="N86" s="29"/>
      <c r="O86" s="29"/>
      <c r="P86" s="30"/>
      <c r="Q86" s="74" t="s">
        <v>449</v>
      </c>
      <c r="R86" s="29"/>
      <c r="S86" s="29"/>
      <c r="T86" s="29"/>
      <c r="U86" s="29"/>
      <c r="V86" s="29"/>
      <c r="W86" s="30"/>
      <c r="X86" s="74" t="s">
        <v>450</v>
      </c>
      <c r="Y86" s="29"/>
      <c r="Z86" s="29"/>
      <c r="AA86" s="29"/>
      <c r="AB86" s="29"/>
      <c r="AC86" s="29"/>
      <c r="AD86" s="30"/>
      <c r="AE86" s="39" t="s">
        <v>309</v>
      </c>
      <c r="AF86" s="30"/>
      <c r="AG86" s="39"/>
      <c r="AH86" s="29"/>
      <c r="AI86" s="30"/>
      <c r="AJ86" s="39"/>
      <c r="AK86" s="29"/>
      <c r="AL86" s="30"/>
      <c r="AM86" s="39"/>
      <c r="AN86" s="29"/>
      <c r="AO86" s="30"/>
      <c r="AP86" s="88"/>
      <c r="AQ86" s="29"/>
      <c r="AR86" s="30"/>
      <c r="AS86" s="88"/>
      <c r="AT86" s="29"/>
      <c r="AU86" s="30"/>
      <c r="AV86" s="39"/>
      <c r="AW86" s="29"/>
      <c r="AX86" s="30"/>
      <c r="AY86" s="39"/>
      <c r="AZ86" s="29"/>
      <c r="BA86" s="30"/>
      <c r="BB86" s="39"/>
      <c r="BC86" s="29"/>
      <c r="BD86" s="30"/>
      <c r="BE86" s="88"/>
      <c r="BF86" s="29"/>
      <c r="BG86" s="30"/>
      <c r="BH86" s="88"/>
      <c r="BI86" s="29"/>
      <c r="BJ86" s="30"/>
      <c r="BK86" s="74"/>
      <c r="BL86" s="29"/>
      <c r="BM86" s="29"/>
      <c r="BN86" s="29"/>
      <c r="BO86" s="29"/>
      <c r="BP86" s="29"/>
      <c r="BQ86" s="30"/>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8"/>
      <c r="DG86" s="18"/>
      <c r="DH86" s="18"/>
      <c r="DI86" s="18"/>
      <c r="DJ86" s="18"/>
      <c r="DK86" s="18"/>
      <c r="DL86" s="18"/>
      <c r="DM86" s="18"/>
      <c r="DN86" s="18"/>
      <c r="DO86" s="18"/>
      <c r="DP86" s="18"/>
      <c r="DQ86" s="18"/>
      <c r="DR86" s="18"/>
      <c r="DS86" s="18"/>
      <c r="DT86" s="18"/>
      <c r="DU86" s="18"/>
      <c r="DV86" s="18"/>
      <c r="DW86" s="18"/>
      <c r="DX86" s="18"/>
      <c r="DY86" s="18"/>
      <c r="DZ86" s="18"/>
      <c r="EA86" s="18"/>
      <c r="EB86" s="18"/>
      <c r="EC86" s="18"/>
      <c r="ED86" s="18"/>
      <c r="EE86" s="18"/>
    </row>
    <row r="87" spans="1:135" ht="66.75" customHeight="1" x14ac:dyDescent="0.2">
      <c r="A87" s="24">
        <f t="shared" si="13"/>
        <v>73</v>
      </c>
      <c r="B87" s="74"/>
      <c r="C87" s="29"/>
      <c r="D87" s="30"/>
      <c r="E87" s="47"/>
      <c r="F87" s="48"/>
      <c r="G87" s="48"/>
      <c r="H87" s="48"/>
      <c r="I87" s="49"/>
      <c r="J87" s="74"/>
      <c r="K87" s="29"/>
      <c r="L87" s="29"/>
      <c r="M87" s="29"/>
      <c r="N87" s="29"/>
      <c r="O87" s="29"/>
      <c r="P87" s="30"/>
      <c r="Q87" s="74" t="s">
        <v>451</v>
      </c>
      <c r="R87" s="29"/>
      <c r="S87" s="29"/>
      <c r="T87" s="29"/>
      <c r="U87" s="29"/>
      <c r="V87" s="29"/>
      <c r="W87" s="30"/>
      <c r="X87" s="74" t="s">
        <v>452</v>
      </c>
      <c r="Y87" s="29"/>
      <c r="Z87" s="29"/>
      <c r="AA87" s="29"/>
      <c r="AB87" s="29"/>
      <c r="AC87" s="29"/>
      <c r="AD87" s="30"/>
      <c r="AE87" s="39" t="s">
        <v>309</v>
      </c>
      <c r="AF87" s="30"/>
      <c r="AG87" s="39"/>
      <c r="AH87" s="29"/>
      <c r="AI87" s="30"/>
      <c r="AJ87" s="39"/>
      <c r="AK87" s="29"/>
      <c r="AL87" s="30"/>
      <c r="AM87" s="39"/>
      <c r="AN87" s="29"/>
      <c r="AO87" s="30"/>
      <c r="AP87" s="88"/>
      <c r="AQ87" s="29"/>
      <c r="AR87" s="30"/>
      <c r="AS87" s="88"/>
      <c r="AT87" s="29"/>
      <c r="AU87" s="30"/>
      <c r="AV87" s="39"/>
      <c r="AW87" s="29"/>
      <c r="AX87" s="30"/>
      <c r="AY87" s="39"/>
      <c r="AZ87" s="29"/>
      <c r="BA87" s="30"/>
      <c r="BB87" s="39"/>
      <c r="BC87" s="29"/>
      <c r="BD87" s="30"/>
      <c r="BE87" s="88"/>
      <c r="BF87" s="29"/>
      <c r="BG87" s="30"/>
      <c r="BH87" s="88"/>
      <c r="BI87" s="29"/>
      <c r="BJ87" s="30"/>
      <c r="BK87" s="74"/>
      <c r="BL87" s="29"/>
      <c r="BM87" s="29"/>
      <c r="BN87" s="29"/>
      <c r="BO87" s="29"/>
      <c r="BP87" s="29"/>
      <c r="BQ87" s="30"/>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c r="CY87" s="18"/>
      <c r="CZ87" s="18"/>
      <c r="DA87" s="18"/>
      <c r="DB87" s="18"/>
      <c r="DC87" s="18"/>
      <c r="DD87" s="18"/>
      <c r="DE87" s="18"/>
      <c r="DF87" s="18"/>
      <c r="DG87" s="18"/>
      <c r="DH87" s="18"/>
      <c r="DI87" s="18"/>
      <c r="DJ87" s="18"/>
      <c r="DK87" s="18"/>
      <c r="DL87" s="18"/>
      <c r="DM87" s="18"/>
      <c r="DN87" s="18"/>
      <c r="DO87" s="18"/>
      <c r="DP87" s="18"/>
      <c r="DQ87" s="18"/>
      <c r="DR87" s="18"/>
      <c r="DS87" s="18"/>
      <c r="DT87" s="18"/>
      <c r="DU87" s="18"/>
      <c r="DV87" s="18"/>
      <c r="DW87" s="18"/>
      <c r="DX87" s="18"/>
      <c r="DY87" s="18"/>
      <c r="DZ87" s="18"/>
      <c r="EA87" s="18"/>
      <c r="EB87" s="18"/>
      <c r="EC87" s="18"/>
      <c r="ED87" s="18"/>
      <c r="EE87" s="18"/>
    </row>
    <row r="88" spans="1:135" ht="60.75" customHeight="1" x14ac:dyDescent="0.2">
      <c r="A88" s="24">
        <f t="shared" si="13"/>
        <v>74</v>
      </c>
      <c r="B88" s="74"/>
      <c r="C88" s="29"/>
      <c r="D88" s="30"/>
      <c r="E88" s="87" t="s">
        <v>453</v>
      </c>
      <c r="F88" s="45"/>
      <c r="G88" s="45"/>
      <c r="H88" s="45"/>
      <c r="I88" s="46"/>
      <c r="J88" s="74"/>
      <c r="K88" s="29"/>
      <c r="L88" s="29"/>
      <c r="M88" s="29"/>
      <c r="N88" s="29"/>
      <c r="O88" s="29"/>
      <c r="P88" s="30"/>
      <c r="Q88" s="73" t="s">
        <v>443</v>
      </c>
      <c r="R88" s="29"/>
      <c r="S88" s="29"/>
      <c r="T88" s="29"/>
      <c r="U88" s="29"/>
      <c r="V88" s="29"/>
      <c r="W88" s="30"/>
      <c r="X88" s="73" t="s">
        <v>444</v>
      </c>
      <c r="Y88" s="29"/>
      <c r="Z88" s="29"/>
      <c r="AA88" s="29"/>
      <c r="AB88" s="29"/>
      <c r="AC88" s="29"/>
      <c r="AD88" s="30"/>
      <c r="AE88" s="39" t="s">
        <v>309</v>
      </c>
      <c r="AF88" s="30"/>
      <c r="AG88" s="39"/>
      <c r="AH88" s="29"/>
      <c r="AI88" s="30"/>
      <c r="AJ88" s="39"/>
      <c r="AK88" s="29"/>
      <c r="AL88" s="30"/>
      <c r="AM88" s="39"/>
      <c r="AN88" s="29"/>
      <c r="AO88" s="30"/>
      <c r="AP88" s="88"/>
      <c r="AQ88" s="29"/>
      <c r="AR88" s="30"/>
      <c r="AS88" s="88"/>
      <c r="AT88" s="29"/>
      <c r="AU88" s="30"/>
      <c r="AV88" s="39"/>
      <c r="AW88" s="29"/>
      <c r="AX88" s="30"/>
      <c r="AY88" s="39"/>
      <c r="AZ88" s="29"/>
      <c r="BA88" s="30"/>
      <c r="BB88" s="39"/>
      <c r="BC88" s="29"/>
      <c r="BD88" s="30"/>
      <c r="BE88" s="88"/>
      <c r="BF88" s="29"/>
      <c r="BG88" s="30"/>
      <c r="BH88" s="88"/>
      <c r="BI88" s="29"/>
      <c r="BJ88" s="30"/>
      <c r="BK88" s="74"/>
      <c r="BL88" s="29"/>
      <c r="BM88" s="29"/>
      <c r="BN88" s="29"/>
      <c r="BO88" s="29"/>
      <c r="BP88" s="29"/>
      <c r="BQ88" s="30"/>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8"/>
      <c r="DG88" s="18"/>
      <c r="DH88" s="18"/>
      <c r="DI88" s="18"/>
      <c r="DJ88" s="18"/>
      <c r="DK88" s="18"/>
      <c r="DL88" s="18"/>
      <c r="DM88" s="18"/>
      <c r="DN88" s="18"/>
      <c r="DO88" s="18"/>
      <c r="DP88" s="18"/>
      <c r="DQ88" s="18"/>
      <c r="DR88" s="18"/>
      <c r="DS88" s="18"/>
      <c r="DT88" s="18"/>
      <c r="DU88" s="18"/>
      <c r="DV88" s="18"/>
      <c r="DW88" s="18"/>
      <c r="DX88" s="18"/>
      <c r="DY88" s="18"/>
      <c r="DZ88" s="18"/>
      <c r="EA88" s="18"/>
      <c r="EB88" s="18"/>
      <c r="EC88" s="18"/>
      <c r="ED88" s="18"/>
      <c r="EE88" s="18"/>
    </row>
    <row r="89" spans="1:135" ht="62.25" customHeight="1" x14ac:dyDescent="0.2">
      <c r="A89" s="24">
        <f t="shared" si="13"/>
        <v>75</v>
      </c>
      <c r="B89" s="74"/>
      <c r="C89" s="29"/>
      <c r="D89" s="30"/>
      <c r="E89" s="89"/>
      <c r="F89" s="52"/>
      <c r="G89" s="52"/>
      <c r="H89" s="52"/>
      <c r="I89" s="90"/>
      <c r="J89" s="74"/>
      <c r="K89" s="29"/>
      <c r="L89" s="29"/>
      <c r="M89" s="29"/>
      <c r="N89" s="29"/>
      <c r="O89" s="29"/>
      <c r="P89" s="30"/>
      <c r="Q89" s="74" t="s">
        <v>454</v>
      </c>
      <c r="R89" s="29"/>
      <c r="S89" s="29"/>
      <c r="T89" s="29"/>
      <c r="U89" s="29"/>
      <c r="V89" s="29"/>
      <c r="W89" s="30"/>
      <c r="X89" s="73" t="s">
        <v>455</v>
      </c>
      <c r="Y89" s="29"/>
      <c r="Z89" s="29"/>
      <c r="AA89" s="29"/>
      <c r="AB89" s="29"/>
      <c r="AC89" s="29"/>
      <c r="AD89" s="30"/>
      <c r="AE89" s="39" t="s">
        <v>309</v>
      </c>
      <c r="AF89" s="30"/>
      <c r="AG89" s="39"/>
      <c r="AH89" s="29"/>
      <c r="AI89" s="30"/>
      <c r="AJ89" s="39"/>
      <c r="AK89" s="29"/>
      <c r="AL89" s="30"/>
      <c r="AM89" s="39"/>
      <c r="AN89" s="29"/>
      <c r="AO89" s="30"/>
      <c r="AP89" s="88"/>
      <c r="AQ89" s="29"/>
      <c r="AR89" s="30"/>
      <c r="AS89" s="88"/>
      <c r="AT89" s="29"/>
      <c r="AU89" s="30"/>
      <c r="AV89" s="39"/>
      <c r="AW89" s="29"/>
      <c r="AX89" s="30"/>
      <c r="AY89" s="39"/>
      <c r="AZ89" s="29"/>
      <c r="BA89" s="30"/>
      <c r="BB89" s="39"/>
      <c r="BC89" s="29"/>
      <c r="BD89" s="30"/>
      <c r="BE89" s="88"/>
      <c r="BF89" s="29"/>
      <c r="BG89" s="30"/>
      <c r="BH89" s="88"/>
      <c r="BI89" s="29"/>
      <c r="BJ89" s="30"/>
      <c r="BK89" s="74"/>
      <c r="BL89" s="29"/>
      <c r="BM89" s="29"/>
      <c r="BN89" s="29"/>
      <c r="BO89" s="29"/>
      <c r="BP89" s="29"/>
      <c r="BQ89" s="30"/>
      <c r="BR89" s="18"/>
      <c r="BS89" s="18"/>
      <c r="BT89" s="18"/>
      <c r="BU89" s="18"/>
      <c r="BV89" s="18"/>
      <c r="BW89" s="18"/>
      <c r="BX89" s="18"/>
      <c r="BY89" s="18"/>
      <c r="BZ89" s="18"/>
      <c r="CA89" s="18"/>
      <c r="CB89" s="18"/>
      <c r="CC89" s="18"/>
      <c r="CD89" s="18"/>
      <c r="CE89" s="18"/>
      <c r="CF89" s="18"/>
      <c r="CG89" s="18"/>
      <c r="CH89" s="18"/>
      <c r="CI89" s="18"/>
      <c r="CJ89" s="18"/>
      <c r="CK89" s="18"/>
      <c r="CL89" s="18"/>
      <c r="CM89" s="18"/>
      <c r="CN89" s="18"/>
      <c r="CO89" s="18"/>
      <c r="CP89" s="18"/>
      <c r="CQ89" s="18"/>
      <c r="CR89" s="18"/>
      <c r="CS89" s="18"/>
      <c r="CT89" s="18"/>
      <c r="CU89" s="18"/>
      <c r="CV89" s="18"/>
      <c r="CW89" s="18"/>
      <c r="CX89" s="18"/>
      <c r="CY89" s="18"/>
      <c r="CZ89" s="18"/>
      <c r="DA89" s="18"/>
      <c r="DB89" s="18"/>
      <c r="DC89" s="18"/>
      <c r="DD89" s="18"/>
      <c r="DE89" s="18"/>
      <c r="DF89" s="18"/>
      <c r="DG89" s="18"/>
      <c r="DH89" s="18"/>
      <c r="DI89" s="18"/>
      <c r="DJ89" s="18"/>
      <c r="DK89" s="18"/>
      <c r="DL89" s="18"/>
      <c r="DM89" s="18"/>
      <c r="DN89" s="18"/>
      <c r="DO89" s="18"/>
      <c r="DP89" s="18"/>
      <c r="DQ89" s="18"/>
      <c r="DR89" s="18"/>
      <c r="DS89" s="18"/>
      <c r="DT89" s="18"/>
      <c r="DU89" s="18"/>
      <c r="DV89" s="18"/>
      <c r="DW89" s="18"/>
      <c r="DX89" s="18"/>
      <c r="DY89" s="18"/>
      <c r="DZ89" s="18"/>
      <c r="EA89" s="18"/>
      <c r="EB89" s="18"/>
      <c r="EC89" s="18"/>
      <c r="ED89" s="18"/>
      <c r="EE89" s="18"/>
    </row>
    <row r="90" spans="1:135" ht="70.5" customHeight="1" x14ac:dyDescent="0.2">
      <c r="A90" s="24">
        <f t="shared" si="13"/>
        <v>76</v>
      </c>
      <c r="B90" s="74"/>
      <c r="C90" s="29"/>
      <c r="D90" s="30"/>
      <c r="E90" s="89"/>
      <c r="F90" s="52"/>
      <c r="G90" s="52"/>
      <c r="H90" s="52"/>
      <c r="I90" s="90"/>
      <c r="J90" s="74" t="s">
        <v>456</v>
      </c>
      <c r="K90" s="29"/>
      <c r="L90" s="29"/>
      <c r="M90" s="29"/>
      <c r="N90" s="29"/>
      <c r="O90" s="29"/>
      <c r="P90" s="30"/>
      <c r="Q90" s="74" t="s">
        <v>457</v>
      </c>
      <c r="R90" s="29"/>
      <c r="S90" s="29"/>
      <c r="T90" s="29"/>
      <c r="U90" s="29"/>
      <c r="V90" s="29"/>
      <c r="W90" s="30"/>
      <c r="X90" s="74" t="s">
        <v>458</v>
      </c>
      <c r="Y90" s="29"/>
      <c r="Z90" s="29"/>
      <c r="AA90" s="29"/>
      <c r="AB90" s="29"/>
      <c r="AC90" s="29"/>
      <c r="AD90" s="30"/>
      <c r="AE90" s="39" t="s">
        <v>309</v>
      </c>
      <c r="AF90" s="30"/>
      <c r="AG90" s="39"/>
      <c r="AH90" s="29"/>
      <c r="AI90" s="30"/>
      <c r="AJ90" s="39"/>
      <c r="AK90" s="29"/>
      <c r="AL90" s="30"/>
      <c r="AM90" s="39"/>
      <c r="AN90" s="29"/>
      <c r="AO90" s="30"/>
      <c r="AP90" s="88"/>
      <c r="AQ90" s="29"/>
      <c r="AR90" s="30"/>
      <c r="AS90" s="88"/>
      <c r="AT90" s="29"/>
      <c r="AU90" s="30"/>
      <c r="AV90" s="39"/>
      <c r="AW90" s="29"/>
      <c r="AX90" s="30"/>
      <c r="AY90" s="39"/>
      <c r="AZ90" s="29"/>
      <c r="BA90" s="30"/>
      <c r="BB90" s="39"/>
      <c r="BC90" s="29"/>
      <c r="BD90" s="30"/>
      <c r="BE90" s="88"/>
      <c r="BF90" s="29"/>
      <c r="BG90" s="30"/>
      <c r="BH90" s="88"/>
      <c r="BI90" s="29"/>
      <c r="BJ90" s="30"/>
      <c r="BK90" s="74"/>
      <c r="BL90" s="29"/>
      <c r="BM90" s="29"/>
      <c r="BN90" s="29"/>
      <c r="BO90" s="29"/>
      <c r="BP90" s="29"/>
      <c r="BQ90" s="30"/>
      <c r="BR90" s="18"/>
      <c r="BS90" s="18"/>
      <c r="BT90" s="18"/>
      <c r="BU90" s="18"/>
      <c r="BV90" s="18"/>
      <c r="BW90" s="18"/>
      <c r="BX90" s="18"/>
      <c r="BY90" s="18"/>
      <c r="BZ90" s="18"/>
      <c r="CA90" s="18"/>
      <c r="CB90" s="18"/>
      <c r="CC90" s="18"/>
      <c r="CD90" s="18"/>
      <c r="CE90" s="18"/>
      <c r="CF90" s="18"/>
      <c r="CG90" s="18"/>
      <c r="CH90" s="18"/>
      <c r="CI90" s="18"/>
      <c r="CJ90" s="18"/>
      <c r="CK90" s="18"/>
      <c r="CL90" s="18"/>
      <c r="CM90" s="18"/>
      <c r="CN90" s="18"/>
      <c r="CO90" s="18"/>
      <c r="CP90" s="18"/>
      <c r="CQ90" s="18"/>
      <c r="CR90" s="18"/>
      <c r="CS90" s="18"/>
      <c r="CT90" s="18"/>
      <c r="CU90" s="18"/>
      <c r="CV90" s="18"/>
      <c r="CW90" s="18"/>
      <c r="CX90" s="18"/>
      <c r="CY90" s="18"/>
      <c r="CZ90" s="18"/>
      <c r="DA90" s="18"/>
      <c r="DB90" s="18"/>
      <c r="DC90" s="18"/>
      <c r="DD90" s="18"/>
      <c r="DE90" s="18"/>
      <c r="DF90" s="18"/>
      <c r="DG90" s="18"/>
      <c r="DH90" s="18"/>
      <c r="DI90" s="18"/>
      <c r="DJ90" s="18"/>
      <c r="DK90" s="18"/>
      <c r="DL90" s="18"/>
      <c r="DM90" s="18"/>
      <c r="DN90" s="18"/>
      <c r="DO90" s="18"/>
      <c r="DP90" s="18"/>
      <c r="DQ90" s="18"/>
      <c r="DR90" s="18"/>
      <c r="DS90" s="18"/>
      <c r="DT90" s="18"/>
      <c r="DU90" s="18"/>
      <c r="DV90" s="18"/>
      <c r="DW90" s="18"/>
      <c r="DX90" s="18"/>
      <c r="DY90" s="18"/>
      <c r="DZ90" s="18"/>
      <c r="EA90" s="18"/>
      <c r="EB90" s="18"/>
      <c r="EC90" s="18"/>
      <c r="ED90" s="18"/>
      <c r="EE90" s="18"/>
    </row>
    <row r="91" spans="1:135" ht="66.75" customHeight="1" x14ac:dyDescent="0.2">
      <c r="A91" s="24">
        <f t="shared" si="13"/>
        <v>77</v>
      </c>
      <c r="B91" s="74"/>
      <c r="C91" s="29"/>
      <c r="D91" s="30"/>
      <c r="E91" s="89"/>
      <c r="F91" s="52"/>
      <c r="G91" s="52"/>
      <c r="H91" s="52"/>
      <c r="I91" s="90"/>
      <c r="J91" s="74"/>
      <c r="K91" s="29"/>
      <c r="L91" s="29"/>
      <c r="M91" s="29"/>
      <c r="N91" s="29"/>
      <c r="O91" s="29"/>
      <c r="P91" s="30"/>
      <c r="Q91" s="74" t="s">
        <v>451</v>
      </c>
      <c r="R91" s="29"/>
      <c r="S91" s="29"/>
      <c r="T91" s="29"/>
      <c r="U91" s="29"/>
      <c r="V91" s="29"/>
      <c r="W91" s="30"/>
      <c r="X91" s="74" t="s">
        <v>452</v>
      </c>
      <c r="Y91" s="29"/>
      <c r="Z91" s="29"/>
      <c r="AA91" s="29"/>
      <c r="AB91" s="29"/>
      <c r="AC91" s="29"/>
      <c r="AD91" s="30"/>
      <c r="AE91" s="39" t="s">
        <v>309</v>
      </c>
      <c r="AF91" s="30"/>
      <c r="AG91" s="39"/>
      <c r="AH91" s="29"/>
      <c r="AI91" s="30"/>
      <c r="AJ91" s="39"/>
      <c r="AK91" s="29"/>
      <c r="AL91" s="30"/>
      <c r="AM91" s="39"/>
      <c r="AN91" s="29"/>
      <c r="AO91" s="30"/>
      <c r="AP91" s="88"/>
      <c r="AQ91" s="29"/>
      <c r="AR91" s="30"/>
      <c r="AS91" s="88"/>
      <c r="AT91" s="29"/>
      <c r="AU91" s="30"/>
      <c r="AV91" s="39"/>
      <c r="AW91" s="29"/>
      <c r="AX91" s="30"/>
      <c r="AY91" s="39"/>
      <c r="AZ91" s="29"/>
      <c r="BA91" s="30"/>
      <c r="BB91" s="39"/>
      <c r="BC91" s="29"/>
      <c r="BD91" s="30"/>
      <c r="BE91" s="88"/>
      <c r="BF91" s="29"/>
      <c r="BG91" s="30"/>
      <c r="BH91" s="88"/>
      <c r="BI91" s="29"/>
      <c r="BJ91" s="30"/>
      <c r="BK91" s="74"/>
      <c r="BL91" s="29"/>
      <c r="BM91" s="29"/>
      <c r="BN91" s="29"/>
      <c r="BO91" s="29"/>
      <c r="BP91" s="29"/>
      <c r="BQ91" s="30"/>
      <c r="BR91" s="18"/>
      <c r="BS91" s="18"/>
      <c r="BT91" s="18"/>
      <c r="BU91" s="18"/>
      <c r="BV91" s="18"/>
      <c r="BW91" s="18"/>
      <c r="BX91" s="18"/>
      <c r="BY91" s="18"/>
      <c r="BZ91" s="18"/>
      <c r="CA91" s="18"/>
      <c r="CB91" s="18"/>
      <c r="CC91" s="18"/>
      <c r="CD91" s="18"/>
      <c r="CE91" s="18"/>
      <c r="CF91" s="18"/>
      <c r="CG91" s="18"/>
      <c r="CH91" s="18"/>
      <c r="CI91" s="18"/>
      <c r="CJ91" s="18"/>
      <c r="CK91" s="18"/>
      <c r="CL91" s="18"/>
      <c r="CM91" s="18"/>
      <c r="CN91" s="18"/>
      <c r="CO91" s="18"/>
      <c r="CP91" s="18"/>
      <c r="CQ91" s="18"/>
      <c r="CR91" s="18"/>
      <c r="CS91" s="18"/>
      <c r="CT91" s="18"/>
      <c r="CU91" s="18"/>
      <c r="CV91" s="18"/>
      <c r="CW91" s="18"/>
      <c r="CX91" s="18"/>
      <c r="CY91" s="18"/>
      <c r="CZ91" s="18"/>
      <c r="DA91" s="18"/>
      <c r="DB91" s="18"/>
      <c r="DC91" s="18"/>
      <c r="DD91" s="18"/>
      <c r="DE91" s="18"/>
      <c r="DF91" s="18"/>
      <c r="DG91" s="18"/>
      <c r="DH91" s="18"/>
      <c r="DI91" s="18"/>
      <c r="DJ91" s="18"/>
      <c r="DK91" s="18"/>
      <c r="DL91" s="18"/>
      <c r="DM91" s="18"/>
      <c r="DN91" s="18"/>
      <c r="DO91" s="18"/>
      <c r="DP91" s="18"/>
      <c r="DQ91" s="18"/>
      <c r="DR91" s="18"/>
      <c r="DS91" s="18"/>
      <c r="DT91" s="18"/>
      <c r="DU91" s="18"/>
      <c r="DV91" s="18"/>
      <c r="DW91" s="18"/>
      <c r="DX91" s="18"/>
      <c r="DY91" s="18"/>
      <c r="DZ91" s="18"/>
      <c r="EA91" s="18"/>
      <c r="EB91" s="18"/>
      <c r="EC91" s="18"/>
      <c r="ED91" s="18"/>
      <c r="EE91" s="18"/>
    </row>
    <row r="92" spans="1:135" ht="66.75" customHeight="1" x14ac:dyDescent="0.2">
      <c r="A92" s="24">
        <f t="shared" si="13"/>
        <v>78</v>
      </c>
      <c r="B92" s="74"/>
      <c r="C92" s="29"/>
      <c r="D92" s="30"/>
      <c r="E92" s="89"/>
      <c r="F92" s="52"/>
      <c r="G92" s="52"/>
      <c r="H92" s="52"/>
      <c r="I92" s="90"/>
      <c r="J92" s="74" t="s">
        <v>459</v>
      </c>
      <c r="K92" s="29"/>
      <c r="L92" s="29"/>
      <c r="M92" s="29"/>
      <c r="N92" s="29"/>
      <c r="O92" s="29"/>
      <c r="P92" s="30"/>
      <c r="Q92" s="74" t="s">
        <v>460</v>
      </c>
      <c r="R92" s="29"/>
      <c r="S92" s="29"/>
      <c r="T92" s="29"/>
      <c r="U92" s="29"/>
      <c r="V92" s="29"/>
      <c r="W92" s="30"/>
      <c r="X92" s="73" t="s">
        <v>461</v>
      </c>
      <c r="Y92" s="29"/>
      <c r="Z92" s="29"/>
      <c r="AA92" s="29"/>
      <c r="AB92" s="29"/>
      <c r="AC92" s="29"/>
      <c r="AD92" s="30"/>
      <c r="AE92" s="39" t="s">
        <v>309</v>
      </c>
      <c r="AF92" s="30"/>
      <c r="AG92" s="39"/>
      <c r="AH92" s="29"/>
      <c r="AI92" s="30"/>
      <c r="AJ92" s="39"/>
      <c r="AK92" s="29"/>
      <c r="AL92" s="30"/>
      <c r="AM92" s="39"/>
      <c r="AN92" s="29"/>
      <c r="AO92" s="30"/>
      <c r="AP92" s="88"/>
      <c r="AQ92" s="29"/>
      <c r="AR92" s="30"/>
      <c r="AS92" s="88"/>
      <c r="AT92" s="29"/>
      <c r="AU92" s="30"/>
      <c r="AV92" s="39"/>
      <c r="AW92" s="29"/>
      <c r="AX92" s="30"/>
      <c r="AY92" s="39"/>
      <c r="AZ92" s="29"/>
      <c r="BA92" s="30"/>
      <c r="BB92" s="39"/>
      <c r="BC92" s="29"/>
      <c r="BD92" s="30"/>
      <c r="BE92" s="88"/>
      <c r="BF92" s="29"/>
      <c r="BG92" s="30"/>
      <c r="BH92" s="88"/>
      <c r="BI92" s="29"/>
      <c r="BJ92" s="30"/>
      <c r="BK92" s="74"/>
      <c r="BL92" s="29"/>
      <c r="BM92" s="29"/>
      <c r="BN92" s="29"/>
      <c r="BO92" s="29"/>
      <c r="BP92" s="29"/>
      <c r="BQ92" s="30"/>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8"/>
      <c r="CQ92" s="18"/>
      <c r="CR92" s="18"/>
      <c r="CS92" s="18"/>
      <c r="CT92" s="18"/>
      <c r="CU92" s="18"/>
      <c r="CV92" s="18"/>
      <c r="CW92" s="18"/>
      <c r="CX92" s="18"/>
      <c r="CY92" s="18"/>
      <c r="CZ92" s="18"/>
      <c r="DA92" s="18"/>
      <c r="DB92" s="18"/>
      <c r="DC92" s="18"/>
      <c r="DD92" s="18"/>
      <c r="DE92" s="18"/>
      <c r="DF92" s="18"/>
      <c r="DG92" s="18"/>
      <c r="DH92" s="18"/>
      <c r="DI92" s="18"/>
      <c r="DJ92" s="18"/>
      <c r="DK92" s="18"/>
      <c r="DL92" s="18"/>
      <c r="DM92" s="18"/>
      <c r="DN92" s="18"/>
      <c r="DO92" s="18"/>
      <c r="DP92" s="18"/>
      <c r="DQ92" s="18"/>
      <c r="DR92" s="18"/>
      <c r="DS92" s="18"/>
      <c r="DT92" s="18"/>
      <c r="DU92" s="18"/>
      <c r="DV92" s="18"/>
      <c r="DW92" s="18"/>
      <c r="DX92" s="18"/>
      <c r="DY92" s="18"/>
      <c r="DZ92" s="18"/>
      <c r="EA92" s="18"/>
      <c r="EB92" s="18"/>
      <c r="EC92" s="18"/>
      <c r="ED92" s="18"/>
      <c r="EE92" s="18"/>
    </row>
    <row r="93" spans="1:135" ht="66.75" customHeight="1" x14ac:dyDescent="0.2">
      <c r="A93" s="24">
        <f t="shared" si="13"/>
        <v>79</v>
      </c>
      <c r="B93" s="74"/>
      <c r="C93" s="29"/>
      <c r="D93" s="30"/>
      <c r="E93" s="47"/>
      <c r="F93" s="48"/>
      <c r="G93" s="48"/>
      <c r="H93" s="48"/>
      <c r="I93" s="49"/>
      <c r="J93" s="74"/>
      <c r="K93" s="29"/>
      <c r="L93" s="29"/>
      <c r="M93" s="29"/>
      <c r="N93" s="29"/>
      <c r="O93" s="29"/>
      <c r="P93" s="30"/>
      <c r="Q93" s="74" t="s">
        <v>462</v>
      </c>
      <c r="R93" s="29"/>
      <c r="S93" s="29"/>
      <c r="T93" s="29"/>
      <c r="U93" s="29"/>
      <c r="V93" s="29"/>
      <c r="W93" s="30"/>
      <c r="X93" s="74" t="s">
        <v>452</v>
      </c>
      <c r="Y93" s="29"/>
      <c r="Z93" s="29"/>
      <c r="AA93" s="29"/>
      <c r="AB93" s="29"/>
      <c r="AC93" s="29"/>
      <c r="AD93" s="30"/>
      <c r="AE93" s="39" t="s">
        <v>309</v>
      </c>
      <c r="AF93" s="30"/>
      <c r="AG93" s="39"/>
      <c r="AH93" s="29"/>
      <c r="AI93" s="30"/>
      <c r="AJ93" s="39"/>
      <c r="AK93" s="29"/>
      <c r="AL93" s="30"/>
      <c r="AM93" s="39"/>
      <c r="AN93" s="29"/>
      <c r="AO93" s="30"/>
      <c r="AP93" s="88"/>
      <c r="AQ93" s="29"/>
      <c r="AR93" s="30"/>
      <c r="AS93" s="88"/>
      <c r="AT93" s="29"/>
      <c r="AU93" s="30"/>
      <c r="AV93" s="39"/>
      <c r="AW93" s="29"/>
      <c r="AX93" s="30"/>
      <c r="AY93" s="39"/>
      <c r="AZ93" s="29"/>
      <c r="BA93" s="30"/>
      <c r="BB93" s="39"/>
      <c r="BC93" s="29"/>
      <c r="BD93" s="30"/>
      <c r="BE93" s="88"/>
      <c r="BF93" s="29"/>
      <c r="BG93" s="30"/>
      <c r="BH93" s="88"/>
      <c r="BI93" s="29"/>
      <c r="BJ93" s="30"/>
      <c r="BK93" s="74"/>
      <c r="BL93" s="29"/>
      <c r="BM93" s="29"/>
      <c r="BN93" s="29"/>
      <c r="BO93" s="29"/>
      <c r="BP93" s="29"/>
      <c r="BQ93" s="30"/>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8"/>
      <c r="DK93" s="18"/>
      <c r="DL93" s="18"/>
      <c r="DM93" s="18"/>
      <c r="DN93" s="18"/>
      <c r="DO93" s="18"/>
      <c r="DP93" s="18"/>
      <c r="DQ93" s="18"/>
      <c r="DR93" s="18"/>
      <c r="DS93" s="18"/>
      <c r="DT93" s="18"/>
      <c r="DU93" s="18"/>
      <c r="DV93" s="18"/>
      <c r="DW93" s="18"/>
      <c r="DX93" s="18"/>
      <c r="DY93" s="18"/>
      <c r="DZ93" s="18"/>
      <c r="EA93" s="18"/>
      <c r="EB93" s="18"/>
      <c r="EC93" s="18"/>
      <c r="ED93" s="18"/>
      <c r="EE93" s="18"/>
    </row>
    <row r="94" spans="1:135" ht="32.25" customHeight="1" x14ac:dyDescent="0.2">
      <c r="A94" s="91" t="s">
        <v>463</v>
      </c>
      <c r="B94" s="81"/>
      <c r="C94" s="81"/>
      <c r="D94" s="81"/>
      <c r="E94" s="81"/>
      <c r="F94" s="81"/>
      <c r="G94" s="81"/>
      <c r="H94" s="81"/>
      <c r="I94" s="81"/>
      <c r="J94" s="81"/>
      <c r="K94" s="81"/>
      <c r="L94" s="81"/>
      <c r="M94" s="81"/>
      <c r="N94" s="81"/>
      <c r="O94" s="81"/>
      <c r="P94" s="81"/>
      <c r="Q94" s="81"/>
      <c r="R94" s="81"/>
      <c r="S94" s="81"/>
      <c r="T94" s="81"/>
      <c r="U94" s="81"/>
      <c r="V94" s="81"/>
      <c r="W94" s="81"/>
      <c r="X94" s="81"/>
      <c r="Y94" s="81"/>
      <c r="Z94" s="81"/>
      <c r="AA94" s="81"/>
      <c r="AB94" s="81"/>
      <c r="AC94" s="81"/>
      <c r="AD94" s="81"/>
      <c r="AE94" s="81"/>
      <c r="AF94" s="81"/>
      <c r="AG94" s="81"/>
      <c r="AH94" s="81"/>
      <c r="AI94" s="81"/>
      <c r="AJ94" s="81"/>
      <c r="AK94" s="81"/>
      <c r="AL94" s="81"/>
      <c r="AM94" s="81"/>
      <c r="AN94" s="81"/>
      <c r="AO94" s="81"/>
      <c r="AP94" s="81"/>
      <c r="AQ94" s="81"/>
      <c r="AR94" s="81"/>
      <c r="AS94" s="81"/>
      <c r="AT94" s="81"/>
      <c r="AU94" s="81"/>
      <c r="AV94" s="81"/>
      <c r="AW94" s="81"/>
      <c r="AX94" s="81"/>
      <c r="AY94" s="81"/>
      <c r="AZ94" s="81"/>
      <c r="BA94" s="81"/>
      <c r="BB94" s="81"/>
      <c r="BC94" s="81"/>
      <c r="BD94" s="81"/>
      <c r="BE94" s="81"/>
      <c r="BF94" s="81"/>
      <c r="BG94" s="81"/>
      <c r="BH94" s="81"/>
      <c r="BI94" s="81"/>
      <c r="BJ94" s="81"/>
      <c r="BK94" s="81"/>
      <c r="BL94" s="81"/>
      <c r="BM94" s="81"/>
      <c r="BN94" s="81"/>
      <c r="BO94" s="81"/>
      <c r="BP94" s="81"/>
      <c r="BQ94" s="83"/>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c r="CP94" s="18"/>
      <c r="CQ94" s="18"/>
      <c r="CR94" s="18"/>
      <c r="CS94" s="18"/>
      <c r="CT94" s="18"/>
      <c r="CU94" s="18"/>
      <c r="CV94" s="18"/>
      <c r="CW94" s="18"/>
      <c r="CX94" s="18"/>
      <c r="CY94" s="18"/>
      <c r="CZ94" s="18"/>
      <c r="DA94" s="18"/>
      <c r="DB94" s="18"/>
      <c r="DC94" s="18"/>
      <c r="DD94" s="18"/>
      <c r="DE94" s="18"/>
      <c r="DF94" s="18"/>
      <c r="DG94" s="18"/>
      <c r="DH94" s="18"/>
      <c r="DI94" s="18"/>
      <c r="DJ94" s="18"/>
      <c r="DK94" s="18"/>
      <c r="DL94" s="18"/>
      <c r="DM94" s="18"/>
      <c r="DN94" s="18"/>
      <c r="DO94" s="18"/>
      <c r="DP94" s="18"/>
      <c r="DQ94" s="18"/>
      <c r="DR94" s="18"/>
      <c r="DS94" s="18"/>
      <c r="DT94" s="18"/>
      <c r="DU94" s="18"/>
      <c r="DV94" s="18"/>
      <c r="DW94" s="18"/>
      <c r="DX94" s="18"/>
      <c r="DY94" s="18"/>
      <c r="DZ94" s="18"/>
      <c r="EA94" s="18"/>
      <c r="EB94" s="18"/>
      <c r="EC94" s="18"/>
      <c r="ED94" s="18"/>
      <c r="EE94" s="18"/>
    </row>
    <row r="95" spans="1:135" ht="91.5" customHeight="1" x14ac:dyDescent="0.2">
      <c r="A95" s="24">
        <f t="shared" ref="A95:A107" si="14">ROW()-15</f>
        <v>80</v>
      </c>
      <c r="B95" s="74"/>
      <c r="C95" s="29"/>
      <c r="D95" s="30"/>
      <c r="E95" s="74" t="s">
        <v>464</v>
      </c>
      <c r="F95" s="29"/>
      <c r="G95" s="29"/>
      <c r="H95" s="29"/>
      <c r="I95" s="30"/>
      <c r="J95" s="74"/>
      <c r="K95" s="29"/>
      <c r="L95" s="29"/>
      <c r="M95" s="29"/>
      <c r="N95" s="29"/>
      <c r="O95" s="29"/>
      <c r="P95" s="30"/>
      <c r="Q95" s="74" t="s">
        <v>465</v>
      </c>
      <c r="R95" s="29"/>
      <c r="S95" s="29"/>
      <c r="T95" s="29"/>
      <c r="U95" s="29"/>
      <c r="V95" s="29"/>
      <c r="W95" s="30"/>
      <c r="X95" s="74" t="s">
        <v>466</v>
      </c>
      <c r="Y95" s="29"/>
      <c r="Z95" s="29"/>
      <c r="AA95" s="29"/>
      <c r="AB95" s="29"/>
      <c r="AC95" s="29"/>
      <c r="AD95" s="30"/>
      <c r="AE95" s="39" t="s">
        <v>467</v>
      </c>
      <c r="AF95" s="30"/>
      <c r="AG95" s="39"/>
      <c r="AH95" s="29"/>
      <c r="AI95" s="30"/>
      <c r="AJ95" s="39"/>
      <c r="AK95" s="29"/>
      <c r="AL95" s="30"/>
      <c r="AM95" s="39"/>
      <c r="AN95" s="29"/>
      <c r="AO95" s="30"/>
      <c r="AP95" s="88"/>
      <c r="AQ95" s="29"/>
      <c r="AR95" s="30"/>
      <c r="AS95" s="88"/>
      <c r="AT95" s="29"/>
      <c r="AU95" s="30"/>
      <c r="AV95" s="39"/>
      <c r="AW95" s="29"/>
      <c r="AX95" s="30"/>
      <c r="AY95" s="39"/>
      <c r="AZ95" s="29"/>
      <c r="BA95" s="30"/>
      <c r="BB95" s="39"/>
      <c r="BC95" s="29"/>
      <c r="BD95" s="30"/>
      <c r="BE95" s="88"/>
      <c r="BF95" s="29"/>
      <c r="BG95" s="30"/>
      <c r="BH95" s="88"/>
      <c r="BI95" s="29"/>
      <c r="BJ95" s="30"/>
      <c r="BK95" s="74"/>
      <c r="BL95" s="29"/>
      <c r="BM95" s="29"/>
      <c r="BN95" s="29"/>
      <c r="BO95" s="29"/>
      <c r="BP95" s="29"/>
      <c r="BQ95" s="30"/>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8"/>
      <c r="CS95" s="18"/>
      <c r="CT95" s="18"/>
      <c r="CU95" s="18"/>
      <c r="CV95" s="18"/>
      <c r="CW95" s="18"/>
      <c r="CX95" s="18"/>
      <c r="CY95" s="18"/>
      <c r="CZ95" s="18"/>
      <c r="DA95" s="18"/>
      <c r="DB95" s="18"/>
      <c r="DC95" s="18"/>
      <c r="DD95" s="18"/>
      <c r="DE95" s="18"/>
      <c r="DF95" s="18"/>
      <c r="DG95" s="18"/>
      <c r="DH95" s="18"/>
      <c r="DI95" s="18"/>
      <c r="DJ95" s="18"/>
      <c r="DK95" s="18"/>
      <c r="DL95" s="18"/>
      <c r="DM95" s="18"/>
      <c r="DN95" s="18"/>
      <c r="DO95" s="18"/>
      <c r="DP95" s="18"/>
      <c r="DQ95" s="18"/>
      <c r="DR95" s="18"/>
      <c r="DS95" s="18"/>
      <c r="DT95" s="18"/>
      <c r="DU95" s="18"/>
      <c r="DV95" s="18"/>
      <c r="DW95" s="18"/>
      <c r="DX95" s="18"/>
      <c r="DY95" s="18"/>
      <c r="DZ95" s="18"/>
      <c r="EA95" s="18"/>
      <c r="EB95" s="18"/>
      <c r="EC95" s="18"/>
      <c r="ED95" s="18"/>
      <c r="EE95" s="18"/>
    </row>
    <row r="96" spans="1:135" ht="115.5" customHeight="1" x14ac:dyDescent="0.2">
      <c r="A96" s="24">
        <f t="shared" si="14"/>
        <v>81</v>
      </c>
      <c r="B96" s="74"/>
      <c r="C96" s="29"/>
      <c r="D96" s="30"/>
      <c r="E96" s="74" t="s">
        <v>468</v>
      </c>
      <c r="F96" s="29"/>
      <c r="G96" s="29"/>
      <c r="H96" s="29"/>
      <c r="I96" s="30"/>
      <c r="J96" s="74"/>
      <c r="K96" s="29"/>
      <c r="L96" s="29"/>
      <c r="M96" s="29"/>
      <c r="N96" s="29"/>
      <c r="O96" s="29"/>
      <c r="P96" s="30"/>
      <c r="Q96" s="74" t="s">
        <v>469</v>
      </c>
      <c r="R96" s="29"/>
      <c r="S96" s="29"/>
      <c r="T96" s="29"/>
      <c r="U96" s="29"/>
      <c r="V96" s="29"/>
      <c r="W96" s="30"/>
      <c r="X96" s="74" t="s">
        <v>470</v>
      </c>
      <c r="Y96" s="29"/>
      <c r="Z96" s="29"/>
      <c r="AA96" s="29"/>
      <c r="AB96" s="29"/>
      <c r="AC96" s="29"/>
      <c r="AD96" s="30"/>
      <c r="AE96" s="39" t="s">
        <v>471</v>
      </c>
      <c r="AF96" s="30"/>
      <c r="AG96" s="39"/>
      <c r="AH96" s="29"/>
      <c r="AI96" s="30"/>
      <c r="AJ96" s="39"/>
      <c r="AK96" s="29"/>
      <c r="AL96" s="30"/>
      <c r="AM96" s="39"/>
      <c r="AN96" s="29"/>
      <c r="AO96" s="30"/>
      <c r="AP96" s="88"/>
      <c r="AQ96" s="29"/>
      <c r="AR96" s="30"/>
      <c r="AS96" s="88"/>
      <c r="AT96" s="29"/>
      <c r="AU96" s="30"/>
      <c r="AV96" s="39"/>
      <c r="AW96" s="29"/>
      <c r="AX96" s="30"/>
      <c r="AY96" s="39"/>
      <c r="AZ96" s="29"/>
      <c r="BA96" s="30"/>
      <c r="BB96" s="39"/>
      <c r="BC96" s="29"/>
      <c r="BD96" s="30"/>
      <c r="BE96" s="88"/>
      <c r="BF96" s="29"/>
      <c r="BG96" s="30"/>
      <c r="BH96" s="88"/>
      <c r="BI96" s="29"/>
      <c r="BJ96" s="30"/>
      <c r="BK96" s="74"/>
      <c r="BL96" s="29"/>
      <c r="BM96" s="29"/>
      <c r="BN96" s="29"/>
      <c r="BO96" s="29"/>
      <c r="BP96" s="29"/>
      <c r="BQ96" s="30"/>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c r="CY96" s="18"/>
      <c r="CZ96" s="18"/>
      <c r="DA96" s="18"/>
      <c r="DB96" s="18"/>
      <c r="DC96" s="18"/>
      <c r="DD96" s="18"/>
      <c r="DE96" s="18"/>
      <c r="DF96" s="18"/>
      <c r="DG96" s="18"/>
      <c r="DH96" s="18"/>
      <c r="DI96" s="18"/>
      <c r="DJ96" s="18"/>
      <c r="DK96" s="18"/>
      <c r="DL96" s="18"/>
      <c r="DM96" s="18"/>
      <c r="DN96" s="18"/>
      <c r="DO96" s="18"/>
      <c r="DP96" s="18"/>
      <c r="DQ96" s="18"/>
      <c r="DR96" s="18"/>
      <c r="DS96" s="18"/>
      <c r="DT96" s="18"/>
      <c r="DU96" s="18"/>
      <c r="DV96" s="18"/>
      <c r="DW96" s="18"/>
      <c r="DX96" s="18"/>
      <c r="DY96" s="18"/>
      <c r="DZ96" s="18"/>
      <c r="EA96" s="18"/>
      <c r="EB96" s="18"/>
      <c r="EC96" s="18"/>
      <c r="ED96" s="18"/>
      <c r="EE96" s="18"/>
    </row>
    <row r="97" spans="1:135" ht="91.5" customHeight="1" x14ac:dyDescent="0.2">
      <c r="A97" s="24">
        <f t="shared" si="14"/>
        <v>82</v>
      </c>
      <c r="B97" s="74"/>
      <c r="C97" s="29"/>
      <c r="D97" s="30"/>
      <c r="E97" s="80" t="s">
        <v>176</v>
      </c>
      <c r="F97" s="81"/>
      <c r="G97" s="81"/>
      <c r="H97" s="81"/>
      <c r="I97" s="83"/>
      <c r="J97" s="74"/>
      <c r="K97" s="29"/>
      <c r="L97" s="29"/>
      <c r="M97" s="29"/>
      <c r="N97" s="29"/>
      <c r="O97" s="29"/>
      <c r="P97" s="30"/>
      <c r="Q97" s="74" t="s">
        <v>465</v>
      </c>
      <c r="R97" s="29"/>
      <c r="S97" s="29"/>
      <c r="T97" s="29"/>
      <c r="U97" s="29"/>
      <c r="V97" s="29"/>
      <c r="W97" s="30"/>
      <c r="X97" s="74" t="s">
        <v>466</v>
      </c>
      <c r="Y97" s="29"/>
      <c r="Z97" s="29"/>
      <c r="AA97" s="29"/>
      <c r="AB97" s="29"/>
      <c r="AC97" s="29"/>
      <c r="AD97" s="30"/>
      <c r="AE97" s="39" t="s">
        <v>472</v>
      </c>
      <c r="AF97" s="30"/>
      <c r="AG97" s="39"/>
      <c r="AH97" s="29"/>
      <c r="AI97" s="30"/>
      <c r="AJ97" s="39"/>
      <c r="AK97" s="29"/>
      <c r="AL97" s="30"/>
      <c r="AM97" s="39"/>
      <c r="AN97" s="29"/>
      <c r="AO97" s="30"/>
      <c r="AP97" s="88"/>
      <c r="AQ97" s="29"/>
      <c r="AR97" s="30"/>
      <c r="AS97" s="88"/>
      <c r="AT97" s="29"/>
      <c r="AU97" s="30"/>
      <c r="AV97" s="39"/>
      <c r="AW97" s="29"/>
      <c r="AX97" s="30"/>
      <c r="AY97" s="39"/>
      <c r="AZ97" s="29"/>
      <c r="BA97" s="30"/>
      <c r="BB97" s="39"/>
      <c r="BC97" s="29"/>
      <c r="BD97" s="30"/>
      <c r="BE97" s="88"/>
      <c r="BF97" s="29"/>
      <c r="BG97" s="30"/>
      <c r="BH97" s="88"/>
      <c r="BI97" s="29"/>
      <c r="BJ97" s="30"/>
      <c r="BK97" s="74"/>
      <c r="BL97" s="29"/>
      <c r="BM97" s="29"/>
      <c r="BN97" s="29"/>
      <c r="BO97" s="29"/>
      <c r="BP97" s="29"/>
      <c r="BQ97" s="30"/>
      <c r="BR97" s="18"/>
      <c r="BS97" s="18"/>
      <c r="BT97" s="18"/>
      <c r="BU97" s="18"/>
      <c r="BV97" s="18"/>
      <c r="BW97" s="18"/>
      <c r="BX97" s="18"/>
      <c r="BY97" s="18"/>
      <c r="BZ97" s="18"/>
      <c r="CA97" s="18"/>
      <c r="CB97" s="18"/>
      <c r="CC97" s="18"/>
      <c r="CD97" s="18"/>
      <c r="CE97" s="18"/>
      <c r="CF97" s="18"/>
      <c r="CG97" s="18"/>
      <c r="CH97" s="18"/>
      <c r="CI97" s="18"/>
      <c r="CJ97" s="18"/>
      <c r="CK97" s="18"/>
      <c r="CL97" s="18"/>
      <c r="CM97" s="18"/>
      <c r="CN97" s="18"/>
      <c r="CO97" s="18"/>
      <c r="CP97" s="18"/>
      <c r="CQ97" s="18"/>
      <c r="CR97" s="18"/>
      <c r="CS97" s="18"/>
      <c r="CT97" s="18"/>
      <c r="CU97" s="18"/>
      <c r="CV97" s="18"/>
      <c r="CW97" s="18"/>
      <c r="CX97" s="18"/>
      <c r="CY97" s="18"/>
      <c r="CZ97" s="18"/>
      <c r="DA97" s="18"/>
      <c r="DB97" s="18"/>
      <c r="DC97" s="18"/>
      <c r="DD97" s="18"/>
      <c r="DE97" s="18"/>
      <c r="DF97" s="18"/>
      <c r="DG97" s="18"/>
      <c r="DH97" s="18"/>
      <c r="DI97" s="18"/>
      <c r="DJ97" s="18"/>
      <c r="DK97" s="18"/>
      <c r="DL97" s="18"/>
      <c r="DM97" s="18"/>
      <c r="DN97" s="18"/>
      <c r="DO97" s="18"/>
      <c r="DP97" s="18"/>
      <c r="DQ97" s="18"/>
      <c r="DR97" s="18"/>
      <c r="DS97" s="18"/>
      <c r="DT97" s="18"/>
      <c r="DU97" s="18"/>
      <c r="DV97" s="18"/>
      <c r="DW97" s="18"/>
      <c r="DX97" s="18"/>
      <c r="DY97" s="18"/>
      <c r="DZ97" s="18"/>
      <c r="EA97" s="18"/>
      <c r="EB97" s="18"/>
      <c r="EC97" s="18"/>
      <c r="ED97" s="18"/>
      <c r="EE97" s="18"/>
    </row>
    <row r="98" spans="1:135" ht="91.5" customHeight="1" x14ac:dyDescent="0.2">
      <c r="A98" s="24">
        <f t="shared" si="14"/>
        <v>83</v>
      </c>
      <c r="B98" s="74"/>
      <c r="C98" s="29"/>
      <c r="D98" s="30"/>
      <c r="E98" s="74" t="s">
        <v>473</v>
      </c>
      <c r="F98" s="29"/>
      <c r="G98" s="29"/>
      <c r="H98" s="29"/>
      <c r="I98" s="30"/>
      <c r="J98" s="74" t="s">
        <v>179</v>
      </c>
      <c r="K98" s="29"/>
      <c r="L98" s="29"/>
      <c r="M98" s="29"/>
      <c r="N98" s="29"/>
      <c r="O98" s="29"/>
      <c r="P98" s="30"/>
      <c r="Q98" s="73" t="s">
        <v>180</v>
      </c>
      <c r="R98" s="29"/>
      <c r="S98" s="29"/>
      <c r="T98" s="29"/>
      <c r="U98" s="29"/>
      <c r="V98" s="29"/>
      <c r="W98" s="30"/>
      <c r="X98" s="73" t="s">
        <v>181</v>
      </c>
      <c r="Y98" s="29"/>
      <c r="Z98" s="29"/>
      <c r="AA98" s="29"/>
      <c r="AB98" s="29"/>
      <c r="AC98" s="29"/>
      <c r="AD98" s="30"/>
      <c r="AE98" s="39" t="s">
        <v>474</v>
      </c>
      <c r="AF98" s="30"/>
      <c r="AG98" s="39"/>
      <c r="AH98" s="29"/>
      <c r="AI98" s="30"/>
      <c r="AJ98" s="39"/>
      <c r="AK98" s="29"/>
      <c r="AL98" s="30"/>
      <c r="AM98" s="39"/>
      <c r="AN98" s="29"/>
      <c r="AO98" s="30"/>
      <c r="AP98" s="88"/>
      <c r="AQ98" s="29"/>
      <c r="AR98" s="30"/>
      <c r="AS98" s="88"/>
      <c r="AT98" s="29"/>
      <c r="AU98" s="30"/>
      <c r="AV98" s="39"/>
      <c r="AW98" s="29"/>
      <c r="AX98" s="30"/>
      <c r="AY98" s="39"/>
      <c r="AZ98" s="29"/>
      <c r="BA98" s="30"/>
      <c r="BB98" s="39"/>
      <c r="BC98" s="29"/>
      <c r="BD98" s="30"/>
      <c r="BE98" s="88"/>
      <c r="BF98" s="29"/>
      <c r="BG98" s="30"/>
      <c r="BH98" s="88"/>
      <c r="BI98" s="29"/>
      <c r="BJ98" s="30"/>
      <c r="BK98" s="74"/>
      <c r="BL98" s="29"/>
      <c r="BM98" s="29"/>
      <c r="BN98" s="29"/>
      <c r="BO98" s="29"/>
      <c r="BP98" s="29"/>
      <c r="BQ98" s="30"/>
      <c r="BR98" s="18"/>
      <c r="BS98" s="18"/>
      <c r="BT98" s="18"/>
      <c r="BU98" s="18"/>
      <c r="BV98" s="18"/>
      <c r="BW98" s="18"/>
      <c r="BX98" s="18"/>
      <c r="BY98" s="18"/>
      <c r="BZ98" s="18"/>
      <c r="CA98" s="18"/>
      <c r="CB98" s="18"/>
      <c r="CC98" s="18"/>
      <c r="CD98" s="18"/>
      <c r="CE98" s="18"/>
      <c r="CF98" s="18"/>
      <c r="CG98" s="18"/>
      <c r="CH98" s="18"/>
      <c r="CI98" s="18"/>
      <c r="CJ98" s="18"/>
      <c r="CK98" s="18"/>
      <c r="CL98" s="18"/>
      <c r="CM98" s="18"/>
      <c r="CN98" s="18"/>
      <c r="CO98" s="18"/>
      <c r="CP98" s="18"/>
      <c r="CQ98" s="18"/>
      <c r="CR98" s="18"/>
      <c r="CS98" s="18"/>
      <c r="CT98" s="18"/>
      <c r="CU98" s="18"/>
      <c r="CV98" s="18"/>
      <c r="CW98" s="18"/>
      <c r="CX98" s="18"/>
      <c r="CY98" s="18"/>
      <c r="CZ98" s="18"/>
      <c r="DA98" s="18"/>
      <c r="DB98" s="18"/>
      <c r="DC98" s="18"/>
      <c r="DD98" s="18"/>
      <c r="DE98" s="18"/>
      <c r="DF98" s="18"/>
      <c r="DG98" s="18"/>
      <c r="DH98" s="18"/>
      <c r="DI98" s="18"/>
      <c r="DJ98" s="18"/>
      <c r="DK98" s="18"/>
      <c r="DL98" s="18"/>
      <c r="DM98" s="18"/>
      <c r="DN98" s="18"/>
      <c r="DO98" s="18"/>
      <c r="DP98" s="18"/>
      <c r="DQ98" s="18"/>
      <c r="DR98" s="18"/>
      <c r="DS98" s="18"/>
      <c r="DT98" s="18"/>
      <c r="DU98" s="18"/>
      <c r="DV98" s="18"/>
      <c r="DW98" s="18"/>
      <c r="DX98" s="18"/>
      <c r="DY98" s="18"/>
      <c r="DZ98" s="18"/>
      <c r="EA98" s="18"/>
      <c r="EB98" s="18"/>
      <c r="EC98" s="18"/>
      <c r="ED98" s="18"/>
      <c r="EE98" s="18"/>
    </row>
    <row r="99" spans="1:135" ht="91.5" customHeight="1" x14ac:dyDescent="0.2">
      <c r="A99" s="24">
        <f t="shared" si="14"/>
        <v>84</v>
      </c>
      <c r="B99" s="74"/>
      <c r="C99" s="29"/>
      <c r="D99" s="30"/>
      <c r="E99" s="74" t="s">
        <v>182</v>
      </c>
      <c r="F99" s="29"/>
      <c r="G99" s="29"/>
      <c r="H99" s="29"/>
      <c r="I99" s="30"/>
      <c r="J99" s="74" t="s">
        <v>179</v>
      </c>
      <c r="K99" s="29"/>
      <c r="L99" s="29"/>
      <c r="M99" s="29"/>
      <c r="N99" s="29"/>
      <c r="O99" s="29"/>
      <c r="P99" s="30"/>
      <c r="Q99" s="74" t="s">
        <v>183</v>
      </c>
      <c r="R99" s="29"/>
      <c r="S99" s="29"/>
      <c r="T99" s="29"/>
      <c r="U99" s="29"/>
      <c r="V99" s="29"/>
      <c r="W99" s="30"/>
      <c r="X99" s="73" t="s">
        <v>184</v>
      </c>
      <c r="Y99" s="29"/>
      <c r="Z99" s="29"/>
      <c r="AA99" s="29"/>
      <c r="AB99" s="29"/>
      <c r="AC99" s="29"/>
      <c r="AD99" s="30"/>
      <c r="AE99" s="39" t="s">
        <v>475</v>
      </c>
      <c r="AF99" s="30"/>
      <c r="AG99" s="39"/>
      <c r="AH99" s="29"/>
      <c r="AI99" s="30"/>
      <c r="AJ99" s="39"/>
      <c r="AK99" s="29"/>
      <c r="AL99" s="30"/>
      <c r="AM99" s="39"/>
      <c r="AN99" s="29"/>
      <c r="AO99" s="30"/>
      <c r="AP99" s="88"/>
      <c r="AQ99" s="29"/>
      <c r="AR99" s="30"/>
      <c r="AS99" s="88"/>
      <c r="AT99" s="29"/>
      <c r="AU99" s="30"/>
      <c r="AV99" s="39"/>
      <c r="AW99" s="29"/>
      <c r="AX99" s="30"/>
      <c r="AY99" s="39"/>
      <c r="AZ99" s="29"/>
      <c r="BA99" s="30"/>
      <c r="BB99" s="39"/>
      <c r="BC99" s="29"/>
      <c r="BD99" s="30"/>
      <c r="BE99" s="88"/>
      <c r="BF99" s="29"/>
      <c r="BG99" s="30"/>
      <c r="BH99" s="88"/>
      <c r="BI99" s="29"/>
      <c r="BJ99" s="30"/>
      <c r="BK99" s="74"/>
      <c r="BL99" s="29"/>
      <c r="BM99" s="29"/>
      <c r="BN99" s="29"/>
      <c r="BO99" s="29"/>
      <c r="BP99" s="29"/>
      <c r="BQ99" s="30"/>
      <c r="BR99" s="18"/>
      <c r="BS99" s="18"/>
      <c r="BT99" s="18"/>
      <c r="BU99" s="18"/>
      <c r="BV99" s="18"/>
      <c r="BW99" s="18"/>
      <c r="BX99" s="18"/>
      <c r="BY99" s="18"/>
      <c r="BZ99" s="18"/>
      <c r="CA99" s="18"/>
      <c r="CB99" s="18"/>
      <c r="CC99" s="18"/>
      <c r="CD99" s="18"/>
      <c r="CE99" s="18"/>
      <c r="CF99" s="18"/>
      <c r="CG99" s="18"/>
      <c r="CH99" s="18"/>
      <c r="CI99" s="18"/>
      <c r="CJ99" s="18"/>
      <c r="CK99" s="18"/>
      <c r="CL99" s="18"/>
      <c r="CM99" s="18"/>
      <c r="CN99" s="18"/>
      <c r="CO99" s="18"/>
      <c r="CP99" s="18"/>
      <c r="CQ99" s="18"/>
      <c r="CR99" s="18"/>
      <c r="CS99" s="18"/>
      <c r="CT99" s="18"/>
      <c r="CU99" s="18"/>
      <c r="CV99" s="18"/>
      <c r="CW99" s="18"/>
      <c r="CX99" s="18"/>
      <c r="CY99" s="18"/>
      <c r="CZ99" s="18"/>
      <c r="DA99" s="18"/>
      <c r="DB99" s="18"/>
      <c r="DC99" s="18"/>
      <c r="DD99" s="18"/>
      <c r="DE99" s="18"/>
      <c r="DF99" s="18"/>
      <c r="DG99" s="18"/>
      <c r="DH99" s="18"/>
      <c r="DI99" s="18"/>
      <c r="DJ99" s="18"/>
      <c r="DK99" s="18"/>
      <c r="DL99" s="18"/>
      <c r="DM99" s="18"/>
      <c r="DN99" s="18"/>
      <c r="DO99" s="18"/>
      <c r="DP99" s="18"/>
      <c r="DQ99" s="18"/>
      <c r="DR99" s="18"/>
      <c r="DS99" s="18"/>
      <c r="DT99" s="18"/>
      <c r="DU99" s="18"/>
      <c r="DV99" s="18"/>
      <c r="DW99" s="18"/>
      <c r="DX99" s="18"/>
      <c r="DY99" s="18"/>
      <c r="DZ99" s="18"/>
      <c r="EA99" s="18"/>
      <c r="EB99" s="18"/>
      <c r="EC99" s="18"/>
      <c r="ED99" s="18"/>
      <c r="EE99" s="18"/>
    </row>
    <row r="100" spans="1:135" ht="91.5" customHeight="1" x14ac:dyDescent="0.2">
      <c r="A100" s="24">
        <f t="shared" si="14"/>
        <v>85</v>
      </c>
      <c r="B100" s="74"/>
      <c r="C100" s="29"/>
      <c r="D100" s="30"/>
      <c r="E100" s="74" t="s">
        <v>476</v>
      </c>
      <c r="F100" s="29"/>
      <c r="G100" s="29"/>
      <c r="H100" s="29"/>
      <c r="I100" s="30"/>
      <c r="J100" s="74"/>
      <c r="K100" s="29"/>
      <c r="L100" s="29"/>
      <c r="M100" s="29"/>
      <c r="N100" s="29"/>
      <c r="O100" s="29"/>
      <c r="P100" s="30"/>
      <c r="Q100" s="74" t="s">
        <v>477</v>
      </c>
      <c r="R100" s="29"/>
      <c r="S100" s="29"/>
      <c r="T100" s="29"/>
      <c r="U100" s="29"/>
      <c r="V100" s="29"/>
      <c r="W100" s="30"/>
      <c r="X100" s="73" t="s">
        <v>478</v>
      </c>
      <c r="Y100" s="29"/>
      <c r="Z100" s="29"/>
      <c r="AA100" s="29"/>
      <c r="AB100" s="29"/>
      <c r="AC100" s="29"/>
      <c r="AD100" s="30"/>
      <c r="AE100" s="39" t="s">
        <v>479</v>
      </c>
      <c r="AF100" s="30"/>
      <c r="AG100" s="39"/>
      <c r="AH100" s="29"/>
      <c r="AI100" s="30"/>
      <c r="AJ100" s="39"/>
      <c r="AK100" s="29"/>
      <c r="AL100" s="30"/>
      <c r="AM100" s="39"/>
      <c r="AN100" s="29"/>
      <c r="AO100" s="30"/>
      <c r="AP100" s="88"/>
      <c r="AQ100" s="29"/>
      <c r="AR100" s="30"/>
      <c r="AS100" s="88"/>
      <c r="AT100" s="29"/>
      <c r="AU100" s="30"/>
      <c r="AV100" s="39"/>
      <c r="AW100" s="29"/>
      <c r="AX100" s="30"/>
      <c r="AY100" s="39"/>
      <c r="AZ100" s="29"/>
      <c r="BA100" s="30"/>
      <c r="BB100" s="39"/>
      <c r="BC100" s="29"/>
      <c r="BD100" s="30"/>
      <c r="BE100" s="88"/>
      <c r="BF100" s="29"/>
      <c r="BG100" s="30"/>
      <c r="BH100" s="88"/>
      <c r="BI100" s="29"/>
      <c r="BJ100" s="30"/>
      <c r="BK100" s="74"/>
      <c r="BL100" s="29"/>
      <c r="BM100" s="29"/>
      <c r="BN100" s="29"/>
      <c r="BO100" s="29"/>
      <c r="BP100" s="29"/>
      <c r="BQ100" s="30"/>
      <c r="BR100" s="18"/>
      <c r="BS100" s="18"/>
      <c r="BT100" s="18"/>
      <c r="BU100" s="18"/>
      <c r="BV100" s="18"/>
      <c r="BW100" s="18"/>
      <c r="BX100" s="18"/>
      <c r="BY100" s="18"/>
      <c r="BZ100" s="18"/>
      <c r="CA100" s="18"/>
      <c r="CB100" s="18"/>
      <c r="CC100" s="18"/>
      <c r="CD100" s="18"/>
      <c r="CE100" s="18"/>
      <c r="CF100" s="18"/>
      <c r="CG100" s="18"/>
      <c r="CH100" s="18"/>
      <c r="CI100" s="18"/>
      <c r="CJ100" s="18"/>
      <c r="CK100" s="18"/>
      <c r="CL100" s="18"/>
      <c r="CM100" s="18"/>
      <c r="CN100" s="18"/>
      <c r="CO100" s="18"/>
      <c r="CP100" s="18"/>
      <c r="CQ100" s="18"/>
      <c r="CR100" s="18"/>
      <c r="CS100" s="18"/>
      <c r="CT100" s="18"/>
      <c r="CU100" s="18"/>
      <c r="CV100" s="18"/>
      <c r="CW100" s="18"/>
      <c r="CX100" s="18"/>
      <c r="CY100" s="18"/>
      <c r="CZ100" s="18"/>
      <c r="DA100" s="18"/>
      <c r="DB100" s="18"/>
      <c r="DC100" s="18"/>
      <c r="DD100" s="18"/>
      <c r="DE100" s="18"/>
      <c r="DF100" s="18"/>
      <c r="DG100" s="18"/>
      <c r="DH100" s="18"/>
      <c r="DI100" s="18"/>
      <c r="DJ100" s="18"/>
      <c r="DK100" s="18"/>
      <c r="DL100" s="18"/>
      <c r="DM100" s="18"/>
      <c r="DN100" s="18"/>
      <c r="DO100" s="18"/>
      <c r="DP100" s="18"/>
      <c r="DQ100" s="18"/>
      <c r="DR100" s="18"/>
      <c r="DS100" s="18"/>
      <c r="DT100" s="18"/>
      <c r="DU100" s="18"/>
      <c r="DV100" s="18"/>
      <c r="DW100" s="18"/>
      <c r="DX100" s="18"/>
      <c r="DY100" s="18"/>
      <c r="DZ100" s="18"/>
      <c r="EA100" s="18"/>
      <c r="EB100" s="18"/>
      <c r="EC100" s="18"/>
      <c r="ED100" s="18"/>
      <c r="EE100" s="18"/>
    </row>
    <row r="101" spans="1:135" ht="79.5" customHeight="1" x14ac:dyDescent="0.2">
      <c r="A101" s="24">
        <f t="shared" si="14"/>
        <v>86</v>
      </c>
      <c r="B101" s="74"/>
      <c r="C101" s="29"/>
      <c r="D101" s="30"/>
      <c r="E101" s="74" t="s">
        <v>480</v>
      </c>
      <c r="F101" s="29"/>
      <c r="G101" s="29"/>
      <c r="H101" s="29"/>
      <c r="I101" s="30"/>
      <c r="J101" s="74"/>
      <c r="K101" s="29"/>
      <c r="L101" s="29"/>
      <c r="M101" s="29"/>
      <c r="N101" s="29"/>
      <c r="O101" s="29"/>
      <c r="P101" s="30"/>
      <c r="Q101" s="74" t="s">
        <v>481</v>
      </c>
      <c r="R101" s="29"/>
      <c r="S101" s="29"/>
      <c r="T101" s="29"/>
      <c r="U101" s="29"/>
      <c r="V101" s="29"/>
      <c r="W101" s="30"/>
      <c r="X101" s="74" t="s">
        <v>482</v>
      </c>
      <c r="Y101" s="29"/>
      <c r="Z101" s="29"/>
      <c r="AA101" s="29"/>
      <c r="AB101" s="29"/>
      <c r="AC101" s="29"/>
      <c r="AD101" s="30"/>
      <c r="AE101" s="39" t="s">
        <v>483</v>
      </c>
      <c r="AF101" s="30"/>
      <c r="AG101" s="39"/>
      <c r="AH101" s="29"/>
      <c r="AI101" s="30"/>
      <c r="AJ101" s="39"/>
      <c r="AK101" s="29"/>
      <c r="AL101" s="30"/>
      <c r="AM101" s="39"/>
      <c r="AN101" s="29"/>
      <c r="AO101" s="30"/>
      <c r="AP101" s="88"/>
      <c r="AQ101" s="29"/>
      <c r="AR101" s="30"/>
      <c r="AS101" s="88"/>
      <c r="AT101" s="29"/>
      <c r="AU101" s="30"/>
      <c r="AV101" s="39"/>
      <c r="AW101" s="29"/>
      <c r="AX101" s="30"/>
      <c r="AY101" s="39"/>
      <c r="AZ101" s="29"/>
      <c r="BA101" s="30"/>
      <c r="BB101" s="39"/>
      <c r="BC101" s="29"/>
      <c r="BD101" s="30"/>
      <c r="BE101" s="88"/>
      <c r="BF101" s="29"/>
      <c r="BG101" s="30"/>
      <c r="BH101" s="88"/>
      <c r="BI101" s="29"/>
      <c r="BJ101" s="30"/>
      <c r="BK101" s="74"/>
      <c r="BL101" s="29"/>
      <c r="BM101" s="29"/>
      <c r="BN101" s="29"/>
      <c r="BO101" s="29"/>
      <c r="BP101" s="29"/>
      <c r="BQ101" s="30"/>
      <c r="BR101" s="18"/>
      <c r="BS101" s="18"/>
      <c r="BT101" s="18"/>
      <c r="BU101" s="18"/>
      <c r="BV101" s="18"/>
      <c r="BW101" s="18"/>
      <c r="BX101" s="18"/>
      <c r="BY101" s="18"/>
      <c r="BZ101" s="18"/>
      <c r="CA101" s="18"/>
      <c r="CB101" s="18"/>
      <c r="CC101" s="18"/>
      <c r="CD101" s="18"/>
      <c r="CE101" s="18"/>
      <c r="CF101" s="18"/>
      <c r="CG101" s="18"/>
      <c r="CH101" s="18"/>
      <c r="CI101" s="18"/>
      <c r="CJ101" s="18"/>
      <c r="CK101" s="18"/>
      <c r="CL101" s="18"/>
      <c r="CM101" s="18"/>
      <c r="CN101" s="18"/>
      <c r="CO101" s="18"/>
      <c r="CP101" s="18"/>
      <c r="CQ101" s="18"/>
      <c r="CR101" s="18"/>
      <c r="CS101" s="18"/>
      <c r="CT101" s="18"/>
      <c r="CU101" s="18"/>
      <c r="CV101" s="18"/>
      <c r="CW101" s="18"/>
      <c r="CX101" s="18"/>
      <c r="CY101" s="18"/>
      <c r="CZ101" s="18"/>
      <c r="DA101" s="18"/>
      <c r="DB101" s="18"/>
      <c r="DC101" s="18"/>
      <c r="DD101" s="18"/>
      <c r="DE101" s="18"/>
      <c r="DF101" s="18"/>
      <c r="DG101" s="18"/>
      <c r="DH101" s="18"/>
      <c r="DI101" s="18"/>
      <c r="DJ101" s="18"/>
      <c r="DK101" s="18"/>
      <c r="DL101" s="18"/>
      <c r="DM101" s="18"/>
      <c r="DN101" s="18"/>
      <c r="DO101" s="18"/>
      <c r="DP101" s="18"/>
      <c r="DQ101" s="18"/>
      <c r="DR101" s="18"/>
      <c r="DS101" s="18"/>
      <c r="DT101" s="18"/>
      <c r="DU101" s="18"/>
      <c r="DV101" s="18"/>
      <c r="DW101" s="18"/>
      <c r="DX101" s="18"/>
      <c r="DY101" s="18"/>
      <c r="DZ101" s="18"/>
      <c r="EA101" s="18"/>
      <c r="EB101" s="18"/>
      <c r="EC101" s="18"/>
      <c r="ED101" s="18"/>
      <c r="EE101" s="18"/>
    </row>
    <row r="102" spans="1:135" ht="79.5" customHeight="1" x14ac:dyDescent="0.2">
      <c r="A102" s="24">
        <f t="shared" si="14"/>
        <v>87</v>
      </c>
      <c r="B102" s="74"/>
      <c r="C102" s="29"/>
      <c r="D102" s="30"/>
      <c r="E102" s="74" t="s">
        <v>484</v>
      </c>
      <c r="F102" s="29"/>
      <c r="G102" s="29"/>
      <c r="H102" s="29"/>
      <c r="I102" s="30"/>
      <c r="J102" s="74" t="s">
        <v>485</v>
      </c>
      <c r="K102" s="29"/>
      <c r="L102" s="29"/>
      <c r="M102" s="29"/>
      <c r="N102" s="29"/>
      <c r="O102" s="29"/>
      <c r="P102" s="30"/>
      <c r="Q102" s="74" t="s">
        <v>486</v>
      </c>
      <c r="R102" s="29"/>
      <c r="S102" s="29"/>
      <c r="T102" s="29"/>
      <c r="U102" s="29"/>
      <c r="V102" s="29"/>
      <c r="W102" s="30"/>
      <c r="X102" s="74" t="s">
        <v>487</v>
      </c>
      <c r="Y102" s="29"/>
      <c r="Z102" s="29"/>
      <c r="AA102" s="29"/>
      <c r="AB102" s="29"/>
      <c r="AC102" s="29"/>
      <c r="AD102" s="30"/>
      <c r="AE102" s="39" t="s">
        <v>488</v>
      </c>
      <c r="AF102" s="30"/>
      <c r="AG102" s="39"/>
      <c r="AH102" s="29"/>
      <c r="AI102" s="30"/>
      <c r="AJ102" s="39"/>
      <c r="AK102" s="29"/>
      <c r="AL102" s="30"/>
      <c r="AM102" s="39"/>
      <c r="AN102" s="29"/>
      <c r="AO102" s="30"/>
      <c r="AP102" s="88"/>
      <c r="AQ102" s="29"/>
      <c r="AR102" s="30"/>
      <c r="AS102" s="88"/>
      <c r="AT102" s="29"/>
      <c r="AU102" s="30"/>
      <c r="AV102" s="39"/>
      <c r="AW102" s="29"/>
      <c r="AX102" s="30"/>
      <c r="AY102" s="39"/>
      <c r="AZ102" s="29"/>
      <c r="BA102" s="30"/>
      <c r="BB102" s="39"/>
      <c r="BC102" s="29"/>
      <c r="BD102" s="30"/>
      <c r="BE102" s="88"/>
      <c r="BF102" s="29"/>
      <c r="BG102" s="30"/>
      <c r="BH102" s="88"/>
      <c r="BI102" s="29"/>
      <c r="BJ102" s="30"/>
      <c r="BK102" s="74"/>
      <c r="BL102" s="29"/>
      <c r="BM102" s="29"/>
      <c r="BN102" s="29"/>
      <c r="BO102" s="29"/>
      <c r="BP102" s="29"/>
      <c r="BQ102" s="30"/>
      <c r="BR102" s="18"/>
      <c r="BS102" s="18"/>
      <c r="BT102" s="18"/>
      <c r="BU102" s="18"/>
      <c r="BV102" s="18"/>
      <c r="BW102" s="18"/>
      <c r="BX102" s="18"/>
      <c r="BY102" s="18"/>
      <c r="BZ102" s="18"/>
      <c r="CA102" s="18"/>
      <c r="CB102" s="18"/>
      <c r="CC102" s="18"/>
      <c r="CD102" s="18"/>
      <c r="CE102" s="18"/>
      <c r="CF102" s="18"/>
      <c r="CG102" s="18"/>
      <c r="CH102" s="18"/>
      <c r="CI102" s="18"/>
      <c r="CJ102" s="18"/>
      <c r="CK102" s="18"/>
      <c r="CL102" s="18"/>
      <c r="CM102" s="18"/>
      <c r="CN102" s="18"/>
      <c r="CO102" s="18"/>
      <c r="CP102" s="18"/>
      <c r="CQ102" s="18"/>
      <c r="CR102" s="18"/>
      <c r="CS102" s="18"/>
      <c r="CT102" s="18"/>
      <c r="CU102" s="18"/>
      <c r="CV102" s="18"/>
      <c r="CW102" s="18"/>
      <c r="CX102" s="18"/>
      <c r="CY102" s="18"/>
      <c r="CZ102" s="18"/>
      <c r="DA102" s="18"/>
      <c r="DB102" s="18"/>
      <c r="DC102" s="18"/>
      <c r="DD102" s="18"/>
      <c r="DE102" s="18"/>
      <c r="DF102" s="18"/>
      <c r="DG102" s="18"/>
      <c r="DH102" s="18"/>
      <c r="DI102" s="18"/>
      <c r="DJ102" s="18"/>
      <c r="DK102" s="18"/>
      <c r="DL102" s="18"/>
      <c r="DM102" s="18"/>
      <c r="DN102" s="18"/>
      <c r="DO102" s="18"/>
      <c r="DP102" s="18"/>
      <c r="DQ102" s="18"/>
      <c r="DR102" s="18"/>
      <c r="DS102" s="18"/>
      <c r="DT102" s="18"/>
      <c r="DU102" s="18"/>
      <c r="DV102" s="18"/>
      <c r="DW102" s="18"/>
      <c r="DX102" s="18"/>
      <c r="DY102" s="18"/>
      <c r="DZ102" s="18"/>
      <c r="EA102" s="18"/>
      <c r="EB102" s="18"/>
      <c r="EC102" s="18"/>
      <c r="ED102" s="18"/>
      <c r="EE102" s="18"/>
    </row>
    <row r="103" spans="1:135" ht="103.5" customHeight="1" x14ac:dyDescent="0.2">
      <c r="A103" s="24">
        <f t="shared" si="14"/>
        <v>88</v>
      </c>
      <c r="B103" s="74"/>
      <c r="C103" s="29"/>
      <c r="D103" s="30"/>
      <c r="E103" s="74" t="s">
        <v>489</v>
      </c>
      <c r="F103" s="29"/>
      <c r="G103" s="29"/>
      <c r="H103" s="29"/>
      <c r="I103" s="30"/>
      <c r="J103" s="74"/>
      <c r="K103" s="29"/>
      <c r="L103" s="29"/>
      <c r="M103" s="29"/>
      <c r="N103" s="29"/>
      <c r="O103" s="29"/>
      <c r="P103" s="30"/>
      <c r="Q103" s="74" t="s">
        <v>490</v>
      </c>
      <c r="R103" s="29"/>
      <c r="S103" s="29"/>
      <c r="T103" s="29"/>
      <c r="U103" s="29"/>
      <c r="V103" s="29"/>
      <c r="W103" s="30"/>
      <c r="X103" s="92" t="s">
        <v>191</v>
      </c>
      <c r="Y103" s="29"/>
      <c r="Z103" s="29"/>
      <c r="AA103" s="29"/>
      <c r="AB103" s="29"/>
      <c r="AC103" s="29"/>
      <c r="AD103" s="30"/>
      <c r="AE103" s="39" t="s">
        <v>491</v>
      </c>
      <c r="AF103" s="30"/>
      <c r="AG103" s="39"/>
      <c r="AH103" s="29"/>
      <c r="AI103" s="30"/>
      <c r="AJ103" s="39"/>
      <c r="AK103" s="29"/>
      <c r="AL103" s="30"/>
      <c r="AM103" s="39"/>
      <c r="AN103" s="29"/>
      <c r="AO103" s="30"/>
      <c r="AP103" s="88"/>
      <c r="AQ103" s="29"/>
      <c r="AR103" s="30"/>
      <c r="AS103" s="88"/>
      <c r="AT103" s="29"/>
      <c r="AU103" s="30"/>
      <c r="AV103" s="39"/>
      <c r="AW103" s="29"/>
      <c r="AX103" s="30"/>
      <c r="AY103" s="39"/>
      <c r="AZ103" s="29"/>
      <c r="BA103" s="30"/>
      <c r="BB103" s="39"/>
      <c r="BC103" s="29"/>
      <c r="BD103" s="30"/>
      <c r="BE103" s="88"/>
      <c r="BF103" s="29"/>
      <c r="BG103" s="30"/>
      <c r="BH103" s="88"/>
      <c r="BI103" s="29"/>
      <c r="BJ103" s="30"/>
      <c r="BK103" s="74"/>
      <c r="BL103" s="29"/>
      <c r="BM103" s="29"/>
      <c r="BN103" s="29"/>
      <c r="BO103" s="29"/>
      <c r="BP103" s="29"/>
      <c r="BQ103" s="30"/>
      <c r="BR103" s="18"/>
      <c r="BS103" s="18"/>
      <c r="BT103" s="18"/>
      <c r="BU103" s="18"/>
      <c r="BV103" s="18"/>
      <c r="BW103" s="18"/>
      <c r="BX103" s="18"/>
      <c r="BY103" s="18"/>
      <c r="BZ103" s="18"/>
      <c r="CA103" s="18"/>
      <c r="CB103" s="18"/>
      <c r="CC103" s="18"/>
      <c r="CD103" s="18"/>
      <c r="CE103" s="18"/>
      <c r="CF103" s="18"/>
      <c r="CG103" s="18"/>
      <c r="CH103" s="18"/>
      <c r="CI103" s="18"/>
      <c r="CJ103" s="18"/>
      <c r="CK103" s="18"/>
      <c r="CL103" s="18"/>
      <c r="CM103" s="18"/>
      <c r="CN103" s="18"/>
      <c r="CO103" s="18"/>
      <c r="CP103" s="18"/>
      <c r="CQ103" s="18"/>
      <c r="CR103" s="18"/>
      <c r="CS103" s="18"/>
      <c r="CT103" s="18"/>
      <c r="CU103" s="18"/>
      <c r="CV103" s="18"/>
      <c r="CW103" s="18"/>
      <c r="CX103" s="18"/>
      <c r="CY103" s="18"/>
      <c r="CZ103" s="18"/>
      <c r="DA103" s="18"/>
      <c r="DB103" s="18"/>
      <c r="DC103" s="18"/>
      <c r="DD103" s="18"/>
      <c r="DE103" s="18"/>
      <c r="DF103" s="18"/>
      <c r="DG103" s="18"/>
      <c r="DH103" s="18"/>
      <c r="DI103" s="18"/>
      <c r="DJ103" s="18"/>
      <c r="DK103" s="18"/>
      <c r="DL103" s="18"/>
      <c r="DM103" s="18"/>
      <c r="DN103" s="18"/>
      <c r="DO103" s="18"/>
      <c r="DP103" s="18"/>
      <c r="DQ103" s="18"/>
      <c r="DR103" s="18"/>
      <c r="DS103" s="18"/>
      <c r="DT103" s="18"/>
      <c r="DU103" s="18"/>
      <c r="DV103" s="18"/>
      <c r="DW103" s="18"/>
      <c r="DX103" s="18"/>
      <c r="DY103" s="18"/>
      <c r="DZ103" s="18"/>
      <c r="EA103" s="18"/>
      <c r="EB103" s="18"/>
      <c r="EC103" s="18"/>
      <c r="ED103" s="18"/>
      <c r="EE103" s="18"/>
    </row>
    <row r="104" spans="1:135" ht="103.5" customHeight="1" x14ac:dyDescent="0.2">
      <c r="A104" s="24">
        <f t="shared" si="14"/>
        <v>89</v>
      </c>
      <c r="B104" s="74"/>
      <c r="C104" s="29"/>
      <c r="D104" s="30"/>
      <c r="E104" s="74" t="s">
        <v>492</v>
      </c>
      <c r="F104" s="29"/>
      <c r="G104" s="29"/>
      <c r="H104" s="29"/>
      <c r="I104" s="30"/>
      <c r="J104" s="74"/>
      <c r="K104" s="29"/>
      <c r="L104" s="29"/>
      <c r="M104" s="29"/>
      <c r="N104" s="29"/>
      <c r="O104" s="29"/>
      <c r="P104" s="30"/>
      <c r="Q104" s="74" t="s">
        <v>493</v>
      </c>
      <c r="R104" s="29"/>
      <c r="S104" s="29"/>
      <c r="T104" s="29"/>
      <c r="U104" s="29"/>
      <c r="V104" s="29"/>
      <c r="W104" s="30"/>
      <c r="X104" s="74" t="s">
        <v>494</v>
      </c>
      <c r="Y104" s="29"/>
      <c r="Z104" s="29"/>
      <c r="AA104" s="29"/>
      <c r="AB104" s="29"/>
      <c r="AC104" s="29"/>
      <c r="AD104" s="30"/>
      <c r="AE104" s="39" t="s">
        <v>495</v>
      </c>
      <c r="AF104" s="30"/>
      <c r="AG104" s="39"/>
      <c r="AH104" s="29"/>
      <c r="AI104" s="30"/>
      <c r="AJ104" s="39"/>
      <c r="AK104" s="29"/>
      <c r="AL104" s="30"/>
      <c r="AM104" s="39"/>
      <c r="AN104" s="29"/>
      <c r="AO104" s="30"/>
      <c r="AP104" s="88"/>
      <c r="AQ104" s="29"/>
      <c r="AR104" s="30"/>
      <c r="AS104" s="88"/>
      <c r="AT104" s="29"/>
      <c r="AU104" s="30"/>
      <c r="AV104" s="39"/>
      <c r="AW104" s="29"/>
      <c r="AX104" s="30"/>
      <c r="AY104" s="39"/>
      <c r="AZ104" s="29"/>
      <c r="BA104" s="30"/>
      <c r="BB104" s="39"/>
      <c r="BC104" s="29"/>
      <c r="BD104" s="30"/>
      <c r="BE104" s="88"/>
      <c r="BF104" s="29"/>
      <c r="BG104" s="30"/>
      <c r="BH104" s="88"/>
      <c r="BI104" s="29"/>
      <c r="BJ104" s="30"/>
      <c r="BK104" s="74"/>
      <c r="BL104" s="29"/>
      <c r="BM104" s="29"/>
      <c r="BN104" s="29"/>
      <c r="BO104" s="29"/>
      <c r="BP104" s="29"/>
      <c r="BQ104" s="30"/>
      <c r="BR104" s="18"/>
      <c r="BS104" s="18"/>
      <c r="BT104" s="18"/>
      <c r="BU104" s="18"/>
      <c r="BV104" s="18"/>
      <c r="BW104" s="18"/>
      <c r="BX104" s="18"/>
      <c r="BY104" s="18"/>
      <c r="BZ104" s="18"/>
      <c r="CA104" s="18"/>
      <c r="CB104" s="18"/>
      <c r="CC104" s="18"/>
      <c r="CD104" s="18"/>
      <c r="CE104" s="18"/>
      <c r="CF104" s="18"/>
      <c r="CG104" s="18"/>
      <c r="CH104" s="18"/>
      <c r="CI104" s="18"/>
      <c r="CJ104" s="18"/>
      <c r="CK104" s="18"/>
      <c r="CL104" s="18"/>
      <c r="CM104" s="18"/>
      <c r="CN104" s="18"/>
      <c r="CO104" s="18"/>
      <c r="CP104" s="18"/>
      <c r="CQ104" s="18"/>
      <c r="CR104" s="18"/>
      <c r="CS104" s="18"/>
      <c r="CT104" s="18"/>
      <c r="CU104" s="18"/>
      <c r="CV104" s="18"/>
      <c r="CW104" s="18"/>
      <c r="CX104" s="18"/>
      <c r="CY104" s="18"/>
      <c r="CZ104" s="18"/>
      <c r="DA104" s="18"/>
      <c r="DB104" s="18"/>
      <c r="DC104" s="18"/>
      <c r="DD104" s="18"/>
      <c r="DE104" s="18"/>
      <c r="DF104" s="18"/>
      <c r="DG104" s="18"/>
      <c r="DH104" s="18"/>
      <c r="DI104" s="18"/>
      <c r="DJ104" s="18"/>
      <c r="DK104" s="18"/>
      <c r="DL104" s="18"/>
      <c r="DM104" s="18"/>
      <c r="DN104" s="18"/>
      <c r="DO104" s="18"/>
      <c r="DP104" s="18"/>
      <c r="DQ104" s="18"/>
      <c r="DR104" s="18"/>
      <c r="DS104" s="18"/>
      <c r="DT104" s="18"/>
      <c r="DU104" s="18"/>
      <c r="DV104" s="18"/>
      <c r="DW104" s="18"/>
      <c r="DX104" s="18"/>
      <c r="DY104" s="18"/>
      <c r="DZ104" s="18"/>
      <c r="EA104" s="18"/>
      <c r="EB104" s="18"/>
      <c r="EC104" s="18"/>
      <c r="ED104" s="18"/>
      <c r="EE104" s="18"/>
    </row>
    <row r="105" spans="1:135" ht="103.5" customHeight="1" x14ac:dyDescent="0.2">
      <c r="A105" s="24">
        <f t="shared" si="14"/>
        <v>90</v>
      </c>
      <c r="B105" s="74"/>
      <c r="C105" s="29"/>
      <c r="D105" s="30"/>
      <c r="E105" s="74" t="s">
        <v>496</v>
      </c>
      <c r="F105" s="29"/>
      <c r="G105" s="29"/>
      <c r="H105" s="29"/>
      <c r="I105" s="30"/>
      <c r="J105" s="74"/>
      <c r="K105" s="29"/>
      <c r="L105" s="29"/>
      <c r="M105" s="29"/>
      <c r="N105" s="29"/>
      <c r="O105" s="29"/>
      <c r="P105" s="30"/>
      <c r="Q105" s="74" t="s">
        <v>497</v>
      </c>
      <c r="R105" s="29"/>
      <c r="S105" s="29"/>
      <c r="T105" s="29"/>
      <c r="U105" s="29"/>
      <c r="V105" s="29"/>
      <c r="W105" s="30"/>
      <c r="X105" s="74" t="s">
        <v>498</v>
      </c>
      <c r="Y105" s="29"/>
      <c r="Z105" s="29"/>
      <c r="AA105" s="29"/>
      <c r="AB105" s="29"/>
      <c r="AC105" s="29"/>
      <c r="AD105" s="30"/>
      <c r="AE105" s="39" t="s">
        <v>499</v>
      </c>
      <c r="AF105" s="30"/>
      <c r="AG105" s="39"/>
      <c r="AH105" s="29"/>
      <c r="AI105" s="30"/>
      <c r="AJ105" s="39"/>
      <c r="AK105" s="29"/>
      <c r="AL105" s="30"/>
      <c r="AM105" s="39"/>
      <c r="AN105" s="29"/>
      <c r="AO105" s="30"/>
      <c r="AP105" s="88"/>
      <c r="AQ105" s="29"/>
      <c r="AR105" s="30"/>
      <c r="AS105" s="88"/>
      <c r="AT105" s="29"/>
      <c r="AU105" s="30"/>
      <c r="AV105" s="39"/>
      <c r="AW105" s="29"/>
      <c r="AX105" s="30"/>
      <c r="AY105" s="39"/>
      <c r="AZ105" s="29"/>
      <c r="BA105" s="30"/>
      <c r="BB105" s="39"/>
      <c r="BC105" s="29"/>
      <c r="BD105" s="30"/>
      <c r="BE105" s="88"/>
      <c r="BF105" s="29"/>
      <c r="BG105" s="30"/>
      <c r="BH105" s="88"/>
      <c r="BI105" s="29"/>
      <c r="BJ105" s="30"/>
      <c r="BK105" s="74"/>
      <c r="BL105" s="29"/>
      <c r="BM105" s="29"/>
      <c r="BN105" s="29"/>
      <c r="BO105" s="29"/>
      <c r="BP105" s="29"/>
      <c r="BQ105" s="30"/>
      <c r="BR105" s="18"/>
      <c r="BS105" s="18"/>
      <c r="BT105" s="18"/>
      <c r="BU105" s="18"/>
      <c r="BV105" s="18"/>
      <c r="BW105" s="18"/>
      <c r="BX105" s="18"/>
      <c r="BY105" s="18"/>
      <c r="BZ105" s="18"/>
      <c r="CA105" s="18"/>
      <c r="CB105" s="18"/>
      <c r="CC105" s="18"/>
      <c r="CD105" s="18"/>
      <c r="CE105" s="18"/>
      <c r="CF105" s="18"/>
      <c r="CG105" s="18"/>
      <c r="CH105" s="18"/>
      <c r="CI105" s="18"/>
      <c r="CJ105" s="18"/>
      <c r="CK105" s="18"/>
      <c r="CL105" s="18"/>
      <c r="CM105" s="18"/>
      <c r="CN105" s="18"/>
      <c r="CO105" s="18"/>
      <c r="CP105" s="18"/>
      <c r="CQ105" s="18"/>
      <c r="CR105" s="18"/>
      <c r="CS105" s="18"/>
      <c r="CT105" s="18"/>
      <c r="CU105" s="18"/>
      <c r="CV105" s="18"/>
      <c r="CW105" s="18"/>
      <c r="CX105" s="18"/>
      <c r="CY105" s="18"/>
      <c r="CZ105" s="18"/>
      <c r="DA105" s="18"/>
      <c r="DB105" s="18"/>
      <c r="DC105" s="18"/>
      <c r="DD105" s="18"/>
      <c r="DE105" s="18"/>
      <c r="DF105" s="18"/>
      <c r="DG105" s="18"/>
      <c r="DH105" s="18"/>
      <c r="DI105" s="18"/>
      <c r="DJ105" s="18"/>
      <c r="DK105" s="18"/>
      <c r="DL105" s="18"/>
      <c r="DM105" s="18"/>
      <c r="DN105" s="18"/>
      <c r="DO105" s="18"/>
      <c r="DP105" s="18"/>
      <c r="DQ105" s="18"/>
      <c r="DR105" s="18"/>
      <c r="DS105" s="18"/>
      <c r="DT105" s="18"/>
      <c r="DU105" s="18"/>
      <c r="DV105" s="18"/>
      <c r="DW105" s="18"/>
      <c r="DX105" s="18"/>
      <c r="DY105" s="18"/>
      <c r="DZ105" s="18"/>
      <c r="EA105" s="18"/>
      <c r="EB105" s="18"/>
      <c r="EC105" s="18"/>
      <c r="ED105" s="18"/>
      <c r="EE105" s="18"/>
    </row>
    <row r="106" spans="1:135" ht="91.5" customHeight="1" x14ac:dyDescent="0.2">
      <c r="A106" s="24">
        <f t="shared" si="14"/>
        <v>91</v>
      </c>
      <c r="B106" s="74"/>
      <c r="C106" s="29"/>
      <c r="D106" s="30"/>
      <c r="E106" s="74" t="s">
        <v>500</v>
      </c>
      <c r="F106" s="29"/>
      <c r="G106" s="29"/>
      <c r="H106" s="29"/>
      <c r="I106" s="30"/>
      <c r="J106" s="74" t="s">
        <v>501</v>
      </c>
      <c r="K106" s="29"/>
      <c r="L106" s="29"/>
      <c r="M106" s="29"/>
      <c r="N106" s="29"/>
      <c r="O106" s="29"/>
      <c r="P106" s="30"/>
      <c r="Q106" s="73" t="s">
        <v>180</v>
      </c>
      <c r="R106" s="29"/>
      <c r="S106" s="29"/>
      <c r="T106" s="29"/>
      <c r="U106" s="29"/>
      <c r="V106" s="29"/>
      <c r="W106" s="30"/>
      <c r="X106" s="73" t="s">
        <v>502</v>
      </c>
      <c r="Y106" s="29"/>
      <c r="Z106" s="29"/>
      <c r="AA106" s="29"/>
      <c r="AB106" s="29"/>
      <c r="AC106" s="29"/>
      <c r="AD106" s="30"/>
      <c r="AE106" s="39" t="s">
        <v>503</v>
      </c>
      <c r="AF106" s="30"/>
      <c r="AG106" s="39"/>
      <c r="AH106" s="29"/>
      <c r="AI106" s="30"/>
      <c r="AJ106" s="39"/>
      <c r="AK106" s="29"/>
      <c r="AL106" s="30"/>
      <c r="AM106" s="39"/>
      <c r="AN106" s="29"/>
      <c r="AO106" s="30"/>
      <c r="AP106" s="88"/>
      <c r="AQ106" s="29"/>
      <c r="AR106" s="30"/>
      <c r="AS106" s="88"/>
      <c r="AT106" s="29"/>
      <c r="AU106" s="30"/>
      <c r="AV106" s="39"/>
      <c r="AW106" s="29"/>
      <c r="AX106" s="30"/>
      <c r="AY106" s="39"/>
      <c r="AZ106" s="29"/>
      <c r="BA106" s="30"/>
      <c r="BB106" s="39"/>
      <c r="BC106" s="29"/>
      <c r="BD106" s="30"/>
      <c r="BE106" s="88"/>
      <c r="BF106" s="29"/>
      <c r="BG106" s="30"/>
      <c r="BH106" s="88"/>
      <c r="BI106" s="29"/>
      <c r="BJ106" s="30"/>
      <c r="BK106" s="74"/>
      <c r="BL106" s="29"/>
      <c r="BM106" s="29"/>
      <c r="BN106" s="29"/>
      <c r="BO106" s="29"/>
      <c r="BP106" s="29"/>
      <c r="BQ106" s="30"/>
      <c r="BR106" s="18"/>
      <c r="BS106" s="18"/>
      <c r="BT106" s="18"/>
      <c r="BU106" s="18"/>
      <c r="BV106" s="18"/>
      <c r="BW106" s="18"/>
      <c r="BX106" s="18"/>
      <c r="BY106" s="18"/>
      <c r="BZ106" s="18"/>
      <c r="CA106" s="18"/>
      <c r="CB106" s="18"/>
      <c r="CC106" s="18"/>
      <c r="CD106" s="18"/>
      <c r="CE106" s="18"/>
      <c r="CF106" s="18"/>
      <c r="CG106" s="18"/>
      <c r="CH106" s="18"/>
      <c r="CI106" s="18"/>
      <c r="CJ106" s="18"/>
      <c r="CK106" s="18"/>
      <c r="CL106" s="18"/>
      <c r="CM106" s="18"/>
      <c r="CN106" s="18"/>
      <c r="CO106" s="18"/>
      <c r="CP106" s="18"/>
      <c r="CQ106" s="18"/>
      <c r="CR106" s="18"/>
      <c r="CS106" s="18"/>
      <c r="CT106" s="18"/>
      <c r="CU106" s="18"/>
      <c r="CV106" s="18"/>
      <c r="CW106" s="18"/>
      <c r="CX106" s="18"/>
      <c r="CY106" s="18"/>
      <c r="CZ106" s="18"/>
      <c r="DA106" s="18"/>
      <c r="DB106" s="18"/>
      <c r="DC106" s="18"/>
      <c r="DD106" s="18"/>
      <c r="DE106" s="18"/>
      <c r="DF106" s="18"/>
      <c r="DG106" s="18"/>
      <c r="DH106" s="18"/>
      <c r="DI106" s="18"/>
      <c r="DJ106" s="18"/>
      <c r="DK106" s="18"/>
      <c r="DL106" s="18"/>
      <c r="DM106" s="18"/>
      <c r="DN106" s="18"/>
      <c r="DO106" s="18"/>
      <c r="DP106" s="18"/>
      <c r="DQ106" s="18"/>
      <c r="DR106" s="18"/>
      <c r="DS106" s="18"/>
      <c r="DT106" s="18"/>
      <c r="DU106" s="18"/>
      <c r="DV106" s="18"/>
      <c r="DW106" s="18"/>
      <c r="DX106" s="18"/>
      <c r="DY106" s="18"/>
      <c r="DZ106" s="18"/>
      <c r="EA106" s="18"/>
      <c r="EB106" s="18"/>
      <c r="EC106" s="18"/>
      <c r="ED106" s="18"/>
      <c r="EE106" s="18"/>
    </row>
    <row r="107" spans="1:135" ht="91.5" customHeight="1" x14ac:dyDescent="0.2">
      <c r="A107" s="24">
        <f t="shared" si="14"/>
        <v>92</v>
      </c>
      <c r="B107" s="74"/>
      <c r="C107" s="29"/>
      <c r="D107" s="30"/>
      <c r="E107" s="74" t="s">
        <v>504</v>
      </c>
      <c r="F107" s="29"/>
      <c r="G107" s="29"/>
      <c r="H107" s="29"/>
      <c r="I107" s="30"/>
      <c r="J107" s="74" t="s">
        <v>501</v>
      </c>
      <c r="K107" s="29"/>
      <c r="L107" s="29"/>
      <c r="M107" s="29"/>
      <c r="N107" s="29"/>
      <c r="O107" s="29"/>
      <c r="P107" s="30"/>
      <c r="Q107" s="74" t="s">
        <v>183</v>
      </c>
      <c r="R107" s="29"/>
      <c r="S107" s="29"/>
      <c r="T107" s="29"/>
      <c r="U107" s="29"/>
      <c r="V107" s="29"/>
      <c r="W107" s="30"/>
      <c r="X107" s="73" t="s">
        <v>505</v>
      </c>
      <c r="Y107" s="29"/>
      <c r="Z107" s="29"/>
      <c r="AA107" s="29"/>
      <c r="AB107" s="29"/>
      <c r="AC107" s="29"/>
      <c r="AD107" s="30"/>
      <c r="AE107" s="39" t="s">
        <v>506</v>
      </c>
      <c r="AF107" s="30"/>
      <c r="AG107" s="39"/>
      <c r="AH107" s="29"/>
      <c r="AI107" s="30"/>
      <c r="AJ107" s="39"/>
      <c r="AK107" s="29"/>
      <c r="AL107" s="30"/>
      <c r="AM107" s="39"/>
      <c r="AN107" s="29"/>
      <c r="AO107" s="30"/>
      <c r="AP107" s="88"/>
      <c r="AQ107" s="29"/>
      <c r="AR107" s="30"/>
      <c r="AS107" s="88"/>
      <c r="AT107" s="29"/>
      <c r="AU107" s="30"/>
      <c r="AV107" s="39"/>
      <c r="AW107" s="29"/>
      <c r="AX107" s="30"/>
      <c r="AY107" s="39"/>
      <c r="AZ107" s="29"/>
      <c r="BA107" s="30"/>
      <c r="BB107" s="39"/>
      <c r="BC107" s="29"/>
      <c r="BD107" s="30"/>
      <c r="BE107" s="88"/>
      <c r="BF107" s="29"/>
      <c r="BG107" s="30"/>
      <c r="BH107" s="88"/>
      <c r="BI107" s="29"/>
      <c r="BJ107" s="30"/>
      <c r="BK107" s="74"/>
      <c r="BL107" s="29"/>
      <c r="BM107" s="29"/>
      <c r="BN107" s="29"/>
      <c r="BO107" s="29"/>
      <c r="BP107" s="29"/>
      <c r="BQ107" s="30"/>
      <c r="BR107" s="18"/>
      <c r="BS107" s="18"/>
      <c r="BT107" s="18"/>
      <c r="BU107" s="18"/>
      <c r="BV107" s="18"/>
      <c r="BW107" s="18"/>
      <c r="BX107" s="18"/>
      <c r="BY107" s="18"/>
      <c r="BZ107" s="18"/>
      <c r="CA107" s="18"/>
      <c r="CB107" s="18"/>
      <c r="CC107" s="18"/>
      <c r="CD107" s="18"/>
      <c r="CE107" s="18"/>
      <c r="CF107" s="18"/>
      <c r="CG107" s="18"/>
      <c r="CH107" s="18"/>
      <c r="CI107" s="18"/>
      <c r="CJ107" s="18"/>
      <c r="CK107" s="18"/>
      <c r="CL107" s="18"/>
      <c r="CM107" s="18"/>
      <c r="CN107" s="18"/>
      <c r="CO107" s="18"/>
      <c r="CP107" s="18"/>
      <c r="CQ107" s="18"/>
      <c r="CR107" s="18"/>
      <c r="CS107" s="18"/>
      <c r="CT107" s="18"/>
      <c r="CU107" s="18"/>
      <c r="CV107" s="18"/>
      <c r="CW107" s="18"/>
      <c r="CX107" s="18"/>
      <c r="CY107" s="18"/>
      <c r="CZ107" s="18"/>
      <c r="DA107" s="18"/>
      <c r="DB107" s="18"/>
      <c r="DC107" s="18"/>
      <c r="DD107" s="18"/>
      <c r="DE107" s="18"/>
      <c r="DF107" s="18"/>
      <c r="DG107" s="18"/>
      <c r="DH107" s="18"/>
      <c r="DI107" s="18"/>
      <c r="DJ107" s="18"/>
      <c r="DK107" s="18"/>
      <c r="DL107" s="18"/>
      <c r="DM107" s="18"/>
      <c r="DN107" s="18"/>
      <c r="DO107" s="18"/>
      <c r="DP107" s="18"/>
      <c r="DQ107" s="18"/>
      <c r="DR107" s="18"/>
      <c r="DS107" s="18"/>
      <c r="DT107" s="18"/>
      <c r="DU107" s="18"/>
      <c r="DV107" s="18"/>
      <c r="DW107" s="18"/>
      <c r="DX107" s="18"/>
      <c r="DY107" s="18"/>
      <c r="DZ107" s="18"/>
      <c r="EA107" s="18"/>
      <c r="EB107" s="18"/>
      <c r="EC107" s="18"/>
      <c r="ED107" s="18"/>
      <c r="EE107" s="18"/>
    </row>
    <row r="108" spans="1:135" ht="26.25" customHeight="1" x14ac:dyDescent="0.2">
      <c r="A108" s="91" t="s">
        <v>507</v>
      </c>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c r="AS108" s="81"/>
      <c r="AT108" s="81"/>
      <c r="AU108" s="81"/>
      <c r="AV108" s="81"/>
      <c r="AW108" s="81"/>
      <c r="AX108" s="81"/>
      <c r="AY108" s="81"/>
      <c r="AZ108" s="81"/>
      <c r="BA108" s="81"/>
      <c r="BB108" s="81"/>
      <c r="BC108" s="81"/>
      <c r="BD108" s="81"/>
      <c r="BE108" s="81"/>
      <c r="BF108" s="81"/>
      <c r="BG108" s="81"/>
      <c r="BH108" s="81"/>
      <c r="BI108" s="81"/>
      <c r="BJ108" s="81"/>
      <c r="BK108" s="81"/>
      <c r="BL108" s="81"/>
      <c r="BM108" s="81"/>
      <c r="BN108" s="81"/>
      <c r="BO108" s="81"/>
      <c r="BP108" s="81"/>
      <c r="BQ108" s="83"/>
      <c r="BR108" s="18"/>
      <c r="BS108" s="18"/>
      <c r="BT108" s="18"/>
      <c r="BU108" s="18"/>
      <c r="BV108" s="18"/>
      <c r="BW108" s="18"/>
      <c r="BX108" s="18"/>
      <c r="BY108" s="18"/>
      <c r="BZ108" s="18"/>
      <c r="CA108" s="18"/>
      <c r="CB108" s="18"/>
      <c r="CC108" s="18"/>
      <c r="CD108" s="18"/>
      <c r="CE108" s="18"/>
      <c r="CF108" s="18"/>
      <c r="CG108" s="18"/>
      <c r="CH108" s="18"/>
      <c r="CI108" s="18"/>
      <c r="CJ108" s="18"/>
      <c r="CK108" s="18"/>
      <c r="CL108" s="18"/>
      <c r="CM108" s="18"/>
      <c r="CN108" s="18"/>
      <c r="CO108" s="18"/>
      <c r="CP108" s="18"/>
      <c r="CQ108" s="18"/>
      <c r="CR108" s="18"/>
      <c r="CS108" s="18"/>
      <c r="CT108" s="18"/>
      <c r="CU108" s="18"/>
      <c r="CV108" s="18"/>
      <c r="CW108" s="18"/>
      <c r="CX108" s="18"/>
      <c r="CY108" s="18"/>
      <c r="CZ108" s="18"/>
      <c r="DA108" s="18"/>
      <c r="DB108" s="18"/>
      <c r="DC108" s="18"/>
      <c r="DD108" s="18"/>
      <c r="DE108" s="18"/>
      <c r="DF108" s="18"/>
      <c r="DG108" s="18"/>
      <c r="DH108" s="18"/>
      <c r="DI108" s="18"/>
      <c r="DJ108" s="18"/>
      <c r="DK108" s="18"/>
      <c r="DL108" s="18"/>
      <c r="DM108" s="18"/>
      <c r="DN108" s="18"/>
      <c r="DO108" s="18"/>
      <c r="DP108" s="18"/>
      <c r="DQ108" s="18"/>
      <c r="DR108" s="18"/>
      <c r="DS108" s="18"/>
      <c r="DT108" s="18"/>
      <c r="DU108" s="18"/>
      <c r="DV108" s="18"/>
      <c r="DW108" s="18"/>
      <c r="DX108" s="18"/>
      <c r="DY108" s="18"/>
      <c r="DZ108" s="18"/>
      <c r="EA108" s="18"/>
      <c r="EB108" s="18"/>
      <c r="EC108" s="18"/>
      <c r="ED108" s="18"/>
      <c r="EE108" s="18"/>
    </row>
    <row r="109" spans="1:135" ht="91.5" customHeight="1" x14ac:dyDescent="0.2">
      <c r="A109" s="24">
        <f t="shared" ref="A109:A119" si="15">ROW()-16</f>
        <v>93</v>
      </c>
      <c r="B109" s="74"/>
      <c r="C109" s="29"/>
      <c r="D109" s="30"/>
      <c r="E109" s="80" t="s">
        <v>204</v>
      </c>
      <c r="F109" s="81"/>
      <c r="G109" s="81"/>
      <c r="H109" s="81"/>
      <c r="I109" s="83"/>
      <c r="J109" s="74" t="s">
        <v>508</v>
      </c>
      <c r="K109" s="29"/>
      <c r="L109" s="29"/>
      <c r="M109" s="29"/>
      <c r="N109" s="29"/>
      <c r="O109" s="29"/>
      <c r="P109" s="30"/>
      <c r="Q109" s="74" t="s">
        <v>509</v>
      </c>
      <c r="R109" s="29"/>
      <c r="S109" s="29"/>
      <c r="T109" s="29"/>
      <c r="U109" s="29"/>
      <c r="V109" s="29"/>
      <c r="W109" s="30"/>
      <c r="X109" s="92" t="s">
        <v>510</v>
      </c>
      <c r="Y109" s="29"/>
      <c r="Z109" s="29"/>
      <c r="AA109" s="29"/>
      <c r="AB109" s="29"/>
      <c r="AC109" s="29"/>
      <c r="AD109" s="30"/>
      <c r="AE109" s="39" t="s">
        <v>511</v>
      </c>
      <c r="AF109" s="30"/>
      <c r="AG109" s="39"/>
      <c r="AH109" s="29"/>
      <c r="AI109" s="30"/>
      <c r="AJ109" s="39"/>
      <c r="AK109" s="29"/>
      <c r="AL109" s="30"/>
      <c r="AM109" s="39"/>
      <c r="AN109" s="29"/>
      <c r="AO109" s="30"/>
      <c r="AP109" s="88"/>
      <c r="AQ109" s="29"/>
      <c r="AR109" s="30"/>
      <c r="AS109" s="88"/>
      <c r="AT109" s="29"/>
      <c r="AU109" s="30"/>
      <c r="AV109" s="39"/>
      <c r="AW109" s="29"/>
      <c r="AX109" s="30"/>
      <c r="AY109" s="39"/>
      <c r="AZ109" s="29"/>
      <c r="BA109" s="30"/>
      <c r="BB109" s="39"/>
      <c r="BC109" s="29"/>
      <c r="BD109" s="30"/>
      <c r="BE109" s="88"/>
      <c r="BF109" s="29"/>
      <c r="BG109" s="30"/>
      <c r="BH109" s="88"/>
      <c r="BI109" s="29"/>
      <c r="BJ109" s="30"/>
      <c r="BK109" s="74"/>
      <c r="BL109" s="29"/>
      <c r="BM109" s="29"/>
      <c r="BN109" s="29"/>
      <c r="BO109" s="29"/>
      <c r="BP109" s="29"/>
      <c r="BQ109" s="30"/>
      <c r="BR109" s="18"/>
      <c r="BS109" s="18"/>
      <c r="BT109" s="18"/>
      <c r="BU109" s="18"/>
      <c r="BV109" s="18"/>
      <c r="BW109" s="18"/>
      <c r="BX109" s="18"/>
      <c r="BY109" s="18"/>
      <c r="BZ109" s="18"/>
      <c r="CA109" s="18"/>
      <c r="CB109" s="18"/>
      <c r="CC109" s="18"/>
      <c r="CD109" s="18"/>
      <c r="CE109" s="18"/>
      <c r="CF109" s="18"/>
      <c r="CG109" s="18"/>
      <c r="CH109" s="18"/>
      <c r="CI109" s="18"/>
      <c r="CJ109" s="18"/>
      <c r="CK109" s="18"/>
      <c r="CL109" s="18"/>
      <c r="CM109" s="18"/>
      <c r="CN109" s="18"/>
      <c r="CO109" s="18"/>
      <c r="CP109" s="18"/>
      <c r="CQ109" s="18"/>
      <c r="CR109" s="18"/>
      <c r="CS109" s="18"/>
      <c r="CT109" s="18"/>
      <c r="CU109" s="18"/>
      <c r="CV109" s="18"/>
      <c r="CW109" s="18"/>
      <c r="CX109" s="18"/>
      <c r="CY109" s="18"/>
      <c r="CZ109" s="18"/>
      <c r="DA109" s="18"/>
      <c r="DB109" s="18"/>
      <c r="DC109" s="18"/>
      <c r="DD109" s="18"/>
      <c r="DE109" s="18"/>
      <c r="DF109" s="18"/>
      <c r="DG109" s="18"/>
      <c r="DH109" s="18"/>
      <c r="DI109" s="18"/>
      <c r="DJ109" s="18"/>
      <c r="DK109" s="18"/>
      <c r="DL109" s="18"/>
      <c r="DM109" s="18"/>
      <c r="DN109" s="18"/>
      <c r="DO109" s="18"/>
      <c r="DP109" s="18"/>
      <c r="DQ109" s="18"/>
      <c r="DR109" s="18"/>
      <c r="DS109" s="18"/>
      <c r="DT109" s="18"/>
      <c r="DU109" s="18"/>
      <c r="DV109" s="18"/>
      <c r="DW109" s="18"/>
      <c r="DX109" s="18"/>
      <c r="DY109" s="18"/>
      <c r="DZ109" s="18"/>
      <c r="EA109" s="18"/>
      <c r="EB109" s="18"/>
      <c r="EC109" s="18"/>
      <c r="ED109" s="18"/>
      <c r="EE109" s="18"/>
    </row>
    <row r="110" spans="1:135" ht="91.5" customHeight="1" x14ac:dyDescent="0.2">
      <c r="A110" s="24">
        <f t="shared" si="15"/>
        <v>94</v>
      </c>
      <c r="B110" s="74"/>
      <c r="C110" s="29"/>
      <c r="D110" s="30"/>
      <c r="E110" s="80" t="s">
        <v>208</v>
      </c>
      <c r="F110" s="81"/>
      <c r="G110" s="81"/>
      <c r="H110" s="81"/>
      <c r="I110" s="83"/>
      <c r="J110" s="74" t="s">
        <v>512</v>
      </c>
      <c r="K110" s="29"/>
      <c r="L110" s="29"/>
      <c r="M110" s="29"/>
      <c r="N110" s="29"/>
      <c r="O110" s="29"/>
      <c r="P110" s="30"/>
      <c r="Q110" s="74" t="s">
        <v>513</v>
      </c>
      <c r="R110" s="29"/>
      <c r="S110" s="29"/>
      <c r="T110" s="29"/>
      <c r="U110" s="29"/>
      <c r="V110" s="29"/>
      <c r="W110" s="30"/>
      <c r="X110" s="92" t="s">
        <v>514</v>
      </c>
      <c r="Y110" s="29"/>
      <c r="Z110" s="29"/>
      <c r="AA110" s="29"/>
      <c r="AB110" s="29"/>
      <c r="AC110" s="29"/>
      <c r="AD110" s="30"/>
      <c r="AE110" s="39" t="s">
        <v>515</v>
      </c>
      <c r="AF110" s="30"/>
      <c r="AG110" s="39"/>
      <c r="AH110" s="29"/>
      <c r="AI110" s="30"/>
      <c r="AJ110" s="39"/>
      <c r="AK110" s="29"/>
      <c r="AL110" s="30"/>
      <c r="AM110" s="39"/>
      <c r="AN110" s="29"/>
      <c r="AO110" s="30"/>
      <c r="AP110" s="88"/>
      <c r="AQ110" s="29"/>
      <c r="AR110" s="30"/>
      <c r="AS110" s="88"/>
      <c r="AT110" s="29"/>
      <c r="AU110" s="30"/>
      <c r="AV110" s="39"/>
      <c r="AW110" s="29"/>
      <c r="AX110" s="30"/>
      <c r="AY110" s="39"/>
      <c r="AZ110" s="29"/>
      <c r="BA110" s="30"/>
      <c r="BB110" s="39"/>
      <c r="BC110" s="29"/>
      <c r="BD110" s="30"/>
      <c r="BE110" s="88"/>
      <c r="BF110" s="29"/>
      <c r="BG110" s="30"/>
      <c r="BH110" s="88"/>
      <c r="BI110" s="29"/>
      <c r="BJ110" s="30"/>
      <c r="BK110" s="74"/>
      <c r="BL110" s="29"/>
      <c r="BM110" s="29"/>
      <c r="BN110" s="29"/>
      <c r="BO110" s="29"/>
      <c r="BP110" s="29"/>
      <c r="BQ110" s="30"/>
      <c r="BR110" s="18"/>
      <c r="BS110" s="18"/>
      <c r="BT110" s="18"/>
      <c r="BU110" s="18"/>
      <c r="BV110" s="18"/>
      <c r="BW110" s="18"/>
      <c r="BX110" s="18"/>
      <c r="BY110" s="18"/>
      <c r="BZ110" s="18"/>
      <c r="CA110" s="18"/>
      <c r="CB110" s="18"/>
      <c r="CC110" s="18"/>
      <c r="CD110" s="18"/>
      <c r="CE110" s="18"/>
      <c r="CF110" s="18"/>
      <c r="CG110" s="18"/>
      <c r="CH110" s="18"/>
      <c r="CI110" s="18"/>
      <c r="CJ110" s="18"/>
      <c r="CK110" s="18"/>
      <c r="CL110" s="18"/>
      <c r="CM110" s="18"/>
      <c r="CN110" s="18"/>
      <c r="CO110" s="18"/>
      <c r="CP110" s="18"/>
      <c r="CQ110" s="18"/>
      <c r="CR110" s="18"/>
      <c r="CS110" s="18"/>
      <c r="CT110" s="18"/>
      <c r="CU110" s="18"/>
      <c r="CV110" s="18"/>
      <c r="CW110" s="18"/>
      <c r="CX110" s="18"/>
      <c r="CY110" s="18"/>
      <c r="CZ110" s="18"/>
      <c r="DA110" s="18"/>
      <c r="DB110" s="18"/>
      <c r="DC110" s="18"/>
      <c r="DD110" s="18"/>
      <c r="DE110" s="18"/>
      <c r="DF110" s="18"/>
      <c r="DG110" s="18"/>
      <c r="DH110" s="18"/>
      <c r="DI110" s="18"/>
      <c r="DJ110" s="18"/>
      <c r="DK110" s="18"/>
      <c r="DL110" s="18"/>
      <c r="DM110" s="18"/>
      <c r="DN110" s="18"/>
      <c r="DO110" s="18"/>
      <c r="DP110" s="18"/>
      <c r="DQ110" s="18"/>
      <c r="DR110" s="18"/>
      <c r="DS110" s="18"/>
      <c r="DT110" s="18"/>
      <c r="DU110" s="18"/>
      <c r="DV110" s="18"/>
      <c r="DW110" s="18"/>
      <c r="DX110" s="18"/>
      <c r="DY110" s="18"/>
      <c r="DZ110" s="18"/>
      <c r="EA110" s="18"/>
      <c r="EB110" s="18"/>
      <c r="EC110" s="18"/>
      <c r="ED110" s="18"/>
      <c r="EE110" s="18"/>
    </row>
    <row r="111" spans="1:135" ht="91.5" customHeight="1" x14ac:dyDescent="0.2">
      <c r="A111" s="24">
        <f t="shared" si="15"/>
        <v>95</v>
      </c>
      <c r="B111" s="74"/>
      <c r="C111" s="29"/>
      <c r="D111" s="30"/>
      <c r="E111" s="74" t="s">
        <v>516</v>
      </c>
      <c r="F111" s="29"/>
      <c r="G111" s="29"/>
      <c r="H111" s="29"/>
      <c r="I111" s="30"/>
      <c r="J111" s="74" t="s">
        <v>517</v>
      </c>
      <c r="K111" s="29"/>
      <c r="L111" s="29"/>
      <c r="M111" s="29"/>
      <c r="N111" s="29"/>
      <c r="O111" s="29"/>
      <c r="P111" s="30"/>
      <c r="Q111" s="74" t="s">
        <v>518</v>
      </c>
      <c r="R111" s="29"/>
      <c r="S111" s="29"/>
      <c r="T111" s="29"/>
      <c r="U111" s="29"/>
      <c r="V111" s="29"/>
      <c r="W111" s="30"/>
      <c r="X111" s="74" t="s">
        <v>519</v>
      </c>
      <c r="Y111" s="29"/>
      <c r="Z111" s="29"/>
      <c r="AA111" s="29"/>
      <c r="AB111" s="29"/>
      <c r="AC111" s="29"/>
      <c r="AD111" s="30"/>
      <c r="AE111" s="39" t="s">
        <v>520</v>
      </c>
      <c r="AF111" s="30"/>
      <c r="AG111" s="39"/>
      <c r="AH111" s="29"/>
      <c r="AI111" s="30"/>
      <c r="AJ111" s="39"/>
      <c r="AK111" s="29"/>
      <c r="AL111" s="30"/>
      <c r="AM111" s="39"/>
      <c r="AN111" s="29"/>
      <c r="AO111" s="30"/>
      <c r="AP111" s="88"/>
      <c r="AQ111" s="29"/>
      <c r="AR111" s="30"/>
      <c r="AS111" s="88"/>
      <c r="AT111" s="29"/>
      <c r="AU111" s="30"/>
      <c r="AV111" s="39"/>
      <c r="AW111" s="29"/>
      <c r="AX111" s="30"/>
      <c r="AY111" s="39"/>
      <c r="AZ111" s="29"/>
      <c r="BA111" s="30"/>
      <c r="BB111" s="39"/>
      <c r="BC111" s="29"/>
      <c r="BD111" s="30"/>
      <c r="BE111" s="88"/>
      <c r="BF111" s="29"/>
      <c r="BG111" s="30"/>
      <c r="BH111" s="88"/>
      <c r="BI111" s="29"/>
      <c r="BJ111" s="30"/>
      <c r="BK111" s="74"/>
      <c r="BL111" s="29"/>
      <c r="BM111" s="29"/>
      <c r="BN111" s="29"/>
      <c r="BO111" s="29"/>
      <c r="BP111" s="29"/>
      <c r="BQ111" s="30"/>
      <c r="BR111" s="18"/>
      <c r="BS111" s="18"/>
      <c r="BT111" s="18"/>
      <c r="BU111" s="18"/>
      <c r="BV111" s="18"/>
      <c r="BW111" s="18"/>
      <c r="BX111" s="18"/>
      <c r="BY111" s="18"/>
      <c r="BZ111" s="18"/>
      <c r="CA111" s="18"/>
      <c r="CB111" s="18"/>
      <c r="CC111" s="18"/>
      <c r="CD111" s="18"/>
      <c r="CE111" s="18"/>
      <c r="CF111" s="18"/>
      <c r="CG111" s="18"/>
      <c r="CH111" s="18"/>
      <c r="CI111" s="18"/>
      <c r="CJ111" s="18"/>
      <c r="CK111" s="18"/>
      <c r="CL111" s="18"/>
      <c r="CM111" s="18"/>
      <c r="CN111" s="18"/>
      <c r="CO111" s="18"/>
      <c r="CP111" s="18"/>
      <c r="CQ111" s="18"/>
      <c r="CR111" s="18"/>
      <c r="CS111" s="18"/>
      <c r="CT111" s="18"/>
      <c r="CU111" s="18"/>
      <c r="CV111" s="18"/>
      <c r="CW111" s="18"/>
      <c r="CX111" s="18"/>
      <c r="CY111" s="18"/>
      <c r="CZ111" s="18"/>
      <c r="DA111" s="18"/>
      <c r="DB111" s="18"/>
      <c r="DC111" s="18"/>
      <c r="DD111" s="18"/>
      <c r="DE111" s="18"/>
      <c r="DF111" s="18"/>
      <c r="DG111" s="18"/>
      <c r="DH111" s="18"/>
      <c r="DI111" s="18"/>
      <c r="DJ111" s="18"/>
      <c r="DK111" s="18"/>
      <c r="DL111" s="18"/>
      <c r="DM111" s="18"/>
      <c r="DN111" s="18"/>
      <c r="DO111" s="18"/>
      <c r="DP111" s="18"/>
      <c r="DQ111" s="18"/>
      <c r="DR111" s="18"/>
      <c r="DS111" s="18"/>
      <c r="DT111" s="18"/>
      <c r="DU111" s="18"/>
      <c r="DV111" s="18"/>
      <c r="DW111" s="18"/>
      <c r="DX111" s="18"/>
      <c r="DY111" s="18"/>
      <c r="DZ111" s="18"/>
      <c r="EA111" s="18"/>
      <c r="EB111" s="18"/>
      <c r="EC111" s="18"/>
      <c r="ED111" s="18"/>
      <c r="EE111" s="18"/>
    </row>
    <row r="112" spans="1:135" ht="91.5" customHeight="1" x14ac:dyDescent="0.2">
      <c r="A112" s="24">
        <f t="shared" si="15"/>
        <v>96</v>
      </c>
      <c r="B112" s="74"/>
      <c r="C112" s="29"/>
      <c r="D112" s="30"/>
      <c r="E112" s="74" t="s">
        <v>521</v>
      </c>
      <c r="F112" s="29"/>
      <c r="G112" s="29"/>
      <c r="H112" s="29"/>
      <c r="I112" s="30"/>
      <c r="J112" s="74" t="s">
        <v>522</v>
      </c>
      <c r="K112" s="29"/>
      <c r="L112" s="29"/>
      <c r="M112" s="29"/>
      <c r="N112" s="29"/>
      <c r="O112" s="29"/>
      <c r="P112" s="30"/>
      <c r="Q112" s="74" t="s">
        <v>518</v>
      </c>
      <c r="R112" s="29"/>
      <c r="S112" s="29"/>
      <c r="T112" s="29"/>
      <c r="U112" s="29"/>
      <c r="V112" s="29"/>
      <c r="W112" s="30"/>
      <c r="X112" s="74" t="s">
        <v>523</v>
      </c>
      <c r="Y112" s="29"/>
      <c r="Z112" s="29"/>
      <c r="AA112" s="29"/>
      <c r="AB112" s="29"/>
      <c r="AC112" s="29"/>
      <c r="AD112" s="30"/>
      <c r="AE112" s="39" t="s">
        <v>524</v>
      </c>
      <c r="AF112" s="30"/>
      <c r="AG112" s="39"/>
      <c r="AH112" s="29"/>
      <c r="AI112" s="30"/>
      <c r="AJ112" s="39"/>
      <c r="AK112" s="29"/>
      <c r="AL112" s="30"/>
      <c r="AM112" s="39"/>
      <c r="AN112" s="29"/>
      <c r="AO112" s="30"/>
      <c r="AP112" s="88"/>
      <c r="AQ112" s="29"/>
      <c r="AR112" s="30"/>
      <c r="AS112" s="88"/>
      <c r="AT112" s="29"/>
      <c r="AU112" s="30"/>
      <c r="AV112" s="39"/>
      <c r="AW112" s="29"/>
      <c r="AX112" s="30"/>
      <c r="AY112" s="39"/>
      <c r="AZ112" s="29"/>
      <c r="BA112" s="30"/>
      <c r="BB112" s="39"/>
      <c r="BC112" s="29"/>
      <c r="BD112" s="30"/>
      <c r="BE112" s="88"/>
      <c r="BF112" s="29"/>
      <c r="BG112" s="30"/>
      <c r="BH112" s="88"/>
      <c r="BI112" s="29"/>
      <c r="BJ112" s="30"/>
      <c r="BK112" s="74"/>
      <c r="BL112" s="29"/>
      <c r="BM112" s="29"/>
      <c r="BN112" s="29"/>
      <c r="BO112" s="29"/>
      <c r="BP112" s="29"/>
      <c r="BQ112" s="30"/>
      <c r="BR112" s="18"/>
      <c r="BS112" s="18"/>
      <c r="BT112" s="18"/>
      <c r="BU112" s="18"/>
      <c r="BV112" s="18"/>
      <c r="BW112" s="18"/>
      <c r="BX112" s="18"/>
      <c r="BY112" s="18"/>
      <c r="BZ112" s="18"/>
      <c r="CA112" s="18"/>
      <c r="CB112" s="18"/>
      <c r="CC112" s="18"/>
      <c r="CD112" s="18"/>
      <c r="CE112" s="18"/>
      <c r="CF112" s="18"/>
      <c r="CG112" s="18"/>
      <c r="CH112" s="18"/>
      <c r="CI112" s="18"/>
      <c r="CJ112" s="18"/>
      <c r="CK112" s="18"/>
      <c r="CL112" s="18"/>
      <c r="CM112" s="18"/>
      <c r="CN112" s="18"/>
      <c r="CO112" s="18"/>
      <c r="CP112" s="18"/>
      <c r="CQ112" s="18"/>
      <c r="CR112" s="18"/>
      <c r="CS112" s="18"/>
      <c r="CT112" s="18"/>
      <c r="CU112" s="18"/>
      <c r="CV112" s="18"/>
      <c r="CW112" s="18"/>
      <c r="CX112" s="18"/>
      <c r="CY112" s="18"/>
      <c r="CZ112" s="18"/>
      <c r="DA112" s="18"/>
      <c r="DB112" s="18"/>
      <c r="DC112" s="18"/>
      <c r="DD112" s="18"/>
      <c r="DE112" s="18"/>
      <c r="DF112" s="18"/>
      <c r="DG112" s="18"/>
      <c r="DH112" s="18"/>
      <c r="DI112" s="18"/>
      <c r="DJ112" s="18"/>
      <c r="DK112" s="18"/>
      <c r="DL112" s="18"/>
      <c r="DM112" s="18"/>
      <c r="DN112" s="18"/>
      <c r="DO112" s="18"/>
      <c r="DP112" s="18"/>
      <c r="DQ112" s="18"/>
      <c r="DR112" s="18"/>
      <c r="DS112" s="18"/>
      <c r="DT112" s="18"/>
      <c r="DU112" s="18"/>
      <c r="DV112" s="18"/>
      <c r="DW112" s="18"/>
      <c r="DX112" s="18"/>
      <c r="DY112" s="18"/>
      <c r="DZ112" s="18"/>
      <c r="EA112" s="18"/>
      <c r="EB112" s="18"/>
      <c r="EC112" s="18"/>
      <c r="ED112" s="18"/>
      <c r="EE112" s="18"/>
    </row>
    <row r="113" spans="1:135" ht="91.5" customHeight="1" x14ac:dyDescent="0.2">
      <c r="A113" s="24">
        <f t="shared" si="15"/>
        <v>97</v>
      </c>
      <c r="B113" s="74"/>
      <c r="C113" s="29"/>
      <c r="D113" s="30"/>
      <c r="E113" s="74" t="s">
        <v>525</v>
      </c>
      <c r="F113" s="29"/>
      <c r="G113" s="29"/>
      <c r="H113" s="29"/>
      <c r="I113" s="30"/>
      <c r="J113" s="74"/>
      <c r="K113" s="29"/>
      <c r="L113" s="29"/>
      <c r="M113" s="29"/>
      <c r="N113" s="29"/>
      <c r="O113" s="29"/>
      <c r="P113" s="30"/>
      <c r="Q113" s="74" t="s">
        <v>526</v>
      </c>
      <c r="R113" s="29"/>
      <c r="S113" s="29"/>
      <c r="T113" s="29"/>
      <c r="U113" s="29"/>
      <c r="V113" s="29"/>
      <c r="W113" s="30"/>
      <c r="X113" s="74" t="s">
        <v>527</v>
      </c>
      <c r="Y113" s="29"/>
      <c r="Z113" s="29"/>
      <c r="AA113" s="29"/>
      <c r="AB113" s="29"/>
      <c r="AC113" s="29"/>
      <c r="AD113" s="30"/>
      <c r="AE113" s="39" t="s">
        <v>528</v>
      </c>
      <c r="AF113" s="30"/>
      <c r="AG113" s="39"/>
      <c r="AH113" s="29"/>
      <c r="AI113" s="30"/>
      <c r="AJ113" s="39"/>
      <c r="AK113" s="29"/>
      <c r="AL113" s="30"/>
      <c r="AM113" s="39"/>
      <c r="AN113" s="29"/>
      <c r="AO113" s="30"/>
      <c r="AP113" s="88"/>
      <c r="AQ113" s="29"/>
      <c r="AR113" s="30"/>
      <c r="AS113" s="88"/>
      <c r="AT113" s="29"/>
      <c r="AU113" s="30"/>
      <c r="AV113" s="39"/>
      <c r="AW113" s="29"/>
      <c r="AX113" s="30"/>
      <c r="AY113" s="39"/>
      <c r="AZ113" s="29"/>
      <c r="BA113" s="30"/>
      <c r="BB113" s="39"/>
      <c r="BC113" s="29"/>
      <c r="BD113" s="30"/>
      <c r="BE113" s="88"/>
      <c r="BF113" s="29"/>
      <c r="BG113" s="30"/>
      <c r="BH113" s="88"/>
      <c r="BI113" s="29"/>
      <c r="BJ113" s="30"/>
      <c r="BK113" s="74"/>
      <c r="BL113" s="29"/>
      <c r="BM113" s="29"/>
      <c r="BN113" s="29"/>
      <c r="BO113" s="29"/>
      <c r="BP113" s="29"/>
      <c r="BQ113" s="30"/>
      <c r="BR113" s="18"/>
      <c r="BS113" s="18"/>
      <c r="BT113" s="18"/>
      <c r="BU113" s="18"/>
      <c r="BV113" s="18"/>
      <c r="BW113" s="18"/>
      <c r="BX113" s="18"/>
      <c r="BY113" s="18"/>
      <c r="BZ113" s="18"/>
      <c r="CA113" s="18"/>
      <c r="CB113" s="18"/>
      <c r="CC113" s="18"/>
      <c r="CD113" s="18"/>
      <c r="CE113" s="18"/>
      <c r="CF113" s="18"/>
      <c r="CG113" s="18"/>
      <c r="CH113" s="18"/>
      <c r="CI113" s="18"/>
      <c r="CJ113" s="18"/>
      <c r="CK113" s="18"/>
      <c r="CL113" s="18"/>
      <c r="CM113" s="18"/>
      <c r="CN113" s="18"/>
      <c r="CO113" s="18"/>
      <c r="CP113" s="18"/>
      <c r="CQ113" s="18"/>
      <c r="CR113" s="18"/>
      <c r="CS113" s="18"/>
      <c r="CT113" s="18"/>
      <c r="CU113" s="18"/>
      <c r="CV113" s="18"/>
      <c r="CW113" s="18"/>
      <c r="CX113" s="18"/>
      <c r="CY113" s="18"/>
      <c r="CZ113" s="18"/>
      <c r="DA113" s="18"/>
      <c r="DB113" s="18"/>
      <c r="DC113" s="18"/>
      <c r="DD113" s="18"/>
      <c r="DE113" s="18"/>
      <c r="DF113" s="18"/>
      <c r="DG113" s="18"/>
      <c r="DH113" s="18"/>
      <c r="DI113" s="18"/>
      <c r="DJ113" s="18"/>
      <c r="DK113" s="18"/>
      <c r="DL113" s="18"/>
      <c r="DM113" s="18"/>
      <c r="DN113" s="18"/>
      <c r="DO113" s="18"/>
      <c r="DP113" s="18"/>
      <c r="DQ113" s="18"/>
      <c r="DR113" s="18"/>
      <c r="DS113" s="18"/>
      <c r="DT113" s="18"/>
      <c r="DU113" s="18"/>
      <c r="DV113" s="18"/>
      <c r="DW113" s="18"/>
      <c r="DX113" s="18"/>
      <c r="DY113" s="18"/>
      <c r="DZ113" s="18"/>
      <c r="EA113" s="18"/>
      <c r="EB113" s="18"/>
      <c r="EC113" s="18"/>
      <c r="ED113" s="18"/>
      <c r="EE113" s="18"/>
    </row>
    <row r="114" spans="1:135" ht="115.5" customHeight="1" x14ac:dyDescent="0.2">
      <c r="A114" s="24">
        <f t="shared" si="15"/>
        <v>98</v>
      </c>
      <c r="B114" s="74"/>
      <c r="C114" s="29"/>
      <c r="D114" s="30"/>
      <c r="E114" s="74" t="s">
        <v>529</v>
      </c>
      <c r="F114" s="29"/>
      <c r="G114" s="29"/>
      <c r="H114" s="29"/>
      <c r="I114" s="30"/>
      <c r="J114" s="74"/>
      <c r="K114" s="29"/>
      <c r="L114" s="29"/>
      <c r="M114" s="29"/>
      <c r="N114" s="29"/>
      <c r="O114" s="29"/>
      <c r="P114" s="30"/>
      <c r="Q114" s="74" t="s">
        <v>530</v>
      </c>
      <c r="R114" s="29"/>
      <c r="S114" s="29"/>
      <c r="T114" s="29"/>
      <c r="U114" s="29"/>
      <c r="V114" s="29"/>
      <c r="W114" s="30"/>
      <c r="X114" s="74" t="s">
        <v>527</v>
      </c>
      <c r="Y114" s="29"/>
      <c r="Z114" s="29"/>
      <c r="AA114" s="29"/>
      <c r="AB114" s="29"/>
      <c r="AC114" s="29"/>
      <c r="AD114" s="30"/>
      <c r="AE114" s="39" t="s">
        <v>531</v>
      </c>
      <c r="AF114" s="30"/>
      <c r="AG114" s="39"/>
      <c r="AH114" s="29"/>
      <c r="AI114" s="30"/>
      <c r="AJ114" s="39"/>
      <c r="AK114" s="29"/>
      <c r="AL114" s="30"/>
      <c r="AM114" s="39"/>
      <c r="AN114" s="29"/>
      <c r="AO114" s="30"/>
      <c r="AP114" s="88"/>
      <c r="AQ114" s="29"/>
      <c r="AR114" s="30"/>
      <c r="AS114" s="88"/>
      <c r="AT114" s="29"/>
      <c r="AU114" s="30"/>
      <c r="AV114" s="39"/>
      <c r="AW114" s="29"/>
      <c r="AX114" s="30"/>
      <c r="AY114" s="39"/>
      <c r="AZ114" s="29"/>
      <c r="BA114" s="30"/>
      <c r="BB114" s="39"/>
      <c r="BC114" s="29"/>
      <c r="BD114" s="30"/>
      <c r="BE114" s="88"/>
      <c r="BF114" s="29"/>
      <c r="BG114" s="30"/>
      <c r="BH114" s="88"/>
      <c r="BI114" s="29"/>
      <c r="BJ114" s="30"/>
      <c r="BK114" s="74"/>
      <c r="BL114" s="29"/>
      <c r="BM114" s="29"/>
      <c r="BN114" s="29"/>
      <c r="BO114" s="29"/>
      <c r="BP114" s="29"/>
      <c r="BQ114" s="30"/>
      <c r="BR114" s="18"/>
      <c r="BS114" s="18"/>
      <c r="BT114" s="18"/>
      <c r="BU114" s="18"/>
      <c r="BV114" s="18"/>
      <c r="BW114" s="18"/>
      <c r="BX114" s="18"/>
      <c r="BY114" s="18"/>
      <c r="BZ114" s="18"/>
      <c r="CA114" s="18"/>
      <c r="CB114" s="18"/>
      <c r="CC114" s="18"/>
      <c r="CD114" s="18"/>
      <c r="CE114" s="18"/>
      <c r="CF114" s="18"/>
      <c r="CG114" s="18"/>
      <c r="CH114" s="18"/>
      <c r="CI114" s="18"/>
      <c r="CJ114" s="18"/>
      <c r="CK114" s="18"/>
      <c r="CL114" s="18"/>
      <c r="CM114" s="18"/>
      <c r="CN114" s="18"/>
      <c r="CO114" s="18"/>
      <c r="CP114" s="18"/>
      <c r="CQ114" s="18"/>
      <c r="CR114" s="18"/>
      <c r="CS114" s="18"/>
      <c r="CT114" s="18"/>
      <c r="CU114" s="18"/>
      <c r="CV114" s="18"/>
      <c r="CW114" s="18"/>
      <c r="CX114" s="18"/>
      <c r="CY114" s="18"/>
      <c r="CZ114" s="18"/>
      <c r="DA114" s="18"/>
      <c r="DB114" s="18"/>
      <c r="DC114" s="18"/>
      <c r="DD114" s="18"/>
      <c r="DE114" s="18"/>
      <c r="DF114" s="18"/>
      <c r="DG114" s="18"/>
      <c r="DH114" s="18"/>
      <c r="DI114" s="18"/>
      <c r="DJ114" s="18"/>
      <c r="DK114" s="18"/>
      <c r="DL114" s="18"/>
      <c r="DM114" s="18"/>
      <c r="DN114" s="18"/>
      <c r="DO114" s="18"/>
      <c r="DP114" s="18"/>
      <c r="DQ114" s="18"/>
      <c r="DR114" s="18"/>
      <c r="DS114" s="18"/>
      <c r="DT114" s="18"/>
      <c r="DU114" s="18"/>
      <c r="DV114" s="18"/>
      <c r="DW114" s="18"/>
      <c r="DX114" s="18"/>
      <c r="DY114" s="18"/>
      <c r="DZ114" s="18"/>
      <c r="EA114" s="18"/>
      <c r="EB114" s="18"/>
      <c r="EC114" s="18"/>
      <c r="ED114" s="18"/>
      <c r="EE114" s="18"/>
    </row>
    <row r="115" spans="1:135" ht="101.25" customHeight="1" x14ac:dyDescent="0.2">
      <c r="A115" s="24">
        <f t="shared" si="15"/>
        <v>99</v>
      </c>
      <c r="B115" s="74"/>
      <c r="C115" s="29"/>
      <c r="D115" s="30"/>
      <c r="E115" s="92" t="s">
        <v>480</v>
      </c>
      <c r="F115" s="29"/>
      <c r="G115" s="29"/>
      <c r="H115" s="29"/>
      <c r="I115" s="30"/>
      <c r="J115" s="92" t="s">
        <v>532</v>
      </c>
      <c r="K115" s="29"/>
      <c r="L115" s="29"/>
      <c r="M115" s="29"/>
      <c r="N115" s="29"/>
      <c r="O115" s="29"/>
      <c r="P115" s="30"/>
      <c r="Q115" s="92" t="s">
        <v>533</v>
      </c>
      <c r="R115" s="29"/>
      <c r="S115" s="29"/>
      <c r="T115" s="29"/>
      <c r="U115" s="29"/>
      <c r="V115" s="29"/>
      <c r="W115" s="30"/>
      <c r="X115" s="92" t="s">
        <v>534</v>
      </c>
      <c r="Y115" s="29"/>
      <c r="Z115" s="29"/>
      <c r="AA115" s="29"/>
      <c r="AB115" s="29"/>
      <c r="AC115" s="29"/>
      <c r="AD115" s="30"/>
      <c r="AE115" s="39" t="s">
        <v>535</v>
      </c>
      <c r="AF115" s="30"/>
      <c r="AG115" s="39"/>
      <c r="AH115" s="29"/>
      <c r="AI115" s="30"/>
      <c r="AJ115" s="39"/>
      <c r="AK115" s="29"/>
      <c r="AL115" s="30"/>
      <c r="AM115" s="39"/>
      <c r="AN115" s="29"/>
      <c r="AO115" s="30"/>
      <c r="AP115" s="88"/>
      <c r="AQ115" s="29"/>
      <c r="AR115" s="30"/>
      <c r="AS115" s="88"/>
      <c r="AT115" s="29"/>
      <c r="AU115" s="30"/>
      <c r="AV115" s="39"/>
      <c r="AW115" s="29"/>
      <c r="AX115" s="30"/>
      <c r="AY115" s="39"/>
      <c r="AZ115" s="29"/>
      <c r="BA115" s="30"/>
      <c r="BB115" s="39"/>
      <c r="BC115" s="29"/>
      <c r="BD115" s="30"/>
      <c r="BE115" s="88"/>
      <c r="BF115" s="29"/>
      <c r="BG115" s="30"/>
      <c r="BH115" s="88"/>
      <c r="BI115" s="29"/>
      <c r="BJ115" s="30"/>
      <c r="BK115" s="74"/>
      <c r="BL115" s="29"/>
      <c r="BM115" s="29"/>
      <c r="BN115" s="29"/>
      <c r="BO115" s="29"/>
      <c r="BP115" s="29"/>
      <c r="BQ115" s="30"/>
      <c r="BR115" s="18"/>
      <c r="BS115" s="18"/>
      <c r="BT115" s="18"/>
      <c r="BU115" s="18"/>
      <c r="BV115" s="18"/>
      <c r="BW115" s="18"/>
      <c r="BX115" s="18"/>
      <c r="BY115" s="18"/>
      <c r="BZ115" s="18"/>
      <c r="CA115" s="18"/>
      <c r="CB115" s="18"/>
      <c r="CC115" s="18"/>
      <c r="CD115" s="18"/>
      <c r="CE115" s="18"/>
      <c r="CF115" s="18"/>
      <c r="CG115" s="18"/>
      <c r="CH115" s="18"/>
      <c r="CI115" s="18"/>
      <c r="CJ115" s="18"/>
      <c r="CK115" s="18"/>
      <c r="CL115" s="18"/>
      <c r="CM115" s="18"/>
      <c r="CN115" s="18"/>
      <c r="CO115" s="18"/>
      <c r="CP115" s="18"/>
      <c r="CQ115" s="18"/>
      <c r="CR115" s="18"/>
      <c r="CS115" s="18"/>
      <c r="CT115" s="18"/>
      <c r="CU115" s="18"/>
      <c r="CV115" s="18"/>
      <c r="CW115" s="18"/>
      <c r="CX115" s="18"/>
      <c r="CY115" s="18"/>
      <c r="CZ115" s="18"/>
      <c r="DA115" s="18"/>
      <c r="DB115" s="18"/>
      <c r="DC115" s="18"/>
      <c r="DD115" s="18"/>
      <c r="DE115" s="18"/>
      <c r="DF115" s="18"/>
      <c r="DG115" s="18"/>
      <c r="DH115" s="18"/>
      <c r="DI115" s="18"/>
      <c r="DJ115" s="18"/>
      <c r="DK115" s="18"/>
      <c r="DL115" s="18"/>
      <c r="DM115" s="18"/>
      <c r="DN115" s="18"/>
      <c r="DO115" s="18"/>
      <c r="DP115" s="18"/>
      <c r="DQ115" s="18"/>
      <c r="DR115" s="18"/>
      <c r="DS115" s="18"/>
      <c r="DT115" s="18"/>
      <c r="DU115" s="18"/>
      <c r="DV115" s="18"/>
      <c r="DW115" s="18"/>
      <c r="DX115" s="18"/>
      <c r="DY115" s="18"/>
      <c r="DZ115" s="18"/>
      <c r="EA115" s="18"/>
      <c r="EB115" s="18"/>
      <c r="EC115" s="18"/>
      <c r="ED115" s="18"/>
      <c r="EE115" s="18"/>
    </row>
    <row r="116" spans="1:135" ht="79.5" customHeight="1" x14ac:dyDescent="0.2">
      <c r="A116" s="24">
        <f t="shared" si="15"/>
        <v>100</v>
      </c>
      <c r="B116" s="74"/>
      <c r="C116" s="29"/>
      <c r="D116" s="30"/>
      <c r="E116" s="74" t="s">
        <v>536</v>
      </c>
      <c r="F116" s="29"/>
      <c r="G116" s="29"/>
      <c r="H116" s="29"/>
      <c r="I116" s="30"/>
      <c r="J116" s="74"/>
      <c r="K116" s="29"/>
      <c r="L116" s="29"/>
      <c r="M116" s="29"/>
      <c r="N116" s="29"/>
      <c r="O116" s="29"/>
      <c r="P116" s="30"/>
      <c r="Q116" s="74" t="s">
        <v>537</v>
      </c>
      <c r="R116" s="29"/>
      <c r="S116" s="29"/>
      <c r="T116" s="29"/>
      <c r="U116" s="29"/>
      <c r="V116" s="29"/>
      <c r="W116" s="30"/>
      <c r="X116" s="74" t="s">
        <v>538</v>
      </c>
      <c r="Y116" s="29"/>
      <c r="Z116" s="29"/>
      <c r="AA116" s="29"/>
      <c r="AB116" s="29"/>
      <c r="AC116" s="29"/>
      <c r="AD116" s="30"/>
      <c r="AE116" s="39" t="s">
        <v>539</v>
      </c>
      <c r="AF116" s="30"/>
      <c r="AG116" s="39"/>
      <c r="AH116" s="29"/>
      <c r="AI116" s="30"/>
      <c r="AJ116" s="39"/>
      <c r="AK116" s="29"/>
      <c r="AL116" s="30"/>
      <c r="AM116" s="39"/>
      <c r="AN116" s="29"/>
      <c r="AO116" s="30"/>
      <c r="AP116" s="88"/>
      <c r="AQ116" s="29"/>
      <c r="AR116" s="30"/>
      <c r="AS116" s="88"/>
      <c r="AT116" s="29"/>
      <c r="AU116" s="30"/>
      <c r="AV116" s="39"/>
      <c r="AW116" s="29"/>
      <c r="AX116" s="30"/>
      <c r="AY116" s="39"/>
      <c r="AZ116" s="29"/>
      <c r="BA116" s="30"/>
      <c r="BB116" s="39"/>
      <c r="BC116" s="29"/>
      <c r="BD116" s="30"/>
      <c r="BE116" s="88"/>
      <c r="BF116" s="29"/>
      <c r="BG116" s="30"/>
      <c r="BH116" s="88"/>
      <c r="BI116" s="29"/>
      <c r="BJ116" s="30"/>
      <c r="BK116" s="74"/>
      <c r="BL116" s="29"/>
      <c r="BM116" s="29"/>
      <c r="BN116" s="29"/>
      <c r="BO116" s="29"/>
      <c r="BP116" s="29"/>
      <c r="BQ116" s="30"/>
      <c r="BR116" s="18"/>
      <c r="BS116" s="18"/>
      <c r="BT116" s="18"/>
      <c r="BU116" s="18"/>
      <c r="BV116" s="18"/>
      <c r="BW116" s="18"/>
      <c r="BX116" s="18"/>
      <c r="BY116" s="18"/>
      <c r="BZ116" s="18"/>
      <c r="CA116" s="18"/>
      <c r="CB116" s="18"/>
      <c r="CC116" s="18"/>
      <c r="CD116" s="18"/>
      <c r="CE116" s="18"/>
      <c r="CF116" s="18"/>
      <c r="CG116" s="18"/>
      <c r="CH116" s="18"/>
      <c r="CI116" s="18"/>
      <c r="CJ116" s="18"/>
      <c r="CK116" s="18"/>
      <c r="CL116" s="18"/>
      <c r="CM116" s="18"/>
      <c r="CN116" s="18"/>
      <c r="CO116" s="18"/>
      <c r="CP116" s="18"/>
      <c r="CQ116" s="18"/>
      <c r="CR116" s="18"/>
      <c r="CS116" s="18"/>
      <c r="CT116" s="18"/>
      <c r="CU116" s="18"/>
      <c r="CV116" s="18"/>
      <c r="CW116" s="18"/>
      <c r="CX116" s="18"/>
      <c r="CY116" s="18"/>
      <c r="CZ116" s="18"/>
      <c r="DA116" s="18"/>
      <c r="DB116" s="18"/>
      <c r="DC116" s="18"/>
      <c r="DD116" s="18"/>
      <c r="DE116" s="18"/>
      <c r="DF116" s="18"/>
      <c r="DG116" s="18"/>
      <c r="DH116" s="18"/>
      <c r="DI116" s="18"/>
      <c r="DJ116" s="18"/>
      <c r="DK116" s="18"/>
      <c r="DL116" s="18"/>
      <c r="DM116" s="18"/>
      <c r="DN116" s="18"/>
      <c r="DO116" s="18"/>
      <c r="DP116" s="18"/>
      <c r="DQ116" s="18"/>
      <c r="DR116" s="18"/>
      <c r="DS116" s="18"/>
      <c r="DT116" s="18"/>
      <c r="DU116" s="18"/>
      <c r="DV116" s="18"/>
      <c r="DW116" s="18"/>
      <c r="DX116" s="18"/>
      <c r="DY116" s="18"/>
      <c r="DZ116" s="18"/>
      <c r="EA116" s="18"/>
      <c r="EB116" s="18"/>
      <c r="EC116" s="18"/>
      <c r="ED116" s="18"/>
      <c r="EE116" s="18"/>
    </row>
    <row r="117" spans="1:135" ht="81.75" customHeight="1" x14ac:dyDescent="0.2">
      <c r="A117" s="24">
        <f t="shared" si="15"/>
        <v>101</v>
      </c>
      <c r="B117" s="74"/>
      <c r="C117" s="29"/>
      <c r="D117" s="30"/>
      <c r="E117" s="74" t="s">
        <v>540</v>
      </c>
      <c r="F117" s="29"/>
      <c r="G117" s="29"/>
      <c r="H117" s="29"/>
      <c r="I117" s="30"/>
      <c r="J117" s="74"/>
      <c r="K117" s="29"/>
      <c r="L117" s="29"/>
      <c r="M117" s="29"/>
      <c r="N117" s="29"/>
      <c r="O117" s="29"/>
      <c r="P117" s="30"/>
      <c r="Q117" s="74" t="s">
        <v>541</v>
      </c>
      <c r="R117" s="29"/>
      <c r="S117" s="29"/>
      <c r="T117" s="29"/>
      <c r="U117" s="29"/>
      <c r="V117" s="29"/>
      <c r="W117" s="30"/>
      <c r="X117" s="92" t="s">
        <v>542</v>
      </c>
      <c r="Y117" s="29"/>
      <c r="Z117" s="29"/>
      <c r="AA117" s="29"/>
      <c r="AB117" s="29"/>
      <c r="AC117" s="29"/>
      <c r="AD117" s="30"/>
      <c r="AE117" s="39" t="s">
        <v>543</v>
      </c>
      <c r="AF117" s="30"/>
      <c r="AG117" s="39"/>
      <c r="AH117" s="29"/>
      <c r="AI117" s="30"/>
      <c r="AJ117" s="39"/>
      <c r="AK117" s="29"/>
      <c r="AL117" s="30"/>
      <c r="AM117" s="39"/>
      <c r="AN117" s="29"/>
      <c r="AO117" s="30"/>
      <c r="AP117" s="88"/>
      <c r="AQ117" s="29"/>
      <c r="AR117" s="30"/>
      <c r="AS117" s="88"/>
      <c r="AT117" s="29"/>
      <c r="AU117" s="30"/>
      <c r="AV117" s="39"/>
      <c r="AW117" s="29"/>
      <c r="AX117" s="30"/>
      <c r="AY117" s="39"/>
      <c r="AZ117" s="29"/>
      <c r="BA117" s="30"/>
      <c r="BB117" s="39"/>
      <c r="BC117" s="29"/>
      <c r="BD117" s="30"/>
      <c r="BE117" s="88"/>
      <c r="BF117" s="29"/>
      <c r="BG117" s="30"/>
      <c r="BH117" s="88"/>
      <c r="BI117" s="29"/>
      <c r="BJ117" s="30"/>
      <c r="BK117" s="74"/>
      <c r="BL117" s="29"/>
      <c r="BM117" s="29"/>
      <c r="BN117" s="29"/>
      <c r="BO117" s="29"/>
      <c r="BP117" s="29"/>
      <c r="BQ117" s="30"/>
      <c r="BR117" s="18"/>
      <c r="BS117" s="18"/>
      <c r="BT117" s="18"/>
      <c r="BU117" s="18"/>
      <c r="BV117" s="18"/>
      <c r="BW117" s="18"/>
      <c r="BX117" s="18"/>
      <c r="BY117" s="18"/>
      <c r="BZ117" s="18"/>
      <c r="CA117" s="18"/>
      <c r="CB117" s="18"/>
      <c r="CC117" s="18"/>
      <c r="CD117" s="18"/>
      <c r="CE117" s="18"/>
      <c r="CF117" s="18"/>
      <c r="CG117" s="18"/>
      <c r="CH117" s="18"/>
      <c r="CI117" s="18"/>
      <c r="CJ117" s="18"/>
      <c r="CK117" s="18"/>
      <c r="CL117" s="18"/>
      <c r="CM117" s="18"/>
      <c r="CN117" s="18"/>
      <c r="CO117" s="18"/>
      <c r="CP117" s="18"/>
      <c r="CQ117" s="18"/>
      <c r="CR117" s="18"/>
      <c r="CS117" s="18"/>
      <c r="CT117" s="18"/>
      <c r="CU117" s="18"/>
      <c r="CV117" s="18"/>
      <c r="CW117" s="18"/>
      <c r="CX117" s="18"/>
      <c r="CY117" s="18"/>
      <c r="CZ117" s="18"/>
      <c r="DA117" s="18"/>
      <c r="DB117" s="18"/>
      <c r="DC117" s="18"/>
      <c r="DD117" s="18"/>
      <c r="DE117" s="18"/>
      <c r="DF117" s="18"/>
      <c r="DG117" s="18"/>
      <c r="DH117" s="18"/>
      <c r="DI117" s="18"/>
      <c r="DJ117" s="18"/>
      <c r="DK117" s="18"/>
      <c r="DL117" s="18"/>
      <c r="DM117" s="18"/>
      <c r="DN117" s="18"/>
      <c r="DO117" s="18"/>
      <c r="DP117" s="18"/>
      <c r="DQ117" s="18"/>
      <c r="DR117" s="18"/>
      <c r="DS117" s="18"/>
      <c r="DT117" s="18"/>
      <c r="DU117" s="18"/>
      <c r="DV117" s="18"/>
      <c r="DW117" s="18"/>
      <c r="DX117" s="18"/>
      <c r="DY117" s="18"/>
      <c r="DZ117" s="18"/>
      <c r="EA117" s="18"/>
      <c r="EB117" s="18"/>
      <c r="EC117" s="18"/>
      <c r="ED117" s="18"/>
      <c r="EE117" s="18"/>
    </row>
    <row r="118" spans="1:135" ht="81.75" customHeight="1" x14ac:dyDescent="0.2">
      <c r="A118" s="24">
        <f t="shared" si="15"/>
        <v>102</v>
      </c>
      <c r="B118" s="74"/>
      <c r="C118" s="29"/>
      <c r="D118" s="30"/>
      <c r="E118" s="74" t="s">
        <v>544</v>
      </c>
      <c r="F118" s="29"/>
      <c r="G118" s="29"/>
      <c r="H118" s="29"/>
      <c r="I118" s="30"/>
      <c r="J118" s="74"/>
      <c r="K118" s="29"/>
      <c r="L118" s="29"/>
      <c r="M118" s="29"/>
      <c r="N118" s="29"/>
      <c r="O118" s="29"/>
      <c r="P118" s="30"/>
      <c r="Q118" s="74" t="s">
        <v>545</v>
      </c>
      <c r="R118" s="29"/>
      <c r="S118" s="29"/>
      <c r="T118" s="29"/>
      <c r="U118" s="29"/>
      <c r="V118" s="29"/>
      <c r="W118" s="30"/>
      <c r="X118" s="92" t="s">
        <v>546</v>
      </c>
      <c r="Y118" s="29"/>
      <c r="Z118" s="29"/>
      <c r="AA118" s="29"/>
      <c r="AB118" s="29"/>
      <c r="AC118" s="29"/>
      <c r="AD118" s="30"/>
      <c r="AE118" s="39" t="s">
        <v>547</v>
      </c>
      <c r="AF118" s="30"/>
      <c r="AG118" s="39"/>
      <c r="AH118" s="29"/>
      <c r="AI118" s="30"/>
      <c r="AJ118" s="39"/>
      <c r="AK118" s="29"/>
      <c r="AL118" s="30"/>
      <c r="AM118" s="39"/>
      <c r="AN118" s="29"/>
      <c r="AO118" s="30"/>
      <c r="AP118" s="88"/>
      <c r="AQ118" s="29"/>
      <c r="AR118" s="30"/>
      <c r="AS118" s="88"/>
      <c r="AT118" s="29"/>
      <c r="AU118" s="30"/>
      <c r="AV118" s="39"/>
      <c r="AW118" s="29"/>
      <c r="AX118" s="30"/>
      <c r="AY118" s="39"/>
      <c r="AZ118" s="29"/>
      <c r="BA118" s="30"/>
      <c r="BB118" s="39"/>
      <c r="BC118" s="29"/>
      <c r="BD118" s="30"/>
      <c r="BE118" s="88"/>
      <c r="BF118" s="29"/>
      <c r="BG118" s="30"/>
      <c r="BH118" s="88"/>
      <c r="BI118" s="29"/>
      <c r="BJ118" s="30"/>
      <c r="BK118" s="74"/>
      <c r="BL118" s="29"/>
      <c r="BM118" s="29"/>
      <c r="BN118" s="29"/>
      <c r="BO118" s="29"/>
      <c r="BP118" s="29"/>
      <c r="BQ118" s="30"/>
      <c r="BR118" s="18"/>
      <c r="BS118" s="18"/>
      <c r="BT118" s="18"/>
      <c r="BU118" s="18"/>
      <c r="BV118" s="18"/>
      <c r="BW118" s="18"/>
      <c r="BX118" s="18"/>
      <c r="BY118" s="18"/>
      <c r="BZ118" s="18"/>
      <c r="CA118" s="18"/>
      <c r="CB118" s="18"/>
      <c r="CC118" s="18"/>
      <c r="CD118" s="18"/>
      <c r="CE118" s="18"/>
      <c r="CF118" s="18"/>
      <c r="CG118" s="18"/>
      <c r="CH118" s="18"/>
      <c r="CI118" s="18"/>
      <c r="CJ118" s="18"/>
      <c r="CK118" s="18"/>
      <c r="CL118" s="18"/>
      <c r="CM118" s="18"/>
      <c r="CN118" s="18"/>
      <c r="CO118" s="18"/>
      <c r="CP118" s="18"/>
      <c r="CQ118" s="18"/>
      <c r="CR118" s="18"/>
      <c r="CS118" s="18"/>
      <c r="CT118" s="18"/>
      <c r="CU118" s="18"/>
      <c r="CV118" s="18"/>
      <c r="CW118" s="18"/>
      <c r="CX118" s="18"/>
      <c r="CY118" s="18"/>
      <c r="CZ118" s="18"/>
      <c r="DA118" s="18"/>
      <c r="DB118" s="18"/>
      <c r="DC118" s="18"/>
      <c r="DD118" s="18"/>
      <c r="DE118" s="18"/>
      <c r="DF118" s="18"/>
      <c r="DG118" s="18"/>
      <c r="DH118" s="18"/>
      <c r="DI118" s="18"/>
      <c r="DJ118" s="18"/>
      <c r="DK118" s="18"/>
      <c r="DL118" s="18"/>
      <c r="DM118" s="18"/>
      <c r="DN118" s="18"/>
      <c r="DO118" s="18"/>
      <c r="DP118" s="18"/>
      <c r="DQ118" s="18"/>
      <c r="DR118" s="18"/>
      <c r="DS118" s="18"/>
      <c r="DT118" s="18"/>
      <c r="DU118" s="18"/>
      <c r="DV118" s="18"/>
      <c r="DW118" s="18"/>
      <c r="DX118" s="18"/>
      <c r="DY118" s="18"/>
      <c r="DZ118" s="18"/>
      <c r="EA118" s="18"/>
      <c r="EB118" s="18"/>
      <c r="EC118" s="18"/>
      <c r="ED118" s="18"/>
      <c r="EE118" s="18"/>
    </row>
    <row r="119" spans="1:135" ht="81.75" customHeight="1" x14ac:dyDescent="0.2">
      <c r="A119" s="24">
        <f t="shared" si="15"/>
        <v>103</v>
      </c>
      <c r="B119" s="74"/>
      <c r="C119" s="29"/>
      <c r="D119" s="30"/>
      <c r="E119" s="74" t="s">
        <v>548</v>
      </c>
      <c r="F119" s="29"/>
      <c r="G119" s="29"/>
      <c r="H119" s="29"/>
      <c r="I119" s="30"/>
      <c r="J119" s="74"/>
      <c r="K119" s="29"/>
      <c r="L119" s="29"/>
      <c r="M119" s="29"/>
      <c r="N119" s="29"/>
      <c r="O119" s="29"/>
      <c r="P119" s="30"/>
      <c r="Q119" s="74" t="s">
        <v>497</v>
      </c>
      <c r="R119" s="29"/>
      <c r="S119" s="29"/>
      <c r="T119" s="29"/>
      <c r="U119" s="29"/>
      <c r="V119" s="29"/>
      <c r="W119" s="30"/>
      <c r="X119" s="74" t="s">
        <v>549</v>
      </c>
      <c r="Y119" s="29"/>
      <c r="Z119" s="29"/>
      <c r="AA119" s="29"/>
      <c r="AB119" s="29"/>
      <c r="AC119" s="29"/>
      <c r="AD119" s="30"/>
      <c r="AE119" s="39" t="s">
        <v>550</v>
      </c>
      <c r="AF119" s="30"/>
      <c r="AG119" s="39"/>
      <c r="AH119" s="29"/>
      <c r="AI119" s="30"/>
      <c r="AJ119" s="39"/>
      <c r="AK119" s="29"/>
      <c r="AL119" s="30"/>
      <c r="AM119" s="39"/>
      <c r="AN119" s="29"/>
      <c r="AO119" s="30"/>
      <c r="AP119" s="88"/>
      <c r="AQ119" s="29"/>
      <c r="AR119" s="30"/>
      <c r="AS119" s="88"/>
      <c r="AT119" s="29"/>
      <c r="AU119" s="30"/>
      <c r="AV119" s="39"/>
      <c r="AW119" s="29"/>
      <c r="AX119" s="30"/>
      <c r="AY119" s="39"/>
      <c r="AZ119" s="29"/>
      <c r="BA119" s="30"/>
      <c r="BB119" s="39"/>
      <c r="BC119" s="29"/>
      <c r="BD119" s="30"/>
      <c r="BE119" s="88"/>
      <c r="BF119" s="29"/>
      <c r="BG119" s="30"/>
      <c r="BH119" s="88"/>
      <c r="BI119" s="29"/>
      <c r="BJ119" s="30"/>
      <c r="BK119" s="74"/>
      <c r="BL119" s="29"/>
      <c r="BM119" s="29"/>
      <c r="BN119" s="29"/>
      <c r="BO119" s="29"/>
      <c r="BP119" s="29"/>
      <c r="BQ119" s="30"/>
      <c r="BR119" s="18"/>
      <c r="BS119" s="18"/>
      <c r="BT119" s="18"/>
      <c r="BU119" s="18"/>
      <c r="BV119" s="18"/>
      <c r="BW119" s="18"/>
      <c r="BX119" s="18"/>
      <c r="BY119" s="18"/>
      <c r="BZ119" s="18"/>
      <c r="CA119" s="18"/>
      <c r="CB119" s="18"/>
      <c r="CC119" s="18"/>
      <c r="CD119" s="18"/>
      <c r="CE119" s="18"/>
      <c r="CF119" s="18"/>
      <c r="CG119" s="18"/>
      <c r="CH119" s="18"/>
      <c r="CI119" s="18"/>
      <c r="CJ119" s="18"/>
      <c r="CK119" s="18"/>
      <c r="CL119" s="18"/>
      <c r="CM119" s="18"/>
      <c r="CN119" s="18"/>
      <c r="CO119" s="18"/>
      <c r="CP119" s="18"/>
      <c r="CQ119" s="18"/>
      <c r="CR119" s="18"/>
      <c r="CS119" s="18"/>
      <c r="CT119" s="18"/>
      <c r="CU119" s="18"/>
      <c r="CV119" s="18"/>
      <c r="CW119" s="18"/>
      <c r="CX119" s="18"/>
      <c r="CY119" s="18"/>
      <c r="CZ119" s="18"/>
      <c r="DA119" s="18"/>
      <c r="DB119" s="18"/>
      <c r="DC119" s="18"/>
      <c r="DD119" s="18"/>
      <c r="DE119" s="18"/>
      <c r="DF119" s="18"/>
      <c r="DG119" s="18"/>
      <c r="DH119" s="18"/>
      <c r="DI119" s="18"/>
      <c r="DJ119" s="18"/>
      <c r="DK119" s="18"/>
      <c r="DL119" s="18"/>
      <c r="DM119" s="18"/>
      <c r="DN119" s="18"/>
      <c r="DO119" s="18"/>
      <c r="DP119" s="18"/>
      <c r="DQ119" s="18"/>
      <c r="DR119" s="18"/>
      <c r="DS119" s="18"/>
      <c r="DT119" s="18"/>
      <c r="DU119" s="18"/>
      <c r="DV119" s="18"/>
      <c r="DW119" s="18"/>
      <c r="DX119" s="18"/>
      <c r="DY119" s="18"/>
      <c r="DZ119" s="18"/>
      <c r="EA119" s="18"/>
      <c r="EB119" s="18"/>
      <c r="EC119" s="18"/>
      <c r="ED119" s="18"/>
      <c r="EE119" s="18"/>
    </row>
    <row r="120" spans="1:135" ht="19.5" customHeight="1" x14ac:dyDescent="0.2">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BZ120" s="18"/>
      <c r="CA120" s="18"/>
      <c r="CB120" s="18"/>
      <c r="CC120" s="18"/>
      <c r="CD120" s="18"/>
      <c r="CE120" s="18"/>
      <c r="CF120" s="18"/>
      <c r="CG120" s="18"/>
      <c r="CH120" s="18"/>
      <c r="CI120" s="18"/>
      <c r="CJ120" s="18"/>
      <c r="CK120" s="18"/>
      <c r="CL120" s="18"/>
      <c r="CM120" s="18"/>
      <c r="CN120" s="18"/>
      <c r="CO120" s="18"/>
      <c r="CP120" s="18"/>
      <c r="CQ120" s="18"/>
      <c r="CR120" s="18"/>
      <c r="CS120" s="18"/>
      <c r="CT120" s="18"/>
      <c r="CU120" s="18"/>
      <c r="CV120" s="18"/>
      <c r="CW120" s="18"/>
      <c r="CX120" s="18"/>
      <c r="CY120" s="18"/>
      <c r="CZ120" s="18"/>
      <c r="DA120" s="18"/>
      <c r="DB120" s="18"/>
      <c r="DC120" s="18"/>
      <c r="DD120" s="18"/>
      <c r="DE120" s="18"/>
      <c r="DF120" s="18"/>
      <c r="DG120" s="18"/>
      <c r="DH120" s="18"/>
      <c r="DI120" s="18"/>
      <c r="DJ120" s="18"/>
      <c r="DK120" s="18"/>
      <c r="DL120" s="18"/>
      <c r="DM120" s="18"/>
      <c r="DN120" s="18"/>
      <c r="DO120" s="18"/>
      <c r="DP120" s="18"/>
      <c r="DQ120" s="18"/>
      <c r="DR120" s="18"/>
      <c r="DS120" s="18"/>
      <c r="DT120" s="18"/>
      <c r="DU120" s="18"/>
      <c r="DV120" s="18"/>
      <c r="DW120" s="18"/>
      <c r="DX120" s="18"/>
      <c r="DY120" s="18"/>
      <c r="DZ120" s="18"/>
      <c r="EA120" s="18"/>
      <c r="EB120" s="18"/>
      <c r="EC120" s="18"/>
      <c r="ED120" s="18"/>
      <c r="EE120" s="18"/>
    </row>
    <row r="121" spans="1:135" ht="19.5" customHeight="1" x14ac:dyDescent="0.2">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18"/>
      <c r="CF121" s="18"/>
      <c r="CG121" s="18"/>
      <c r="CH121" s="18"/>
      <c r="CI121" s="18"/>
      <c r="CJ121" s="18"/>
      <c r="CK121" s="18"/>
      <c r="CL121" s="18"/>
      <c r="CM121" s="18"/>
      <c r="CN121" s="18"/>
      <c r="CO121" s="18"/>
      <c r="CP121" s="18"/>
      <c r="CQ121" s="18"/>
      <c r="CR121" s="18"/>
      <c r="CS121" s="18"/>
      <c r="CT121" s="18"/>
      <c r="CU121" s="18"/>
      <c r="CV121" s="18"/>
      <c r="CW121" s="18"/>
      <c r="CX121" s="18"/>
      <c r="CY121" s="18"/>
      <c r="CZ121" s="18"/>
      <c r="DA121" s="18"/>
      <c r="DB121" s="18"/>
      <c r="DC121" s="18"/>
      <c r="DD121" s="18"/>
      <c r="DE121" s="18"/>
      <c r="DF121" s="18"/>
      <c r="DG121" s="18"/>
      <c r="DH121" s="18"/>
      <c r="DI121" s="18"/>
      <c r="DJ121" s="18"/>
      <c r="DK121" s="18"/>
      <c r="DL121" s="18"/>
      <c r="DM121" s="18"/>
      <c r="DN121" s="18"/>
      <c r="DO121" s="18"/>
      <c r="DP121" s="18"/>
      <c r="DQ121" s="18"/>
      <c r="DR121" s="18"/>
      <c r="DS121" s="18"/>
      <c r="DT121" s="18"/>
      <c r="DU121" s="18"/>
      <c r="DV121" s="18"/>
      <c r="DW121" s="18"/>
      <c r="DX121" s="18"/>
      <c r="DY121" s="18"/>
      <c r="DZ121" s="18"/>
      <c r="EA121" s="18"/>
      <c r="EB121" s="18"/>
      <c r="EC121" s="18"/>
      <c r="ED121" s="18"/>
      <c r="EE121" s="18"/>
    </row>
    <row r="122" spans="1:135" ht="19.5" customHeight="1" x14ac:dyDescent="0.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18"/>
      <c r="CH122" s="18"/>
      <c r="CI122" s="18"/>
      <c r="CJ122" s="18"/>
      <c r="CK122" s="18"/>
      <c r="CL122" s="18"/>
      <c r="CM122" s="18"/>
      <c r="CN122" s="18"/>
      <c r="CO122" s="18"/>
      <c r="CP122" s="18"/>
      <c r="CQ122" s="18"/>
      <c r="CR122" s="18"/>
      <c r="CS122" s="18"/>
      <c r="CT122" s="18"/>
      <c r="CU122" s="18"/>
      <c r="CV122" s="18"/>
      <c r="CW122" s="18"/>
      <c r="CX122" s="18"/>
      <c r="CY122" s="18"/>
      <c r="CZ122" s="18"/>
      <c r="DA122" s="18"/>
      <c r="DB122" s="18"/>
      <c r="DC122" s="18"/>
      <c r="DD122" s="18"/>
      <c r="DE122" s="18"/>
      <c r="DF122" s="18"/>
      <c r="DG122" s="18"/>
      <c r="DH122" s="18"/>
      <c r="DI122" s="18"/>
      <c r="DJ122" s="18"/>
      <c r="DK122" s="18"/>
      <c r="DL122" s="18"/>
      <c r="DM122" s="18"/>
      <c r="DN122" s="18"/>
      <c r="DO122" s="18"/>
      <c r="DP122" s="18"/>
      <c r="DQ122" s="18"/>
      <c r="DR122" s="18"/>
      <c r="DS122" s="18"/>
      <c r="DT122" s="18"/>
      <c r="DU122" s="18"/>
      <c r="DV122" s="18"/>
      <c r="DW122" s="18"/>
      <c r="DX122" s="18"/>
      <c r="DY122" s="18"/>
      <c r="DZ122" s="18"/>
      <c r="EA122" s="18"/>
      <c r="EB122" s="18"/>
      <c r="EC122" s="18"/>
      <c r="ED122" s="18"/>
      <c r="EE122" s="18"/>
    </row>
    <row r="123" spans="1:135" ht="19.5" customHeight="1" x14ac:dyDescent="0.2">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18"/>
      <c r="CF123" s="18"/>
      <c r="CG123" s="18"/>
      <c r="CH123" s="18"/>
      <c r="CI123" s="18"/>
      <c r="CJ123" s="18"/>
      <c r="CK123" s="18"/>
      <c r="CL123" s="18"/>
      <c r="CM123" s="18"/>
      <c r="CN123" s="18"/>
      <c r="CO123" s="18"/>
      <c r="CP123" s="18"/>
      <c r="CQ123" s="18"/>
      <c r="CR123" s="18"/>
      <c r="CS123" s="18"/>
      <c r="CT123" s="18"/>
      <c r="CU123" s="18"/>
      <c r="CV123" s="18"/>
      <c r="CW123" s="18"/>
      <c r="CX123" s="18"/>
      <c r="CY123" s="18"/>
      <c r="CZ123" s="18"/>
      <c r="DA123" s="18"/>
      <c r="DB123" s="18"/>
      <c r="DC123" s="18"/>
      <c r="DD123" s="18"/>
      <c r="DE123" s="18"/>
      <c r="DF123" s="18"/>
      <c r="DG123" s="18"/>
      <c r="DH123" s="18"/>
      <c r="DI123" s="18"/>
      <c r="DJ123" s="18"/>
      <c r="DK123" s="18"/>
      <c r="DL123" s="18"/>
      <c r="DM123" s="18"/>
      <c r="DN123" s="18"/>
      <c r="DO123" s="18"/>
      <c r="DP123" s="18"/>
      <c r="DQ123" s="18"/>
      <c r="DR123" s="18"/>
      <c r="DS123" s="18"/>
      <c r="DT123" s="18"/>
      <c r="DU123" s="18"/>
      <c r="DV123" s="18"/>
      <c r="DW123" s="18"/>
      <c r="DX123" s="18"/>
      <c r="DY123" s="18"/>
      <c r="DZ123" s="18"/>
      <c r="EA123" s="18"/>
      <c r="EB123" s="18"/>
      <c r="EC123" s="18"/>
      <c r="ED123" s="18"/>
      <c r="EE123" s="18"/>
    </row>
    <row r="124" spans="1:135" ht="19.5" customHeight="1" x14ac:dyDescent="0.2">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18"/>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c r="DY124" s="18"/>
      <c r="DZ124" s="18"/>
      <c r="EA124" s="18"/>
      <c r="EB124" s="18"/>
      <c r="EC124" s="18"/>
      <c r="ED124" s="18"/>
      <c r="EE124" s="18"/>
    </row>
    <row r="125" spans="1:135" ht="19.5" customHeight="1" x14ac:dyDescent="0.2">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18"/>
      <c r="CG125" s="18"/>
      <c r="CH125" s="18"/>
      <c r="CI125" s="18"/>
      <c r="CJ125" s="18"/>
      <c r="CK125" s="18"/>
      <c r="CL125" s="18"/>
      <c r="CM125" s="18"/>
      <c r="CN125" s="18"/>
      <c r="CO125" s="18"/>
      <c r="CP125" s="18"/>
      <c r="CQ125" s="18"/>
      <c r="CR125" s="18"/>
      <c r="CS125" s="18"/>
      <c r="CT125" s="18"/>
      <c r="CU125" s="18"/>
      <c r="CV125" s="18"/>
      <c r="CW125" s="18"/>
      <c r="CX125" s="18"/>
      <c r="CY125" s="18"/>
      <c r="CZ125" s="18"/>
      <c r="DA125" s="18"/>
      <c r="DB125" s="18"/>
      <c r="DC125" s="18"/>
      <c r="DD125" s="18"/>
      <c r="DE125" s="18"/>
      <c r="DF125" s="18"/>
      <c r="DG125" s="18"/>
      <c r="DH125" s="18"/>
      <c r="DI125" s="18"/>
      <c r="DJ125" s="18"/>
      <c r="DK125" s="18"/>
      <c r="DL125" s="18"/>
      <c r="DM125" s="18"/>
      <c r="DN125" s="18"/>
      <c r="DO125" s="18"/>
      <c r="DP125" s="18"/>
      <c r="DQ125" s="18"/>
      <c r="DR125" s="18"/>
      <c r="DS125" s="18"/>
      <c r="DT125" s="18"/>
      <c r="DU125" s="18"/>
      <c r="DV125" s="18"/>
      <c r="DW125" s="18"/>
      <c r="DX125" s="18"/>
      <c r="DY125" s="18"/>
      <c r="DZ125" s="18"/>
      <c r="EA125" s="18"/>
      <c r="EB125" s="18"/>
      <c r="EC125" s="18"/>
      <c r="ED125" s="18"/>
      <c r="EE125" s="18"/>
    </row>
    <row r="126" spans="1:135" ht="19.5" customHeight="1" x14ac:dyDescent="0.2">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c r="CE126" s="18"/>
      <c r="CF126" s="18"/>
      <c r="CG126" s="18"/>
      <c r="CH126" s="18"/>
      <c r="CI126" s="18"/>
      <c r="CJ126" s="18"/>
      <c r="CK126" s="18"/>
      <c r="CL126" s="18"/>
      <c r="CM126" s="18"/>
      <c r="CN126" s="18"/>
      <c r="CO126" s="18"/>
      <c r="CP126" s="18"/>
      <c r="CQ126" s="18"/>
      <c r="CR126" s="18"/>
      <c r="CS126" s="18"/>
      <c r="CT126" s="18"/>
      <c r="CU126" s="18"/>
      <c r="CV126" s="18"/>
      <c r="CW126" s="18"/>
      <c r="CX126" s="18"/>
      <c r="CY126" s="18"/>
      <c r="CZ126" s="18"/>
      <c r="DA126" s="18"/>
      <c r="DB126" s="18"/>
      <c r="DC126" s="18"/>
      <c r="DD126" s="18"/>
      <c r="DE126" s="18"/>
      <c r="DF126" s="18"/>
      <c r="DG126" s="18"/>
      <c r="DH126" s="18"/>
      <c r="DI126" s="18"/>
      <c r="DJ126" s="18"/>
      <c r="DK126" s="18"/>
      <c r="DL126" s="18"/>
      <c r="DM126" s="18"/>
      <c r="DN126" s="18"/>
      <c r="DO126" s="18"/>
      <c r="DP126" s="18"/>
      <c r="DQ126" s="18"/>
      <c r="DR126" s="18"/>
      <c r="DS126" s="18"/>
      <c r="DT126" s="18"/>
      <c r="DU126" s="18"/>
      <c r="DV126" s="18"/>
      <c r="DW126" s="18"/>
      <c r="DX126" s="18"/>
      <c r="DY126" s="18"/>
      <c r="DZ126" s="18"/>
      <c r="EA126" s="18"/>
      <c r="EB126" s="18"/>
      <c r="EC126" s="18"/>
      <c r="ED126" s="18"/>
      <c r="EE126" s="18"/>
    </row>
    <row r="127" spans="1:135" ht="19.5" customHeight="1" x14ac:dyDescent="0.2">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18"/>
      <c r="CH127" s="18"/>
      <c r="CI127" s="18"/>
      <c r="CJ127" s="18"/>
      <c r="CK127" s="18"/>
      <c r="CL127" s="18"/>
      <c r="CM127" s="18"/>
      <c r="CN127" s="18"/>
      <c r="CO127" s="18"/>
      <c r="CP127" s="18"/>
      <c r="CQ127" s="18"/>
      <c r="CR127" s="18"/>
      <c r="CS127" s="18"/>
      <c r="CT127" s="18"/>
      <c r="CU127" s="18"/>
      <c r="CV127" s="18"/>
      <c r="CW127" s="18"/>
      <c r="CX127" s="18"/>
      <c r="CY127" s="18"/>
      <c r="CZ127" s="18"/>
      <c r="DA127" s="18"/>
      <c r="DB127" s="18"/>
      <c r="DC127" s="18"/>
      <c r="DD127" s="18"/>
      <c r="DE127" s="18"/>
      <c r="DF127" s="18"/>
      <c r="DG127" s="18"/>
      <c r="DH127" s="18"/>
      <c r="DI127" s="18"/>
      <c r="DJ127" s="18"/>
      <c r="DK127" s="18"/>
      <c r="DL127" s="18"/>
      <c r="DM127" s="18"/>
      <c r="DN127" s="18"/>
      <c r="DO127" s="18"/>
      <c r="DP127" s="18"/>
      <c r="DQ127" s="18"/>
      <c r="DR127" s="18"/>
      <c r="DS127" s="18"/>
      <c r="DT127" s="18"/>
      <c r="DU127" s="18"/>
      <c r="DV127" s="18"/>
      <c r="DW127" s="18"/>
      <c r="DX127" s="18"/>
      <c r="DY127" s="18"/>
      <c r="DZ127" s="18"/>
      <c r="EA127" s="18"/>
      <c r="EB127" s="18"/>
      <c r="EC127" s="18"/>
      <c r="ED127" s="18"/>
      <c r="EE127" s="18"/>
    </row>
    <row r="128" spans="1:135" ht="19.5" customHeight="1" x14ac:dyDescent="0.2">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18"/>
      <c r="CI128" s="18"/>
      <c r="CJ128" s="18"/>
      <c r="CK128" s="18"/>
      <c r="CL128" s="18"/>
      <c r="CM128" s="18"/>
      <c r="CN128" s="18"/>
      <c r="CO128" s="18"/>
      <c r="CP128" s="18"/>
      <c r="CQ128" s="18"/>
      <c r="CR128" s="18"/>
      <c r="CS128" s="18"/>
      <c r="CT128" s="18"/>
      <c r="CU128" s="18"/>
      <c r="CV128" s="18"/>
      <c r="CW128" s="18"/>
      <c r="CX128" s="18"/>
      <c r="CY128" s="18"/>
      <c r="CZ128" s="18"/>
      <c r="DA128" s="18"/>
      <c r="DB128" s="18"/>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c r="DY128" s="18"/>
      <c r="DZ128" s="18"/>
      <c r="EA128" s="18"/>
      <c r="EB128" s="18"/>
      <c r="EC128" s="18"/>
      <c r="ED128" s="18"/>
      <c r="EE128" s="18"/>
    </row>
    <row r="129" spans="1:135" ht="19.5" customHeight="1" x14ac:dyDescent="0.2">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18"/>
      <c r="CH129" s="18"/>
      <c r="CI129" s="18"/>
      <c r="CJ129" s="18"/>
      <c r="CK129" s="18"/>
      <c r="CL129" s="18"/>
      <c r="CM129" s="18"/>
      <c r="CN129" s="18"/>
      <c r="CO129" s="18"/>
      <c r="CP129" s="18"/>
      <c r="CQ129" s="18"/>
      <c r="CR129" s="18"/>
      <c r="CS129" s="18"/>
      <c r="CT129" s="18"/>
      <c r="CU129" s="18"/>
      <c r="CV129" s="18"/>
      <c r="CW129" s="18"/>
      <c r="CX129" s="18"/>
      <c r="CY129" s="18"/>
      <c r="CZ129" s="18"/>
      <c r="DA129" s="18"/>
      <c r="DB129" s="18"/>
      <c r="DC129" s="18"/>
      <c r="DD129" s="18"/>
      <c r="DE129" s="18"/>
      <c r="DF129" s="18"/>
      <c r="DG129" s="18"/>
      <c r="DH129" s="18"/>
      <c r="DI129" s="18"/>
      <c r="DJ129" s="18"/>
      <c r="DK129" s="18"/>
      <c r="DL129" s="18"/>
      <c r="DM129" s="18"/>
      <c r="DN129" s="18"/>
      <c r="DO129" s="18"/>
      <c r="DP129" s="18"/>
      <c r="DQ129" s="18"/>
      <c r="DR129" s="18"/>
      <c r="DS129" s="18"/>
      <c r="DT129" s="18"/>
      <c r="DU129" s="18"/>
      <c r="DV129" s="18"/>
      <c r="DW129" s="18"/>
      <c r="DX129" s="18"/>
      <c r="DY129" s="18"/>
      <c r="DZ129" s="18"/>
      <c r="EA129" s="18"/>
      <c r="EB129" s="18"/>
      <c r="EC129" s="18"/>
      <c r="ED129" s="18"/>
      <c r="EE129" s="18"/>
    </row>
    <row r="130" spans="1:135" ht="19.5" customHeight="1" x14ac:dyDescent="0.2">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18"/>
      <c r="CH130" s="18"/>
      <c r="CI130" s="18"/>
      <c r="CJ130" s="18"/>
      <c r="CK130" s="18"/>
      <c r="CL130" s="18"/>
      <c r="CM130" s="18"/>
      <c r="CN130" s="18"/>
      <c r="CO130" s="18"/>
      <c r="CP130" s="18"/>
      <c r="CQ130" s="18"/>
      <c r="CR130" s="18"/>
      <c r="CS130" s="18"/>
      <c r="CT130" s="18"/>
      <c r="CU130" s="18"/>
      <c r="CV130" s="18"/>
      <c r="CW130" s="18"/>
      <c r="CX130" s="18"/>
      <c r="CY130" s="18"/>
      <c r="CZ130" s="18"/>
      <c r="DA130" s="18"/>
      <c r="DB130" s="18"/>
      <c r="DC130" s="18"/>
      <c r="DD130" s="18"/>
      <c r="DE130" s="18"/>
      <c r="DF130" s="18"/>
      <c r="DG130" s="18"/>
      <c r="DH130" s="18"/>
      <c r="DI130" s="18"/>
      <c r="DJ130" s="18"/>
      <c r="DK130" s="18"/>
      <c r="DL130" s="18"/>
      <c r="DM130" s="18"/>
      <c r="DN130" s="18"/>
      <c r="DO130" s="18"/>
      <c r="DP130" s="18"/>
      <c r="DQ130" s="18"/>
      <c r="DR130" s="18"/>
      <c r="DS130" s="18"/>
      <c r="DT130" s="18"/>
      <c r="DU130" s="18"/>
      <c r="DV130" s="18"/>
      <c r="DW130" s="18"/>
      <c r="DX130" s="18"/>
      <c r="DY130" s="18"/>
      <c r="DZ130" s="18"/>
      <c r="EA130" s="18"/>
      <c r="EB130" s="18"/>
      <c r="EC130" s="18"/>
      <c r="ED130" s="18"/>
      <c r="EE130" s="18"/>
    </row>
    <row r="131" spans="1:135" ht="19.5" customHeight="1" x14ac:dyDescent="0.2">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c r="BW131" s="18"/>
      <c r="BX131" s="18"/>
      <c r="BY131" s="18"/>
      <c r="BZ131" s="18"/>
      <c r="CA131" s="18"/>
      <c r="CB131" s="18"/>
      <c r="CC131" s="18"/>
      <c r="CD131" s="18"/>
      <c r="CE131" s="18"/>
      <c r="CF131" s="18"/>
      <c r="CG131" s="18"/>
      <c r="CH131" s="18"/>
      <c r="CI131" s="18"/>
      <c r="CJ131" s="18"/>
      <c r="CK131" s="18"/>
      <c r="CL131" s="18"/>
      <c r="CM131" s="18"/>
      <c r="CN131" s="18"/>
      <c r="CO131" s="18"/>
      <c r="CP131" s="18"/>
      <c r="CQ131" s="18"/>
      <c r="CR131" s="18"/>
      <c r="CS131" s="18"/>
      <c r="CT131" s="18"/>
      <c r="CU131" s="18"/>
      <c r="CV131" s="18"/>
      <c r="CW131" s="18"/>
      <c r="CX131" s="18"/>
      <c r="CY131" s="18"/>
      <c r="CZ131" s="18"/>
      <c r="DA131" s="18"/>
      <c r="DB131" s="18"/>
      <c r="DC131" s="18"/>
      <c r="DD131" s="18"/>
      <c r="DE131" s="18"/>
      <c r="DF131" s="18"/>
      <c r="DG131" s="18"/>
      <c r="DH131" s="18"/>
      <c r="DI131" s="18"/>
      <c r="DJ131" s="18"/>
      <c r="DK131" s="18"/>
      <c r="DL131" s="18"/>
      <c r="DM131" s="18"/>
      <c r="DN131" s="18"/>
      <c r="DO131" s="18"/>
      <c r="DP131" s="18"/>
      <c r="DQ131" s="18"/>
      <c r="DR131" s="18"/>
      <c r="DS131" s="18"/>
      <c r="DT131" s="18"/>
      <c r="DU131" s="18"/>
      <c r="DV131" s="18"/>
      <c r="DW131" s="18"/>
      <c r="DX131" s="18"/>
      <c r="DY131" s="18"/>
      <c r="DZ131" s="18"/>
      <c r="EA131" s="18"/>
      <c r="EB131" s="18"/>
      <c r="EC131" s="18"/>
      <c r="ED131" s="18"/>
      <c r="EE131" s="18"/>
    </row>
    <row r="132" spans="1:135" ht="19.5" customHeight="1" x14ac:dyDescent="0.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18"/>
      <c r="CE132" s="18"/>
      <c r="CF132" s="18"/>
      <c r="CG132" s="18"/>
      <c r="CH132" s="18"/>
      <c r="CI132" s="18"/>
      <c r="CJ132" s="18"/>
      <c r="CK132" s="18"/>
      <c r="CL132" s="18"/>
      <c r="CM132" s="18"/>
      <c r="CN132" s="18"/>
      <c r="CO132" s="18"/>
      <c r="CP132" s="18"/>
      <c r="CQ132" s="18"/>
      <c r="CR132" s="18"/>
      <c r="CS132" s="18"/>
      <c r="CT132" s="18"/>
      <c r="CU132" s="18"/>
      <c r="CV132" s="18"/>
      <c r="CW132" s="18"/>
      <c r="CX132" s="18"/>
      <c r="CY132" s="18"/>
      <c r="CZ132" s="18"/>
      <c r="DA132" s="18"/>
      <c r="DB132" s="18"/>
      <c r="DC132" s="18"/>
      <c r="DD132" s="18"/>
      <c r="DE132" s="18"/>
      <c r="DF132" s="18"/>
      <c r="DG132" s="18"/>
      <c r="DH132" s="18"/>
      <c r="DI132" s="18"/>
      <c r="DJ132" s="18"/>
      <c r="DK132" s="18"/>
      <c r="DL132" s="18"/>
      <c r="DM132" s="18"/>
      <c r="DN132" s="18"/>
      <c r="DO132" s="18"/>
      <c r="DP132" s="18"/>
      <c r="DQ132" s="18"/>
      <c r="DR132" s="18"/>
      <c r="DS132" s="18"/>
      <c r="DT132" s="18"/>
      <c r="DU132" s="18"/>
      <c r="DV132" s="18"/>
      <c r="DW132" s="18"/>
      <c r="DX132" s="18"/>
      <c r="DY132" s="18"/>
      <c r="DZ132" s="18"/>
      <c r="EA132" s="18"/>
      <c r="EB132" s="18"/>
      <c r="EC132" s="18"/>
      <c r="ED132" s="18"/>
      <c r="EE132" s="18"/>
    </row>
    <row r="133" spans="1:135" ht="19.5" customHeight="1" x14ac:dyDescent="0.2">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18"/>
      <c r="CH133" s="18"/>
      <c r="CI133" s="18"/>
      <c r="CJ133" s="18"/>
      <c r="CK133" s="18"/>
      <c r="CL133" s="18"/>
      <c r="CM133" s="18"/>
      <c r="CN133" s="18"/>
      <c r="CO133" s="18"/>
      <c r="CP133" s="18"/>
      <c r="CQ133" s="18"/>
      <c r="CR133" s="18"/>
      <c r="CS133" s="18"/>
      <c r="CT133" s="18"/>
      <c r="CU133" s="18"/>
      <c r="CV133" s="18"/>
      <c r="CW133" s="18"/>
      <c r="CX133" s="18"/>
      <c r="CY133" s="18"/>
      <c r="CZ133" s="18"/>
      <c r="DA133" s="18"/>
      <c r="DB133" s="18"/>
      <c r="DC133" s="18"/>
      <c r="DD133" s="18"/>
      <c r="DE133" s="18"/>
      <c r="DF133" s="18"/>
      <c r="DG133" s="18"/>
      <c r="DH133" s="18"/>
      <c r="DI133" s="18"/>
      <c r="DJ133" s="18"/>
      <c r="DK133" s="18"/>
      <c r="DL133" s="18"/>
      <c r="DM133" s="18"/>
      <c r="DN133" s="18"/>
      <c r="DO133" s="18"/>
      <c r="DP133" s="18"/>
      <c r="DQ133" s="18"/>
      <c r="DR133" s="18"/>
      <c r="DS133" s="18"/>
      <c r="DT133" s="18"/>
      <c r="DU133" s="18"/>
      <c r="DV133" s="18"/>
      <c r="DW133" s="18"/>
      <c r="DX133" s="18"/>
      <c r="DY133" s="18"/>
      <c r="DZ133" s="18"/>
      <c r="EA133" s="18"/>
      <c r="EB133" s="18"/>
      <c r="EC133" s="18"/>
      <c r="ED133" s="18"/>
      <c r="EE133" s="18"/>
    </row>
    <row r="134" spans="1:135" ht="19.5" customHeight="1" x14ac:dyDescent="0.2">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18"/>
      <c r="CH134" s="18"/>
      <c r="CI134" s="18"/>
      <c r="CJ134" s="18"/>
      <c r="CK134" s="18"/>
      <c r="CL134" s="18"/>
      <c r="CM134" s="18"/>
      <c r="CN134" s="18"/>
      <c r="CO134" s="18"/>
      <c r="CP134" s="18"/>
      <c r="CQ134" s="18"/>
      <c r="CR134" s="18"/>
      <c r="CS134" s="18"/>
      <c r="CT134" s="18"/>
      <c r="CU134" s="18"/>
      <c r="CV134" s="18"/>
      <c r="CW134" s="18"/>
      <c r="CX134" s="18"/>
      <c r="CY134" s="18"/>
      <c r="CZ134" s="18"/>
      <c r="DA134" s="18"/>
      <c r="DB134" s="18"/>
      <c r="DC134" s="18"/>
      <c r="DD134" s="18"/>
      <c r="DE134" s="18"/>
      <c r="DF134" s="18"/>
      <c r="DG134" s="18"/>
      <c r="DH134" s="18"/>
      <c r="DI134" s="18"/>
      <c r="DJ134" s="18"/>
      <c r="DK134" s="18"/>
      <c r="DL134" s="18"/>
      <c r="DM134" s="18"/>
      <c r="DN134" s="18"/>
      <c r="DO134" s="18"/>
      <c r="DP134" s="18"/>
      <c r="DQ134" s="18"/>
      <c r="DR134" s="18"/>
      <c r="DS134" s="18"/>
      <c r="DT134" s="18"/>
      <c r="DU134" s="18"/>
      <c r="DV134" s="18"/>
      <c r="DW134" s="18"/>
      <c r="DX134" s="18"/>
      <c r="DY134" s="18"/>
      <c r="DZ134" s="18"/>
      <c r="EA134" s="18"/>
      <c r="EB134" s="18"/>
      <c r="EC134" s="18"/>
      <c r="ED134" s="18"/>
      <c r="EE134" s="18"/>
    </row>
    <row r="135" spans="1:135" ht="19.5" customHeight="1" x14ac:dyDescent="0.2">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18"/>
      <c r="CH135" s="18"/>
      <c r="CI135" s="18"/>
      <c r="CJ135" s="18"/>
      <c r="CK135" s="18"/>
      <c r="CL135" s="18"/>
      <c r="CM135" s="18"/>
      <c r="CN135" s="18"/>
      <c r="CO135" s="18"/>
      <c r="CP135" s="18"/>
      <c r="CQ135" s="18"/>
      <c r="CR135" s="18"/>
      <c r="CS135" s="18"/>
      <c r="CT135" s="18"/>
      <c r="CU135" s="18"/>
      <c r="CV135" s="18"/>
      <c r="CW135" s="18"/>
      <c r="CX135" s="18"/>
      <c r="CY135" s="18"/>
      <c r="CZ135" s="18"/>
      <c r="DA135" s="18"/>
      <c r="DB135" s="18"/>
      <c r="DC135" s="18"/>
      <c r="DD135" s="18"/>
      <c r="DE135" s="18"/>
      <c r="DF135" s="18"/>
      <c r="DG135" s="18"/>
      <c r="DH135" s="18"/>
      <c r="DI135" s="18"/>
      <c r="DJ135" s="18"/>
      <c r="DK135" s="18"/>
      <c r="DL135" s="18"/>
      <c r="DM135" s="18"/>
      <c r="DN135" s="18"/>
      <c r="DO135" s="18"/>
      <c r="DP135" s="18"/>
      <c r="DQ135" s="18"/>
      <c r="DR135" s="18"/>
      <c r="DS135" s="18"/>
      <c r="DT135" s="18"/>
      <c r="DU135" s="18"/>
      <c r="DV135" s="18"/>
      <c r="DW135" s="18"/>
      <c r="DX135" s="18"/>
      <c r="DY135" s="18"/>
      <c r="DZ135" s="18"/>
      <c r="EA135" s="18"/>
      <c r="EB135" s="18"/>
      <c r="EC135" s="18"/>
      <c r="ED135" s="18"/>
      <c r="EE135" s="18"/>
    </row>
    <row r="136" spans="1:135" ht="19.5" customHeight="1" x14ac:dyDescent="0.2">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c r="CE136" s="18"/>
      <c r="CF136" s="18"/>
      <c r="CG136" s="18"/>
      <c r="CH136" s="18"/>
      <c r="CI136" s="18"/>
      <c r="CJ136" s="18"/>
      <c r="CK136" s="18"/>
      <c r="CL136" s="18"/>
      <c r="CM136" s="18"/>
      <c r="CN136" s="18"/>
      <c r="CO136" s="18"/>
      <c r="CP136" s="18"/>
      <c r="CQ136" s="18"/>
      <c r="CR136" s="18"/>
      <c r="CS136" s="18"/>
      <c r="CT136" s="18"/>
      <c r="CU136" s="18"/>
      <c r="CV136" s="18"/>
      <c r="CW136" s="18"/>
      <c r="CX136" s="18"/>
      <c r="CY136" s="18"/>
      <c r="CZ136" s="18"/>
      <c r="DA136" s="18"/>
      <c r="DB136" s="18"/>
      <c r="DC136" s="18"/>
      <c r="DD136" s="18"/>
      <c r="DE136" s="18"/>
      <c r="DF136" s="18"/>
      <c r="DG136" s="18"/>
      <c r="DH136" s="18"/>
      <c r="DI136" s="18"/>
      <c r="DJ136" s="18"/>
      <c r="DK136" s="18"/>
      <c r="DL136" s="18"/>
      <c r="DM136" s="18"/>
      <c r="DN136" s="18"/>
      <c r="DO136" s="18"/>
      <c r="DP136" s="18"/>
      <c r="DQ136" s="18"/>
      <c r="DR136" s="18"/>
      <c r="DS136" s="18"/>
      <c r="DT136" s="18"/>
      <c r="DU136" s="18"/>
      <c r="DV136" s="18"/>
      <c r="DW136" s="18"/>
      <c r="DX136" s="18"/>
      <c r="DY136" s="18"/>
      <c r="DZ136" s="18"/>
      <c r="EA136" s="18"/>
      <c r="EB136" s="18"/>
      <c r="EC136" s="18"/>
      <c r="ED136" s="18"/>
      <c r="EE136" s="18"/>
    </row>
    <row r="137" spans="1:135" ht="19.5" customHeight="1" x14ac:dyDescent="0.2">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c r="CE137" s="18"/>
      <c r="CF137" s="18"/>
      <c r="CG137" s="18"/>
      <c r="CH137" s="18"/>
      <c r="CI137" s="18"/>
      <c r="CJ137" s="18"/>
      <c r="CK137" s="18"/>
      <c r="CL137" s="18"/>
      <c r="CM137" s="18"/>
      <c r="CN137" s="18"/>
      <c r="CO137" s="18"/>
      <c r="CP137" s="18"/>
      <c r="CQ137" s="18"/>
      <c r="CR137" s="18"/>
      <c r="CS137" s="18"/>
      <c r="CT137" s="18"/>
      <c r="CU137" s="18"/>
      <c r="CV137" s="18"/>
      <c r="CW137" s="18"/>
      <c r="CX137" s="18"/>
      <c r="CY137" s="18"/>
      <c r="CZ137" s="18"/>
      <c r="DA137" s="18"/>
      <c r="DB137" s="18"/>
      <c r="DC137" s="18"/>
      <c r="DD137" s="18"/>
      <c r="DE137" s="18"/>
      <c r="DF137" s="18"/>
      <c r="DG137" s="18"/>
      <c r="DH137" s="18"/>
      <c r="DI137" s="18"/>
      <c r="DJ137" s="18"/>
      <c r="DK137" s="18"/>
      <c r="DL137" s="18"/>
      <c r="DM137" s="18"/>
      <c r="DN137" s="18"/>
      <c r="DO137" s="18"/>
      <c r="DP137" s="18"/>
      <c r="DQ137" s="18"/>
      <c r="DR137" s="18"/>
      <c r="DS137" s="18"/>
      <c r="DT137" s="18"/>
      <c r="DU137" s="18"/>
      <c r="DV137" s="18"/>
      <c r="DW137" s="18"/>
      <c r="DX137" s="18"/>
      <c r="DY137" s="18"/>
      <c r="DZ137" s="18"/>
      <c r="EA137" s="18"/>
      <c r="EB137" s="18"/>
      <c r="EC137" s="18"/>
      <c r="ED137" s="18"/>
      <c r="EE137" s="18"/>
    </row>
    <row r="138" spans="1:135" ht="19.5" customHeight="1" x14ac:dyDescent="0.2">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c r="CE138" s="18"/>
      <c r="CF138" s="18"/>
      <c r="CG138" s="18"/>
      <c r="CH138" s="18"/>
      <c r="CI138" s="18"/>
      <c r="CJ138" s="18"/>
      <c r="CK138" s="18"/>
      <c r="CL138" s="18"/>
      <c r="CM138" s="18"/>
      <c r="CN138" s="18"/>
      <c r="CO138" s="18"/>
      <c r="CP138" s="18"/>
      <c r="CQ138" s="18"/>
      <c r="CR138" s="18"/>
      <c r="CS138" s="18"/>
      <c r="CT138" s="18"/>
      <c r="CU138" s="18"/>
      <c r="CV138" s="18"/>
      <c r="CW138" s="18"/>
      <c r="CX138" s="18"/>
      <c r="CY138" s="18"/>
      <c r="CZ138" s="18"/>
      <c r="DA138" s="18"/>
      <c r="DB138" s="18"/>
      <c r="DC138" s="18"/>
      <c r="DD138" s="18"/>
      <c r="DE138" s="18"/>
      <c r="DF138" s="18"/>
      <c r="DG138" s="18"/>
      <c r="DH138" s="18"/>
      <c r="DI138" s="18"/>
      <c r="DJ138" s="18"/>
      <c r="DK138" s="18"/>
      <c r="DL138" s="18"/>
      <c r="DM138" s="18"/>
      <c r="DN138" s="18"/>
      <c r="DO138" s="18"/>
      <c r="DP138" s="18"/>
      <c r="DQ138" s="18"/>
      <c r="DR138" s="18"/>
      <c r="DS138" s="18"/>
      <c r="DT138" s="18"/>
      <c r="DU138" s="18"/>
      <c r="DV138" s="18"/>
      <c r="DW138" s="18"/>
      <c r="DX138" s="18"/>
      <c r="DY138" s="18"/>
      <c r="DZ138" s="18"/>
      <c r="EA138" s="18"/>
      <c r="EB138" s="18"/>
      <c r="EC138" s="18"/>
      <c r="ED138" s="18"/>
      <c r="EE138" s="18"/>
    </row>
    <row r="139" spans="1:135" ht="19.5" customHeight="1" x14ac:dyDescent="0.2">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18"/>
      <c r="BX139" s="18"/>
      <c r="BY139" s="18"/>
      <c r="BZ139" s="18"/>
      <c r="CA139" s="18"/>
      <c r="CB139" s="18"/>
      <c r="CC139" s="18"/>
      <c r="CD139" s="18"/>
      <c r="CE139" s="18"/>
      <c r="CF139" s="18"/>
      <c r="CG139" s="18"/>
      <c r="CH139" s="18"/>
      <c r="CI139" s="18"/>
      <c r="CJ139" s="18"/>
      <c r="CK139" s="18"/>
      <c r="CL139" s="18"/>
      <c r="CM139" s="18"/>
      <c r="CN139" s="18"/>
      <c r="CO139" s="18"/>
      <c r="CP139" s="18"/>
      <c r="CQ139" s="18"/>
      <c r="CR139" s="18"/>
      <c r="CS139" s="18"/>
      <c r="CT139" s="18"/>
      <c r="CU139" s="18"/>
      <c r="CV139" s="18"/>
      <c r="CW139" s="18"/>
      <c r="CX139" s="18"/>
      <c r="CY139" s="18"/>
      <c r="CZ139" s="18"/>
      <c r="DA139" s="18"/>
      <c r="DB139" s="18"/>
      <c r="DC139" s="18"/>
      <c r="DD139" s="18"/>
      <c r="DE139" s="18"/>
      <c r="DF139" s="18"/>
      <c r="DG139" s="18"/>
      <c r="DH139" s="18"/>
      <c r="DI139" s="18"/>
      <c r="DJ139" s="18"/>
      <c r="DK139" s="18"/>
      <c r="DL139" s="18"/>
      <c r="DM139" s="18"/>
      <c r="DN139" s="18"/>
      <c r="DO139" s="18"/>
      <c r="DP139" s="18"/>
      <c r="DQ139" s="18"/>
      <c r="DR139" s="18"/>
      <c r="DS139" s="18"/>
      <c r="DT139" s="18"/>
      <c r="DU139" s="18"/>
      <c r="DV139" s="18"/>
      <c r="DW139" s="18"/>
      <c r="DX139" s="18"/>
      <c r="DY139" s="18"/>
      <c r="DZ139" s="18"/>
      <c r="EA139" s="18"/>
      <c r="EB139" s="18"/>
      <c r="EC139" s="18"/>
      <c r="ED139" s="18"/>
      <c r="EE139" s="18"/>
    </row>
    <row r="140" spans="1:135" ht="19.5" customHeight="1" x14ac:dyDescent="0.2">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c r="BW140" s="18"/>
      <c r="BX140" s="18"/>
      <c r="BY140" s="18"/>
      <c r="BZ140" s="18"/>
      <c r="CA140" s="18"/>
      <c r="CB140" s="18"/>
      <c r="CC140" s="18"/>
      <c r="CD140" s="18"/>
      <c r="CE140" s="18"/>
      <c r="CF140" s="18"/>
      <c r="CG140" s="18"/>
      <c r="CH140" s="18"/>
      <c r="CI140" s="18"/>
      <c r="CJ140" s="18"/>
      <c r="CK140" s="18"/>
      <c r="CL140" s="18"/>
      <c r="CM140" s="18"/>
      <c r="CN140" s="18"/>
      <c r="CO140" s="18"/>
      <c r="CP140" s="18"/>
      <c r="CQ140" s="18"/>
      <c r="CR140" s="18"/>
      <c r="CS140" s="18"/>
      <c r="CT140" s="18"/>
      <c r="CU140" s="18"/>
      <c r="CV140" s="18"/>
      <c r="CW140" s="18"/>
      <c r="CX140" s="18"/>
      <c r="CY140" s="18"/>
      <c r="CZ140" s="18"/>
      <c r="DA140" s="18"/>
      <c r="DB140" s="18"/>
      <c r="DC140" s="18"/>
      <c r="DD140" s="18"/>
      <c r="DE140" s="18"/>
      <c r="DF140" s="18"/>
      <c r="DG140" s="18"/>
      <c r="DH140" s="18"/>
      <c r="DI140" s="18"/>
      <c r="DJ140" s="18"/>
      <c r="DK140" s="18"/>
      <c r="DL140" s="18"/>
      <c r="DM140" s="18"/>
      <c r="DN140" s="18"/>
      <c r="DO140" s="18"/>
      <c r="DP140" s="18"/>
      <c r="DQ140" s="18"/>
      <c r="DR140" s="18"/>
      <c r="DS140" s="18"/>
      <c r="DT140" s="18"/>
      <c r="DU140" s="18"/>
      <c r="DV140" s="18"/>
      <c r="DW140" s="18"/>
      <c r="DX140" s="18"/>
      <c r="DY140" s="18"/>
      <c r="DZ140" s="18"/>
      <c r="EA140" s="18"/>
      <c r="EB140" s="18"/>
      <c r="EC140" s="18"/>
      <c r="ED140" s="18"/>
      <c r="EE140" s="18"/>
    </row>
    <row r="141" spans="1:135" ht="19.5" customHeight="1" x14ac:dyDescent="0.2">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18"/>
      <c r="BX141" s="18"/>
      <c r="BY141" s="18"/>
      <c r="BZ141" s="18"/>
      <c r="CA141" s="18"/>
      <c r="CB141" s="18"/>
      <c r="CC141" s="18"/>
      <c r="CD141" s="18"/>
      <c r="CE141" s="18"/>
      <c r="CF141" s="18"/>
      <c r="CG141" s="18"/>
      <c r="CH141" s="18"/>
      <c r="CI141" s="18"/>
      <c r="CJ141" s="18"/>
      <c r="CK141" s="18"/>
      <c r="CL141" s="18"/>
      <c r="CM141" s="18"/>
      <c r="CN141" s="18"/>
      <c r="CO141" s="18"/>
      <c r="CP141" s="18"/>
      <c r="CQ141" s="18"/>
      <c r="CR141" s="18"/>
      <c r="CS141" s="18"/>
      <c r="CT141" s="18"/>
      <c r="CU141" s="18"/>
      <c r="CV141" s="18"/>
      <c r="CW141" s="18"/>
      <c r="CX141" s="18"/>
      <c r="CY141" s="18"/>
      <c r="CZ141" s="18"/>
      <c r="DA141" s="18"/>
      <c r="DB141" s="18"/>
      <c r="DC141" s="18"/>
      <c r="DD141" s="18"/>
      <c r="DE141" s="18"/>
      <c r="DF141" s="18"/>
      <c r="DG141" s="18"/>
      <c r="DH141" s="18"/>
      <c r="DI141" s="18"/>
      <c r="DJ141" s="18"/>
      <c r="DK141" s="18"/>
      <c r="DL141" s="18"/>
      <c r="DM141" s="18"/>
      <c r="DN141" s="18"/>
      <c r="DO141" s="18"/>
      <c r="DP141" s="18"/>
      <c r="DQ141" s="18"/>
      <c r="DR141" s="18"/>
      <c r="DS141" s="18"/>
      <c r="DT141" s="18"/>
      <c r="DU141" s="18"/>
      <c r="DV141" s="18"/>
      <c r="DW141" s="18"/>
      <c r="DX141" s="18"/>
      <c r="DY141" s="18"/>
      <c r="DZ141" s="18"/>
      <c r="EA141" s="18"/>
      <c r="EB141" s="18"/>
      <c r="EC141" s="18"/>
      <c r="ED141" s="18"/>
      <c r="EE141" s="18"/>
    </row>
    <row r="142" spans="1:135" ht="19.5" customHeight="1" x14ac:dyDescent="0.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c r="BW142" s="18"/>
      <c r="BX142" s="18"/>
      <c r="BY142" s="18"/>
      <c r="BZ142" s="18"/>
      <c r="CA142" s="18"/>
      <c r="CB142" s="18"/>
      <c r="CC142" s="18"/>
      <c r="CD142" s="18"/>
      <c r="CE142" s="18"/>
      <c r="CF142" s="18"/>
      <c r="CG142" s="18"/>
      <c r="CH142" s="18"/>
      <c r="CI142" s="18"/>
      <c r="CJ142" s="18"/>
      <c r="CK142" s="18"/>
      <c r="CL142" s="18"/>
      <c r="CM142" s="18"/>
      <c r="CN142" s="18"/>
      <c r="CO142" s="18"/>
      <c r="CP142" s="18"/>
      <c r="CQ142" s="18"/>
      <c r="CR142" s="18"/>
      <c r="CS142" s="18"/>
      <c r="CT142" s="18"/>
      <c r="CU142" s="18"/>
      <c r="CV142" s="18"/>
      <c r="CW142" s="18"/>
      <c r="CX142" s="18"/>
      <c r="CY142" s="18"/>
      <c r="CZ142" s="18"/>
      <c r="DA142" s="18"/>
      <c r="DB142" s="18"/>
      <c r="DC142" s="18"/>
      <c r="DD142" s="18"/>
      <c r="DE142" s="18"/>
      <c r="DF142" s="18"/>
      <c r="DG142" s="18"/>
      <c r="DH142" s="18"/>
      <c r="DI142" s="18"/>
      <c r="DJ142" s="18"/>
      <c r="DK142" s="18"/>
      <c r="DL142" s="18"/>
      <c r="DM142" s="18"/>
      <c r="DN142" s="18"/>
      <c r="DO142" s="18"/>
      <c r="DP142" s="18"/>
      <c r="DQ142" s="18"/>
      <c r="DR142" s="18"/>
      <c r="DS142" s="18"/>
      <c r="DT142" s="18"/>
      <c r="DU142" s="18"/>
      <c r="DV142" s="18"/>
      <c r="DW142" s="18"/>
      <c r="DX142" s="18"/>
      <c r="DY142" s="18"/>
      <c r="DZ142" s="18"/>
      <c r="EA142" s="18"/>
      <c r="EB142" s="18"/>
      <c r="EC142" s="18"/>
      <c r="ED142" s="18"/>
      <c r="EE142" s="18"/>
    </row>
    <row r="143" spans="1:135" ht="19.5" customHeight="1" x14ac:dyDescent="0.2">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c r="BX143" s="18"/>
      <c r="BY143" s="18"/>
      <c r="BZ143" s="18"/>
      <c r="CA143" s="18"/>
      <c r="CB143" s="18"/>
      <c r="CC143" s="18"/>
      <c r="CD143" s="18"/>
      <c r="CE143" s="18"/>
      <c r="CF143" s="18"/>
      <c r="CG143" s="18"/>
      <c r="CH143" s="18"/>
      <c r="CI143" s="18"/>
      <c r="CJ143" s="18"/>
      <c r="CK143" s="18"/>
      <c r="CL143" s="18"/>
      <c r="CM143" s="18"/>
      <c r="CN143" s="18"/>
      <c r="CO143" s="18"/>
      <c r="CP143" s="18"/>
      <c r="CQ143" s="18"/>
      <c r="CR143" s="18"/>
      <c r="CS143" s="18"/>
      <c r="CT143" s="18"/>
      <c r="CU143" s="18"/>
      <c r="CV143" s="18"/>
      <c r="CW143" s="18"/>
      <c r="CX143" s="18"/>
      <c r="CY143" s="18"/>
      <c r="CZ143" s="18"/>
      <c r="DA143" s="18"/>
      <c r="DB143" s="18"/>
      <c r="DC143" s="18"/>
      <c r="DD143" s="18"/>
      <c r="DE143" s="18"/>
      <c r="DF143" s="18"/>
      <c r="DG143" s="18"/>
      <c r="DH143" s="18"/>
      <c r="DI143" s="18"/>
      <c r="DJ143" s="18"/>
      <c r="DK143" s="18"/>
      <c r="DL143" s="18"/>
      <c r="DM143" s="18"/>
      <c r="DN143" s="18"/>
      <c r="DO143" s="18"/>
      <c r="DP143" s="18"/>
      <c r="DQ143" s="18"/>
      <c r="DR143" s="18"/>
      <c r="DS143" s="18"/>
      <c r="DT143" s="18"/>
      <c r="DU143" s="18"/>
      <c r="DV143" s="18"/>
      <c r="DW143" s="18"/>
      <c r="DX143" s="18"/>
      <c r="DY143" s="18"/>
      <c r="DZ143" s="18"/>
      <c r="EA143" s="18"/>
      <c r="EB143" s="18"/>
      <c r="EC143" s="18"/>
      <c r="ED143" s="18"/>
      <c r="EE143" s="18"/>
    </row>
    <row r="144" spans="1:135" ht="19.5" customHeight="1" x14ac:dyDescent="0.2">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c r="CE144" s="18"/>
      <c r="CF144" s="18"/>
      <c r="CG144" s="18"/>
      <c r="CH144" s="18"/>
      <c r="CI144" s="18"/>
      <c r="CJ144" s="18"/>
      <c r="CK144" s="18"/>
      <c r="CL144" s="18"/>
      <c r="CM144" s="18"/>
      <c r="CN144" s="18"/>
      <c r="CO144" s="18"/>
      <c r="CP144" s="18"/>
      <c r="CQ144" s="18"/>
      <c r="CR144" s="18"/>
      <c r="CS144" s="18"/>
      <c r="CT144" s="18"/>
      <c r="CU144" s="18"/>
      <c r="CV144" s="18"/>
      <c r="CW144" s="18"/>
      <c r="CX144" s="18"/>
      <c r="CY144" s="18"/>
      <c r="CZ144" s="18"/>
      <c r="DA144" s="18"/>
      <c r="DB144" s="18"/>
      <c r="DC144" s="18"/>
      <c r="DD144" s="18"/>
      <c r="DE144" s="18"/>
      <c r="DF144" s="18"/>
      <c r="DG144" s="18"/>
      <c r="DH144" s="18"/>
      <c r="DI144" s="18"/>
      <c r="DJ144" s="18"/>
      <c r="DK144" s="18"/>
      <c r="DL144" s="18"/>
      <c r="DM144" s="18"/>
      <c r="DN144" s="18"/>
      <c r="DO144" s="18"/>
      <c r="DP144" s="18"/>
      <c r="DQ144" s="18"/>
      <c r="DR144" s="18"/>
      <c r="DS144" s="18"/>
      <c r="DT144" s="18"/>
      <c r="DU144" s="18"/>
      <c r="DV144" s="18"/>
      <c r="DW144" s="18"/>
      <c r="DX144" s="18"/>
      <c r="DY144" s="18"/>
      <c r="DZ144" s="18"/>
      <c r="EA144" s="18"/>
      <c r="EB144" s="18"/>
      <c r="EC144" s="18"/>
      <c r="ED144" s="18"/>
      <c r="EE144" s="18"/>
    </row>
    <row r="145" spans="1:135" ht="19.5" customHeight="1" x14ac:dyDescent="0.2">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8"/>
      <c r="CK145" s="18"/>
      <c r="CL145" s="18"/>
      <c r="CM145" s="18"/>
      <c r="CN145" s="18"/>
      <c r="CO145" s="18"/>
      <c r="CP145" s="18"/>
      <c r="CQ145" s="18"/>
      <c r="CR145" s="18"/>
      <c r="CS145" s="18"/>
      <c r="CT145" s="18"/>
      <c r="CU145" s="18"/>
      <c r="CV145" s="18"/>
      <c r="CW145" s="18"/>
      <c r="CX145" s="18"/>
      <c r="CY145" s="18"/>
      <c r="CZ145" s="18"/>
      <c r="DA145" s="18"/>
      <c r="DB145" s="18"/>
      <c r="DC145" s="18"/>
      <c r="DD145" s="18"/>
      <c r="DE145" s="18"/>
      <c r="DF145" s="18"/>
      <c r="DG145" s="18"/>
      <c r="DH145" s="18"/>
      <c r="DI145" s="18"/>
      <c r="DJ145" s="18"/>
      <c r="DK145" s="18"/>
      <c r="DL145" s="18"/>
      <c r="DM145" s="18"/>
      <c r="DN145" s="18"/>
      <c r="DO145" s="18"/>
      <c r="DP145" s="18"/>
      <c r="DQ145" s="18"/>
      <c r="DR145" s="18"/>
      <c r="DS145" s="18"/>
      <c r="DT145" s="18"/>
      <c r="DU145" s="18"/>
      <c r="DV145" s="18"/>
      <c r="DW145" s="18"/>
      <c r="DX145" s="18"/>
      <c r="DY145" s="18"/>
      <c r="DZ145" s="18"/>
      <c r="EA145" s="18"/>
      <c r="EB145" s="18"/>
      <c r="EC145" s="18"/>
      <c r="ED145" s="18"/>
      <c r="EE145" s="18"/>
    </row>
    <row r="146" spans="1:135" ht="19.5" customHeight="1" x14ac:dyDescent="0.2">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c r="CJ146" s="18"/>
      <c r="CK146" s="18"/>
      <c r="CL146" s="18"/>
      <c r="CM146" s="18"/>
      <c r="CN146" s="18"/>
      <c r="CO146" s="18"/>
      <c r="CP146" s="18"/>
      <c r="CQ146" s="18"/>
      <c r="CR146" s="18"/>
      <c r="CS146" s="18"/>
      <c r="CT146" s="18"/>
      <c r="CU146" s="18"/>
      <c r="CV146" s="18"/>
      <c r="CW146" s="18"/>
      <c r="CX146" s="18"/>
      <c r="CY146" s="18"/>
      <c r="CZ146" s="18"/>
      <c r="DA146" s="18"/>
      <c r="DB146" s="18"/>
      <c r="DC146" s="18"/>
      <c r="DD146" s="18"/>
      <c r="DE146" s="18"/>
      <c r="DF146" s="18"/>
      <c r="DG146" s="18"/>
      <c r="DH146" s="18"/>
      <c r="DI146" s="18"/>
      <c r="DJ146" s="18"/>
      <c r="DK146" s="18"/>
      <c r="DL146" s="18"/>
      <c r="DM146" s="18"/>
      <c r="DN146" s="18"/>
      <c r="DO146" s="18"/>
      <c r="DP146" s="18"/>
      <c r="DQ146" s="18"/>
      <c r="DR146" s="18"/>
      <c r="DS146" s="18"/>
      <c r="DT146" s="18"/>
      <c r="DU146" s="18"/>
      <c r="DV146" s="18"/>
      <c r="DW146" s="18"/>
      <c r="DX146" s="18"/>
      <c r="DY146" s="18"/>
      <c r="DZ146" s="18"/>
      <c r="EA146" s="18"/>
      <c r="EB146" s="18"/>
      <c r="EC146" s="18"/>
      <c r="ED146" s="18"/>
      <c r="EE146" s="18"/>
    </row>
    <row r="147" spans="1:135" ht="19.5" customHeight="1" x14ac:dyDescent="0.2">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c r="BW147" s="18"/>
      <c r="BX147" s="18"/>
      <c r="BY147" s="18"/>
      <c r="BZ147" s="18"/>
      <c r="CA147" s="18"/>
      <c r="CB147" s="18"/>
      <c r="CC147" s="18"/>
      <c r="CD147" s="18"/>
      <c r="CE147" s="18"/>
      <c r="CF147" s="18"/>
      <c r="CG147" s="18"/>
      <c r="CH147" s="18"/>
      <c r="CI147" s="18"/>
      <c r="CJ147" s="18"/>
      <c r="CK147" s="18"/>
      <c r="CL147" s="18"/>
      <c r="CM147" s="18"/>
      <c r="CN147" s="18"/>
      <c r="CO147" s="18"/>
      <c r="CP147" s="18"/>
      <c r="CQ147" s="18"/>
      <c r="CR147" s="18"/>
      <c r="CS147" s="18"/>
      <c r="CT147" s="18"/>
      <c r="CU147" s="18"/>
      <c r="CV147" s="18"/>
      <c r="CW147" s="18"/>
      <c r="CX147" s="18"/>
      <c r="CY147" s="18"/>
      <c r="CZ147" s="18"/>
      <c r="DA147" s="18"/>
      <c r="DB147" s="18"/>
      <c r="DC147" s="18"/>
      <c r="DD147" s="18"/>
      <c r="DE147" s="18"/>
      <c r="DF147" s="18"/>
      <c r="DG147" s="18"/>
      <c r="DH147" s="18"/>
      <c r="DI147" s="18"/>
      <c r="DJ147" s="18"/>
      <c r="DK147" s="18"/>
      <c r="DL147" s="18"/>
      <c r="DM147" s="18"/>
      <c r="DN147" s="18"/>
      <c r="DO147" s="18"/>
      <c r="DP147" s="18"/>
      <c r="DQ147" s="18"/>
      <c r="DR147" s="18"/>
      <c r="DS147" s="18"/>
      <c r="DT147" s="18"/>
      <c r="DU147" s="18"/>
      <c r="DV147" s="18"/>
      <c r="DW147" s="18"/>
      <c r="DX147" s="18"/>
      <c r="DY147" s="18"/>
      <c r="DZ147" s="18"/>
      <c r="EA147" s="18"/>
      <c r="EB147" s="18"/>
      <c r="EC147" s="18"/>
      <c r="ED147" s="18"/>
      <c r="EE147" s="18"/>
    </row>
    <row r="148" spans="1:135" ht="19.5" customHeight="1" x14ac:dyDescent="0.2">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18"/>
      <c r="CE148" s="18"/>
      <c r="CF148" s="18"/>
      <c r="CG148" s="18"/>
      <c r="CH148" s="18"/>
      <c r="CI148" s="18"/>
      <c r="CJ148" s="18"/>
      <c r="CK148" s="18"/>
      <c r="CL148" s="18"/>
      <c r="CM148" s="18"/>
      <c r="CN148" s="18"/>
      <c r="CO148" s="18"/>
      <c r="CP148" s="18"/>
      <c r="CQ148" s="18"/>
      <c r="CR148" s="18"/>
      <c r="CS148" s="18"/>
      <c r="CT148" s="18"/>
      <c r="CU148" s="18"/>
      <c r="CV148" s="18"/>
      <c r="CW148" s="18"/>
      <c r="CX148" s="18"/>
      <c r="CY148" s="18"/>
      <c r="CZ148" s="18"/>
      <c r="DA148" s="18"/>
      <c r="DB148" s="18"/>
      <c r="DC148" s="18"/>
      <c r="DD148" s="18"/>
      <c r="DE148" s="18"/>
      <c r="DF148" s="18"/>
      <c r="DG148" s="18"/>
      <c r="DH148" s="18"/>
      <c r="DI148" s="18"/>
      <c r="DJ148" s="18"/>
      <c r="DK148" s="18"/>
      <c r="DL148" s="18"/>
      <c r="DM148" s="18"/>
      <c r="DN148" s="18"/>
      <c r="DO148" s="18"/>
      <c r="DP148" s="18"/>
      <c r="DQ148" s="18"/>
      <c r="DR148" s="18"/>
      <c r="DS148" s="18"/>
      <c r="DT148" s="18"/>
      <c r="DU148" s="18"/>
      <c r="DV148" s="18"/>
      <c r="DW148" s="18"/>
      <c r="DX148" s="18"/>
      <c r="DY148" s="18"/>
      <c r="DZ148" s="18"/>
      <c r="EA148" s="18"/>
      <c r="EB148" s="18"/>
      <c r="EC148" s="18"/>
      <c r="ED148" s="18"/>
      <c r="EE148" s="18"/>
    </row>
    <row r="149" spans="1:135" ht="19.5" customHeight="1" x14ac:dyDescent="0.2">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18"/>
      <c r="CH149" s="18"/>
      <c r="CI149" s="18"/>
      <c r="CJ149" s="18"/>
      <c r="CK149" s="18"/>
      <c r="CL149" s="18"/>
      <c r="CM149" s="18"/>
      <c r="CN149" s="18"/>
      <c r="CO149" s="18"/>
      <c r="CP149" s="18"/>
      <c r="CQ149" s="18"/>
      <c r="CR149" s="18"/>
      <c r="CS149" s="18"/>
      <c r="CT149" s="18"/>
      <c r="CU149" s="18"/>
      <c r="CV149" s="18"/>
      <c r="CW149" s="18"/>
      <c r="CX149" s="18"/>
      <c r="CY149" s="18"/>
      <c r="CZ149" s="18"/>
      <c r="DA149" s="18"/>
      <c r="DB149" s="18"/>
      <c r="DC149" s="18"/>
      <c r="DD149" s="18"/>
      <c r="DE149" s="18"/>
      <c r="DF149" s="18"/>
      <c r="DG149" s="18"/>
      <c r="DH149" s="18"/>
      <c r="DI149" s="18"/>
      <c r="DJ149" s="18"/>
      <c r="DK149" s="18"/>
      <c r="DL149" s="18"/>
      <c r="DM149" s="18"/>
      <c r="DN149" s="18"/>
      <c r="DO149" s="18"/>
      <c r="DP149" s="18"/>
      <c r="DQ149" s="18"/>
      <c r="DR149" s="18"/>
      <c r="DS149" s="18"/>
      <c r="DT149" s="18"/>
      <c r="DU149" s="18"/>
      <c r="DV149" s="18"/>
      <c r="DW149" s="18"/>
      <c r="DX149" s="18"/>
      <c r="DY149" s="18"/>
      <c r="DZ149" s="18"/>
      <c r="EA149" s="18"/>
      <c r="EB149" s="18"/>
      <c r="EC149" s="18"/>
      <c r="ED149" s="18"/>
      <c r="EE149" s="18"/>
    </row>
    <row r="150" spans="1:135" ht="19.5" customHeight="1" x14ac:dyDescent="0.2">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c r="CH150" s="18"/>
      <c r="CI150" s="18"/>
      <c r="CJ150" s="18"/>
      <c r="CK150" s="18"/>
      <c r="CL150" s="18"/>
      <c r="CM150" s="18"/>
      <c r="CN150" s="18"/>
      <c r="CO150" s="18"/>
      <c r="CP150" s="18"/>
      <c r="CQ150" s="18"/>
      <c r="CR150" s="18"/>
      <c r="CS150" s="18"/>
      <c r="CT150" s="18"/>
      <c r="CU150" s="18"/>
      <c r="CV150" s="18"/>
      <c r="CW150" s="18"/>
      <c r="CX150" s="18"/>
      <c r="CY150" s="18"/>
      <c r="CZ150" s="18"/>
      <c r="DA150" s="18"/>
      <c r="DB150" s="18"/>
      <c r="DC150" s="18"/>
      <c r="DD150" s="18"/>
      <c r="DE150" s="18"/>
      <c r="DF150" s="18"/>
      <c r="DG150" s="18"/>
      <c r="DH150" s="18"/>
      <c r="DI150" s="18"/>
      <c r="DJ150" s="18"/>
      <c r="DK150" s="18"/>
      <c r="DL150" s="18"/>
      <c r="DM150" s="18"/>
      <c r="DN150" s="18"/>
      <c r="DO150" s="18"/>
      <c r="DP150" s="18"/>
      <c r="DQ150" s="18"/>
      <c r="DR150" s="18"/>
      <c r="DS150" s="18"/>
      <c r="DT150" s="18"/>
      <c r="DU150" s="18"/>
      <c r="DV150" s="18"/>
      <c r="DW150" s="18"/>
      <c r="DX150" s="18"/>
      <c r="DY150" s="18"/>
      <c r="DZ150" s="18"/>
      <c r="EA150" s="18"/>
      <c r="EB150" s="18"/>
      <c r="EC150" s="18"/>
      <c r="ED150" s="18"/>
      <c r="EE150" s="18"/>
    </row>
    <row r="151" spans="1:135" ht="19.5" customHeight="1" x14ac:dyDescent="0.2">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18"/>
      <c r="CF151" s="18"/>
      <c r="CG151" s="18"/>
      <c r="CH151" s="18"/>
      <c r="CI151" s="18"/>
      <c r="CJ151" s="18"/>
      <c r="CK151" s="18"/>
      <c r="CL151" s="18"/>
      <c r="CM151" s="18"/>
      <c r="CN151" s="18"/>
      <c r="CO151" s="18"/>
      <c r="CP151" s="18"/>
      <c r="CQ151" s="18"/>
      <c r="CR151" s="18"/>
      <c r="CS151" s="18"/>
      <c r="CT151" s="18"/>
      <c r="CU151" s="18"/>
      <c r="CV151" s="18"/>
      <c r="CW151" s="18"/>
      <c r="CX151" s="18"/>
      <c r="CY151" s="18"/>
      <c r="CZ151" s="18"/>
      <c r="DA151" s="18"/>
      <c r="DB151" s="18"/>
      <c r="DC151" s="18"/>
      <c r="DD151" s="18"/>
      <c r="DE151" s="18"/>
      <c r="DF151" s="18"/>
      <c r="DG151" s="18"/>
      <c r="DH151" s="18"/>
      <c r="DI151" s="18"/>
      <c r="DJ151" s="18"/>
      <c r="DK151" s="18"/>
      <c r="DL151" s="18"/>
      <c r="DM151" s="18"/>
      <c r="DN151" s="18"/>
      <c r="DO151" s="18"/>
      <c r="DP151" s="18"/>
      <c r="DQ151" s="18"/>
      <c r="DR151" s="18"/>
      <c r="DS151" s="18"/>
      <c r="DT151" s="18"/>
      <c r="DU151" s="18"/>
      <c r="DV151" s="18"/>
      <c r="DW151" s="18"/>
      <c r="DX151" s="18"/>
      <c r="DY151" s="18"/>
      <c r="DZ151" s="18"/>
      <c r="EA151" s="18"/>
      <c r="EB151" s="18"/>
      <c r="EC151" s="18"/>
      <c r="ED151" s="18"/>
      <c r="EE151" s="18"/>
    </row>
    <row r="152" spans="1:135" ht="19.5" customHeight="1" x14ac:dyDescent="0.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c r="BW152" s="18"/>
      <c r="BX152" s="18"/>
      <c r="BY152" s="18"/>
      <c r="BZ152" s="18"/>
      <c r="CA152" s="18"/>
      <c r="CB152" s="18"/>
      <c r="CC152" s="18"/>
      <c r="CD152" s="18"/>
      <c r="CE152" s="18"/>
      <c r="CF152" s="18"/>
      <c r="CG152" s="18"/>
      <c r="CH152" s="18"/>
      <c r="CI152" s="18"/>
      <c r="CJ152" s="18"/>
      <c r="CK152" s="18"/>
      <c r="CL152" s="18"/>
      <c r="CM152" s="18"/>
      <c r="CN152" s="18"/>
      <c r="CO152" s="18"/>
      <c r="CP152" s="18"/>
      <c r="CQ152" s="18"/>
      <c r="CR152" s="18"/>
      <c r="CS152" s="18"/>
      <c r="CT152" s="18"/>
      <c r="CU152" s="18"/>
      <c r="CV152" s="18"/>
      <c r="CW152" s="18"/>
      <c r="CX152" s="18"/>
      <c r="CY152" s="18"/>
      <c r="CZ152" s="18"/>
      <c r="DA152" s="18"/>
      <c r="DB152" s="18"/>
      <c r="DC152" s="18"/>
      <c r="DD152" s="18"/>
      <c r="DE152" s="18"/>
      <c r="DF152" s="18"/>
      <c r="DG152" s="18"/>
      <c r="DH152" s="18"/>
      <c r="DI152" s="18"/>
      <c r="DJ152" s="18"/>
      <c r="DK152" s="18"/>
      <c r="DL152" s="18"/>
      <c r="DM152" s="18"/>
      <c r="DN152" s="18"/>
      <c r="DO152" s="18"/>
      <c r="DP152" s="18"/>
      <c r="DQ152" s="18"/>
      <c r="DR152" s="18"/>
      <c r="DS152" s="18"/>
      <c r="DT152" s="18"/>
      <c r="DU152" s="18"/>
      <c r="DV152" s="18"/>
      <c r="DW152" s="18"/>
      <c r="DX152" s="18"/>
      <c r="DY152" s="18"/>
      <c r="DZ152" s="18"/>
      <c r="EA152" s="18"/>
      <c r="EB152" s="18"/>
      <c r="EC152" s="18"/>
      <c r="ED152" s="18"/>
      <c r="EE152" s="18"/>
    </row>
    <row r="153" spans="1:135" ht="19.5" customHeight="1" x14ac:dyDescent="0.2">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c r="BW153" s="18"/>
      <c r="BX153" s="18"/>
      <c r="BY153" s="18"/>
      <c r="BZ153" s="18"/>
      <c r="CA153" s="18"/>
      <c r="CB153" s="18"/>
      <c r="CC153" s="18"/>
      <c r="CD153" s="18"/>
      <c r="CE153" s="18"/>
      <c r="CF153" s="18"/>
      <c r="CG153" s="18"/>
      <c r="CH153" s="18"/>
      <c r="CI153" s="18"/>
      <c r="CJ153" s="18"/>
      <c r="CK153" s="18"/>
      <c r="CL153" s="18"/>
      <c r="CM153" s="18"/>
      <c r="CN153" s="18"/>
      <c r="CO153" s="18"/>
      <c r="CP153" s="18"/>
      <c r="CQ153" s="18"/>
      <c r="CR153" s="18"/>
      <c r="CS153" s="18"/>
      <c r="CT153" s="18"/>
      <c r="CU153" s="18"/>
      <c r="CV153" s="18"/>
      <c r="CW153" s="18"/>
      <c r="CX153" s="18"/>
      <c r="CY153" s="18"/>
      <c r="CZ153" s="18"/>
      <c r="DA153" s="18"/>
      <c r="DB153" s="18"/>
      <c r="DC153" s="18"/>
      <c r="DD153" s="18"/>
      <c r="DE153" s="18"/>
      <c r="DF153" s="18"/>
      <c r="DG153" s="18"/>
      <c r="DH153" s="18"/>
      <c r="DI153" s="18"/>
      <c r="DJ153" s="18"/>
      <c r="DK153" s="18"/>
      <c r="DL153" s="18"/>
      <c r="DM153" s="18"/>
      <c r="DN153" s="18"/>
      <c r="DO153" s="18"/>
      <c r="DP153" s="18"/>
      <c r="DQ153" s="18"/>
      <c r="DR153" s="18"/>
      <c r="DS153" s="18"/>
      <c r="DT153" s="18"/>
      <c r="DU153" s="18"/>
      <c r="DV153" s="18"/>
      <c r="DW153" s="18"/>
      <c r="DX153" s="18"/>
      <c r="DY153" s="18"/>
      <c r="DZ153" s="18"/>
      <c r="EA153" s="18"/>
      <c r="EB153" s="18"/>
      <c r="EC153" s="18"/>
      <c r="ED153" s="18"/>
      <c r="EE153" s="18"/>
    </row>
    <row r="154" spans="1:135" ht="19.5" customHeight="1" x14ac:dyDescent="0.2">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c r="BW154" s="18"/>
      <c r="BX154" s="18"/>
      <c r="BY154" s="18"/>
      <c r="BZ154" s="18"/>
      <c r="CA154" s="18"/>
      <c r="CB154" s="18"/>
      <c r="CC154" s="18"/>
      <c r="CD154" s="18"/>
      <c r="CE154" s="18"/>
      <c r="CF154" s="18"/>
      <c r="CG154" s="18"/>
      <c r="CH154" s="18"/>
      <c r="CI154" s="18"/>
      <c r="CJ154" s="18"/>
      <c r="CK154" s="18"/>
      <c r="CL154" s="18"/>
      <c r="CM154" s="18"/>
      <c r="CN154" s="18"/>
      <c r="CO154" s="18"/>
      <c r="CP154" s="18"/>
      <c r="CQ154" s="18"/>
      <c r="CR154" s="18"/>
      <c r="CS154" s="18"/>
      <c r="CT154" s="18"/>
      <c r="CU154" s="18"/>
      <c r="CV154" s="18"/>
      <c r="CW154" s="18"/>
      <c r="CX154" s="18"/>
      <c r="CY154" s="18"/>
      <c r="CZ154" s="18"/>
      <c r="DA154" s="18"/>
      <c r="DB154" s="18"/>
      <c r="DC154" s="18"/>
      <c r="DD154" s="18"/>
      <c r="DE154" s="18"/>
      <c r="DF154" s="18"/>
      <c r="DG154" s="18"/>
      <c r="DH154" s="18"/>
      <c r="DI154" s="18"/>
      <c r="DJ154" s="18"/>
      <c r="DK154" s="18"/>
      <c r="DL154" s="18"/>
      <c r="DM154" s="18"/>
      <c r="DN154" s="18"/>
      <c r="DO154" s="18"/>
      <c r="DP154" s="18"/>
      <c r="DQ154" s="18"/>
      <c r="DR154" s="18"/>
      <c r="DS154" s="18"/>
      <c r="DT154" s="18"/>
      <c r="DU154" s="18"/>
      <c r="DV154" s="18"/>
      <c r="DW154" s="18"/>
      <c r="DX154" s="18"/>
      <c r="DY154" s="18"/>
      <c r="DZ154" s="18"/>
      <c r="EA154" s="18"/>
      <c r="EB154" s="18"/>
      <c r="EC154" s="18"/>
      <c r="ED154" s="18"/>
      <c r="EE154" s="18"/>
    </row>
    <row r="155" spans="1:135" ht="19.5" customHeight="1" x14ac:dyDescent="0.2">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18"/>
      <c r="CH155" s="18"/>
      <c r="CI155" s="18"/>
      <c r="CJ155" s="18"/>
      <c r="CK155" s="18"/>
      <c r="CL155" s="18"/>
      <c r="CM155" s="18"/>
      <c r="CN155" s="18"/>
      <c r="CO155" s="18"/>
      <c r="CP155" s="18"/>
      <c r="CQ155" s="18"/>
      <c r="CR155" s="18"/>
      <c r="CS155" s="18"/>
      <c r="CT155" s="18"/>
      <c r="CU155" s="18"/>
      <c r="CV155" s="18"/>
      <c r="CW155" s="18"/>
      <c r="CX155" s="18"/>
      <c r="CY155" s="18"/>
      <c r="CZ155" s="18"/>
      <c r="DA155" s="18"/>
      <c r="DB155" s="18"/>
      <c r="DC155" s="18"/>
      <c r="DD155" s="18"/>
      <c r="DE155" s="18"/>
      <c r="DF155" s="18"/>
      <c r="DG155" s="18"/>
      <c r="DH155" s="18"/>
      <c r="DI155" s="18"/>
      <c r="DJ155" s="18"/>
      <c r="DK155" s="18"/>
      <c r="DL155" s="18"/>
      <c r="DM155" s="18"/>
      <c r="DN155" s="18"/>
      <c r="DO155" s="18"/>
      <c r="DP155" s="18"/>
      <c r="DQ155" s="18"/>
      <c r="DR155" s="18"/>
      <c r="DS155" s="18"/>
      <c r="DT155" s="18"/>
      <c r="DU155" s="18"/>
      <c r="DV155" s="18"/>
      <c r="DW155" s="18"/>
      <c r="DX155" s="18"/>
      <c r="DY155" s="18"/>
      <c r="DZ155" s="18"/>
      <c r="EA155" s="18"/>
      <c r="EB155" s="18"/>
      <c r="EC155" s="18"/>
      <c r="ED155" s="18"/>
      <c r="EE155" s="18"/>
    </row>
    <row r="156" spans="1:135" ht="19.5" customHeight="1" x14ac:dyDescent="0.2">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18"/>
      <c r="CH156" s="18"/>
      <c r="CI156" s="18"/>
      <c r="CJ156" s="18"/>
      <c r="CK156" s="18"/>
      <c r="CL156" s="18"/>
      <c r="CM156" s="18"/>
      <c r="CN156" s="18"/>
      <c r="CO156" s="18"/>
      <c r="CP156" s="18"/>
      <c r="CQ156" s="18"/>
      <c r="CR156" s="18"/>
      <c r="CS156" s="18"/>
      <c r="CT156" s="18"/>
      <c r="CU156" s="18"/>
      <c r="CV156" s="18"/>
      <c r="CW156" s="18"/>
      <c r="CX156" s="18"/>
      <c r="CY156" s="18"/>
      <c r="CZ156" s="18"/>
      <c r="DA156" s="18"/>
      <c r="DB156" s="18"/>
      <c r="DC156" s="18"/>
      <c r="DD156" s="18"/>
      <c r="DE156" s="18"/>
      <c r="DF156" s="18"/>
      <c r="DG156" s="18"/>
      <c r="DH156" s="18"/>
      <c r="DI156" s="18"/>
      <c r="DJ156" s="18"/>
      <c r="DK156" s="18"/>
      <c r="DL156" s="18"/>
      <c r="DM156" s="18"/>
      <c r="DN156" s="18"/>
      <c r="DO156" s="18"/>
      <c r="DP156" s="18"/>
      <c r="DQ156" s="18"/>
      <c r="DR156" s="18"/>
      <c r="DS156" s="18"/>
      <c r="DT156" s="18"/>
      <c r="DU156" s="18"/>
      <c r="DV156" s="18"/>
      <c r="DW156" s="18"/>
      <c r="DX156" s="18"/>
      <c r="DY156" s="18"/>
      <c r="DZ156" s="18"/>
      <c r="EA156" s="18"/>
      <c r="EB156" s="18"/>
      <c r="EC156" s="18"/>
      <c r="ED156" s="18"/>
      <c r="EE156" s="18"/>
    </row>
    <row r="157" spans="1:135" ht="19.5" customHeight="1" x14ac:dyDescent="0.2">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18"/>
      <c r="BX157" s="18"/>
      <c r="BY157" s="18"/>
      <c r="BZ157" s="18"/>
      <c r="CA157" s="18"/>
      <c r="CB157" s="18"/>
      <c r="CC157" s="18"/>
      <c r="CD157" s="18"/>
      <c r="CE157" s="18"/>
      <c r="CF157" s="18"/>
      <c r="CG157" s="18"/>
      <c r="CH157" s="18"/>
      <c r="CI157" s="18"/>
      <c r="CJ157" s="18"/>
      <c r="CK157" s="18"/>
      <c r="CL157" s="18"/>
      <c r="CM157" s="18"/>
      <c r="CN157" s="18"/>
      <c r="CO157" s="18"/>
      <c r="CP157" s="18"/>
      <c r="CQ157" s="18"/>
      <c r="CR157" s="18"/>
      <c r="CS157" s="18"/>
      <c r="CT157" s="18"/>
      <c r="CU157" s="18"/>
      <c r="CV157" s="18"/>
      <c r="CW157" s="18"/>
      <c r="CX157" s="18"/>
      <c r="CY157" s="18"/>
      <c r="CZ157" s="18"/>
      <c r="DA157" s="18"/>
      <c r="DB157" s="18"/>
      <c r="DC157" s="18"/>
      <c r="DD157" s="18"/>
      <c r="DE157" s="18"/>
      <c r="DF157" s="18"/>
      <c r="DG157" s="18"/>
      <c r="DH157" s="18"/>
      <c r="DI157" s="18"/>
      <c r="DJ157" s="18"/>
      <c r="DK157" s="18"/>
      <c r="DL157" s="18"/>
      <c r="DM157" s="18"/>
      <c r="DN157" s="18"/>
      <c r="DO157" s="18"/>
      <c r="DP157" s="18"/>
      <c r="DQ157" s="18"/>
      <c r="DR157" s="18"/>
      <c r="DS157" s="18"/>
      <c r="DT157" s="18"/>
      <c r="DU157" s="18"/>
      <c r="DV157" s="18"/>
      <c r="DW157" s="18"/>
      <c r="DX157" s="18"/>
      <c r="DY157" s="18"/>
      <c r="DZ157" s="18"/>
      <c r="EA157" s="18"/>
      <c r="EB157" s="18"/>
      <c r="EC157" s="18"/>
      <c r="ED157" s="18"/>
      <c r="EE157" s="18"/>
    </row>
    <row r="158" spans="1:135" ht="19.5" customHeight="1" x14ac:dyDescent="0.2">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c r="CH158" s="18"/>
      <c r="CI158" s="18"/>
      <c r="CJ158" s="18"/>
      <c r="CK158" s="18"/>
      <c r="CL158" s="18"/>
      <c r="CM158" s="18"/>
      <c r="CN158" s="18"/>
      <c r="CO158" s="18"/>
      <c r="CP158" s="18"/>
      <c r="CQ158" s="18"/>
      <c r="CR158" s="18"/>
      <c r="CS158" s="18"/>
      <c r="CT158" s="18"/>
      <c r="CU158" s="18"/>
      <c r="CV158" s="18"/>
      <c r="CW158" s="18"/>
      <c r="CX158" s="18"/>
      <c r="CY158" s="18"/>
      <c r="CZ158" s="18"/>
      <c r="DA158" s="18"/>
      <c r="DB158" s="18"/>
      <c r="DC158" s="18"/>
      <c r="DD158" s="18"/>
      <c r="DE158" s="18"/>
      <c r="DF158" s="18"/>
      <c r="DG158" s="18"/>
      <c r="DH158" s="18"/>
      <c r="DI158" s="18"/>
      <c r="DJ158" s="18"/>
      <c r="DK158" s="18"/>
      <c r="DL158" s="18"/>
      <c r="DM158" s="18"/>
      <c r="DN158" s="18"/>
      <c r="DO158" s="18"/>
      <c r="DP158" s="18"/>
      <c r="DQ158" s="18"/>
      <c r="DR158" s="18"/>
      <c r="DS158" s="18"/>
      <c r="DT158" s="18"/>
      <c r="DU158" s="18"/>
      <c r="DV158" s="18"/>
      <c r="DW158" s="18"/>
      <c r="DX158" s="18"/>
      <c r="DY158" s="18"/>
      <c r="DZ158" s="18"/>
      <c r="EA158" s="18"/>
      <c r="EB158" s="18"/>
      <c r="EC158" s="18"/>
      <c r="ED158" s="18"/>
      <c r="EE158" s="18"/>
    </row>
    <row r="159" spans="1:135" ht="19.5" customHeight="1" x14ac:dyDescent="0.2">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18"/>
      <c r="CH159" s="18"/>
      <c r="CI159" s="18"/>
      <c r="CJ159" s="18"/>
      <c r="CK159" s="18"/>
      <c r="CL159" s="18"/>
      <c r="CM159" s="18"/>
      <c r="CN159" s="18"/>
      <c r="CO159" s="18"/>
      <c r="CP159" s="18"/>
      <c r="CQ159" s="18"/>
      <c r="CR159" s="18"/>
      <c r="CS159" s="18"/>
      <c r="CT159" s="18"/>
      <c r="CU159" s="18"/>
      <c r="CV159" s="18"/>
      <c r="CW159" s="18"/>
      <c r="CX159" s="18"/>
      <c r="CY159" s="18"/>
      <c r="CZ159" s="18"/>
      <c r="DA159" s="18"/>
      <c r="DB159" s="18"/>
      <c r="DC159" s="18"/>
      <c r="DD159" s="18"/>
      <c r="DE159" s="18"/>
      <c r="DF159" s="18"/>
      <c r="DG159" s="18"/>
      <c r="DH159" s="18"/>
      <c r="DI159" s="18"/>
      <c r="DJ159" s="18"/>
      <c r="DK159" s="18"/>
      <c r="DL159" s="18"/>
      <c r="DM159" s="18"/>
      <c r="DN159" s="18"/>
      <c r="DO159" s="18"/>
      <c r="DP159" s="18"/>
      <c r="DQ159" s="18"/>
      <c r="DR159" s="18"/>
      <c r="DS159" s="18"/>
      <c r="DT159" s="18"/>
      <c r="DU159" s="18"/>
      <c r="DV159" s="18"/>
      <c r="DW159" s="18"/>
      <c r="DX159" s="18"/>
      <c r="DY159" s="18"/>
      <c r="DZ159" s="18"/>
      <c r="EA159" s="18"/>
      <c r="EB159" s="18"/>
      <c r="EC159" s="18"/>
      <c r="ED159" s="18"/>
      <c r="EE159" s="18"/>
    </row>
    <row r="160" spans="1:135" ht="19.5" customHeight="1" x14ac:dyDescent="0.2">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18"/>
      <c r="CH160" s="18"/>
      <c r="CI160" s="18"/>
      <c r="CJ160" s="18"/>
      <c r="CK160" s="18"/>
      <c r="CL160" s="18"/>
      <c r="CM160" s="18"/>
      <c r="CN160" s="18"/>
      <c r="CO160" s="18"/>
      <c r="CP160" s="18"/>
      <c r="CQ160" s="18"/>
      <c r="CR160" s="18"/>
      <c r="CS160" s="18"/>
      <c r="CT160" s="18"/>
      <c r="CU160" s="18"/>
      <c r="CV160" s="18"/>
      <c r="CW160" s="18"/>
      <c r="CX160" s="18"/>
      <c r="CY160" s="18"/>
      <c r="CZ160" s="18"/>
      <c r="DA160" s="18"/>
      <c r="DB160" s="18"/>
      <c r="DC160" s="18"/>
      <c r="DD160" s="18"/>
      <c r="DE160" s="18"/>
      <c r="DF160" s="18"/>
      <c r="DG160" s="18"/>
      <c r="DH160" s="18"/>
      <c r="DI160" s="18"/>
      <c r="DJ160" s="18"/>
      <c r="DK160" s="18"/>
      <c r="DL160" s="18"/>
      <c r="DM160" s="18"/>
      <c r="DN160" s="18"/>
      <c r="DO160" s="18"/>
      <c r="DP160" s="18"/>
      <c r="DQ160" s="18"/>
      <c r="DR160" s="18"/>
      <c r="DS160" s="18"/>
      <c r="DT160" s="18"/>
      <c r="DU160" s="18"/>
      <c r="DV160" s="18"/>
      <c r="DW160" s="18"/>
      <c r="DX160" s="18"/>
      <c r="DY160" s="18"/>
      <c r="DZ160" s="18"/>
      <c r="EA160" s="18"/>
      <c r="EB160" s="18"/>
      <c r="EC160" s="18"/>
      <c r="ED160" s="18"/>
      <c r="EE160" s="18"/>
    </row>
    <row r="161" spans="1:135" ht="19.5" customHeight="1" x14ac:dyDescent="0.2">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c r="BW161" s="18"/>
      <c r="BX161" s="18"/>
      <c r="BY161" s="18"/>
      <c r="BZ161" s="18"/>
      <c r="CA161" s="18"/>
      <c r="CB161" s="18"/>
      <c r="CC161" s="18"/>
      <c r="CD161" s="18"/>
      <c r="CE161" s="18"/>
      <c r="CF161" s="18"/>
      <c r="CG161" s="18"/>
      <c r="CH161" s="18"/>
      <c r="CI161" s="18"/>
      <c r="CJ161" s="18"/>
      <c r="CK161" s="18"/>
      <c r="CL161" s="18"/>
      <c r="CM161" s="18"/>
      <c r="CN161" s="18"/>
      <c r="CO161" s="18"/>
      <c r="CP161" s="18"/>
      <c r="CQ161" s="18"/>
      <c r="CR161" s="18"/>
      <c r="CS161" s="18"/>
      <c r="CT161" s="18"/>
      <c r="CU161" s="18"/>
      <c r="CV161" s="18"/>
      <c r="CW161" s="18"/>
      <c r="CX161" s="18"/>
      <c r="CY161" s="18"/>
      <c r="CZ161" s="18"/>
      <c r="DA161" s="18"/>
      <c r="DB161" s="18"/>
      <c r="DC161" s="18"/>
      <c r="DD161" s="18"/>
      <c r="DE161" s="18"/>
      <c r="DF161" s="18"/>
      <c r="DG161" s="18"/>
      <c r="DH161" s="18"/>
      <c r="DI161" s="18"/>
      <c r="DJ161" s="18"/>
      <c r="DK161" s="18"/>
      <c r="DL161" s="18"/>
      <c r="DM161" s="18"/>
      <c r="DN161" s="18"/>
      <c r="DO161" s="18"/>
      <c r="DP161" s="18"/>
      <c r="DQ161" s="18"/>
      <c r="DR161" s="18"/>
      <c r="DS161" s="18"/>
      <c r="DT161" s="18"/>
      <c r="DU161" s="18"/>
      <c r="DV161" s="18"/>
      <c r="DW161" s="18"/>
      <c r="DX161" s="18"/>
      <c r="DY161" s="18"/>
      <c r="DZ161" s="18"/>
      <c r="EA161" s="18"/>
      <c r="EB161" s="18"/>
      <c r="EC161" s="18"/>
      <c r="ED161" s="18"/>
      <c r="EE161" s="18"/>
    </row>
    <row r="162" spans="1:135" ht="19.5" customHeight="1" x14ac:dyDescent="0.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c r="BW162" s="18"/>
      <c r="BX162" s="18"/>
      <c r="BY162" s="18"/>
      <c r="BZ162" s="18"/>
      <c r="CA162" s="18"/>
      <c r="CB162" s="18"/>
      <c r="CC162" s="18"/>
      <c r="CD162" s="18"/>
      <c r="CE162" s="18"/>
      <c r="CF162" s="18"/>
      <c r="CG162" s="18"/>
      <c r="CH162" s="18"/>
      <c r="CI162" s="18"/>
      <c r="CJ162" s="18"/>
      <c r="CK162" s="18"/>
      <c r="CL162" s="18"/>
      <c r="CM162" s="18"/>
      <c r="CN162" s="18"/>
      <c r="CO162" s="18"/>
      <c r="CP162" s="18"/>
      <c r="CQ162" s="18"/>
      <c r="CR162" s="18"/>
      <c r="CS162" s="18"/>
      <c r="CT162" s="18"/>
      <c r="CU162" s="18"/>
      <c r="CV162" s="18"/>
      <c r="CW162" s="18"/>
      <c r="CX162" s="18"/>
      <c r="CY162" s="18"/>
      <c r="CZ162" s="18"/>
      <c r="DA162" s="18"/>
      <c r="DB162" s="18"/>
      <c r="DC162" s="18"/>
      <c r="DD162" s="18"/>
      <c r="DE162" s="18"/>
      <c r="DF162" s="18"/>
      <c r="DG162" s="18"/>
      <c r="DH162" s="18"/>
      <c r="DI162" s="18"/>
      <c r="DJ162" s="18"/>
      <c r="DK162" s="18"/>
      <c r="DL162" s="18"/>
      <c r="DM162" s="18"/>
      <c r="DN162" s="18"/>
      <c r="DO162" s="18"/>
      <c r="DP162" s="18"/>
      <c r="DQ162" s="18"/>
      <c r="DR162" s="18"/>
      <c r="DS162" s="18"/>
      <c r="DT162" s="18"/>
      <c r="DU162" s="18"/>
      <c r="DV162" s="18"/>
      <c r="DW162" s="18"/>
      <c r="DX162" s="18"/>
      <c r="DY162" s="18"/>
      <c r="DZ162" s="18"/>
      <c r="EA162" s="18"/>
      <c r="EB162" s="18"/>
      <c r="EC162" s="18"/>
      <c r="ED162" s="18"/>
      <c r="EE162" s="18"/>
    </row>
    <row r="163" spans="1:135" ht="19.5" customHeight="1" x14ac:dyDescent="0.2">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8"/>
      <c r="CE163" s="18"/>
      <c r="CF163" s="18"/>
      <c r="CG163" s="18"/>
      <c r="CH163" s="18"/>
      <c r="CI163" s="18"/>
      <c r="CJ163" s="18"/>
      <c r="CK163" s="18"/>
      <c r="CL163" s="18"/>
      <c r="CM163" s="18"/>
      <c r="CN163" s="18"/>
      <c r="CO163" s="18"/>
      <c r="CP163" s="18"/>
      <c r="CQ163" s="18"/>
      <c r="CR163" s="18"/>
      <c r="CS163" s="18"/>
      <c r="CT163" s="18"/>
      <c r="CU163" s="18"/>
      <c r="CV163" s="18"/>
      <c r="CW163" s="18"/>
      <c r="CX163" s="18"/>
      <c r="CY163" s="18"/>
      <c r="CZ163" s="18"/>
      <c r="DA163" s="18"/>
      <c r="DB163" s="18"/>
      <c r="DC163" s="18"/>
      <c r="DD163" s="18"/>
      <c r="DE163" s="18"/>
      <c r="DF163" s="18"/>
      <c r="DG163" s="18"/>
      <c r="DH163" s="18"/>
      <c r="DI163" s="18"/>
      <c r="DJ163" s="18"/>
      <c r="DK163" s="18"/>
      <c r="DL163" s="18"/>
      <c r="DM163" s="18"/>
      <c r="DN163" s="18"/>
      <c r="DO163" s="18"/>
      <c r="DP163" s="18"/>
      <c r="DQ163" s="18"/>
      <c r="DR163" s="18"/>
      <c r="DS163" s="18"/>
      <c r="DT163" s="18"/>
      <c r="DU163" s="18"/>
      <c r="DV163" s="18"/>
      <c r="DW163" s="18"/>
      <c r="DX163" s="18"/>
      <c r="DY163" s="18"/>
      <c r="DZ163" s="18"/>
      <c r="EA163" s="18"/>
      <c r="EB163" s="18"/>
      <c r="EC163" s="18"/>
      <c r="ED163" s="18"/>
      <c r="EE163" s="18"/>
    </row>
    <row r="164" spans="1:135" ht="19.5" customHeight="1" x14ac:dyDescent="0.2">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18"/>
      <c r="BX164" s="18"/>
      <c r="BY164" s="18"/>
      <c r="BZ164" s="18"/>
      <c r="CA164" s="18"/>
      <c r="CB164" s="18"/>
      <c r="CC164" s="18"/>
      <c r="CD164" s="18"/>
      <c r="CE164" s="18"/>
      <c r="CF164" s="18"/>
      <c r="CG164" s="18"/>
      <c r="CH164" s="18"/>
      <c r="CI164" s="18"/>
      <c r="CJ164" s="18"/>
      <c r="CK164" s="18"/>
      <c r="CL164" s="18"/>
      <c r="CM164" s="18"/>
      <c r="CN164" s="18"/>
      <c r="CO164" s="18"/>
      <c r="CP164" s="18"/>
      <c r="CQ164" s="18"/>
      <c r="CR164" s="18"/>
      <c r="CS164" s="18"/>
      <c r="CT164" s="18"/>
      <c r="CU164" s="18"/>
      <c r="CV164" s="18"/>
      <c r="CW164" s="18"/>
      <c r="CX164" s="18"/>
      <c r="CY164" s="18"/>
      <c r="CZ164" s="18"/>
      <c r="DA164" s="18"/>
      <c r="DB164" s="18"/>
      <c r="DC164" s="18"/>
      <c r="DD164" s="18"/>
      <c r="DE164" s="18"/>
      <c r="DF164" s="18"/>
      <c r="DG164" s="18"/>
      <c r="DH164" s="18"/>
      <c r="DI164" s="18"/>
      <c r="DJ164" s="18"/>
      <c r="DK164" s="18"/>
      <c r="DL164" s="18"/>
      <c r="DM164" s="18"/>
      <c r="DN164" s="18"/>
      <c r="DO164" s="18"/>
      <c r="DP164" s="18"/>
      <c r="DQ164" s="18"/>
      <c r="DR164" s="18"/>
      <c r="DS164" s="18"/>
      <c r="DT164" s="18"/>
      <c r="DU164" s="18"/>
      <c r="DV164" s="18"/>
      <c r="DW164" s="18"/>
      <c r="DX164" s="18"/>
      <c r="DY164" s="18"/>
      <c r="DZ164" s="18"/>
      <c r="EA164" s="18"/>
      <c r="EB164" s="18"/>
      <c r="EC164" s="18"/>
      <c r="ED164" s="18"/>
      <c r="EE164" s="18"/>
    </row>
    <row r="165" spans="1:135" ht="19.5" customHeight="1" x14ac:dyDescent="0.2">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18"/>
      <c r="CH165" s="18"/>
      <c r="CI165" s="18"/>
      <c r="CJ165" s="18"/>
      <c r="CK165" s="18"/>
      <c r="CL165" s="18"/>
      <c r="CM165" s="18"/>
      <c r="CN165" s="18"/>
      <c r="CO165" s="18"/>
      <c r="CP165" s="18"/>
      <c r="CQ165" s="18"/>
      <c r="CR165" s="18"/>
      <c r="CS165" s="18"/>
      <c r="CT165" s="18"/>
      <c r="CU165" s="18"/>
      <c r="CV165" s="18"/>
      <c r="CW165" s="18"/>
      <c r="CX165" s="18"/>
      <c r="CY165" s="18"/>
      <c r="CZ165" s="18"/>
      <c r="DA165" s="18"/>
      <c r="DB165" s="18"/>
      <c r="DC165" s="18"/>
      <c r="DD165" s="18"/>
      <c r="DE165" s="18"/>
      <c r="DF165" s="18"/>
      <c r="DG165" s="18"/>
      <c r="DH165" s="18"/>
      <c r="DI165" s="18"/>
      <c r="DJ165" s="18"/>
      <c r="DK165" s="18"/>
      <c r="DL165" s="18"/>
      <c r="DM165" s="18"/>
      <c r="DN165" s="18"/>
      <c r="DO165" s="18"/>
      <c r="DP165" s="18"/>
      <c r="DQ165" s="18"/>
      <c r="DR165" s="18"/>
      <c r="DS165" s="18"/>
      <c r="DT165" s="18"/>
      <c r="DU165" s="18"/>
      <c r="DV165" s="18"/>
      <c r="DW165" s="18"/>
      <c r="DX165" s="18"/>
      <c r="DY165" s="18"/>
      <c r="DZ165" s="18"/>
      <c r="EA165" s="18"/>
      <c r="EB165" s="18"/>
      <c r="EC165" s="18"/>
      <c r="ED165" s="18"/>
      <c r="EE165" s="18"/>
    </row>
    <row r="166" spans="1:135" ht="19.5" customHeight="1" x14ac:dyDescent="0.2">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18"/>
      <c r="BX166" s="18"/>
      <c r="BY166" s="18"/>
      <c r="BZ166" s="18"/>
      <c r="CA166" s="18"/>
      <c r="CB166" s="18"/>
      <c r="CC166" s="18"/>
      <c r="CD166" s="18"/>
      <c r="CE166" s="18"/>
      <c r="CF166" s="18"/>
      <c r="CG166" s="18"/>
      <c r="CH166" s="18"/>
      <c r="CI166" s="18"/>
      <c r="CJ166" s="18"/>
      <c r="CK166" s="18"/>
      <c r="CL166" s="18"/>
      <c r="CM166" s="18"/>
      <c r="CN166" s="18"/>
      <c r="CO166" s="18"/>
      <c r="CP166" s="18"/>
      <c r="CQ166" s="18"/>
      <c r="CR166" s="18"/>
      <c r="CS166" s="18"/>
      <c r="CT166" s="18"/>
      <c r="CU166" s="18"/>
      <c r="CV166" s="18"/>
      <c r="CW166" s="18"/>
      <c r="CX166" s="18"/>
      <c r="CY166" s="18"/>
      <c r="CZ166" s="18"/>
      <c r="DA166" s="18"/>
      <c r="DB166" s="18"/>
      <c r="DC166" s="18"/>
      <c r="DD166" s="18"/>
      <c r="DE166" s="18"/>
      <c r="DF166" s="18"/>
      <c r="DG166" s="18"/>
      <c r="DH166" s="18"/>
      <c r="DI166" s="18"/>
      <c r="DJ166" s="18"/>
      <c r="DK166" s="18"/>
      <c r="DL166" s="18"/>
      <c r="DM166" s="18"/>
      <c r="DN166" s="18"/>
      <c r="DO166" s="18"/>
      <c r="DP166" s="18"/>
      <c r="DQ166" s="18"/>
      <c r="DR166" s="18"/>
      <c r="DS166" s="18"/>
      <c r="DT166" s="18"/>
      <c r="DU166" s="18"/>
      <c r="DV166" s="18"/>
      <c r="DW166" s="18"/>
      <c r="DX166" s="18"/>
      <c r="DY166" s="18"/>
      <c r="DZ166" s="18"/>
      <c r="EA166" s="18"/>
      <c r="EB166" s="18"/>
      <c r="EC166" s="18"/>
      <c r="ED166" s="18"/>
      <c r="EE166" s="18"/>
    </row>
    <row r="167" spans="1:135" ht="19.5" customHeight="1" x14ac:dyDescent="0.2">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c r="BX167" s="18"/>
      <c r="BY167" s="18"/>
      <c r="BZ167" s="18"/>
      <c r="CA167" s="18"/>
      <c r="CB167" s="18"/>
      <c r="CC167" s="18"/>
      <c r="CD167" s="18"/>
      <c r="CE167" s="18"/>
      <c r="CF167" s="18"/>
      <c r="CG167" s="18"/>
      <c r="CH167" s="18"/>
      <c r="CI167" s="18"/>
      <c r="CJ167" s="18"/>
      <c r="CK167" s="18"/>
      <c r="CL167" s="18"/>
      <c r="CM167" s="18"/>
      <c r="CN167" s="18"/>
      <c r="CO167" s="18"/>
      <c r="CP167" s="18"/>
      <c r="CQ167" s="18"/>
      <c r="CR167" s="18"/>
      <c r="CS167" s="18"/>
      <c r="CT167" s="18"/>
      <c r="CU167" s="18"/>
      <c r="CV167" s="18"/>
      <c r="CW167" s="18"/>
      <c r="CX167" s="18"/>
      <c r="CY167" s="18"/>
      <c r="CZ167" s="18"/>
      <c r="DA167" s="18"/>
      <c r="DB167" s="18"/>
      <c r="DC167" s="18"/>
      <c r="DD167" s="18"/>
      <c r="DE167" s="18"/>
      <c r="DF167" s="18"/>
      <c r="DG167" s="18"/>
      <c r="DH167" s="18"/>
      <c r="DI167" s="18"/>
      <c r="DJ167" s="18"/>
      <c r="DK167" s="18"/>
      <c r="DL167" s="18"/>
      <c r="DM167" s="18"/>
      <c r="DN167" s="18"/>
      <c r="DO167" s="18"/>
      <c r="DP167" s="18"/>
      <c r="DQ167" s="18"/>
      <c r="DR167" s="18"/>
      <c r="DS167" s="18"/>
      <c r="DT167" s="18"/>
      <c r="DU167" s="18"/>
      <c r="DV167" s="18"/>
      <c r="DW167" s="18"/>
      <c r="DX167" s="18"/>
      <c r="DY167" s="18"/>
      <c r="DZ167" s="18"/>
      <c r="EA167" s="18"/>
      <c r="EB167" s="18"/>
      <c r="EC167" s="18"/>
      <c r="ED167" s="18"/>
      <c r="EE167" s="18"/>
    </row>
    <row r="168" spans="1:135" ht="19.5" customHeight="1" x14ac:dyDescent="0.2">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18"/>
      <c r="BX168" s="18"/>
      <c r="BY168" s="18"/>
      <c r="BZ168" s="18"/>
      <c r="CA168" s="18"/>
      <c r="CB168" s="18"/>
      <c r="CC168" s="18"/>
      <c r="CD168" s="18"/>
      <c r="CE168" s="18"/>
      <c r="CF168" s="18"/>
      <c r="CG168" s="18"/>
      <c r="CH168" s="18"/>
      <c r="CI168" s="18"/>
      <c r="CJ168" s="18"/>
      <c r="CK168" s="18"/>
      <c r="CL168" s="18"/>
      <c r="CM168" s="18"/>
      <c r="CN168" s="18"/>
      <c r="CO168" s="18"/>
      <c r="CP168" s="18"/>
      <c r="CQ168" s="18"/>
      <c r="CR168" s="18"/>
      <c r="CS168" s="18"/>
      <c r="CT168" s="18"/>
      <c r="CU168" s="18"/>
      <c r="CV168" s="18"/>
      <c r="CW168" s="18"/>
      <c r="CX168" s="18"/>
      <c r="CY168" s="18"/>
      <c r="CZ168" s="18"/>
      <c r="DA168" s="18"/>
      <c r="DB168" s="18"/>
      <c r="DC168" s="18"/>
      <c r="DD168" s="18"/>
      <c r="DE168" s="18"/>
      <c r="DF168" s="18"/>
      <c r="DG168" s="18"/>
      <c r="DH168" s="18"/>
      <c r="DI168" s="18"/>
      <c r="DJ168" s="18"/>
      <c r="DK168" s="18"/>
      <c r="DL168" s="18"/>
      <c r="DM168" s="18"/>
      <c r="DN168" s="18"/>
      <c r="DO168" s="18"/>
      <c r="DP168" s="18"/>
      <c r="DQ168" s="18"/>
      <c r="DR168" s="18"/>
      <c r="DS168" s="18"/>
      <c r="DT168" s="18"/>
      <c r="DU168" s="18"/>
      <c r="DV168" s="18"/>
      <c r="DW168" s="18"/>
      <c r="DX168" s="18"/>
      <c r="DY168" s="18"/>
      <c r="DZ168" s="18"/>
      <c r="EA168" s="18"/>
      <c r="EB168" s="18"/>
      <c r="EC168" s="18"/>
      <c r="ED168" s="18"/>
      <c r="EE168" s="18"/>
    </row>
    <row r="169" spans="1:135" ht="19.5" customHeight="1" x14ac:dyDescent="0.2">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c r="CL169" s="18"/>
      <c r="CM169" s="18"/>
      <c r="CN169" s="18"/>
      <c r="CO169" s="18"/>
      <c r="CP169" s="18"/>
      <c r="CQ169" s="18"/>
      <c r="CR169" s="18"/>
      <c r="CS169" s="18"/>
      <c r="CT169" s="18"/>
      <c r="CU169" s="18"/>
      <c r="CV169" s="18"/>
      <c r="CW169" s="18"/>
      <c r="CX169" s="18"/>
      <c r="CY169" s="18"/>
      <c r="CZ169" s="18"/>
      <c r="DA169" s="18"/>
      <c r="DB169" s="18"/>
      <c r="DC169" s="18"/>
      <c r="DD169" s="18"/>
      <c r="DE169" s="18"/>
      <c r="DF169" s="18"/>
      <c r="DG169" s="18"/>
      <c r="DH169" s="18"/>
      <c r="DI169" s="18"/>
      <c r="DJ169" s="18"/>
      <c r="DK169" s="18"/>
      <c r="DL169" s="18"/>
      <c r="DM169" s="18"/>
      <c r="DN169" s="18"/>
      <c r="DO169" s="18"/>
      <c r="DP169" s="18"/>
      <c r="DQ169" s="18"/>
      <c r="DR169" s="18"/>
      <c r="DS169" s="18"/>
      <c r="DT169" s="18"/>
      <c r="DU169" s="18"/>
      <c r="DV169" s="18"/>
      <c r="DW169" s="18"/>
      <c r="DX169" s="18"/>
      <c r="DY169" s="18"/>
      <c r="DZ169" s="18"/>
      <c r="EA169" s="18"/>
      <c r="EB169" s="18"/>
      <c r="EC169" s="18"/>
      <c r="ED169" s="18"/>
      <c r="EE169" s="18"/>
    </row>
    <row r="170" spans="1:135" ht="19.5" customHeight="1" x14ac:dyDescent="0.2">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18"/>
      <c r="BX170" s="18"/>
      <c r="BY170" s="18"/>
      <c r="BZ170" s="18"/>
      <c r="CA170" s="18"/>
      <c r="CB170" s="18"/>
      <c r="CC170" s="18"/>
      <c r="CD170" s="18"/>
      <c r="CE170" s="18"/>
      <c r="CF170" s="18"/>
      <c r="CG170" s="18"/>
      <c r="CH170" s="18"/>
      <c r="CI170" s="18"/>
      <c r="CJ170" s="18"/>
      <c r="CK170" s="18"/>
      <c r="CL170" s="18"/>
      <c r="CM170" s="18"/>
      <c r="CN170" s="18"/>
      <c r="CO170" s="18"/>
      <c r="CP170" s="18"/>
      <c r="CQ170" s="18"/>
      <c r="CR170" s="18"/>
      <c r="CS170" s="18"/>
      <c r="CT170" s="18"/>
      <c r="CU170" s="18"/>
      <c r="CV170" s="18"/>
      <c r="CW170" s="18"/>
      <c r="CX170" s="18"/>
      <c r="CY170" s="18"/>
      <c r="CZ170" s="18"/>
      <c r="DA170" s="18"/>
      <c r="DB170" s="18"/>
      <c r="DC170" s="18"/>
      <c r="DD170" s="18"/>
      <c r="DE170" s="18"/>
      <c r="DF170" s="18"/>
      <c r="DG170" s="18"/>
      <c r="DH170" s="18"/>
      <c r="DI170" s="18"/>
      <c r="DJ170" s="18"/>
      <c r="DK170" s="18"/>
      <c r="DL170" s="18"/>
      <c r="DM170" s="18"/>
      <c r="DN170" s="18"/>
      <c r="DO170" s="18"/>
      <c r="DP170" s="18"/>
      <c r="DQ170" s="18"/>
      <c r="DR170" s="18"/>
      <c r="DS170" s="18"/>
      <c r="DT170" s="18"/>
      <c r="DU170" s="18"/>
      <c r="DV170" s="18"/>
      <c r="DW170" s="18"/>
      <c r="DX170" s="18"/>
      <c r="DY170" s="18"/>
      <c r="DZ170" s="18"/>
      <c r="EA170" s="18"/>
      <c r="EB170" s="18"/>
      <c r="EC170" s="18"/>
      <c r="ED170" s="18"/>
      <c r="EE170" s="18"/>
    </row>
    <row r="171" spans="1:135" ht="19.5" customHeight="1" x14ac:dyDescent="0.2">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18"/>
      <c r="CH171" s="18"/>
      <c r="CI171" s="18"/>
      <c r="CJ171" s="18"/>
      <c r="CK171" s="18"/>
      <c r="CL171" s="18"/>
      <c r="CM171" s="18"/>
      <c r="CN171" s="18"/>
      <c r="CO171" s="18"/>
      <c r="CP171" s="18"/>
      <c r="CQ171" s="18"/>
      <c r="CR171" s="18"/>
      <c r="CS171" s="18"/>
      <c r="CT171" s="18"/>
      <c r="CU171" s="18"/>
      <c r="CV171" s="18"/>
      <c r="CW171" s="18"/>
      <c r="CX171" s="18"/>
      <c r="CY171" s="18"/>
      <c r="CZ171" s="18"/>
      <c r="DA171" s="18"/>
      <c r="DB171" s="18"/>
      <c r="DC171" s="18"/>
      <c r="DD171" s="18"/>
      <c r="DE171" s="18"/>
      <c r="DF171" s="18"/>
      <c r="DG171" s="18"/>
      <c r="DH171" s="18"/>
      <c r="DI171" s="18"/>
      <c r="DJ171" s="18"/>
      <c r="DK171" s="18"/>
      <c r="DL171" s="18"/>
      <c r="DM171" s="18"/>
      <c r="DN171" s="18"/>
      <c r="DO171" s="18"/>
      <c r="DP171" s="18"/>
      <c r="DQ171" s="18"/>
      <c r="DR171" s="18"/>
      <c r="DS171" s="18"/>
      <c r="DT171" s="18"/>
      <c r="DU171" s="18"/>
      <c r="DV171" s="18"/>
      <c r="DW171" s="18"/>
      <c r="DX171" s="18"/>
      <c r="DY171" s="18"/>
      <c r="DZ171" s="18"/>
      <c r="EA171" s="18"/>
      <c r="EB171" s="18"/>
      <c r="EC171" s="18"/>
      <c r="ED171" s="18"/>
      <c r="EE171" s="18"/>
    </row>
    <row r="172" spans="1:135" ht="19.5" customHeight="1" x14ac:dyDescent="0.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18"/>
      <c r="BX172" s="18"/>
      <c r="BY172" s="18"/>
      <c r="BZ172" s="18"/>
      <c r="CA172" s="18"/>
      <c r="CB172" s="18"/>
      <c r="CC172" s="18"/>
      <c r="CD172" s="18"/>
      <c r="CE172" s="18"/>
      <c r="CF172" s="18"/>
      <c r="CG172" s="18"/>
      <c r="CH172" s="18"/>
      <c r="CI172" s="18"/>
      <c r="CJ172" s="18"/>
      <c r="CK172" s="18"/>
      <c r="CL172" s="18"/>
      <c r="CM172" s="18"/>
      <c r="CN172" s="18"/>
      <c r="CO172" s="18"/>
      <c r="CP172" s="18"/>
      <c r="CQ172" s="18"/>
      <c r="CR172" s="18"/>
      <c r="CS172" s="18"/>
      <c r="CT172" s="18"/>
      <c r="CU172" s="18"/>
      <c r="CV172" s="18"/>
      <c r="CW172" s="18"/>
      <c r="CX172" s="18"/>
      <c r="CY172" s="18"/>
      <c r="CZ172" s="18"/>
      <c r="DA172" s="18"/>
      <c r="DB172" s="18"/>
      <c r="DC172" s="18"/>
      <c r="DD172" s="18"/>
      <c r="DE172" s="18"/>
      <c r="DF172" s="18"/>
      <c r="DG172" s="18"/>
      <c r="DH172" s="18"/>
      <c r="DI172" s="18"/>
      <c r="DJ172" s="18"/>
      <c r="DK172" s="18"/>
      <c r="DL172" s="18"/>
      <c r="DM172" s="18"/>
      <c r="DN172" s="18"/>
      <c r="DO172" s="18"/>
      <c r="DP172" s="18"/>
      <c r="DQ172" s="18"/>
      <c r="DR172" s="18"/>
      <c r="DS172" s="18"/>
      <c r="DT172" s="18"/>
      <c r="DU172" s="18"/>
      <c r="DV172" s="18"/>
      <c r="DW172" s="18"/>
      <c r="DX172" s="18"/>
      <c r="DY172" s="18"/>
      <c r="DZ172" s="18"/>
      <c r="EA172" s="18"/>
      <c r="EB172" s="18"/>
      <c r="EC172" s="18"/>
      <c r="ED172" s="18"/>
      <c r="EE172" s="18"/>
    </row>
    <row r="173" spans="1:135" ht="19.5" customHeight="1" x14ac:dyDescent="0.2">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8"/>
      <c r="CF173" s="18"/>
      <c r="CG173" s="18"/>
      <c r="CH173" s="18"/>
      <c r="CI173" s="18"/>
      <c r="CJ173" s="18"/>
      <c r="CK173" s="18"/>
      <c r="CL173" s="18"/>
      <c r="CM173" s="18"/>
      <c r="CN173" s="18"/>
      <c r="CO173" s="18"/>
      <c r="CP173" s="18"/>
      <c r="CQ173" s="18"/>
      <c r="CR173" s="18"/>
      <c r="CS173" s="18"/>
      <c r="CT173" s="18"/>
      <c r="CU173" s="18"/>
      <c r="CV173" s="18"/>
      <c r="CW173" s="18"/>
      <c r="CX173" s="18"/>
      <c r="CY173" s="18"/>
      <c r="CZ173" s="18"/>
      <c r="DA173" s="18"/>
      <c r="DB173" s="18"/>
      <c r="DC173" s="18"/>
      <c r="DD173" s="18"/>
      <c r="DE173" s="18"/>
      <c r="DF173" s="18"/>
      <c r="DG173" s="18"/>
      <c r="DH173" s="18"/>
      <c r="DI173" s="18"/>
      <c r="DJ173" s="18"/>
      <c r="DK173" s="18"/>
      <c r="DL173" s="18"/>
      <c r="DM173" s="18"/>
      <c r="DN173" s="18"/>
      <c r="DO173" s="18"/>
      <c r="DP173" s="18"/>
      <c r="DQ173" s="18"/>
      <c r="DR173" s="18"/>
      <c r="DS173" s="18"/>
      <c r="DT173" s="18"/>
      <c r="DU173" s="18"/>
      <c r="DV173" s="18"/>
      <c r="DW173" s="18"/>
      <c r="DX173" s="18"/>
      <c r="DY173" s="18"/>
      <c r="DZ173" s="18"/>
      <c r="EA173" s="18"/>
      <c r="EB173" s="18"/>
      <c r="EC173" s="18"/>
      <c r="ED173" s="18"/>
      <c r="EE173" s="18"/>
    </row>
    <row r="174" spans="1:135" ht="19.5" customHeight="1" x14ac:dyDescent="0.2">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18"/>
      <c r="BX174" s="18"/>
      <c r="BY174" s="18"/>
      <c r="BZ174" s="18"/>
      <c r="CA174" s="18"/>
      <c r="CB174" s="18"/>
      <c r="CC174" s="18"/>
      <c r="CD174" s="18"/>
      <c r="CE174" s="18"/>
      <c r="CF174" s="18"/>
      <c r="CG174" s="18"/>
      <c r="CH174" s="18"/>
      <c r="CI174" s="18"/>
      <c r="CJ174" s="18"/>
      <c r="CK174" s="18"/>
      <c r="CL174" s="18"/>
      <c r="CM174" s="18"/>
      <c r="CN174" s="18"/>
      <c r="CO174" s="18"/>
      <c r="CP174" s="18"/>
      <c r="CQ174" s="18"/>
      <c r="CR174" s="18"/>
      <c r="CS174" s="18"/>
      <c r="CT174" s="18"/>
      <c r="CU174" s="18"/>
      <c r="CV174" s="18"/>
      <c r="CW174" s="18"/>
      <c r="CX174" s="18"/>
      <c r="CY174" s="18"/>
      <c r="CZ174" s="18"/>
      <c r="DA174" s="18"/>
      <c r="DB174" s="18"/>
      <c r="DC174" s="18"/>
      <c r="DD174" s="18"/>
      <c r="DE174" s="18"/>
      <c r="DF174" s="18"/>
      <c r="DG174" s="18"/>
      <c r="DH174" s="18"/>
      <c r="DI174" s="18"/>
      <c r="DJ174" s="18"/>
      <c r="DK174" s="18"/>
      <c r="DL174" s="18"/>
      <c r="DM174" s="18"/>
      <c r="DN174" s="18"/>
      <c r="DO174" s="18"/>
      <c r="DP174" s="18"/>
      <c r="DQ174" s="18"/>
      <c r="DR174" s="18"/>
      <c r="DS174" s="18"/>
      <c r="DT174" s="18"/>
      <c r="DU174" s="18"/>
      <c r="DV174" s="18"/>
      <c r="DW174" s="18"/>
      <c r="DX174" s="18"/>
      <c r="DY174" s="18"/>
      <c r="DZ174" s="18"/>
      <c r="EA174" s="18"/>
      <c r="EB174" s="18"/>
      <c r="EC174" s="18"/>
      <c r="ED174" s="18"/>
      <c r="EE174" s="18"/>
    </row>
    <row r="175" spans="1:135" ht="19.5" customHeight="1" x14ac:dyDescent="0.2">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8"/>
      <c r="BY175" s="18"/>
      <c r="BZ175" s="18"/>
      <c r="CA175" s="18"/>
      <c r="CB175" s="18"/>
      <c r="CC175" s="18"/>
      <c r="CD175" s="18"/>
      <c r="CE175" s="18"/>
      <c r="CF175" s="18"/>
      <c r="CG175" s="18"/>
      <c r="CH175" s="18"/>
      <c r="CI175" s="18"/>
      <c r="CJ175" s="18"/>
      <c r="CK175" s="18"/>
      <c r="CL175" s="18"/>
      <c r="CM175" s="18"/>
      <c r="CN175" s="18"/>
      <c r="CO175" s="18"/>
      <c r="CP175" s="18"/>
      <c r="CQ175" s="18"/>
      <c r="CR175" s="18"/>
      <c r="CS175" s="18"/>
      <c r="CT175" s="18"/>
      <c r="CU175" s="18"/>
      <c r="CV175" s="18"/>
      <c r="CW175" s="18"/>
      <c r="CX175" s="18"/>
      <c r="CY175" s="18"/>
      <c r="CZ175" s="18"/>
      <c r="DA175" s="18"/>
      <c r="DB175" s="18"/>
      <c r="DC175" s="18"/>
      <c r="DD175" s="18"/>
      <c r="DE175" s="18"/>
      <c r="DF175" s="18"/>
      <c r="DG175" s="18"/>
      <c r="DH175" s="18"/>
      <c r="DI175" s="18"/>
      <c r="DJ175" s="18"/>
      <c r="DK175" s="18"/>
      <c r="DL175" s="18"/>
      <c r="DM175" s="18"/>
      <c r="DN175" s="18"/>
      <c r="DO175" s="18"/>
      <c r="DP175" s="18"/>
      <c r="DQ175" s="18"/>
      <c r="DR175" s="18"/>
      <c r="DS175" s="18"/>
      <c r="DT175" s="18"/>
      <c r="DU175" s="18"/>
      <c r="DV175" s="18"/>
      <c r="DW175" s="18"/>
      <c r="DX175" s="18"/>
      <c r="DY175" s="18"/>
      <c r="DZ175" s="18"/>
      <c r="EA175" s="18"/>
      <c r="EB175" s="18"/>
      <c r="EC175" s="18"/>
      <c r="ED175" s="18"/>
      <c r="EE175" s="18"/>
    </row>
    <row r="176" spans="1:135" ht="19.5" customHeight="1" x14ac:dyDescent="0.2">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18"/>
      <c r="BX176" s="18"/>
      <c r="BY176" s="18"/>
      <c r="BZ176" s="18"/>
      <c r="CA176" s="18"/>
      <c r="CB176" s="18"/>
      <c r="CC176" s="18"/>
      <c r="CD176" s="18"/>
      <c r="CE176" s="18"/>
      <c r="CF176" s="18"/>
      <c r="CG176" s="18"/>
      <c r="CH176" s="18"/>
      <c r="CI176" s="18"/>
      <c r="CJ176" s="18"/>
      <c r="CK176" s="18"/>
      <c r="CL176" s="18"/>
      <c r="CM176" s="18"/>
      <c r="CN176" s="18"/>
      <c r="CO176" s="18"/>
      <c r="CP176" s="18"/>
      <c r="CQ176" s="18"/>
      <c r="CR176" s="18"/>
      <c r="CS176" s="18"/>
      <c r="CT176" s="18"/>
      <c r="CU176" s="18"/>
      <c r="CV176" s="18"/>
      <c r="CW176" s="18"/>
      <c r="CX176" s="18"/>
      <c r="CY176" s="18"/>
      <c r="CZ176" s="18"/>
      <c r="DA176" s="18"/>
      <c r="DB176" s="18"/>
      <c r="DC176" s="18"/>
      <c r="DD176" s="18"/>
      <c r="DE176" s="18"/>
      <c r="DF176" s="18"/>
      <c r="DG176" s="18"/>
      <c r="DH176" s="18"/>
      <c r="DI176" s="18"/>
      <c r="DJ176" s="18"/>
      <c r="DK176" s="18"/>
      <c r="DL176" s="18"/>
      <c r="DM176" s="18"/>
      <c r="DN176" s="18"/>
      <c r="DO176" s="18"/>
      <c r="DP176" s="18"/>
      <c r="DQ176" s="18"/>
      <c r="DR176" s="18"/>
      <c r="DS176" s="18"/>
      <c r="DT176" s="18"/>
      <c r="DU176" s="18"/>
      <c r="DV176" s="18"/>
      <c r="DW176" s="18"/>
      <c r="DX176" s="18"/>
      <c r="DY176" s="18"/>
      <c r="DZ176" s="18"/>
      <c r="EA176" s="18"/>
      <c r="EB176" s="18"/>
      <c r="EC176" s="18"/>
      <c r="ED176" s="18"/>
      <c r="EE176" s="18"/>
    </row>
    <row r="177" spans="1:135" ht="19.5" customHeight="1" x14ac:dyDescent="0.2">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18"/>
      <c r="CH177" s="18"/>
      <c r="CI177" s="18"/>
      <c r="CJ177" s="18"/>
      <c r="CK177" s="18"/>
      <c r="CL177" s="18"/>
      <c r="CM177" s="18"/>
      <c r="CN177" s="18"/>
      <c r="CO177" s="18"/>
      <c r="CP177" s="18"/>
      <c r="CQ177" s="18"/>
      <c r="CR177" s="18"/>
      <c r="CS177" s="18"/>
      <c r="CT177" s="18"/>
      <c r="CU177" s="18"/>
      <c r="CV177" s="18"/>
      <c r="CW177" s="18"/>
      <c r="CX177" s="18"/>
      <c r="CY177" s="18"/>
      <c r="CZ177" s="18"/>
      <c r="DA177" s="18"/>
      <c r="DB177" s="18"/>
      <c r="DC177" s="18"/>
      <c r="DD177" s="18"/>
      <c r="DE177" s="18"/>
      <c r="DF177" s="18"/>
      <c r="DG177" s="18"/>
      <c r="DH177" s="18"/>
      <c r="DI177" s="18"/>
      <c r="DJ177" s="18"/>
      <c r="DK177" s="18"/>
      <c r="DL177" s="18"/>
      <c r="DM177" s="18"/>
      <c r="DN177" s="18"/>
      <c r="DO177" s="18"/>
      <c r="DP177" s="18"/>
      <c r="DQ177" s="18"/>
      <c r="DR177" s="18"/>
      <c r="DS177" s="18"/>
      <c r="DT177" s="18"/>
      <c r="DU177" s="18"/>
      <c r="DV177" s="18"/>
      <c r="DW177" s="18"/>
      <c r="DX177" s="18"/>
      <c r="DY177" s="18"/>
      <c r="DZ177" s="18"/>
      <c r="EA177" s="18"/>
      <c r="EB177" s="18"/>
      <c r="EC177" s="18"/>
      <c r="ED177" s="18"/>
      <c r="EE177" s="18"/>
    </row>
    <row r="178" spans="1:135" ht="19.5" customHeight="1" x14ac:dyDescent="0.2">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18"/>
      <c r="CE178" s="18"/>
      <c r="CF178" s="18"/>
      <c r="CG178" s="18"/>
      <c r="CH178" s="18"/>
      <c r="CI178" s="18"/>
      <c r="CJ178" s="18"/>
      <c r="CK178" s="18"/>
      <c r="CL178" s="18"/>
      <c r="CM178" s="18"/>
      <c r="CN178" s="18"/>
      <c r="CO178" s="18"/>
      <c r="CP178" s="18"/>
      <c r="CQ178" s="18"/>
      <c r="CR178" s="18"/>
      <c r="CS178" s="18"/>
      <c r="CT178" s="18"/>
      <c r="CU178" s="18"/>
      <c r="CV178" s="18"/>
      <c r="CW178" s="18"/>
      <c r="CX178" s="18"/>
      <c r="CY178" s="18"/>
      <c r="CZ178" s="18"/>
      <c r="DA178" s="18"/>
      <c r="DB178" s="18"/>
      <c r="DC178" s="18"/>
      <c r="DD178" s="18"/>
      <c r="DE178" s="18"/>
      <c r="DF178" s="18"/>
      <c r="DG178" s="18"/>
      <c r="DH178" s="18"/>
      <c r="DI178" s="18"/>
      <c r="DJ178" s="18"/>
      <c r="DK178" s="18"/>
      <c r="DL178" s="18"/>
      <c r="DM178" s="18"/>
      <c r="DN178" s="18"/>
      <c r="DO178" s="18"/>
      <c r="DP178" s="18"/>
      <c r="DQ178" s="18"/>
      <c r="DR178" s="18"/>
      <c r="DS178" s="18"/>
      <c r="DT178" s="18"/>
      <c r="DU178" s="18"/>
      <c r="DV178" s="18"/>
      <c r="DW178" s="18"/>
      <c r="DX178" s="18"/>
      <c r="DY178" s="18"/>
      <c r="DZ178" s="18"/>
      <c r="EA178" s="18"/>
      <c r="EB178" s="18"/>
      <c r="EC178" s="18"/>
      <c r="ED178" s="18"/>
      <c r="EE178" s="18"/>
    </row>
    <row r="179" spans="1:135" ht="19.5" customHeight="1" x14ac:dyDescent="0.2">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K179" s="18"/>
      <c r="DL179" s="18"/>
      <c r="DM179" s="18"/>
      <c r="DN179" s="18"/>
      <c r="DO179" s="18"/>
      <c r="DP179" s="18"/>
      <c r="DQ179" s="18"/>
      <c r="DR179" s="18"/>
      <c r="DS179" s="18"/>
      <c r="DT179" s="18"/>
      <c r="DU179" s="18"/>
      <c r="DV179" s="18"/>
      <c r="DW179" s="18"/>
      <c r="DX179" s="18"/>
      <c r="DY179" s="18"/>
      <c r="DZ179" s="18"/>
      <c r="EA179" s="18"/>
      <c r="EB179" s="18"/>
      <c r="EC179" s="18"/>
      <c r="ED179" s="18"/>
      <c r="EE179" s="18"/>
    </row>
    <row r="180" spans="1:135" ht="19.5" customHeight="1" x14ac:dyDescent="0.2">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K180" s="18"/>
      <c r="DL180" s="18"/>
      <c r="DM180" s="18"/>
      <c r="DN180" s="18"/>
      <c r="DO180" s="18"/>
      <c r="DP180" s="18"/>
      <c r="DQ180" s="18"/>
      <c r="DR180" s="18"/>
      <c r="DS180" s="18"/>
      <c r="DT180" s="18"/>
      <c r="DU180" s="18"/>
      <c r="DV180" s="18"/>
      <c r="DW180" s="18"/>
      <c r="DX180" s="18"/>
      <c r="DY180" s="18"/>
      <c r="DZ180" s="18"/>
      <c r="EA180" s="18"/>
      <c r="EB180" s="18"/>
      <c r="EC180" s="18"/>
      <c r="ED180" s="18"/>
      <c r="EE180" s="18"/>
    </row>
    <row r="181" spans="1:135" ht="19.5" customHeight="1" x14ac:dyDescent="0.2">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c r="DU181" s="18"/>
      <c r="DV181" s="18"/>
      <c r="DW181" s="18"/>
      <c r="DX181" s="18"/>
      <c r="DY181" s="18"/>
      <c r="DZ181" s="18"/>
      <c r="EA181" s="18"/>
      <c r="EB181" s="18"/>
      <c r="EC181" s="18"/>
      <c r="ED181" s="18"/>
      <c r="EE181" s="18"/>
    </row>
    <row r="182" spans="1:135" ht="19.5" customHeight="1" x14ac:dyDescent="0.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c r="DU182" s="18"/>
      <c r="DV182" s="18"/>
      <c r="DW182" s="18"/>
      <c r="DX182" s="18"/>
      <c r="DY182" s="18"/>
      <c r="DZ182" s="18"/>
      <c r="EA182" s="18"/>
      <c r="EB182" s="18"/>
      <c r="EC182" s="18"/>
      <c r="ED182" s="18"/>
      <c r="EE182" s="18"/>
    </row>
    <row r="183" spans="1:135" ht="19.5" customHeight="1" x14ac:dyDescent="0.2">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K183" s="18"/>
      <c r="DL183" s="18"/>
      <c r="DM183" s="18"/>
      <c r="DN183" s="18"/>
      <c r="DO183" s="18"/>
      <c r="DP183" s="18"/>
      <c r="DQ183" s="18"/>
      <c r="DR183" s="18"/>
      <c r="DS183" s="18"/>
      <c r="DT183" s="18"/>
      <c r="DU183" s="18"/>
      <c r="DV183" s="18"/>
      <c r="DW183" s="18"/>
      <c r="DX183" s="18"/>
      <c r="DY183" s="18"/>
      <c r="DZ183" s="18"/>
      <c r="EA183" s="18"/>
      <c r="EB183" s="18"/>
      <c r="EC183" s="18"/>
      <c r="ED183" s="18"/>
      <c r="EE183" s="18"/>
    </row>
    <row r="184" spans="1:135" ht="19.5" customHeight="1" x14ac:dyDescent="0.2">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K184" s="18"/>
      <c r="DL184" s="18"/>
      <c r="DM184" s="18"/>
      <c r="DN184" s="18"/>
      <c r="DO184" s="18"/>
      <c r="DP184" s="18"/>
      <c r="DQ184" s="18"/>
      <c r="DR184" s="18"/>
      <c r="DS184" s="18"/>
      <c r="DT184" s="18"/>
      <c r="DU184" s="18"/>
      <c r="DV184" s="18"/>
      <c r="DW184" s="18"/>
      <c r="DX184" s="18"/>
      <c r="DY184" s="18"/>
      <c r="DZ184" s="18"/>
      <c r="EA184" s="18"/>
      <c r="EB184" s="18"/>
      <c r="EC184" s="18"/>
      <c r="ED184" s="18"/>
      <c r="EE184" s="18"/>
    </row>
    <row r="185" spans="1:135" ht="19.5" customHeight="1" x14ac:dyDescent="0.2">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K185" s="18"/>
      <c r="DL185" s="18"/>
      <c r="DM185" s="18"/>
      <c r="DN185" s="18"/>
      <c r="DO185" s="18"/>
      <c r="DP185" s="18"/>
      <c r="DQ185" s="18"/>
      <c r="DR185" s="18"/>
      <c r="DS185" s="18"/>
      <c r="DT185" s="18"/>
      <c r="DU185" s="18"/>
      <c r="DV185" s="18"/>
      <c r="DW185" s="18"/>
      <c r="DX185" s="18"/>
      <c r="DY185" s="18"/>
      <c r="DZ185" s="18"/>
      <c r="EA185" s="18"/>
      <c r="EB185" s="18"/>
      <c r="EC185" s="18"/>
      <c r="ED185" s="18"/>
      <c r="EE185" s="18"/>
    </row>
    <row r="186" spans="1:135" ht="19.5" customHeight="1" x14ac:dyDescent="0.2">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K186" s="18"/>
      <c r="DL186" s="18"/>
      <c r="DM186" s="18"/>
      <c r="DN186" s="18"/>
      <c r="DO186" s="18"/>
      <c r="DP186" s="18"/>
      <c r="DQ186" s="18"/>
      <c r="DR186" s="18"/>
      <c r="DS186" s="18"/>
      <c r="DT186" s="18"/>
      <c r="DU186" s="18"/>
      <c r="DV186" s="18"/>
      <c r="DW186" s="18"/>
      <c r="DX186" s="18"/>
      <c r="DY186" s="18"/>
      <c r="DZ186" s="18"/>
      <c r="EA186" s="18"/>
      <c r="EB186" s="18"/>
      <c r="EC186" s="18"/>
      <c r="ED186" s="18"/>
      <c r="EE186" s="18"/>
    </row>
    <row r="187" spans="1:135" ht="19.5" customHeight="1" x14ac:dyDescent="0.2">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K187" s="18"/>
      <c r="DL187" s="18"/>
      <c r="DM187" s="18"/>
      <c r="DN187" s="18"/>
      <c r="DO187" s="18"/>
      <c r="DP187" s="18"/>
      <c r="DQ187" s="18"/>
      <c r="DR187" s="18"/>
      <c r="DS187" s="18"/>
      <c r="DT187" s="18"/>
      <c r="DU187" s="18"/>
      <c r="DV187" s="18"/>
      <c r="DW187" s="18"/>
      <c r="DX187" s="18"/>
      <c r="DY187" s="18"/>
      <c r="DZ187" s="18"/>
      <c r="EA187" s="18"/>
      <c r="EB187" s="18"/>
      <c r="EC187" s="18"/>
      <c r="ED187" s="18"/>
      <c r="EE187" s="18"/>
    </row>
    <row r="188" spans="1:135" ht="19.5" customHeight="1" x14ac:dyDescent="0.2">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K188" s="18"/>
      <c r="DL188" s="18"/>
      <c r="DM188" s="18"/>
      <c r="DN188" s="18"/>
      <c r="DO188" s="18"/>
      <c r="DP188" s="18"/>
      <c r="DQ188" s="18"/>
      <c r="DR188" s="18"/>
      <c r="DS188" s="18"/>
      <c r="DT188" s="18"/>
      <c r="DU188" s="18"/>
      <c r="DV188" s="18"/>
      <c r="DW188" s="18"/>
      <c r="DX188" s="18"/>
      <c r="DY188" s="18"/>
      <c r="DZ188" s="18"/>
      <c r="EA188" s="18"/>
      <c r="EB188" s="18"/>
      <c r="EC188" s="18"/>
      <c r="ED188" s="18"/>
      <c r="EE188" s="18"/>
    </row>
    <row r="189" spans="1:135" ht="19.5" customHeight="1" x14ac:dyDescent="0.2">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K189" s="18"/>
      <c r="DL189" s="18"/>
      <c r="DM189" s="18"/>
      <c r="DN189" s="18"/>
      <c r="DO189" s="18"/>
      <c r="DP189" s="18"/>
      <c r="DQ189" s="18"/>
      <c r="DR189" s="18"/>
      <c r="DS189" s="18"/>
      <c r="DT189" s="18"/>
      <c r="DU189" s="18"/>
      <c r="DV189" s="18"/>
      <c r="DW189" s="18"/>
      <c r="DX189" s="18"/>
      <c r="DY189" s="18"/>
      <c r="DZ189" s="18"/>
      <c r="EA189" s="18"/>
      <c r="EB189" s="18"/>
      <c r="EC189" s="18"/>
      <c r="ED189" s="18"/>
      <c r="EE189" s="18"/>
    </row>
    <row r="190" spans="1:135" ht="19.5" customHeight="1" x14ac:dyDescent="0.2">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K190" s="18"/>
      <c r="DL190" s="18"/>
      <c r="DM190" s="18"/>
      <c r="DN190" s="18"/>
      <c r="DO190" s="18"/>
      <c r="DP190" s="18"/>
      <c r="DQ190" s="18"/>
      <c r="DR190" s="18"/>
      <c r="DS190" s="18"/>
      <c r="DT190" s="18"/>
      <c r="DU190" s="18"/>
      <c r="DV190" s="18"/>
      <c r="DW190" s="18"/>
      <c r="DX190" s="18"/>
      <c r="DY190" s="18"/>
      <c r="DZ190" s="18"/>
      <c r="EA190" s="18"/>
      <c r="EB190" s="18"/>
      <c r="EC190" s="18"/>
      <c r="ED190" s="18"/>
      <c r="EE190" s="18"/>
    </row>
    <row r="191" spans="1:135" ht="19.5" customHeight="1" x14ac:dyDescent="0.2">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K191" s="18"/>
      <c r="DL191" s="18"/>
      <c r="DM191" s="18"/>
      <c r="DN191" s="18"/>
      <c r="DO191" s="18"/>
      <c r="DP191" s="18"/>
      <c r="DQ191" s="18"/>
      <c r="DR191" s="18"/>
      <c r="DS191" s="18"/>
      <c r="DT191" s="18"/>
      <c r="DU191" s="18"/>
      <c r="DV191" s="18"/>
      <c r="DW191" s="18"/>
      <c r="DX191" s="18"/>
      <c r="DY191" s="18"/>
      <c r="DZ191" s="18"/>
      <c r="EA191" s="18"/>
      <c r="EB191" s="18"/>
      <c r="EC191" s="18"/>
      <c r="ED191" s="18"/>
      <c r="EE191" s="18"/>
    </row>
    <row r="192" spans="1:135" ht="19.5" customHeight="1" x14ac:dyDescent="0.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K192" s="18"/>
      <c r="DL192" s="18"/>
      <c r="DM192" s="18"/>
      <c r="DN192" s="18"/>
      <c r="DO192" s="18"/>
      <c r="DP192" s="18"/>
      <c r="DQ192" s="18"/>
      <c r="DR192" s="18"/>
      <c r="DS192" s="18"/>
      <c r="DT192" s="18"/>
      <c r="DU192" s="18"/>
      <c r="DV192" s="18"/>
      <c r="DW192" s="18"/>
      <c r="DX192" s="18"/>
      <c r="DY192" s="18"/>
      <c r="DZ192" s="18"/>
      <c r="EA192" s="18"/>
      <c r="EB192" s="18"/>
      <c r="EC192" s="18"/>
      <c r="ED192" s="18"/>
      <c r="EE192" s="18"/>
    </row>
    <row r="193" spans="1:135" ht="19.5" customHeight="1" x14ac:dyDescent="0.2">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K193" s="18"/>
      <c r="DL193" s="18"/>
      <c r="DM193" s="18"/>
      <c r="DN193" s="18"/>
      <c r="DO193" s="18"/>
      <c r="DP193" s="18"/>
      <c r="DQ193" s="18"/>
      <c r="DR193" s="18"/>
      <c r="DS193" s="18"/>
      <c r="DT193" s="18"/>
      <c r="DU193" s="18"/>
      <c r="DV193" s="18"/>
      <c r="DW193" s="18"/>
      <c r="DX193" s="18"/>
      <c r="DY193" s="18"/>
      <c r="DZ193" s="18"/>
      <c r="EA193" s="18"/>
      <c r="EB193" s="18"/>
      <c r="EC193" s="18"/>
      <c r="ED193" s="18"/>
      <c r="EE193" s="18"/>
    </row>
    <row r="194" spans="1:135" ht="19.5" customHeight="1" x14ac:dyDescent="0.2">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K194" s="18"/>
      <c r="DL194" s="18"/>
      <c r="DM194" s="18"/>
      <c r="DN194" s="18"/>
      <c r="DO194" s="18"/>
      <c r="DP194" s="18"/>
      <c r="DQ194" s="18"/>
      <c r="DR194" s="18"/>
      <c r="DS194" s="18"/>
      <c r="DT194" s="18"/>
      <c r="DU194" s="18"/>
      <c r="DV194" s="18"/>
      <c r="DW194" s="18"/>
      <c r="DX194" s="18"/>
      <c r="DY194" s="18"/>
      <c r="DZ194" s="18"/>
      <c r="EA194" s="18"/>
      <c r="EB194" s="18"/>
      <c r="EC194" s="18"/>
      <c r="ED194" s="18"/>
      <c r="EE194" s="18"/>
    </row>
    <row r="195" spans="1:135" ht="19.5" customHeight="1" x14ac:dyDescent="0.2">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K195" s="18"/>
      <c r="DL195" s="18"/>
      <c r="DM195" s="18"/>
      <c r="DN195" s="18"/>
      <c r="DO195" s="18"/>
      <c r="DP195" s="18"/>
      <c r="DQ195" s="18"/>
      <c r="DR195" s="18"/>
      <c r="DS195" s="18"/>
      <c r="DT195" s="18"/>
      <c r="DU195" s="18"/>
      <c r="DV195" s="18"/>
      <c r="DW195" s="18"/>
      <c r="DX195" s="18"/>
      <c r="DY195" s="18"/>
      <c r="DZ195" s="18"/>
      <c r="EA195" s="18"/>
      <c r="EB195" s="18"/>
      <c r="EC195" s="18"/>
      <c r="ED195" s="18"/>
      <c r="EE195" s="18"/>
    </row>
    <row r="196" spans="1:135" ht="19.5" customHeight="1" x14ac:dyDescent="0.2">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K196" s="18"/>
      <c r="DL196" s="18"/>
      <c r="DM196" s="18"/>
      <c r="DN196" s="18"/>
      <c r="DO196" s="18"/>
      <c r="DP196" s="18"/>
      <c r="DQ196" s="18"/>
      <c r="DR196" s="18"/>
      <c r="DS196" s="18"/>
      <c r="DT196" s="18"/>
      <c r="DU196" s="18"/>
      <c r="DV196" s="18"/>
      <c r="DW196" s="18"/>
      <c r="DX196" s="18"/>
      <c r="DY196" s="18"/>
      <c r="DZ196" s="18"/>
      <c r="EA196" s="18"/>
      <c r="EB196" s="18"/>
      <c r="EC196" s="18"/>
      <c r="ED196" s="18"/>
      <c r="EE196" s="18"/>
    </row>
    <row r="197" spans="1:135" ht="19.5" customHeight="1" x14ac:dyDescent="0.2">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c r="DU197" s="18"/>
      <c r="DV197" s="18"/>
      <c r="DW197" s="18"/>
      <c r="DX197" s="18"/>
      <c r="DY197" s="18"/>
      <c r="DZ197" s="18"/>
      <c r="EA197" s="18"/>
      <c r="EB197" s="18"/>
      <c r="EC197" s="18"/>
      <c r="ED197" s="18"/>
      <c r="EE197" s="18"/>
    </row>
    <row r="198" spans="1:135" ht="19.5" customHeight="1" x14ac:dyDescent="0.2">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K198" s="18"/>
      <c r="DL198" s="18"/>
      <c r="DM198" s="18"/>
      <c r="DN198" s="18"/>
      <c r="DO198" s="18"/>
      <c r="DP198" s="18"/>
      <c r="DQ198" s="18"/>
      <c r="DR198" s="18"/>
      <c r="DS198" s="18"/>
      <c r="DT198" s="18"/>
      <c r="DU198" s="18"/>
      <c r="DV198" s="18"/>
      <c r="DW198" s="18"/>
      <c r="DX198" s="18"/>
      <c r="DY198" s="18"/>
      <c r="DZ198" s="18"/>
      <c r="EA198" s="18"/>
      <c r="EB198" s="18"/>
      <c r="EC198" s="18"/>
      <c r="ED198" s="18"/>
      <c r="EE198" s="18"/>
    </row>
    <row r="199" spans="1:135" ht="19.5" customHeight="1" x14ac:dyDescent="0.2">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K199" s="18"/>
      <c r="DL199" s="18"/>
      <c r="DM199" s="18"/>
      <c r="DN199" s="18"/>
      <c r="DO199" s="18"/>
      <c r="DP199" s="18"/>
      <c r="DQ199" s="18"/>
      <c r="DR199" s="18"/>
      <c r="DS199" s="18"/>
      <c r="DT199" s="18"/>
      <c r="DU199" s="18"/>
      <c r="DV199" s="18"/>
      <c r="DW199" s="18"/>
      <c r="DX199" s="18"/>
      <c r="DY199" s="18"/>
      <c r="DZ199" s="18"/>
      <c r="EA199" s="18"/>
      <c r="EB199" s="18"/>
      <c r="EC199" s="18"/>
      <c r="ED199" s="18"/>
      <c r="EE199" s="18"/>
    </row>
    <row r="200" spans="1:135" ht="19.5" customHeight="1" x14ac:dyDescent="0.2">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K200" s="18"/>
      <c r="DL200" s="18"/>
      <c r="DM200" s="18"/>
      <c r="DN200" s="18"/>
      <c r="DO200" s="18"/>
      <c r="DP200" s="18"/>
      <c r="DQ200" s="18"/>
      <c r="DR200" s="18"/>
      <c r="DS200" s="18"/>
      <c r="DT200" s="18"/>
      <c r="DU200" s="18"/>
      <c r="DV200" s="18"/>
      <c r="DW200" s="18"/>
      <c r="DX200" s="18"/>
      <c r="DY200" s="18"/>
      <c r="DZ200" s="18"/>
      <c r="EA200" s="18"/>
      <c r="EB200" s="18"/>
      <c r="EC200" s="18"/>
      <c r="ED200" s="18"/>
      <c r="EE200" s="18"/>
    </row>
    <row r="201" spans="1:135" ht="19.5" customHeight="1" x14ac:dyDescent="0.2">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c r="DU201" s="18"/>
      <c r="DV201" s="18"/>
      <c r="DW201" s="18"/>
      <c r="DX201" s="18"/>
      <c r="DY201" s="18"/>
      <c r="DZ201" s="18"/>
      <c r="EA201" s="18"/>
      <c r="EB201" s="18"/>
      <c r="EC201" s="18"/>
      <c r="ED201" s="18"/>
      <c r="EE201" s="18"/>
    </row>
    <row r="202" spans="1:135" ht="19.5" customHeight="1" x14ac:dyDescent="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K202" s="18"/>
      <c r="DL202" s="18"/>
      <c r="DM202" s="18"/>
      <c r="DN202" s="18"/>
      <c r="DO202" s="18"/>
      <c r="DP202" s="18"/>
      <c r="DQ202" s="18"/>
      <c r="DR202" s="18"/>
      <c r="DS202" s="18"/>
      <c r="DT202" s="18"/>
      <c r="DU202" s="18"/>
      <c r="DV202" s="18"/>
      <c r="DW202" s="18"/>
      <c r="DX202" s="18"/>
      <c r="DY202" s="18"/>
      <c r="DZ202" s="18"/>
      <c r="EA202" s="18"/>
      <c r="EB202" s="18"/>
      <c r="EC202" s="18"/>
      <c r="ED202" s="18"/>
      <c r="EE202" s="18"/>
    </row>
    <row r="203" spans="1:135" ht="19.5" customHeight="1" x14ac:dyDescent="0.2">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K203" s="18"/>
      <c r="DL203" s="18"/>
      <c r="DM203" s="18"/>
      <c r="DN203" s="18"/>
      <c r="DO203" s="18"/>
      <c r="DP203" s="18"/>
      <c r="DQ203" s="18"/>
      <c r="DR203" s="18"/>
      <c r="DS203" s="18"/>
      <c r="DT203" s="18"/>
      <c r="DU203" s="18"/>
      <c r="DV203" s="18"/>
      <c r="DW203" s="18"/>
      <c r="DX203" s="18"/>
      <c r="DY203" s="18"/>
      <c r="DZ203" s="18"/>
      <c r="EA203" s="18"/>
      <c r="EB203" s="18"/>
      <c r="EC203" s="18"/>
      <c r="ED203" s="18"/>
      <c r="EE203" s="18"/>
    </row>
    <row r="204" spans="1:135" ht="19.5" customHeight="1" x14ac:dyDescent="0.2">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K204" s="18"/>
      <c r="DL204" s="18"/>
      <c r="DM204" s="18"/>
      <c r="DN204" s="18"/>
      <c r="DO204" s="18"/>
      <c r="DP204" s="18"/>
      <c r="DQ204" s="18"/>
      <c r="DR204" s="18"/>
      <c r="DS204" s="18"/>
      <c r="DT204" s="18"/>
      <c r="DU204" s="18"/>
      <c r="DV204" s="18"/>
      <c r="DW204" s="18"/>
      <c r="DX204" s="18"/>
      <c r="DY204" s="18"/>
      <c r="DZ204" s="18"/>
      <c r="EA204" s="18"/>
      <c r="EB204" s="18"/>
      <c r="EC204" s="18"/>
      <c r="ED204" s="18"/>
      <c r="EE204" s="18"/>
    </row>
    <row r="205" spans="1:135" ht="19.5" customHeight="1" x14ac:dyDescent="0.2">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K205" s="18"/>
      <c r="DL205" s="18"/>
      <c r="DM205" s="18"/>
      <c r="DN205" s="18"/>
      <c r="DO205" s="18"/>
      <c r="DP205" s="18"/>
      <c r="DQ205" s="18"/>
      <c r="DR205" s="18"/>
      <c r="DS205" s="18"/>
      <c r="DT205" s="18"/>
      <c r="DU205" s="18"/>
      <c r="DV205" s="18"/>
      <c r="DW205" s="18"/>
      <c r="DX205" s="18"/>
      <c r="DY205" s="18"/>
      <c r="DZ205" s="18"/>
      <c r="EA205" s="18"/>
      <c r="EB205" s="18"/>
      <c r="EC205" s="18"/>
      <c r="ED205" s="18"/>
      <c r="EE205" s="18"/>
    </row>
    <row r="206" spans="1:135" ht="19.5" customHeight="1" x14ac:dyDescent="0.2">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K206" s="18"/>
      <c r="DL206" s="18"/>
      <c r="DM206" s="18"/>
      <c r="DN206" s="18"/>
      <c r="DO206" s="18"/>
      <c r="DP206" s="18"/>
      <c r="DQ206" s="18"/>
      <c r="DR206" s="18"/>
      <c r="DS206" s="18"/>
      <c r="DT206" s="18"/>
      <c r="DU206" s="18"/>
      <c r="DV206" s="18"/>
      <c r="DW206" s="18"/>
      <c r="DX206" s="18"/>
      <c r="DY206" s="18"/>
      <c r="DZ206" s="18"/>
      <c r="EA206" s="18"/>
      <c r="EB206" s="18"/>
      <c r="EC206" s="18"/>
      <c r="ED206" s="18"/>
      <c r="EE206" s="18"/>
    </row>
    <row r="207" spans="1:135" ht="19.5" customHeight="1" x14ac:dyDescent="0.2">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c r="DU207" s="18"/>
      <c r="DV207" s="18"/>
      <c r="DW207" s="18"/>
      <c r="DX207" s="18"/>
      <c r="DY207" s="18"/>
      <c r="DZ207" s="18"/>
      <c r="EA207" s="18"/>
      <c r="EB207" s="18"/>
      <c r="EC207" s="18"/>
      <c r="ED207" s="18"/>
      <c r="EE207" s="18"/>
    </row>
    <row r="208" spans="1:135" ht="19.5" customHeight="1" x14ac:dyDescent="0.2">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K208" s="18"/>
      <c r="DL208" s="18"/>
      <c r="DM208" s="18"/>
      <c r="DN208" s="18"/>
      <c r="DO208" s="18"/>
      <c r="DP208" s="18"/>
      <c r="DQ208" s="18"/>
      <c r="DR208" s="18"/>
      <c r="DS208" s="18"/>
      <c r="DT208" s="18"/>
      <c r="DU208" s="18"/>
      <c r="DV208" s="18"/>
      <c r="DW208" s="18"/>
      <c r="DX208" s="18"/>
      <c r="DY208" s="18"/>
      <c r="DZ208" s="18"/>
      <c r="EA208" s="18"/>
      <c r="EB208" s="18"/>
      <c r="EC208" s="18"/>
      <c r="ED208" s="18"/>
      <c r="EE208" s="18"/>
    </row>
    <row r="209" spans="1:135" ht="19.5" customHeight="1" x14ac:dyDescent="0.2">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K209" s="18"/>
      <c r="DL209" s="18"/>
      <c r="DM209" s="18"/>
      <c r="DN209" s="18"/>
      <c r="DO209" s="18"/>
      <c r="DP209" s="18"/>
      <c r="DQ209" s="18"/>
      <c r="DR209" s="18"/>
      <c r="DS209" s="18"/>
      <c r="DT209" s="18"/>
      <c r="DU209" s="18"/>
      <c r="DV209" s="18"/>
      <c r="DW209" s="18"/>
      <c r="DX209" s="18"/>
      <c r="DY209" s="18"/>
      <c r="DZ209" s="18"/>
      <c r="EA209" s="18"/>
      <c r="EB209" s="18"/>
      <c r="EC209" s="18"/>
      <c r="ED209" s="18"/>
      <c r="EE209" s="18"/>
    </row>
    <row r="210" spans="1:135" ht="19.5" customHeight="1" x14ac:dyDescent="0.2">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K210" s="18"/>
      <c r="DL210" s="18"/>
      <c r="DM210" s="18"/>
      <c r="DN210" s="18"/>
      <c r="DO210" s="18"/>
      <c r="DP210" s="18"/>
      <c r="DQ210" s="18"/>
      <c r="DR210" s="18"/>
      <c r="DS210" s="18"/>
      <c r="DT210" s="18"/>
      <c r="DU210" s="18"/>
      <c r="DV210" s="18"/>
      <c r="DW210" s="18"/>
      <c r="DX210" s="18"/>
      <c r="DY210" s="18"/>
      <c r="DZ210" s="18"/>
      <c r="EA210" s="18"/>
      <c r="EB210" s="18"/>
      <c r="EC210" s="18"/>
      <c r="ED210" s="18"/>
      <c r="EE210" s="18"/>
    </row>
    <row r="211" spans="1:135" ht="19.5" customHeight="1" x14ac:dyDescent="0.2">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K211" s="18"/>
      <c r="DL211" s="18"/>
      <c r="DM211" s="18"/>
      <c r="DN211" s="18"/>
      <c r="DO211" s="18"/>
      <c r="DP211" s="18"/>
      <c r="DQ211" s="18"/>
      <c r="DR211" s="18"/>
      <c r="DS211" s="18"/>
      <c r="DT211" s="18"/>
      <c r="DU211" s="18"/>
      <c r="DV211" s="18"/>
      <c r="DW211" s="18"/>
      <c r="DX211" s="18"/>
      <c r="DY211" s="18"/>
      <c r="DZ211" s="18"/>
      <c r="EA211" s="18"/>
      <c r="EB211" s="18"/>
      <c r="EC211" s="18"/>
      <c r="ED211" s="18"/>
      <c r="EE211" s="18"/>
    </row>
    <row r="212" spans="1:135" ht="19.5" customHeight="1" x14ac:dyDescent="0.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K212" s="18"/>
      <c r="DL212" s="18"/>
      <c r="DM212" s="18"/>
      <c r="DN212" s="18"/>
      <c r="DO212" s="18"/>
      <c r="DP212" s="18"/>
      <c r="DQ212" s="18"/>
      <c r="DR212" s="18"/>
      <c r="DS212" s="18"/>
      <c r="DT212" s="18"/>
      <c r="DU212" s="18"/>
      <c r="DV212" s="18"/>
      <c r="DW212" s="18"/>
      <c r="DX212" s="18"/>
      <c r="DY212" s="18"/>
      <c r="DZ212" s="18"/>
      <c r="EA212" s="18"/>
      <c r="EB212" s="18"/>
      <c r="EC212" s="18"/>
      <c r="ED212" s="18"/>
      <c r="EE212" s="18"/>
    </row>
    <row r="213" spans="1:135" ht="19.5" customHeight="1" x14ac:dyDescent="0.2">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K213" s="18"/>
      <c r="DL213" s="18"/>
      <c r="DM213" s="18"/>
      <c r="DN213" s="18"/>
      <c r="DO213" s="18"/>
      <c r="DP213" s="18"/>
      <c r="DQ213" s="18"/>
      <c r="DR213" s="18"/>
      <c r="DS213" s="18"/>
      <c r="DT213" s="18"/>
      <c r="DU213" s="18"/>
      <c r="DV213" s="18"/>
      <c r="DW213" s="18"/>
      <c r="DX213" s="18"/>
      <c r="DY213" s="18"/>
      <c r="DZ213" s="18"/>
      <c r="EA213" s="18"/>
      <c r="EB213" s="18"/>
      <c r="EC213" s="18"/>
      <c r="ED213" s="18"/>
      <c r="EE213" s="18"/>
    </row>
    <row r="214" spans="1:135" ht="19.5" customHeight="1" x14ac:dyDescent="0.2">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K214" s="18"/>
      <c r="DL214" s="18"/>
      <c r="DM214" s="18"/>
      <c r="DN214" s="18"/>
      <c r="DO214" s="18"/>
      <c r="DP214" s="18"/>
      <c r="DQ214" s="18"/>
      <c r="DR214" s="18"/>
      <c r="DS214" s="18"/>
      <c r="DT214" s="18"/>
      <c r="DU214" s="18"/>
      <c r="DV214" s="18"/>
      <c r="DW214" s="18"/>
      <c r="DX214" s="18"/>
      <c r="DY214" s="18"/>
      <c r="DZ214" s="18"/>
      <c r="EA214" s="18"/>
      <c r="EB214" s="18"/>
      <c r="EC214" s="18"/>
      <c r="ED214" s="18"/>
      <c r="EE214" s="18"/>
    </row>
    <row r="215" spans="1:135" ht="19.5" customHeight="1" x14ac:dyDescent="0.2">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K215" s="18"/>
      <c r="DL215" s="18"/>
      <c r="DM215" s="18"/>
      <c r="DN215" s="18"/>
      <c r="DO215" s="18"/>
      <c r="DP215" s="18"/>
      <c r="DQ215" s="18"/>
      <c r="DR215" s="18"/>
      <c r="DS215" s="18"/>
      <c r="DT215" s="18"/>
      <c r="DU215" s="18"/>
      <c r="DV215" s="18"/>
      <c r="DW215" s="18"/>
      <c r="DX215" s="18"/>
      <c r="DY215" s="18"/>
      <c r="DZ215" s="18"/>
      <c r="EA215" s="18"/>
      <c r="EB215" s="18"/>
      <c r="EC215" s="18"/>
      <c r="ED215" s="18"/>
      <c r="EE215" s="18"/>
    </row>
    <row r="216" spans="1:135" ht="19.5" customHeight="1" x14ac:dyDescent="0.2">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K216" s="18"/>
      <c r="DL216" s="18"/>
      <c r="DM216" s="18"/>
      <c r="DN216" s="18"/>
      <c r="DO216" s="18"/>
      <c r="DP216" s="18"/>
      <c r="DQ216" s="18"/>
      <c r="DR216" s="18"/>
      <c r="DS216" s="18"/>
      <c r="DT216" s="18"/>
      <c r="DU216" s="18"/>
      <c r="DV216" s="18"/>
      <c r="DW216" s="18"/>
      <c r="DX216" s="18"/>
      <c r="DY216" s="18"/>
      <c r="DZ216" s="18"/>
      <c r="EA216" s="18"/>
      <c r="EB216" s="18"/>
      <c r="EC216" s="18"/>
      <c r="ED216" s="18"/>
      <c r="EE216" s="18"/>
    </row>
    <row r="217" spans="1:135" ht="19.5" customHeight="1" x14ac:dyDescent="0.2">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K217" s="18"/>
      <c r="DL217" s="18"/>
      <c r="DM217" s="18"/>
      <c r="DN217" s="18"/>
      <c r="DO217" s="18"/>
      <c r="DP217" s="18"/>
      <c r="DQ217" s="18"/>
      <c r="DR217" s="18"/>
      <c r="DS217" s="18"/>
      <c r="DT217" s="18"/>
      <c r="DU217" s="18"/>
      <c r="DV217" s="18"/>
      <c r="DW217" s="18"/>
      <c r="DX217" s="18"/>
      <c r="DY217" s="18"/>
      <c r="DZ217" s="18"/>
      <c r="EA217" s="18"/>
      <c r="EB217" s="18"/>
      <c r="EC217" s="18"/>
      <c r="ED217" s="18"/>
      <c r="EE217" s="18"/>
    </row>
    <row r="218" spans="1:135" ht="19.5" customHeight="1" x14ac:dyDescent="0.2">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K218" s="18"/>
      <c r="DL218" s="18"/>
      <c r="DM218" s="18"/>
      <c r="DN218" s="18"/>
      <c r="DO218" s="18"/>
      <c r="DP218" s="18"/>
      <c r="DQ218" s="18"/>
      <c r="DR218" s="18"/>
      <c r="DS218" s="18"/>
      <c r="DT218" s="18"/>
      <c r="DU218" s="18"/>
      <c r="DV218" s="18"/>
      <c r="DW218" s="18"/>
      <c r="DX218" s="18"/>
      <c r="DY218" s="18"/>
      <c r="DZ218" s="18"/>
      <c r="EA218" s="18"/>
      <c r="EB218" s="18"/>
      <c r="EC218" s="18"/>
      <c r="ED218" s="18"/>
      <c r="EE218" s="18"/>
    </row>
    <row r="219" spans="1:135" ht="19.5" customHeight="1" x14ac:dyDescent="0.2">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K219" s="18"/>
      <c r="DL219" s="18"/>
      <c r="DM219" s="18"/>
      <c r="DN219" s="18"/>
      <c r="DO219" s="18"/>
      <c r="DP219" s="18"/>
      <c r="DQ219" s="18"/>
      <c r="DR219" s="18"/>
      <c r="DS219" s="18"/>
      <c r="DT219" s="18"/>
      <c r="DU219" s="18"/>
      <c r="DV219" s="18"/>
      <c r="DW219" s="18"/>
      <c r="DX219" s="18"/>
      <c r="DY219" s="18"/>
      <c r="DZ219" s="18"/>
      <c r="EA219" s="18"/>
      <c r="EB219" s="18"/>
      <c r="EC219" s="18"/>
      <c r="ED219" s="18"/>
      <c r="EE219" s="18"/>
    </row>
    <row r="220" spans="1:135" ht="19.5" customHeight="1" x14ac:dyDescent="0.2">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K220" s="18"/>
      <c r="DL220" s="18"/>
      <c r="DM220" s="18"/>
      <c r="DN220" s="18"/>
      <c r="DO220" s="18"/>
      <c r="DP220" s="18"/>
      <c r="DQ220" s="18"/>
      <c r="DR220" s="18"/>
      <c r="DS220" s="18"/>
      <c r="DT220" s="18"/>
      <c r="DU220" s="18"/>
      <c r="DV220" s="18"/>
      <c r="DW220" s="18"/>
      <c r="DX220" s="18"/>
      <c r="DY220" s="18"/>
      <c r="DZ220" s="18"/>
      <c r="EA220" s="18"/>
      <c r="EB220" s="18"/>
      <c r="EC220" s="18"/>
      <c r="ED220" s="18"/>
      <c r="EE220" s="18"/>
    </row>
    <row r="221" spans="1:135" ht="19.5" customHeight="1" x14ac:dyDescent="0.2">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K221" s="18"/>
      <c r="DL221" s="18"/>
      <c r="DM221" s="18"/>
      <c r="DN221" s="18"/>
      <c r="DO221" s="18"/>
      <c r="DP221" s="18"/>
      <c r="DQ221" s="18"/>
      <c r="DR221" s="18"/>
      <c r="DS221" s="18"/>
      <c r="DT221" s="18"/>
      <c r="DU221" s="18"/>
      <c r="DV221" s="18"/>
      <c r="DW221" s="18"/>
      <c r="DX221" s="18"/>
      <c r="DY221" s="18"/>
      <c r="DZ221" s="18"/>
      <c r="EA221" s="18"/>
      <c r="EB221" s="18"/>
      <c r="EC221" s="18"/>
      <c r="ED221" s="18"/>
      <c r="EE221" s="18"/>
    </row>
    <row r="222" spans="1:135" ht="19.5" customHeight="1" x14ac:dyDescent="0.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K222" s="18"/>
      <c r="DL222" s="18"/>
      <c r="DM222" s="18"/>
      <c r="DN222" s="18"/>
      <c r="DO222" s="18"/>
      <c r="DP222" s="18"/>
      <c r="DQ222" s="18"/>
      <c r="DR222" s="18"/>
      <c r="DS222" s="18"/>
      <c r="DT222" s="18"/>
      <c r="DU222" s="18"/>
      <c r="DV222" s="18"/>
      <c r="DW222" s="18"/>
      <c r="DX222" s="18"/>
      <c r="DY222" s="18"/>
      <c r="DZ222" s="18"/>
      <c r="EA222" s="18"/>
      <c r="EB222" s="18"/>
      <c r="EC222" s="18"/>
      <c r="ED222" s="18"/>
      <c r="EE222" s="18"/>
    </row>
    <row r="223" spans="1:135" ht="19.5" customHeight="1" x14ac:dyDescent="0.2">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K223" s="18"/>
      <c r="DL223" s="18"/>
      <c r="DM223" s="18"/>
      <c r="DN223" s="18"/>
      <c r="DO223" s="18"/>
      <c r="DP223" s="18"/>
      <c r="DQ223" s="18"/>
      <c r="DR223" s="18"/>
      <c r="DS223" s="18"/>
      <c r="DT223" s="18"/>
      <c r="DU223" s="18"/>
      <c r="DV223" s="18"/>
      <c r="DW223" s="18"/>
      <c r="DX223" s="18"/>
      <c r="DY223" s="18"/>
      <c r="DZ223" s="18"/>
      <c r="EA223" s="18"/>
      <c r="EB223" s="18"/>
      <c r="EC223" s="18"/>
      <c r="ED223" s="18"/>
      <c r="EE223" s="18"/>
    </row>
    <row r="224" spans="1:135" ht="19.5" customHeight="1" x14ac:dyDescent="0.2">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K224" s="18"/>
      <c r="DL224" s="18"/>
      <c r="DM224" s="18"/>
      <c r="DN224" s="18"/>
      <c r="DO224" s="18"/>
      <c r="DP224" s="18"/>
      <c r="DQ224" s="18"/>
      <c r="DR224" s="18"/>
      <c r="DS224" s="18"/>
      <c r="DT224" s="18"/>
      <c r="DU224" s="18"/>
      <c r="DV224" s="18"/>
      <c r="DW224" s="18"/>
      <c r="DX224" s="18"/>
      <c r="DY224" s="18"/>
      <c r="DZ224" s="18"/>
      <c r="EA224" s="18"/>
      <c r="EB224" s="18"/>
      <c r="EC224" s="18"/>
      <c r="ED224" s="18"/>
      <c r="EE224" s="18"/>
    </row>
    <row r="225" spans="1:135" ht="19.5" customHeight="1" x14ac:dyDescent="0.2">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K225" s="18"/>
      <c r="DL225" s="18"/>
      <c r="DM225" s="18"/>
      <c r="DN225" s="18"/>
      <c r="DO225" s="18"/>
      <c r="DP225" s="18"/>
      <c r="DQ225" s="18"/>
      <c r="DR225" s="18"/>
      <c r="DS225" s="18"/>
      <c r="DT225" s="18"/>
      <c r="DU225" s="18"/>
      <c r="DV225" s="18"/>
      <c r="DW225" s="18"/>
      <c r="DX225" s="18"/>
      <c r="DY225" s="18"/>
      <c r="DZ225" s="18"/>
      <c r="EA225" s="18"/>
      <c r="EB225" s="18"/>
      <c r="EC225" s="18"/>
      <c r="ED225" s="18"/>
      <c r="EE225" s="18"/>
    </row>
    <row r="226" spans="1:135" ht="19.5" customHeight="1" x14ac:dyDescent="0.2">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K226" s="18"/>
      <c r="DL226" s="18"/>
      <c r="DM226" s="18"/>
      <c r="DN226" s="18"/>
      <c r="DO226" s="18"/>
      <c r="DP226" s="18"/>
      <c r="DQ226" s="18"/>
      <c r="DR226" s="18"/>
      <c r="DS226" s="18"/>
      <c r="DT226" s="18"/>
      <c r="DU226" s="18"/>
      <c r="DV226" s="18"/>
      <c r="DW226" s="18"/>
      <c r="DX226" s="18"/>
      <c r="DY226" s="18"/>
      <c r="DZ226" s="18"/>
      <c r="EA226" s="18"/>
      <c r="EB226" s="18"/>
      <c r="EC226" s="18"/>
      <c r="ED226" s="18"/>
      <c r="EE226" s="18"/>
    </row>
    <row r="227" spans="1:135" ht="19.5" customHeight="1" x14ac:dyDescent="0.2">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K227" s="18"/>
      <c r="DL227" s="18"/>
      <c r="DM227" s="18"/>
      <c r="DN227" s="18"/>
      <c r="DO227" s="18"/>
      <c r="DP227" s="18"/>
      <c r="DQ227" s="18"/>
      <c r="DR227" s="18"/>
      <c r="DS227" s="18"/>
      <c r="DT227" s="18"/>
      <c r="DU227" s="18"/>
      <c r="DV227" s="18"/>
      <c r="DW227" s="18"/>
      <c r="DX227" s="18"/>
      <c r="DY227" s="18"/>
      <c r="DZ227" s="18"/>
      <c r="EA227" s="18"/>
      <c r="EB227" s="18"/>
      <c r="EC227" s="18"/>
      <c r="ED227" s="18"/>
      <c r="EE227" s="18"/>
    </row>
    <row r="228" spans="1:135" ht="19.5" customHeight="1" x14ac:dyDescent="0.2">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K228" s="18"/>
      <c r="DL228" s="18"/>
      <c r="DM228" s="18"/>
      <c r="DN228" s="18"/>
      <c r="DO228" s="18"/>
      <c r="DP228" s="18"/>
      <c r="DQ228" s="18"/>
      <c r="DR228" s="18"/>
      <c r="DS228" s="18"/>
      <c r="DT228" s="18"/>
      <c r="DU228" s="18"/>
      <c r="DV228" s="18"/>
      <c r="DW228" s="18"/>
      <c r="DX228" s="18"/>
      <c r="DY228" s="18"/>
      <c r="DZ228" s="18"/>
      <c r="EA228" s="18"/>
      <c r="EB228" s="18"/>
      <c r="EC228" s="18"/>
      <c r="ED228" s="18"/>
      <c r="EE228" s="18"/>
    </row>
    <row r="229" spans="1:135" ht="19.5" customHeight="1" x14ac:dyDescent="0.2">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K229" s="18"/>
      <c r="DL229" s="18"/>
      <c r="DM229" s="18"/>
      <c r="DN229" s="18"/>
      <c r="DO229" s="18"/>
      <c r="DP229" s="18"/>
      <c r="DQ229" s="18"/>
      <c r="DR229" s="18"/>
      <c r="DS229" s="18"/>
      <c r="DT229" s="18"/>
      <c r="DU229" s="18"/>
      <c r="DV229" s="18"/>
      <c r="DW229" s="18"/>
      <c r="DX229" s="18"/>
      <c r="DY229" s="18"/>
      <c r="DZ229" s="18"/>
      <c r="EA229" s="18"/>
      <c r="EB229" s="18"/>
      <c r="EC229" s="18"/>
      <c r="ED229" s="18"/>
      <c r="EE229" s="18"/>
    </row>
    <row r="230" spans="1:135" ht="19.5" customHeight="1" x14ac:dyDescent="0.2">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K230" s="18"/>
      <c r="DL230" s="18"/>
      <c r="DM230" s="18"/>
      <c r="DN230" s="18"/>
      <c r="DO230" s="18"/>
      <c r="DP230" s="18"/>
      <c r="DQ230" s="18"/>
      <c r="DR230" s="18"/>
      <c r="DS230" s="18"/>
      <c r="DT230" s="18"/>
      <c r="DU230" s="18"/>
      <c r="DV230" s="18"/>
      <c r="DW230" s="18"/>
      <c r="DX230" s="18"/>
      <c r="DY230" s="18"/>
      <c r="DZ230" s="18"/>
      <c r="EA230" s="18"/>
      <c r="EB230" s="18"/>
      <c r="EC230" s="18"/>
      <c r="ED230" s="18"/>
      <c r="EE230" s="18"/>
    </row>
    <row r="231" spans="1:135" ht="19.5" customHeight="1" x14ac:dyDescent="0.2">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K231" s="18"/>
      <c r="DL231" s="18"/>
      <c r="DM231" s="18"/>
      <c r="DN231" s="18"/>
      <c r="DO231" s="18"/>
      <c r="DP231" s="18"/>
      <c r="DQ231" s="18"/>
      <c r="DR231" s="18"/>
      <c r="DS231" s="18"/>
      <c r="DT231" s="18"/>
      <c r="DU231" s="18"/>
      <c r="DV231" s="18"/>
      <c r="DW231" s="18"/>
      <c r="DX231" s="18"/>
      <c r="DY231" s="18"/>
      <c r="DZ231" s="18"/>
      <c r="EA231" s="18"/>
      <c r="EB231" s="18"/>
      <c r="EC231" s="18"/>
      <c r="ED231" s="18"/>
      <c r="EE231" s="18"/>
    </row>
    <row r="232" spans="1:135" ht="19.5" customHeight="1" x14ac:dyDescent="0.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K232" s="18"/>
      <c r="DL232" s="18"/>
      <c r="DM232" s="18"/>
      <c r="DN232" s="18"/>
      <c r="DO232" s="18"/>
      <c r="DP232" s="18"/>
      <c r="DQ232" s="18"/>
      <c r="DR232" s="18"/>
      <c r="DS232" s="18"/>
      <c r="DT232" s="18"/>
      <c r="DU232" s="18"/>
      <c r="DV232" s="18"/>
      <c r="DW232" s="18"/>
      <c r="DX232" s="18"/>
      <c r="DY232" s="18"/>
      <c r="DZ232" s="18"/>
      <c r="EA232" s="18"/>
      <c r="EB232" s="18"/>
      <c r="EC232" s="18"/>
      <c r="ED232" s="18"/>
      <c r="EE232" s="18"/>
    </row>
    <row r="233" spans="1:135" ht="19.5" customHeight="1" x14ac:dyDescent="0.2">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K233" s="18"/>
      <c r="DL233" s="18"/>
      <c r="DM233" s="18"/>
      <c r="DN233" s="18"/>
      <c r="DO233" s="18"/>
      <c r="DP233" s="18"/>
      <c r="DQ233" s="18"/>
      <c r="DR233" s="18"/>
      <c r="DS233" s="18"/>
      <c r="DT233" s="18"/>
      <c r="DU233" s="18"/>
      <c r="DV233" s="18"/>
      <c r="DW233" s="18"/>
      <c r="DX233" s="18"/>
      <c r="DY233" s="18"/>
      <c r="DZ233" s="18"/>
      <c r="EA233" s="18"/>
      <c r="EB233" s="18"/>
      <c r="EC233" s="18"/>
      <c r="ED233" s="18"/>
      <c r="EE233" s="18"/>
    </row>
    <row r="234" spans="1:135" ht="19.5" customHeight="1" x14ac:dyDescent="0.2">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K234" s="18"/>
      <c r="DL234" s="18"/>
      <c r="DM234" s="18"/>
      <c r="DN234" s="18"/>
      <c r="DO234" s="18"/>
      <c r="DP234" s="18"/>
      <c r="DQ234" s="18"/>
      <c r="DR234" s="18"/>
      <c r="DS234" s="18"/>
      <c r="DT234" s="18"/>
      <c r="DU234" s="18"/>
      <c r="DV234" s="18"/>
      <c r="DW234" s="18"/>
      <c r="DX234" s="18"/>
      <c r="DY234" s="18"/>
      <c r="DZ234" s="18"/>
      <c r="EA234" s="18"/>
      <c r="EB234" s="18"/>
      <c r="EC234" s="18"/>
      <c r="ED234" s="18"/>
      <c r="EE234" s="18"/>
    </row>
    <row r="235" spans="1:135" ht="19.5" customHeight="1" x14ac:dyDescent="0.2">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K235" s="18"/>
      <c r="DL235" s="18"/>
      <c r="DM235" s="18"/>
      <c r="DN235" s="18"/>
      <c r="DO235" s="18"/>
      <c r="DP235" s="18"/>
      <c r="DQ235" s="18"/>
      <c r="DR235" s="18"/>
      <c r="DS235" s="18"/>
      <c r="DT235" s="18"/>
      <c r="DU235" s="18"/>
      <c r="DV235" s="18"/>
      <c r="DW235" s="18"/>
      <c r="DX235" s="18"/>
      <c r="DY235" s="18"/>
      <c r="DZ235" s="18"/>
      <c r="EA235" s="18"/>
      <c r="EB235" s="18"/>
      <c r="EC235" s="18"/>
      <c r="ED235" s="18"/>
      <c r="EE235" s="18"/>
    </row>
    <row r="236" spans="1:135" ht="19.5" customHeight="1" x14ac:dyDescent="0.2">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K236" s="18"/>
      <c r="DL236" s="18"/>
      <c r="DM236" s="18"/>
      <c r="DN236" s="18"/>
      <c r="DO236" s="18"/>
      <c r="DP236" s="18"/>
      <c r="DQ236" s="18"/>
      <c r="DR236" s="18"/>
      <c r="DS236" s="18"/>
      <c r="DT236" s="18"/>
      <c r="DU236" s="18"/>
      <c r="DV236" s="18"/>
      <c r="DW236" s="18"/>
      <c r="DX236" s="18"/>
      <c r="DY236" s="18"/>
      <c r="DZ236" s="18"/>
      <c r="EA236" s="18"/>
      <c r="EB236" s="18"/>
      <c r="EC236" s="18"/>
      <c r="ED236" s="18"/>
      <c r="EE236" s="18"/>
    </row>
    <row r="237" spans="1:135" ht="19.5" customHeight="1" x14ac:dyDescent="0.2">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K237" s="18"/>
      <c r="DL237" s="18"/>
      <c r="DM237" s="18"/>
      <c r="DN237" s="18"/>
      <c r="DO237" s="18"/>
      <c r="DP237" s="18"/>
      <c r="DQ237" s="18"/>
      <c r="DR237" s="18"/>
      <c r="DS237" s="18"/>
      <c r="DT237" s="18"/>
      <c r="DU237" s="18"/>
      <c r="DV237" s="18"/>
      <c r="DW237" s="18"/>
      <c r="DX237" s="18"/>
      <c r="DY237" s="18"/>
      <c r="DZ237" s="18"/>
      <c r="EA237" s="18"/>
      <c r="EB237" s="18"/>
      <c r="EC237" s="18"/>
      <c r="ED237" s="18"/>
      <c r="EE237" s="18"/>
    </row>
    <row r="238" spans="1:135" ht="19.5" customHeight="1" x14ac:dyDescent="0.2">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K238" s="18"/>
      <c r="DL238" s="18"/>
      <c r="DM238" s="18"/>
      <c r="DN238" s="18"/>
      <c r="DO238" s="18"/>
      <c r="DP238" s="18"/>
      <c r="DQ238" s="18"/>
      <c r="DR238" s="18"/>
      <c r="DS238" s="18"/>
      <c r="DT238" s="18"/>
      <c r="DU238" s="18"/>
      <c r="DV238" s="18"/>
      <c r="DW238" s="18"/>
      <c r="DX238" s="18"/>
      <c r="DY238" s="18"/>
      <c r="DZ238" s="18"/>
      <c r="EA238" s="18"/>
      <c r="EB238" s="18"/>
      <c r="EC238" s="18"/>
      <c r="ED238" s="18"/>
      <c r="EE238" s="18"/>
    </row>
    <row r="239" spans="1:135" ht="19.5" customHeight="1" x14ac:dyDescent="0.2">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c r="DU239" s="18"/>
      <c r="DV239" s="18"/>
      <c r="DW239" s="18"/>
      <c r="DX239" s="18"/>
      <c r="DY239" s="18"/>
      <c r="DZ239" s="18"/>
      <c r="EA239" s="18"/>
      <c r="EB239" s="18"/>
      <c r="EC239" s="18"/>
      <c r="ED239" s="18"/>
      <c r="EE239" s="18"/>
    </row>
    <row r="240" spans="1:135" ht="19.5" customHeight="1" x14ac:dyDescent="0.2">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c r="DU240" s="18"/>
      <c r="DV240" s="18"/>
      <c r="DW240" s="18"/>
      <c r="DX240" s="18"/>
      <c r="DY240" s="18"/>
      <c r="DZ240" s="18"/>
      <c r="EA240" s="18"/>
      <c r="EB240" s="18"/>
      <c r="EC240" s="18"/>
      <c r="ED240" s="18"/>
      <c r="EE240" s="18"/>
    </row>
    <row r="241" spans="1:135" ht="19.5" customHeight="1" x14ac:dyDescent="0.2">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c r="DU241" s="18"/>
      <c r="DV241" s="18"/>
      <c r="DW241" s="18"/>
      <c r="DX241" s="18"/>
      <c r="DY241" s="18"/>
      <c r="DZ241" s="18"/>
      <c r="EA241" s="18"/>
      <c r="EB241" s="18"/>
      <c r="EC241" s="18"/>
      <c r="ED241" s="18"/>
      <c r="EE241" s="18"/>
    </row>
    <row r="242" spans="1:135" ht="19.5" customHeight="1" x14ac:dyDescent="0.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c r="DM242" s="18"/>
      <c r="DN242" s="18"/>
      <c r="DO242" s="18"/>
      <c r="DP242" s="18"/>
      <c r="DQ242" s="18"/>
      <c r="DR242" s="18"/>
      <c r="DS242" s="18"/>
      <c r="DT242" s="18"/>
      <c r="DU242" s="18"/>
      <c r="DV242" s="18"/>
      <c r="DW242" s="18"/>
      <c r="DX242" s="18"/>
      <c r="DY242" s="18"/>
      <c r="DZ242" s="18"/>
      <c r="EA242" s="18"/>
      <c r="EB242" s="18"/>
      <c r="EC242" s="18"/>
      <c r="ED242" s="18"/>
      <c r="EE242" s="18"/>
    </row>
    <row r="243" spans="1:135" ht="19.5" customHeight="1" x14ac:dyDescent="0.2">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K243" s="18"/>
      <c r="DL243" s="18"/>
      <c r="DM243" s="18"/>
      <c r="DN243" s="18"/>
      <c r="DO243" s="18"/>
      <c r="DP243" s="18"/>
      <c r="DQ243" s="18"/>
      <c r="DR243" s="18"/>
      <c r="DS243" s="18"/>
      <c r="DT243" s="18"/>
      <c r="DU243" s="18"/>
      <c r="DV243" s="18"/>
      <c r="DW243" s="18"/>
      <c r="DX243" s="18"/>
      <c r="DY243" s="18"/>
      <c r="DZ243" s="18"/>
      <c r="EA243" s="18"/>
      <c r="EB243" s="18"/>
      <c r="EC243" s="18"/>
      <c r="ED243" s="18"/>
      <c r="EE243" s="18"/>
    </row>
    <row r="244" spans="1:135" ht="19.5" customHeight="1" x14ac:dyDescent="0.2">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K244" s="18"/>
      <c r="DL244" s="18"/>
      <c r="DM244" s="18"/>
      <c r="DN244" s="18"/>
      <c r="DO244" s="18"/>
      <c r="DP244" s="18"/>
      <c r="DQ244" s="18"/>
      <c r="DR244" s="18"/>
      <c r="DS244" s="18"/>
      <c r="DT244" s="18"/>
      <c r="DU244" s="18"/>
      <c r="DV244" s="18"/>
      <c r="DW244" s="18"/>
      <c r="DX244" s="18"/>
      <c r="DY244" s="18"/>
      <c r="DZ244" s="18"/>
      <c r="EA244" s="18"/>
      <c r="EB244" s="18"/>
      <c r="EC244" s="18"/>
      <c r="ED244" s="18"/>
      <c r="EE244" s="18"/>
    </row>
    <row r="245" spans="1:135" ht="19.5" customHeight="1" x14ac:dyDescent="0.2">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c r="DU245" s="18"/>
      <c r="DV245" s="18"/>
      <c r="DW245" s="18"/>
      <c r="DX245" s="18"/>
      <c r="DY245" s="18"/>
      <c r="DZ245" s="18"/>
      <c r="EA245" s="18"/>
      <c r="EB245" s="18"/>
      <c r="EC245" s="18"/>
      <c r="ED245" s="18"/>
      <c r="EE245" s="18"/>
    </row>
    <row r="246" spans="1:135" ht="19.5" customHeight="1" x14ac:dyDescent="0.2">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c r="DU246" s="18"/>
      <c r="DV246" s="18"/>
      <c r="DW246" s="18"/>
      <c r="DX246" s="18"/>
      <c r="DY246" s="18"/>
      <c r="DZ246" s="18"/>
      <c r="EA246" s="18"/>
      <c r="EB246" s="18"/>
      <c r="EC246" s="18"/>
      <c r="ED246" s="18"/>
      <c r="EE246" s="18"/>
    </row>
    <row r="247" spans="1:135" ht="19.5" customHeight="1" x14ac:dyDescent="0.2">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c r="DU247" s="18"/>
      <c r="DV247" s="18"/>
      <c r="DW247" s="18"/>
      <c r="DX247" s="18"/>
      <c r="DY247" s="18"/>
      <c r="DZ247" s="18"/>
      <c r="EA247" s="18"/>
      <c r="EB247" s="18"/>
      <c r="EC247" s="18"/>
      <c r="ED247" s="18"/>
      <c r="EE247" s="18"/>
    </row>
    <row r="248" spans="1:135" ht="19.5" customHeight="1" x14ac:dyDescent="0.2">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c r="DU248" s="18"/>
      <c r="DV248" s="18"/>
      <c r="DW248" s="18"/>
      <c r="DX248" s="18"/>
      <c r="DY248" s="18"/>
      <c r="DZ248" s="18"/>
      <c r="EA248" s="18"/>
      <c r="EB248" s="18"/>
      <c r="EC248" s="18"/>
      <c r="ED248" s="18"/>
      <c r="EE248" s="18"/>
    </row>
    <row r="249" spans="1:135" ht="19.5" customHeight="1" x14ac:dyDescent="0.2">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c r="DU249" s="18"/>
      <c r="DV249" s="18"/>
      <c r="DW249" s="18"/>
      <c r="DX249" s="18"/>
      <c r="DY249" s="18"/>
      <c r="DZ249" s="18"/>
      <c r="EA249" s="18"/>
      <c r="EB249" s="18"/>
      <c r="EC249" s="18"/>
      <c r="ED249" s="18"/>
      <c r="EE249" s="18"/>
    </row>
    <row r="250" spans="1:135" ht="19.5" customHeight="1" x14ac:dyDescent="0.2">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K250" s="18"/>
      <c r="DL250" s="18"/>
      <c r="DM250" s="18"/>
      <c r="DN250" s="18"/>
      <c r="DO250" s="18"/>
      <c r="DP250" s="18"/>
      <c r="DQ250" s="18"/>
      <c r="DR250" s="18"/>
      <c r="DS250" s="18"/>
      <c r="DT250" s="18"/>
      <c r="DU250" s="18"/>
      <c r="DV250" s="18"/>
      <c r="DW250" s="18"/>
      <c r="DX250" s="18"/>
      <c r="DY250" s="18"/>
      <c r="DZ250" s="18"/>
      <c r="EA250" s="18"/>
      <c r="EB250" s="18"/>
      <c r="EC250" s="18"/>
      <c r="ED250" s="18"/>
      <c r="EE250" s="18"/>
    </row>
    <row r="251" spans="1:135" ht="19.5" customHeight="1" x14ac:dyDescent="0.2">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K251" s="18"/>
      <c r="DL251" s="18"/>
      <c r="DM251" s="18"/>
      <c r="DN251" s="18"/>
      <c r="DO251" s="18"/>
      <c r="DP251" s="18"/>
      <c r="DQ251" s="18"/>
      <c r="DR251" s="18"/>
      <c r="DS251" s="18"/>
      <c r="DT251" s="18"/>
      <c r="DU251" s="18"/>
      <c r="DV251" s="18"/>
      <c r="DW251" s="18"/>
      <c r="DX251" s="18"/>
      <c r="DY251" s="18"/>
      <c r="DZ251" s="18"/>
      <c r="EA251" s="18"/>
      <c r="EB251" s="18"/>
      <c r="EC251" s="18"/>
      <c r="ED251" s="18"/>
      <c r="EE251" s="18"/>
    </row>
    <row r="252" spans="1:135" ht="19.5" customHeight="1" x14ac:dyDescent="0.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K252" s="18"/>
      <c r="DL252" s="18"/>
      <c r="DM252" s="18"/>
      <c r="DN252" s="18"/>
      <c r="DO252" s="18"/>
      <c r="DP252" s="18"/>
      <c r="DQ252" s="18"/>
      <c r="DR252" s="18"/>
      <c r="DS252" s="18"/>
      <c r="DT252" s="18"/>
      <c r="DU252" s="18"/>
      <c r="DV252" s="18"/>
      <c r="DW252" s="18"/>
      <c r="DX252" s="18"/>
      <c r="DY252" s="18"/>
      <c r="DZ252" s="18"/>
      <c r="EA252" s="18"/>
      <c r="EB252" s="18"/>
      <c r="EC252" s="18"/>
      <c r="ED252" s="18"/>
      <c r="EE252" s="18"/>
    </row>
    <row r="253" spans="1:135" ht="19.5" customHeight="1" x14ac:dyDescent="0.2">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K253" s="18"/>
      <c r="DL253" s="18"/>
      <c r="DM253" s="18"/>
      <c r="DN253" s="18"/>
      <c r="DO253" s="18"/>
      <c r="DP253" s="18"/>
      <c r="DQ253" s="18"/>
      <c r="DR253" s="18"/>
      <c r="DS253" s="18"/>
      <c r="DT253" s="18"/>
      <c r="DU253" s="18"/>
      <c r="DV253" s="18"/>
      <c r="DW253" s="18"/>
      <c r="DX253" s="18"/>
      <c r="DY253" s="18"/>
      <c r="DZ253" s="18"/>
      <c r="EA253" s="18"/>
      <c r="EB253" s="18"/>
      <c r="EC253" s="18"/>
      <c r="ED253" s="18"/>
      <c r="EE253" s="18"/>
    </row>
    <row r="254" spans="1:135" ht="19.5" customHeight="1" x14ac:dyDescent="0.2">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K254" s="18"/>
      <c r="DL254" s="18"/>
      <c r="DM254" s="18"/>
      <c r="DN254" s="18"/>
      <c r="DO254" s="18"/>
      <c r="DP254" s="18"/>
      <c r="DQ254" s="18"/>
      <c r="DR254" s="18"/>
      <c r="DS254" s="18"/>
      <c r="DT254" s="18"/>
      <c r="DU254" s="18"/>
      <c r="DV254" s="18"/>
      <c r="DW254" s="18"/>
      <c r="DX254" s="18"/>
      <c r="DY254" s="18"/>
      <c r="DZ254" s="18"/>
      <c r="EA254" s="18"/>
      <c r="EB254" s="18"/>
      <c r="EC254" s="18"/>
      <c r="ED254" s="18"/>
      <c r="EE254" s="18"/>
    </row>
    <row r="255" spans="1:135" ht="19.5" customHeight="1" x14ac:dyDescent="0.2">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K255" s="18"/>
      <c r="DL255" s="18"/>
      <c r="DM255" s="18"/>
      <c r="DN255" s="18"/>
      <c r="DO255" s="18"/>
      <c r="DP255" s="18"/>
      <c r="DQ255" s="18"/>
      <c r="DR255" s="18"/>
      <c r="DS255" s="18"/>
      <c r="DT255" s="18"/>
      <c r="DU255" s="18"/>
      <c r="DV255" s="18"/>
      <c r="DW255" s="18"/>
      <c r="DX255" s="18"/>
      <c r="DY255" s="18"/>
      <c r="DZ255" s="18"/>
      <c r="EA255" s="18"/>
      <c r="EB255" s="18"/>
      <c r="EC255" s="18"/>
      <c r="ED255" s="18"/>
      <c r="EE255" s="18"/>
    </row>
    <row r="256" spans="1:135" ht="19.5" customHeight="1" x14ac:dyDescent="0.2">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K256" s="18"/>
      <c r="DL256" s="18"/>
      <c r="DM256" s="18"/>
      <c r="DN256" s="18"/>
      <c r="DO256" s="18"/>
      <c r="DP256" s="18"/>
      <c r="DQ256" s="18"/>
      <c r="DR256" s="18"/>
      <c r="DS256" s="18"/>
      <c r="DT256" s="18"/>
      <c r="DU256" s="18"/>
      <c r="DV256" s="18"/>
      <c r="DW256" s="18"/>
      <c r="DX256" s="18"/>
      <c r="DY256" s="18"/>
      <c r="DZ256" s="18"/>
      <c r="EA256" s="18"/>
      <c r="EB256" s="18"/>
      <c r="EC256" s="18"/>
      <c r="ED256" s="18"/>
      <c r="EE256" s="18"/>
    </row>
    <row r="257" spans="1:135" ht="19.5" customHeight="1" x14ac:dyDescent="0.2">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c r="DU257" s="18"/>
      <c r="DV257" s="18"/>
      <c r="DW257" s="18"/>
      <c r="DX257" s="18"/>
      <c r="DY257" s="18"/>
      <c r="DZ257" s="18"/>
      <c r="EA257" s="18"/>
      <c r="EB257" s="18"/>
      <c r="EC257" s="18"/>
      <c r="ED257" s="18"/>
      <c r="EE257" s="18"/>
    </row>
    <row r="258" spans="1:135" ht="19.5" customHeight="1" x14ac:dyDescent="0.2">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K258" s="18"/>
      <c r="DL258" s="18"/>
      <c r="DM258" s="18"/>
      <c r="DN258" s="18"/>
      <c r="DO258" s="18"/>
      <c r="DP258" s="18"/>
      <c r="DQ258" s="18"/>
      <c r="DR258" s="18"/>
      <c r="DS258" s="18"/>
      <c r="DT258" s="18"/>
      <c r="DU258" s="18"/>
      <c r="DV258" s="18"/>
      <c r="DW258" s="18"/>
      <c r="DX258" s="18"/>
      <c r="DY258" s="18"/>
      <c r="DZ258" s="18"/>
      <c r="EA258" s="18"/>
      <c r="EB258" s="18"/>
      <c r="EC258" s="18"/>
      <c r="ED258" s="18"/>
      <c r="EE258" s="18"/>
    </row>
    <row r="259" spans="1:135" ht="19.5" customHeight="1" x14ac:dyDescent="0.2">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c r="DU259" s="18"/>
      <c r="DV259" s="18"/>
      <c r="DW259" s="18"/>
      <c r="DX259" s="18"/>
      <c r="DY259" s="18"/>
      <c r="DZ259" s="18"/>
      <c r="EA259" s="18"/>
      <c r="EB259" s="18"/>
      <c r="EC259" s="18"/>
      <c r="ED259" s="18"/>
      <c r="EE259" s="18"/>
    </row>
    <row r="260" spans="1:135" ht="19.5" customHeight="1" x14ac:dyDescent="0.2">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K260" s="18"/>
      <c r="DL260" s="18"/>
      <c r="DM260" s="18"/>
      <c r="DN260" s="18"/>
      <c r="DO260" s="18"/>
      <c r="DP260" s="18"/>
      <c r="DQ260" s="18"/>
      <c r="DR260" s="18"/>
      <c r="DS260" s="18"/>
      <c r="DT260" s="18"/>
      <c r="DU260" s="18"/>
      <c r="DV260" s="18"/>
      <c r="DW260" s="18"/>
      <c r="DX260" s="18"/>
      <c r="DY260" s="18"/>
      <c r="DZ260" s="18"/>
      <c r="EA260" s="18"/>
      <c r="EB260" s="18"/>
      <c r="EC260" s="18"/>
      <c r="ED260" s="18"/>
      <c r="EE260" s="18"/>
    </row>
    <row r="261" spans="1:135" ht="19.5" customHeight="1" x14ac:dyDescent="0.2">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K261" s="18"/>
      <c r="DL261" s="18"/>
      <c r="DM261" s="18"/>
      <c r="DN261" s="18"/>
      <c r="DO261" s="18"/>
      <c r="DP261" s="18"/>
      <c r="DQ261" s="18"/>
      <c r="DR261" s="18"/>
      <c r="DS261" s="18"/>
      <c r="DT261" s="18"/>
      <c r="DU261" s="18"/>
      <c r="DV261" s="18"/>
      <c r="DW261" s="18"/>
      <c r="DX261" s="18"/>
      <c r="DY261" s="18"/>
      <c r="DZ261" s="18"/>
      <c r="EA261" s="18"/>
      <c r="EB261" s="18"/>
      <c r="EC261" s="18"/>
      <c r="ED261" s="18"/>
      <c r="EE261" s="18"/>
    </row>
    <row r="262" spans="1:135" ht="19.5" customHeight="1" x14ac:dyDescent="0.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K262" s="18"/>
      <c r="DL262" s="18"/>
      <c r="DM262" s="18"/>
      <c r="DN262" s="18"/>
      <c r="DO262" s="18"/>
      <c r="DP262" s="18"/>
      <c r="DQ262" s="18"/>
      <c r="DR262" s="18"/>
      <c r="DS262" s="18"/>
      <c r="DT262" s="18"/>
      <c r="DU262" s="18"/>
      <c r="DV262" s="18"/>
      <c r="DW262" s="18"/>
      <c r="DX262" s="18"/>
      <c r="DY262" s="18"/>
      <c r="DZ262" s="18"/>
      <c r="EA262" s="18"/>
      <c r="EB262" s="18"/>
      <c r="EC262" s="18"/>
      <c r="ED262" s="18"/>
      <c r="EE262" s="18"/>
    </row>
    <row r="263" spans="1:135" ht="19.5" customHeight="1" x14ac:dyDescent="0.2">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K263" s="18"/>
      <c r="DL263" s="18"/>
      <c r="DM263" s="18"/>
      <c r="DN263" s="18"/>
      <c r="DO263" s="18"/>
      <c r="DP263" s="18"/>
      <c r="DQ263" s="18"/>
      <c r="DR263" s="18"/>
      <c r="DS263" s="18"/>
      <c r="DT263" s="18"/>
      <c r="DU263" s="18"/>
      <c r="DV263" s="18"/>
      <c r="DW263" s="18"/>
      <c r="DX263" s="18"/>
      <c r="DY263" s="18"/>
      <c r="DZ263" s="18"/>
      <c r="EA263" s="18"/>
      <c r="EB263" s="18"/>
      <c r="EC263" s="18"/>
      <c r="ED263" s="18"/>
      <c r="EE263" s="18"/>
    </row>
    <row r="264" spans="1:135" ht="19.5" customHeight="1" x14ac:dyDescent="0.2">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K264" s="18"/>
      <c r="DL264" s="18"/>
      <c r="DM264" s="18"/>
      <c r="DN264" s="18"/>
      <c r="DO264" s="18"/>
      <c r="DP264" s="18"/>
      <c r="DQ264" s="18"/>
      <c r="DR264" s="18"/>
      <c r="DS264" s="18"/>
      <c r="DT264" s="18"/>
      <c r="DU264" s="18"/>
      <c r="DV264" s="18"/>
      <c r="DW264" s="18"/>
      <c r="DX264" s="18"/>
      <c r="DY264" s="18"/>
      <c r="DZ264" s="18"/>
      <c r="EA264" s="18"/>
      <c r="EB264" s="18"/>
      <c r="EC264" s="18"/>
      <c r="ED264" s="18"/>
      <c r="EE264" s="18"/>
    </row>
    <row r="265" spans="1:135" ht="19.5" customHeight="1" x14ac:dyDescent="0.2">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K265" s="18"/>
      <c r="DL265" s="18"/>
      <c r="DM265" s="18"/>
      <c r="DN265" s="18"/>
      <c r="DO265" s="18"/>
      <c r="DP265" s="18"/>
      <c r="DQ265" s="18"/>
      <c r="DR265" s="18"/>
      <c r="DS265" s="18"/>
      <c r="DT265" s="18"/>
      <c r="DU265" s="18"/>
      <c r="DV265" s="18"/>
      <c r="DW265" s="18"/>
      <c r="DX265" s="18"/>
      <c r="DY265" s="18"/>
      <c r="DZ265" s="18"/>
      <c r="EA265" s="18"/>
      <c r="EB265" s="18"/>
      <c r="EC265" s="18"/>
      <c r="ED265" s="18"/>
      <c r="EE265" s="18"/>
    </row>
    <row r="266" spans="1:135" ht="19.5" customHeight="1" x14ac:dyDescent="0.2">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K266" s="18"/>
      <c r="DL266" s="18"/>
      <c r="DM266" s="18"/>
      <c r="DN266" s="18"/>
      <c r="DO266" s="18"/>
      <c r="DP266" s="18"/>
      <c r="DQ266" s="18"/>
      <c r="DR266" s="18"/>
      <c r="DS266" s="18"/>
      <c r="DT266" s="18"/>
      <c r="DU266" s="18"/>
      <c r="DV266" s="18"/>
      <c r="DW266" s="18"/>
      <c r="DX266" s="18"/>
      <c r="DY266" s="18"/>
      <c r="DZ266" s="18"/>
      <c r="EA266" s="18"/>
      <c r="EB266" s="18"/>
      <c r="EC266" s="18"/>
      <c r="ED266" s="18"/>
      <c r="EE266" s="18"/>
    </row>
    <row r="267" spans="1:135" ht="19.5" customHeight="1" x14ac:dyDescent="0.2">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K267" s="18"/>
      <c r="DL267" s="18"/>
      <c r="DM267" s="18"/>
      <c r="DN267" s="18"/>
      <c r="DO267" s="18"/>
      <c r="DP267" s="18"/>
      <c r="DQ267" s="18"/>
      <c r="DR267" s="18"/>
      <c r="DS267" s="18"/>
      <c r="DT267" s="18"/>
      <c r="DU267" s="18"/>
      <c r="DV267" s="18"/>
      <c r="DW267" s="18"/>
      <c r="DX267" s="18"/>
      <c r="DY267" s="18"/>
      <c r="DZ267" s="18"/>
      <c r="EA267" s="18"/>
      <c r="EB267" s="18"/>
      <c r="EC267" s="18"/>
      <c r="ED267" s="18"/>
      <c r="EE267" s="18"/>
    </row>
    <row r="268" spans="1:135" ht="19.5" customHeight="1" x14ac:dyDescent="0.2">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K268" s="18"/>
      <c r="DL268" s="18"/>
      <c r="DM268" s="18"/>
      <c r="DN268" s="18"/>
      <c r="DO268" s="18"/>
      <c r="DP268" s="18"/>
      <c r="DQ268" s="18"/>
      <c r="DR268" s="18"/>
      <c r="DS268" s="18"/>
      <c r="DT268" s="18"/>
      <c r="DU268" s="18"/>
      <c r="DV268" s="18"/>
      <c r="DW268" s="18"/>
      <c r="DX268" s="18"/>
      <c r="DY268" s="18"/>
      <c r="DZ268" s="18"/>
      <c r="EA268" s="18"/>
      <c r="EB268" s="18"/>
      <c r="EC268" s="18"/>
      <c r="ED268" s="18"/>
      <c r="EE268" s="18"/>
    </row>
    <row r="269" spans="1:135" ht="19.5" customHeight="1" x14ac:dyDescent="0.2">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K269" s="18"/>
      <c r="DL269" s="18"/>
      <c r="DM269" s="18"/>
      <c r="DN269" s="18"/>
      <c r="DO269" s="18"/>
      <c r="DP269" s="18"/>
      <c r="DQ269" s="18"/>
      <c r="DR269" s="18"/>
      <c r="DS269" s="18"/>
      <c r="DT269" s="18"/>
      <c r="DU269" s="18"/>
      <c r="DV269" s="18"/>
      <c r="DW269" s="18"/>
      <c r="DX269" s="18"/>
      <c r="DY269" s="18"/>
      <c r="DZ269" s="18"/>
      <c r="EA269" s="18"/>
      <c r="EB269" s="18"/>
      <c r="EC269" s="18"/>
      <c r="ED269" s="18"/>
      <c r="EE269" s="18"/>
    </row>
    <row r="270" spans="1:135" ht="19.5" customHeight="1" x14ac:dyDescent="0.2">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K270" s="18"/>
      <c r="DL270" s="18"/>
      <c r="DM270" s="18"/>
      <c r="DN270" s="18"/>
      <c r="DO270" s="18"/>
      <c r="DP270" s="18"/>
      <c r="DQ270" s="18"/>
      <c r="DR270" s="18"/>
      <c r="DS270" s="18"/>
      <c r="DT270" s="18"/>
      <c r="DU270" s="18"/>
      <c r="DV270" s="18"/>
      <c r="DW270" s="18"/>
      <c r="DX270" s="18"/>
      <c r="DY270" s="18"/>
      <c r="DZ270" s="18"/>
      <c r="EA270" s="18"/>
      <c r="EB270" s="18"/>
      <c r="EC270" s="18"/>
      <c r="ED270" s="18"/>
      <c r="EE270" s="18"/>
    </row>
    <row r="271" spans="1:135" ht="19.5" customHeight="1" x14ac:dyDescent="0.2">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K271" s="18"/>
      <c r="DL271" s="18"/>
      <c r="DM271" s="18"/>
      <c r="DN271" s="18"/>
      <c r="DO271" s="18"/>
      <c r="DP271" s="18"/>
      <c r="DQ271" s="18"/>
      <c r="DR271" s="18"/>
      <c r="DS271" s="18"/>
      <c r="DT271" s="18"/>
      <c r="DU271" s="18"/>
      <c r="DV271" s="18"/>
      <c r="DW271" s="18"/>
      <c r="DX271" s="18"/>
      <c r="DY271" s="18"/>
      <c r="DZ271" s="18"/>
      <c r="EA271" s="18"/>
      <c r="EB271" s="18"/>
      <c r="EC271" s="18"/>
      <c r="ED271" s="18"/>
      <c r="EE271" s="18"/>
    </row>
    <row r="272" spans="1:135" ht="19.5" customHeight="1" x14ac:dyDescent="0.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K272" s="18"/>
      <c r="DL272" s="18"/>
      <c r="DM272" s="18"/>
      <c r="DN272" s="18"/>
      <c r="DO272" s="18"/>
      <c r="DP272" s="18"/>
      <c r="DQ272" s="18"/>
      <c r="DR272" s="18"/>
      <c r="DS272" s="18"/>
      <c r="DT272" s="18"/>
      <c r="DU272" s="18"/>
      <c r="DV272" s="18"/>
      <c r="DW272" s="18"/>
      <c r="DX272" s="18"/>
      <c r="DY272" s="18"/>
      <c r="DZ272" s="18"/>
      <c r="EA272" s="18"/>
      <c r="EB272" s="18"/>
      <c r="EC272" s="18"/>
      <c r="ED272" s="18"/>
      <c r="EE272" s="18"/>
    </row>
    <row r="273" spans="1:135" ht="19.5" customHeight="1" x14ac:dyDescent="0.2">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K273" s="18"/>
      <c r="DL273" s="18"/>
      <c r="DM273" s="18"/>
      <c r="DN273" s="18"/>
      <c r="DO273" s="18"/>
      <c r="DP273" s="18"/>
      <c r="DQ273" s="18"/>
      <c r="DR273" s="18"/>
      <c r="DS273" s="18"/>
      <c r="DT273" s="18"/>
      <c r="DU273" s="18"/>
      <c r="DV273" s="18"/>
      <c r="DW273" s="18"/>
      <c r="DX273" s="18"/>
      <c r="DY273" s="18"/>
      <c r="DZ273" s="18"/>
      <c r="EA273" s="18"/>
      <c r="EB273" s="18"/>
      <c r="EC273" s="18"/>
      <c r="ED273" s="18"/>
      <c r="EE273" s="18"/>
    </row>
    <row r="274" spans="1:135" ht="19.5" customHeight="1" x14ac:dyDescent="0.2">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K274" s="18"/>
      <c r="DL274" s="18"/>
      <c r="DM274" s="18"/>
      <c r="DN274" s="18"/>
      <c r="DO274" s="18"/>
      <c r="DP274" s="18"/>
      <c r="DQ274" s="18"/>
      <c r="DR274" s="18"/>
      <c r="DS274" s="18"/>
      <c r="DT274" s="18"/>
      <c r="DU274" s="18"/>
      <c r="DV274" s="18"/>
      <c r="DW274" s="18"/>
      <c r="DX274" s="18"/>
      <c r="DY274" s="18"/>
      <c r="DZ274" s="18"/>
      <c r="EA274" s="18"/>
      <c r="EB274" s="18"/>
      <c r="EC274" s="18"/>
      <c r="ED274" s="18"/>
      <c r="EE274" s="18"/>
    </row>
    <row r="275" spans="1:135" ht="19.5" customHeight="1" x14ac:dyDescent="0.2">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K275" s="18"/>
      <c r="DL275" s="18"/>
      <c r="DM275" s="18"/>
      <c r="DN275" s="18"/>
      <c r="DO275" s="18"/>
      <c r="DP275" s="18"/>
      <c r="DQ275" s="18"/>
      <c r="DR275" s="18"/>
      <c r="DS275" s="18"/>
      <c r="DT275" s="18"/>
      <c r="DU275" s="18"/>
      <c r="DV275" s="18"/>
      <c r="DW275" s="18"/>
      <c r="DX275" s="18"/>
      <c r="DY275" s="18"/>
      <c r="DZ275" s="18"/>
      <c r="EA275" s="18"/>
      <c r="EB275" s="18"/>
      <c r="EC275" s="18"/>
      <c r="ED275" s="18"/>
      <c r="EE275" s="18"/>
    </row>
    <row r="276" spans="1:135" ht="19.5" customHeight="1" x14ac:dyDescent="0.2">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K276" s="18"/>
      <c r="DL276" s="18"/>
      <c r="DM276" s="18"/>
      <c r="DN276" s="18"/>
      <c r="DO276" s="18"/>
      <c r="DP276" s="18"/>
      <c r="DQ276" s="18"/>
      <c r="DR276" s="18"/>
      <c r="DS276" s="18"/>
      <c r="DT276" s="18"/>
      <c r="DU276" s="18"/>
      <c r="DV276" s="18"/>
      <c r="DW276" s="18"/>
      <c r="DX276" s="18"/>
      <c r="DY276" s="18"/>
      <c r="DZ276" s="18"/>
      <c r="EA276" s="18"/>
      <c r="EB276" s="18"/>
      <c r="EC276" s="18"/>
      <c r="ED276" s="18"/>
      <c r="EE276" s="18"/>
    </row>
    <row r="277" spans="1:135" ht="19.5" customHeight="1" x14ac:dyDescent="0.2">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K277" s="18"/>
      <c r="DL277" s="18"/>
      <c r="DM277" s="18"/>
      <c r="DN277" s="18"/>
      <c r="DO277" s="18"/>
      <c r="DP277" s="18"/>
      <c r="DQ277" s="18"/>
      <c r="DR277" s="18"/>
      <c r="DS277" s="18"/>
      <c r="DT277" s="18"/>
      <c r="DU277" s="18"/>
      <c r="DV277" s="18"/>
      <c r="DW277" s="18"/>
      <c r="DX277" s="18"/>
      <c r="DY277" s="18"/>
      <c r="DZ277" s="18"/>
      <c r="EA277" s="18"/>
      <c r="EB277" s="18"/>
      <c r="EC277" s="18"/>
      <c r="ED277" s="18"/>
      <c r="EE277" s="18"/>
    </row>
    <row r="278" spans="1:135" ht="19.5" customHeight="1" x14ac:dyDescent="0.2">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K278" s="18"/>
      <c r="DL278" s="18"/>
      <c r="DM278" s="18"/>
      <c r="DN278" s="18"/>
      <c r="DO278" s="18"/>
      <c r="DP278" s="18"/>
      <c r="DQ278" s="18"/>
      <c r="DR278" s="18"/>
      <c r="DS278" s="18"/>
      <c r="DT278" s="18"/>
      <c r="DU278" s="18"/>
      <c r="DV278" s="18"/>
      <c r="DW278" s="18"/>
      <c r="DX278" s="18"/>
      <c r="DY278" s="18"/>
      <c r="DZ278" s="18"/>
      <c r="EA278" s="18"/>
      <c r="EB278" s="18"/>
      <c r="EC278" s="18"/>
      <c r="ED278" s="18"/>
      <c r="EE278" s="18"/>
    </row>
    <row r="279" spans="1:135" ht="19.5" customHeight="1" x14ac:dyDescent="0.2">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K279" s="18"/>
      <c r="DL279" s="18"/>
      <c r="DM279" s="18"/>
      <c r="DN279" s="18"/>
      <c r="DO279" s="18"/>
      <c r="DP279" s="18"/>
      <c r="DQ279" s="18"/>
      <c r="DR279" s="18"/>
      <c r="DS279" s="18"/>
      <c r="DT279" s="18"/>
      <c r="DU279" s="18"/>
      <c r="DV279" s="18"/>
      <c r="DW279" s="18"/>
      <c r="DX279" s="18"/>
      <c r="DY279" s="18"/>
      <c r="DZ279" s="18"/>
      <c r="EA279" s="18"/>
      <c r="EB279" s="18"/>
      <c r="EC279" s="18"/>
      <c r="ED279" s="18"/>
      <c r="EE279" s="18"/>
    </row>
    <row r="280" spans="1:135" ht="19.5" customHeight="1" x14ac:dyDescent="0.2">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K280" s="18"/>
      <c r="DL280" s="18"/>
      <c r="DM280" s="18"/>
      <c r="DN280" s="18"/>
      <c r="DO280" s="18"/>
      <c r="DP280" s="18"/>
      <c r="DQ280" s="18"/>
      <c r="DR280" s="18"/>
      <c r="DS280" s="18"/>
      <c r="DT280" s="18"/>
      <c r="DU280" s="18"/>
      <c r="DV280" s="18"/>
      <c r="DW280" s="18"/>
      <c r="DX280" s="18"/>
      <c r="DY280" s="18"/>
      <c r="DZ280" s="18"/>
      <c r="EA280" s="18"/>
      <c r="EB280" s="18"/>
      <c r="EC280" s="18"/>
      <c r="ED280" s="18"/>
      <c r="EE280" s="18"/>
    </row>
    <row r="281" spans="1:135" ht="19.5" customHeight="1" x14ac:dyDescent="0.2">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K281" s="18"/>
      <c r="DL281" s="18"/>
      <c r="DM281" s="18"/>
      <c r="DN281" s="18"/>
      <c r="DO281" s="18"/>
      <c r="DP281" s="18"/>
      <c r="DQ281" s="18"/>
      <c r="DR281" s="18"/>
      <c r="DS281" s="18"/>
      <c r="DT281" s="18"/>
      <c r="DU281" s="18"/>
      <c r="DV281" s="18"/>
      <c r="DW281" s="18"/>
      <c r="DX281" s="18"/>
      <c r="DY281" s="18"/>
      <c r="DZ281" s="18"/>
      <c r="EA281" s="18"/>
      <c r="EB281" s="18"/>
      <c r="EC281" s="18"/>
      <c r="ED281" s="18"/>
      <c r="EE281" s="18"/>
    </row>
    <row r="282" spans="1:135" ht="19.5" customHeight="1" x14ac:dyDescent="0.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K282" s="18"/>
      <c r="DL282" s="18"/>
      <c r="DM282" s="18"/>
      <c r="DN282" s="18"/>
      <c r="DO282" s="18"/>
      <c r="DP282" s="18"/>
      <c r="DQ282" s="18"/>
      <c r="DR282" s="18"/>
      <c r="DS282" s="18"/>
      <c r="DT282" s="18"/>
      <c r="DU282" s="18"/>
      <c r="DV282" s="18"/>
      <c r="DW282" s="18"/>
      <c r="DX282" s="18"/>
      <c r="DY282" s="18"/>
      <c r="DZ282" s="18"/>
      <c r="EA282" s="18"/>
      <c r="EB282" s="18"/>
      <c r="EC282" s="18"/>
      <c r="ED282" s="18"/>
      <c r="EE282" s="18"/>
    </row>
    <row r="283" spans="1:135" ht="19.5" customHeight="1" x14ac:dyDescent="0.2">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K283" s="18"/>
      <c r="DL283" s="18"/>
      <c r="DM283" s="18"/>
      <c r="DN283" s="18"/>
      <c r="DO283" s="18"/>
      <c r="DP283" s="18"/>
      <c r="DQ283" s="18"/>
      <c r="DR283" s="18"/>
      <c r="DS283" s="18"/>
      <c r="DT283" s="18"/>
      <c r="DU283" s="18"/>
      <c r="DV283" s="18"/>
      <c r="DW283" s="18"/>
      <c r="DX283" s="18"/>
      <c r="DY283" s="18"/>
      <c r="DZ283" s="18"/>
      <c r="EA283" s="18"/>
      <c r="EB283" s="18"/>
      <c r="EC283" s="18"/>
      <c r="ED283" s="18"/>
      <c r="EE283" s="18"/>
    </row>
    <row r="284" spans="1:135" ht="19.5" customHeight="1" x14ac:dyDescent="0.2">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K284" s="18"/>
      <c r="DL284" s="18"/>
      <c r="DM284" s="18"/>
      <c r="DN284" s="18"/>
      <c r="DO284" s="18"/>
      <c r="DP284" s="18"/>
      <c r="DQ284" s="18"/>
      <c r="DR284" s="18"/>
      <c r="DS284" s="18"/>
      <c r="DT284" s="18"/>
      <c r="DU284" s="18"/>
      <c r="DV284" s="18"/>
      <c r="DW284" s="18"/>
      <c r="DX284" s="18"/>
      <c r="DY284" s="18"/>
      <c r="DZ284" s="18"/>
      <c r="EA284" s="18"/>
      <c r="EB284" s="18"/>
      <c r="EC284" s="18"/>
      <c r="ED284" s="18"/>
      <c r="EE284" s="18"/>
    </row>
    <row r="285" spans="1:135" ht="19.5" customHeight="1" x14ac:dyDescent="0.2">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K285" s="18"/>
      <c r="DL285" s="18"/>
      <c r="DM285" s="18"/>
      <c r="DN285" s="18"/>
      <c r="DO285" s="18"/>
      <c r="DP285" s="18"/>
      <c r="DQ285" s="18"/>
      <c r="DR285" s="18"/>
      <c r="DS285" s="18"/>
      <c r="DT285" s="18"/>
      <c r="DU285" s="18"/>
      <c r="DV285" s="18"/>
      <c r="DW285" s="18"/>
      <c r="DX285" s="18"/>
      <c r="DY285" s="18"/>
      <c r="DZ285" s="18"/>
      <c r="EA285" s="18"/>
      <c r="EB285" s="18"/>
      <c r="EC285" s="18"/>
      <c r="ED285" s="18"/>
      <c r="EE285" s="18"/>
    </row>
    <row r="286" spans="1:135" ht="19.5" customHeight="1" x14ac:dyDescent="0.2">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K286" s="18"/>
      <c r="DL286" s="18"/>
      <c r="DM286" s="18"/>
      <c r="DN286" s="18"/>
      <c r="DO286" s="18"/>
      <c r="DP286" s="18"/>
      <c r="DQ286" s="18"/>
      <c r="DR286" s="18"/>
      <c r="DS286" s="18"/>
      <c r="DT286" s="18"/>
      <c r="DU286" s="18"/>
      <c r="DV286" s="18"/>
      <c r="DW286" s="18"/>
      <c r="DX286" s="18"/>
      <c r="DY286" s="18"/>
      <c r="DZ286" s="18"/>
      <c r="EA286" s="18"/>
      <c r="EB286" s="18"/>
      <c r="EC286" s="18"/>
      <c r="ED286" s="18"/>
      <c r="EE286" s="18"/>
    </row>
    <row r="287" spans="1:135" ht="19.5" customHeight="1" x14ac:dyDescent="0.2">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K287" s="18"/>
      <c r="DL287" s="18"/>
      <c r="DM287" s="18"/>
      <c r="DN287" s="18"/>
      <c r="DO287" s="18"/>
      <c r="DP287" s="18"/>
      <c r="DQ287" s="18"/>
      <c r="DR287" s="18"/>
      <c r="DS287" s="18"/>
      <c r="DT287" s="18"/>
      <c r="DU287" s="18"/>
      <c r="DV287" s="18"/>
      <c r="DW287" s="18"/>
      <c r="DX287" s="18"/>
      <c r="DY287" s="18"/>
      <c r="DZ287" s="18"/>
      <c r="EA287" s="18"/>
      <c r="EB287" s="18"/>
      <c r="EC287" s="18"/>
      <c r="ED287" s="18"/>
      <c r="EE287" s="18"/>
    </row>
    <row r="288" spans="1:135" ht="19.5" customHeight="1" x14ac:dyDescent="0.2">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K288" s="18"/>
      <c r="DL288" s="18"/>
      <c r="DM288" s="18"/>
      <c r="DN288" s="18"/>
      <c r="DO288" s="18"/>
      <c r="DP288" s="18"/>
      <c r="DQ288" s="18"/>
      <c r="DR288" s="18"/>
      <c r="DS288" s="18"/>
      <c r="DT288" s="18"/>
      <c r="DU288" s="18"/>
      <c r="DV288" s="18"/>
      <c r="DW288" s="18"/>
      <c r="DX288" s="18"/>
      <c r="DY288" s="18"/>
      <c r="DZ288" s="18"/>
      <c r="EA288" s="18"/>
      <c r="EB288" s="18"/>
      <c r="EC288" s="18"/>
      <c r="ED288" s="18"/>
      <c r="EE288" s="18"/>
    </row>
    <row r="289" spans="1:135" ht="19.5" customHeight="1" x14ac:dyDescent="0.2">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K289" s="18"/>
      <c r="DL289" s="18"/>
      <c r="DM289" s="18"/>
      <c r="DN289" s="18"/>
      <c r="DO289" s="18"/>
      <c r="DP289" s="18"/>
      <c r="DQ289" s="18"/>
      <c r="DR289" s="18"/>
      <c r="DS289" s="18"/>
      <c r="DT289" s="18"/>
      <c r="DU289" s="18"/>
      <c r="DV289" s="18"/>
      <c r="DW289" s="18"/>
      <c r="DX289" s="18"/>
      <c r="DY289" s="18"/>
      <c r="DZ289" s="18"/>
      <c r="EA289" s="18"/>
      <c r="EB289" s="18"/>
      <c r="EC289" s="18"/>
      <c r="ED289" s="18"/>
      <c r="EE289" s="18"/>
    </row>
    <row r="290" spans="1:135" ht="19.5" customHeight="1" x14ac:dyDescent="0.2">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K290" s="18"/>
      <c r="DL290" s="18"/>
      <c r="DM290" s="18"/>
      <c r="DN290" s="18"/>
      <c r="DO290" s="18"/>
      <c r="DP290" s="18"/>
      <c r="DQ290" s="18"/>
      <c r="DR290" s="18"/>
      <c r="DS290" s="18"/>
      <c r="DT290" s="18"/>
      <c r="DU290" s="18"/>
      <c r="DV290" s="18"/>
      <c r="DW290" s="18"/>
      <c r="DX290" s="18"/>
      <c r="DY290" s="18"/>
      <c r="DZ290" s="18"/>
      <c r="EA290" s="18"/>
      <c r="EB290" s="18"/>
      <c r="EC290" s="18"/>
      <c r="ED290" s="18"/>
      <c r="EE290" s="18"/>
    </row>
    <row r="291" spans="1:135" ht="19.5" customHeight="1" x14ac:dyDescent="0.2">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K291" s="18"/>
      <c r="DL291" s="18"/>
      <c r="DM291" s="18"/>
      <c r="DN291" s="18"/>
      <c r="DO291" s="18"/>
      <c r="DP291" s="18"/>
      <c r="DQ291" s="18"/>
      <c r="DR291" s="18"/>
      <c r="DS291" s="18"/>
      <c r="DT291" s="18"/>
      <c r="DU291" s="18"/>
      <c r="DV291" s="18"/>
      <c r="DW291" s="18"/>
      <c r="DX291" s="18"/>
      <c r="DY291" s="18"/>
      <c r="DZ291" s="18"/>
      <c r="EA291" s="18"/>
      <c r="EB291" s="18"/>
      <c r="EC291" s="18"/>
      <c r="ED291" s="18"/>
      <c r="EE291" s="18"/>
    </row>
    <row r="292" spans="1:135" ht="19.5" customHeight="1" x14ac:dyDescent="0.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K292" s="18"/>
      <c r="DL292" s="18"/>
      <c r="DM292" s="18"/>
      <c r="DN292" s="18"/>
      <c r="DO292" s="18"/>
      <c r="DP292" s="18"/>
      <c r="DQ292" s="18"/>
      <c r="DR292" s="18"/>
      <c r="DS292" s="18"/>
      <c r="DT292" s="18"/>
      <c r="DU292" s="18"/>
      <c r="DV292" s="18"/>
      <c r="DW292" s="18"/>
      <c r="DX292" s="18"/>
      <c r="DY292" s="18"/>
      <c r="DZ292" s="18"/>
      <c r="EA292" s="18"/>
      <c r="EB292" s="18"/>
      <c r="EC292" s="18"/>
      <c r="ED292" s="18"/>
      <c r="EE292" s="18"/>
    </row>
    <row r="293" spans="1:135" ht="19.5" customHeight="1" x14ac:dyDescent="0.2">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K293" s="18"/>
      <c r="DL293" s="18"/>
      <c r="DM293" s="18"/>
      <c r="DN293" s="18"/>
      <c r="DO293" s="18"/>
      <c r="DP293" s="18"/>
      <c r="DQ293" s="18"/>
      <c r="DR293" s="18"/>
      <c r="DS293" s="18"/>
      <c r="DT293" s="18"/>
      <c r="DU293" s="18"/>
      <c r="DV293" s="18"/>
      <c r="DW293" s="18"/>
      <c r="DX293" s="18"/>
      <c r="DY293" s="18"/>
      <c r="DZ293" s="18"/>
      <c r="EA293" s="18"/>
      <c r="EB293" s="18"/>
      <c r="EC293" s="18"/>
      <c r="ED293" s="18"/>
      <c r="EE293" s="18"/>
    </row>
    <row r="294" spans="1:135" ht="19.5" customHeight="1" x14ac:dyDescent="0.2">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K294" s="18"/>
      <c r="DL294" s="18"/>
      <c r="DM294" s="18"/>
      <c r="DN294" s="18"/>
      <c r="DO294" s="18"/>
      <c r="DP294" s="18"/>
      <c r="DQ294" s="18"/>
      <c r="DR294" s="18"/>
      <c r="DS294" s="18"/>
      <c r="DT294" s="18"/>
      <c r="DU294" s="18"/>
      <c r="DV294" s="18"/>
      <c r="DW294" s="18"/>
      <c r="DX294" s="18"/>
      <c r="DY294" s="18"/>
      <c r="DZ294" s="18"/>
      <c r="EA294" s="18"/>
      <c r="EB294" s="18"/>
      <c r="EC294" s="18"/>
      <c r="ED294" s="18"/>
      <c r="EE294" s="18"/>
    </row>
    <row r="295" spans="1:135" ht="19.5" customHeight="1" x14ac:dyDescent="0.2">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K295" s="18"/>
      <c r="DL295" s="18"/>
      <c r="DM295" s="18"/>
      <c r="DN295" s="18"/>
      <c r="DO295" s="18"/>
      <c r="DP295" s="18"/>
      <c r="DQ295" s="18"/>
      <c r="DR295" s="18"/>
      <c r="DS295" s="18"/>
      <c r="DT295" s="18"/>
      <c r="DU295" s="18"/>
      <c r="DV295" s="18"/>
      <c r="DW295" s="18"/>
      <c r="DX295" s="18"/>
      <c r="DY295" s="18"/>
      <c r="DZ295" s="18"/>
      <c r="EA295" s="18"/>
      <c r="EB295" s="18"/>
      <c r="EC295" s="18"/>
      <c r="ED295" s="18"/>
      <c r="EE295" s="18"/>
    </row>
    <row r="296" spans="1:135" ht="19.5" customHeight="1" x14ac:dyDescent="0.2">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K296" s="18"/>
      <c r="DL296" s="18"/>
      <c r="DM296" s="18"/>
      <c r="DN296" s="18"/>
      <c r="DO296" s="18"/>
      <c r="DP296" s="18"/>
      <c r="DQ296" s="18"/>
      <c r="DR296" s="18"/>
      <c r="DS296" s="18"/>
      <c r="DT296" s="18"/>
      <c r="DU296" s="18"/>
      <c r="DV296" s="18"/>
      <c r="DW296" s="18"/>
      <c r="DX296" s="18"/>
      <c r="DY296" s="18"/>
      <c r="DZ296" s="18"/>
      <c r="EA296" s="18"/>
      <c r="EB296" s="18"/>
      <c r="EC296" s="18"/>
      <c r="ED296" s="18"/>
      <c r="EE296" s="18"/>
    </row>
    <row r="297" spans="1:135" ht="19.5" customHeight="1" x14ac:dyDescent="0.2">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c r="DU297" s="18"/>
      <c r="DV297" s="18"/>
      <c r="DW297" s="18"/>
      <c r="DX297" s="18"/>
      <c r="DY297" s="18"/>
      <c r="DZ297" s="18"/>
      <c r="EA297" s="18"/>
      <c r="EB297" s="18"/>
      <c r="EC297" s="18"/>
      <c r="ED297" s="18"/>
      <c r="EE297" s="18"/>
    </row>
    <row r="298" spans="1:135" ht="19.5" customHeight="1" x14ac:dyDescent="0.2">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K298" s="18"/>
      <c r="DL298" s="18"/>
      <c r="DM298" s="18"/>
      <c r="DN298" s="18"/>
      <c r="DO298" s="18"/>
      <c r="DP298" s="18"/>
      <c r="DQ298" s="18"/>
      <c r="DR298" s="18"/>
      <c r="DS298" s="18"/>
      <c r="DT298" s="18"/>
      <c r="DU298" s="18"/>
      <c r="DV298" s="18"/>
      <c r="DW298" s="18"/>
      <c r="DX298" s="18"/>
      <c r="DY298" s="18"/>
      <c r="DZ298" s="18"/>
      <c r="EA298" s="18"/>
      <c r="EB298" s="18"/>
      <c r="EC298" s="18"/>
      <c r="ED298" s="18"/>
      <c r="EE298" s="18"/>
    </row>
    <row r="299" spans="1:135" ht="19.5" customHeight="1" x14ac:dyDescent="0.2">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K299" s="18"/>
      <c r="DL299" s="18"/>
      <c r="DM299" s="18"/>
      <c r="DN299" s="18"/>
      <c r="DO299" s="18"/>
      <c r="DP299" s="18"/>
      <c r="DQ299" s="18"/>
      <c r="DR299" s="18"/>
      <c r="DS299" s="18"/>
      <c r="DT299" s="18"/>
      <c r="DU299" s="18"/>
      <c r="DV299" s="18"/>
      <c r="DW299" s="18"/>
      <c r="DX299" s="18"/>
      <c r="DY299" s="18"/>
      <c r="DZ299" s="18"/>
      <c r="EA299" s="18"/>
      <c r="EB299" s="18"/>
      <c r="EC299" s="18"/>
      <c r="ED299" s="18"/>
      <c r="EE299" s="18"/>
    </row>
    <row r="300" spans="1:135" ht="19.5" customHeight="1" x14ac:dyDescent="0.2">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K300" s="18"/>
      <c r="DL300" s="18"/>
      <c r="DM300" s="18"/>
      <c r="DN300" s="18"/>
      <c r="DO300" s="18"/>
      <c r="DP300" s="18"/>
      <c r="DQ300" s="18"/>
      <c r="DR300" s="18"/>
      <c r="DS300" s="18"/>
      <c r="DT300" s="18"/>
      <c r="DU300" s="18"/>
      <c r="DV300" s="18"/>
      <c r="DW300" s="18"/>
      <c r="DX300" s="18"/>
      <c r="DY300" s="18"/>
      <c r="DZ300" s="18"/>
      <c r="EA300" s="18"/>
      <c r="EB300" s="18"/>
      <c r="EC300" s="18"/>
      <c r="ED300" s="18"/>
      <c r="EE300" s="18"/>
    </row>
    <row r="301" spans="1:135" ht="19.5" customHeight="1" x14ac:dyDescent="0.2">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K301" s="18"/>
      <c r="DL301" s="18"/>
      <c r="DM301" s="18"/>
      <c r="DN301" s="18"/>
      <c r="DO301" s="18"/>
      <c r="DP301" s="18"/>
      <c r="DQ301" s="18"/>
      <c r="DR301" s="18"/>
      <c r="DS301" s="18"/>
      <c r="DT301" s="18"/>
      <c r="DU301" s="18"/>
      <c r="DV301" s="18"/>
      <c r="DW301" s="18"/>
      <c r="DX301" s="18"/>
      <c r="DY301" s="18"/>
      <c r="DZ301" s="18"/>
      <c r="EA301" s="18"/>
      <c r="EB301" s="18"/>
      <c r="EC301" s="18"/>
      <c r="ED301" s="18"/>
      <c r="EE301" s="18"/>
    </row>
    <row r="302" spans="1:135" ht="19.5" customHeight="1" x14ac:dyDescent="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K302" s="18"/>
      <c r="DL302" s="18"/>
      <c r="DM302" s="18"/>
      <c r="DN302" s="18"/>
      <c r="DO302" s="18"/>
      <c r="DP302" s="18"/>
      <c r="DQ302" s="18"/>
      <c r="DR302" s="18"/>
      <c r="DS302" s="18"/>
      <c r="DT302" s="18"/>
      <c r="DU302" s="18"/>
      <c r="DV302" s="18"/>
      <c r="DW302" s="18"/>
      <c r="DX302" s="18"/>
      <c r="DY302" s="18"/>
      <c r="DZ302" s="18"/>
      <c r="EA302" s="18"/>
      <c r="EB302" s="18"/>
      <c r="EC302" s="18"/>
      <c r="ED302" s="18"/>
      <c r="EE302" s="18"/>
    </row>
    <row r="303" spans="1:135" ht="19.5" customHeight="1" x14ac:dyDescent="0.2">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K303" s="18"/>
      <c r="DL303" s="18"/>
      <c r="DM303" s="18"/>
      <c r="DN303" s="18"/>
      <c r="DO303" s="18"/>
      <c r="DP303" s="18"/>
      <c r="DQ303" s="18"/>
      <c r="DR303" s="18"/>
      <c r="DS303" s="18"/>
      <c r="DT303" s="18"/>
      <c r="DU303" s="18"/>
      <c r="DV303" s="18"/>
      <c r="DW303" s="18"/>
      <c r="DX303" s="18"/>
      <c r="DY303" s="18"/>
      <c r="DZ303" s="18"/>
      <c r="EA303" s="18"/>
      <c r="EB303" s="18"/>
      <c r="EC303" s="18"/>
      <c r="ED303" s="18"/>
      <c r="EE303" s="18"/>
    </row>
    <row r="304" spans="1:135" ht="19.5" customHeight="1" x14ac:dyDescent="0.2">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K304" s="18"/>
      <c r="DL304" s="18"/>
      <c r="DM304" s="18"/>
      <c r="DN304" s="18"/>
      <c r="DO304" s="18"/>
      <c r="DP304" s="18"/>
      <c r="DQ304" s="18"/>
      <c r="DR304" s="18"/>
      <c r="DS304" s="18"/>
      <c r="DT304" s="18"/>
      <c r="DU304" s="18"/>
      <c r="DV304" s="18"/>
      <c r="DW304" s="18"/>
      <c r="DX304" s="18"/>
      <c r="DY304" s="18"/>
      <c r="DZ304" s="18"/>
      <c r="EA304" s="18"/>
      <c r="EB304" s="18"/>
      <c r="EC304" s="18"/>
      <c r="ED304" s="18"/>
      <c r="EE304" s="18"/>
    </row>
    <row r="305" spans="1:135" ht="19.5" customHeight="1" x14ac:dyDescent="0.2">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K305" s="18"/>
      <c r="DL305" s="18"/>
      <c r="DM305" s="18"/>
      <c r="DN305" s="18"/>
      <c r="DO305" s="18"/>
      <c r="DP305" s="18"/>
      <c r="DQ305" s="18"/>
      <c r="DR305" s="18"/>
      <c r="DS305" s="18"/>
      <c r="DT305" s="18"/>
      <c r="DU305" s="18"/>
      <c r="DV305" s="18"/>
      <c r="DW305" s="18"/>
      <c r="DX305" s="18"/>
      <c r="DY305" s="18"/>
      <c r="DZ305" s="18"/>
      <c r="EA305" s="18"/>
      <c r="EB305" s="18"/>
      <c r="EC305" s="18"/>
      <c r="ED305" s="18"/>
      <c r="EE305" s="18"/>
    </row>
    <row r="306" spans="1:135" ht="19.5" customHeight="1" x14ac:dyDescent="0.2">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K306" s="18"/>
      <c r="DL306" s="18"/>
      <c r="DM306" s="18"/>
      <c r="DN306" s="18"/>
      <c r="DO306" s="18"/>
      <c r="DP306" s="18"/>
      <c r="DQ306" s="18"/>
      <c r="DR306" s="18"/>
      <c r="DS306" s="18"/>
      <c r="DT306" s="18"/>
      <c r="DU306" s="18"/>
      <c r="DV306" s="18"/>
      <c r="DW306" s="18"/>
      <c r="DX306" s="18"/>
      <c r="DY306" s="18"/>
      <c r="DZ306" s="18"/>
      <c r="EA306" s="18"/>
      <c r="EB306" s="18"/>
      <c r="EC306" s="18"/>
      <c r="ED306" s="18"/>
      <c r="EE306" s="18"/>
    </row>
    <row r="307" spans="1:135" ht="19.5" customHeight="1" x14ac:dyDescent="0.2">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K307" s="18"/>
      <c r="DL307" s="18"/>
      <c r="DM307" s="18"/>
      <c r="DN307" s="18"/>
      <c r="DO307" s="18"/>
      <c r="DP307" s="18"/>
      <c r="DQ307" s="18"/>
      <c r="DR307" s="18"/>
      <c r="DS307" s="18"/>
      <c r="DT307" s="18"/>
      <c r="DU307" s="18"/>
      <c r="DV307" s="18"/>
      <c r="DW307" s="18"/>
      <c r="DX307" s="18"/>
      <c r="DY307" s="18"/>
      <c r="DZ307" s="18"/>
      <c r="EA307" s="18"/>
      <c r="EB307" s="18"/>
      <c r="EC307" s="18"/>
      <c r="ED307" s="18"/>
      <c r="EE307" s="18"/>
    </row>
    <row r="308" spans="1:135" ht="19.5" customHeight="1" x14ac:dyDescent="0.2">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K308" s="18"/>
      <c r="DL308" s="18"/>
      <c r="DM308" s="18"/>
      <c r="DN308" s="18"/>
      <c r="DO308" s="18"/>
      <c r="DP308" s="18"/>
      <c r="DQ308" s="18"/>
      <c r="DR308" s="18"/>
      <c r="DS308" s="18"/>
      <c r="DT308" s="18"/>
      <c r="DU308" s="18"/>
      <c r="DV308" s="18"/>
      <c r="DW308" s="18"/>
      <c r="DX308" s="18"/>
      <c r="DY308" s="18"/>
      <c r="DZ308" s="18"/>
      <c r="EA308" s="18"/>
      <c r="EB308" s="18"/>
      <c r="EC308" s="18"/>
      <c r="ED308" s="18"/>
      <c r="EE308" s="18"/>
    </row>
    <row r="309" spans="1:135" ht="19.5" customHeight="1" x14ac:dyDescent="0.2">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K309" s="18"/>
      <c r="DL309" s="18"/>
      <c r="DM309" s="18"/>
      <c r="DN309" s="18"/>
      <c r="DO309" s="18"/>
      <c r="DP309" s="18"/>
      <c r="DQ309" s="18"/>
      <c r="DR309" s="18"/>
      <c r="DS309" s="18"/>
      <c r="DT309" s="18"/>
      <c r="DU309" s="18"/>
      <c r="DV309" s="18"/>
      <c r="DW309" s="18"/>
      <c r="DX309" s="18"/>
      <c r="DY309" s="18"/>
      <c r="DZ309" s="18"/>
      <c r="EA309" s="18"/>
      <c r="EB309" s="18"/>
      <c r="EC309" s="18"/>
      <c r="ED309" s="18"/>
      <c r="EE309" s="18"/>
    </row>
    <row r="310" spans="1:135" ht="19.5" customHeight="1" x14ac:dyDescent="0.2">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K310" s="18"/>
      <c r="DL310" s="18"/>
      <c r="DM310" s="18"/>
      <c r="DN310" s="18"/>
      <c r="DO310" s="18"/>
      <c r="DP310" s="18"/>
      <c r="DQ310" s="18"/>
      <c r="DR310" s="18"/>
      <c r="DS310" s="18"/>
      <c r="DT310" s="18"/>
      <c r="DU310" s="18"/>
      <c r="DV310" s="18"/>
      <c r="DW310" s="18"/>
      <c r="DX310" s="18"/>
      <c r="DY310" s="18"/>
      <c r="DZ310" s="18"/>
      <c r="EA310" s="18"/>
      <c r="EB310" s="18"/>
      <c r="EC310" s="18"/>
      <c r="ED310" s="18"/>
      <c r="EE310" s="18"/>
    </row>
    <row r="311" spans="1:135" ht="19.5" customHeight="1" x14ac:dyDescent="0.2">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K311" s="18"/>
      <c r="DL311" s="18"/>
      <c r="DM311" s="18"/>
      <c r="DN311" s="18"/>
      <c r="DO311" s="18"/>
      <c r="DP311" s="18"/>
      <c r="DQ311" s="18"/>
      <c r="DR311" s="18"/>
      <c r="DS311" s="18"/>
      <c r="DT311" s="18"/>
      <c r="DU311" s="18"/>
      <c r="DV311" s="18"/>
      <c r="DW311" s="18"/>
      <c r="DX311" s="18"/>
      <c r="DY311" s="18"/>
      <c r="DZ311" s="18"/>
      <c r="EA311" s="18"/>
      <c r="EB311" s="18"/>
      <c r="EC311" s="18"/>
      <c r="ED311" s="18"/>
      <c r="EE311" s="18"/>
    </row>
    <row r="312" spans="1:135" ht="19.5" customHeight="1" x14ac:dyDescent="0.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K312" s="18"/>
      <c r="DL312" s="18"/>
      <c r="DM312" s="18"/>
      <c r="DN312" s="18"/>
      <c r="DO312" s="18"/>
      <c r="DP312" s="18"/>
      <c r="DQ312" s="18"/>
      <c r="DR312" s="18"/>
      <c r="DS312" s="18"/>
      <c r="DT312" s="18"/>
      <c r="DU312" s="18"/>
      <c r="DV312" s="18"/>
      <c r="DW312" s="18"/>
      <c r="DX312" s="18"/>
      <c r="DY312" s="18"/>
      <c r="DZ312" s="18"/>
      <c r="EA312" s="18"/>
      <c r="EB312" s="18"/>
      <c r="EC312" s="18"/>
      <c r="ED312" s="18"/>
      <c r="EE312" s="18"/>
    </row>
    <row r="313" spans="1:135" ht="19.5" customHeight="1" x14ac:dyDescent="0.2">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K313" s="18"/>
      <c r="DL313" s="18"/>
      <c r="DM313" s="18"/>
      <c r="DN313" s="18"/>
      <c r="DO313" s="18"/>
      <c r="DP313" s="18"/>
      <c r="DQ313" s="18"/>
      <c r="DR313" s="18"/>
      <c r="DS313" s="18"/>
      <c r="DT313" s="18"/>
      <c r="DU313" s="18"/>
      <c r="DV313" s="18"/>
      <c r="DW313" s="18"/>
      <c r="DX313" s="18"/>
      <c r="DY313" s="18"/>
      <c r="DZ313" s="18"/>
      <c r="EA313" s="18"/>
      <c r="EB313" s="18"/>
      <c r="EC313" s="18"/>
      <c r="ED313" s="18"/>
      <c r="EE313" s="18"/>
    </row>
    <row r="314" spans="1:135" ht="19.5" customHeight="1" x14ac:dyDescent="0.2">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K314" s="18"/>
      <c r="DL314" s="18"/>
      <c r="DM314" s="18"/>
      <c r="DN314" s="18"/>
      <c r="DO314" s="18"/>
      <c r="DP314" s="18"/>
      <c r="DQ314" s="18"/>
      <c r="DR314" s="18"/>
      <c r="DS314" s="18"/>
      <c r="DT314" s="18"/>
      <c r="DU314" s="18"/>
      <c r="DV314" s="18"/>
      <c r="DW314" s="18"/>
      <c r="DX314" s="18"/>
      <c r="DY314" s="18"/>
      <c r="DZ314" s="18"/>
      <c r="EA314" s="18"/>
      <c r="EB314" s="18"/>
      <c r="EC314" s="18"/>
      <c r="ED314" s="18"/>
      <c r="EE314" s="18"/>
    </row>
    <row r="315" spans="1:135" ht="19.5" customHeight="1" x14ac:dyDescent="0.2">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K315" s="18"/>
      <c r="DL315" s="18"/>
      <c r="DM315" s="18"/>
      <c r="DN315" s="18"/>
      <c r="DO315" s="18"/>
      <c r="DP315" s="18"/>
      <c r="DQ315" s="18"/>
      <c r="DR315" s="18"/>
      <c r="DS315" s="18"/>
      <c r="DT315" s="18"/>
      <c r="DU315" s="18"/>
      <c r="DV315" s="18"/>
      <c r="DW315" s="18"/>
      <c r="DX315" s="18"/>
      <c r="DY315" s="18"/>
      <c r="DZ315" s="18"/>
      <c r="EA315" s="18"/>
      <c r="EB315" s="18"/>
      <c r="EC315" s="18"/>
      <c r="ED315" s="18"/>
      <c r="EE315" s="18"/>
    </row>
    <row r="316" spans="1:135" ht="19.5" customHeight="1" x14ac:dyDescent="0.2">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K316" s="18"/>
      <c r="DL316" s="18"/>
      <c r="DM316" s="18"/>
      <c r="DN316" s="18"/>
      <c r="DO316" s="18"/>
      <c r="DP316" s="18"/>
      <c r="DQ316" s="18"/>
      <c r="DR316" s="18"/>
      <c r="DS316" s="18"/>
      <c r="DT316" s="18"/>
      <c r="DU316" s="18"/>
      <c r="DV316" s="18"/>
      <c r="DW316" s="18"/>
      <c r="DX316" s="18"/>
      <c r="DY316" s="18"/>
      <c r="DZ316" s="18"/>
      <c r="EA316" s="18"/>
      <c r="EB316" s="18"/>
      <c r="EC316" s="18"/>
      <c r="ED316" s="18"/>
      <c r="EE316" s="18"/>
    </row>
    <row r="317" spans="1:135" ht="19.5" customHeight="1" x14ac:dyDescent="0.2">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K317" s="18"/>
      <c r="DL317" s="18"/>
      <c r="DM317" s="18"/>
      <c r="DN317" s="18"/>
      <c r="DO317" s="18"/>
      <c r="DP317" s="18"/>
      <c r="DQ317" s="18"/>
      <c r="DR317" s="18"/>
      <c r="DS317" s="18"/>
      <c r="DT317" s="18"/>
      <c r="DU317" s="18"/>
      <c r="DV317" s="18"/>
      <c r="DW317" s="18"/>
      <c r="DX317" s="18"/>
      <c r="DY317" s="18"/>
      <c r="DZ317" s="18"/>
      <c r="EA317" s="18"/>
      <c r="EB317" s="18"/>
      <c r="EC317" s="18"/>
      <c r="ED317" s="18"/>
      <c r="EE317" s="18"/>
    </row>
    <row r="318" spans="1:135" ht="19.5" customHeight="1" x14ac:dyDescent="0.2">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K318" s="18"/>
      <c r="DL318" s="18"/>
      <c r="DM318" s="18"/>
      <c r="DN318" s="18"/>
      <c r="DO318" s="18"/>
      <c r="DP318" s="18"/>
      <c r="DQ318" s="18"/>
      <c r="DR318" s="18"/>
      <c r="DS318" s="18"/>
      <c r="DT318" s="18"/>
      <c r="DU318" s="18"/>
      <c r="DV318" s="18"/>
      <c r="DW318" s="18"/>
      <c r="DX318" s="18"/>
      <c r="DY318" s="18"/>
      <c r="DZ318" s="18"/>
      <c r="EA318" s="18"/>
      <c r="EB318" s="18"/>
      <c r="EC318" s="18"/>
      <c r="ED318" s="18"/>
      <c r="EE318" s="18"/>
    </row>
    <row r="319" spans="1:135" ht="19.5" customHeight="1" x14ac:dyDescent="0.2">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K319" s="18"/>
      <c r="DL319" s="18"/>
      <c r="DM319" s="18"/>
      <c r="DN319" s="18"/>
      <c r="DO319" s="18"/>
      <c r="DP319" s="18"/>
      <c r="DQ319" s="18"/>
      <c r="DR319" s="18"/>
      <c r="DS319" s="18"/>
      <c r="DT319" s="18"/>
      <c r="DU319" s="18"/>
      <c r="DV319" s="18"/>
      <c r="DW319" s="18"/>
      <c r="DX319" s="18"/>
      <c r="DY319" s="18"/>
      <c r="DZ319" s="18"/>
      <c r="EA319" s="18"/>
      <c r="EB319" s="18"/>
      <c r="EC319" s="18"/>
      <c r="ED319" s="18"/>
      <c r="EE319" s="18"/>
    </row>
  </sheetData>
  <mergeCells count="1757">
    <mergeCell ref="AS85:AU85"/>
    <mergeCell ref="AV85:AX85"/>
    <mergeCell ref="AY85:BA85"/>
    <mergeCell ref="BB85:BD85"/>
    <mergeCell ref="BE85:BG85"/>
    <mergeCell ref="BH85:BJ85"/>
    <mergeCell ref="BK85:BQ85"/>
    <mergeCell ref="Q85:W85"/>
    <mergeCell ref="X85:AD85"/>
    <mergeCell ref="AE85:AF85"/>
    <mergeCell ref="AG85:AI85"/>
    <mergeCell ref="AJ85:AL85"/>
    <mergeCell ref="AM85:AO85"/>
    <mergeCell ref="AP85:AR85"/>
    <mergeCell ref="Q87:W87"/>
    <mergeCell ref="X87:AD87"/>
    <mergeCell ref="B80:D80"/>
    <mergeCell ref="J80:P80"/>
    <mergeCell ref="B81:D81"/>
    <mergeCell ref="J81:P81"/>
    <mergeCell ref="J82:P82"/>
    <mergeCell ref="BH84:BJ84"/>
    <mergeCell ref="BK84:BQ84"/>
    <mergeCell ref="AM84:AO84"/>
    <mergeCell ref="AP84:AR84"/>
    <mergeCell ref="AS84:AU84"/>
    <mergeCell ref="AV84:AX84"/>
    <mergeCell ref="AY84:BA84"/>
    <mergeCell ref="BB84:BD84"/>
    <mergeCell ref="BE84:BG84"/>
    <mergeCell ref="J83:P83"/>
    <mergeCell ref="J84:P84"/>
    <mergeCell ref="Q84:W84"/>
    <mergeCell ref="X84:AD84"/>
    <mergeCell ref="AE84:AF84"/>
    <mergeCell ref="AG84:AI84"/>
    <mergeCell ref="AJ84:AL84"/>
    <mergeCell ref="BE81:BG81"/>
    <mergeCell ref="BH81:BJ81"/>
    <mergeCell ref="BK81:BQ81"/>
    <mergeCell ref="Q81:W81"/>
    <mergeCell ref="X81:AD81"/>
    <mergeCell ref="AE81:AF81"/>
    <mergeCell ref="AG81:AI81"/>
    <mergeCell ref="AJ81:AL81"/>
    <mergeCell ref="AM81:AO81"/>
    <mergeCell ref="AP81:AR81"/>
    <mergeCell ref="AS83:AU83"/>
    <mergeCell ref="AV83:AX83"/>
    <mergeCell ref="AY83:BA83"/>
    <mergeCell ref="BB83:BD83"/>
    <mergeCell ref="BE83:BG83"/>
    <mergeCell ref="BH83:BJ83"/>
    <mergeCell ref="BK83:BQ83"/>
    <mergeCell ref="Q83:W83"/>
    <mergeCell ref="X83:AD83"/>
    <mergeCell ref="AE83:AF83"/>
    <mergeCell ref="AG83:AI83"/>
    <mergeCell ref="AJ83:AL83"/>
    <mergeCell ref="AM83:AO83"/>
    <mergeCell ref="AP83:AR83"/>
    <mergeCell ref="AS58:AU58"/>
    <mergeCell ref="AV58:AX58"/>
    <mergeCell ref="AY58:BA58"/>
    <mergeCell ref="BB58:BD58"/>
    <mergeCell ref="BE58:BG58"/>
    <mergeCell ref="BH58:BJ58"/>
    <mergeCell ref="BK58:BQ58"/>
    <mergeCell ref="Q58:W58"/>
    <mergeCell ref="X58:AD58"/>
    <mergeCell ref="AE58:AF58"/>
    <mergeCell ref="AG58:AI58"/>
    <mergeCell ref="AJ58:AL58"/>
    <mergeCell ref="AM58:AO58"/>
    <mergeCell ref="AP58:AR58"/>
    <mergeCell ref="AS59:AU59"/>
    <mergeCell ref="AV59:AX59"/>
    <mergeCell ref="AY59:BA59"/>
    <mergeCell ref="BB59:BD59"/>
    <mergeCell ref="BE59:BG59"/>
    <mergeCell ref="BH59:BJ59"/>
    <mergeCell ref="BK59:BQ59"/>
    <mergeCell ref="Q59:W59"/>
    <mergeCell ref="X59:AD59"/>
    <mergeCell ref="AE59:AF59"/>
    <mergeCell ref="AG59:AI59"/>
    <mergeCell ref="AJ59:AL59"/>
    <mergeCell ref="AM59:AO59"/>
    <mergeCell ref="AP59:AR59"/>
    <mergeCell ref="AS52:AU52"/>
    <mergeCell ref="AV52:AX52"/>
    <mergeCell ref="AY52:BA52"/>
    <mergeCell ref="BB52:BD52"/>
    <mergeCell ref="BE52:BG52"/>
    <mergeCell ref="BH52:BJ52"/>
    <mergeCell ref="BK52:BQ52"/>
    <mergeCell ref="Q52:W52"/>
    <mergeCell ref="X52:AD52"/>
    <mergeCell ref="AE52:AF52"/>
    <mergeCell ref="AG52:AI52"/>
    <mergeCell ref="AJ52:AL52"/>
    <mergeCell ref="AM52:AO52"/>
    <mergeCell ref="AP52:AR52"/>
    <mergeCell ref="AS57:AU57"/>
    <mergeCell ref="AV57:AX57"/>
    <mergeCell ref="AY57:BA57"/>
    <mergeCell ref="BB57:BD57"/>
    <mergeCell ref="BE57:BG57"/>
    <mergeCell ref="BH57:BJ57"/>
    <mergeCell ref="BK57:BQ57"/>
    <mergeCell ref="Q57:W57"/>
    <mergeCell ref="X57:AD57"/>
    <mergeCell ref="AE57:AF57"/>
    <mergeCell ref="AG57:AI57"/>
    <mergeCell ref="AJ57:AL57"/>
    <mergeCell ref="AM57:AO57"/>
    <mergeCell ref="AP57:AR57"/>
    <mergeCell ref="AS50:AU50"/>
    <mergeCell ref="AV50:AX50"/>
    <mergeCell ref="AY50:BA50"/>
    <mergeCell ref="BB50:BD50"/>
    <mergeCell ref="BE50:BG50"/>
    <mergeCell ref="BH50:BJ50"/>
    <mergeCell ref="BK50:BQ50"/>
    <mergeCell ref="Q50:W50"/>
    <mergeCell ref="X50:AD50"/>
    <mergeCell ref="AE50:AF50"/>
    <mergeCell ref="AG50:AI50"/>
    <mergeCell ref="AJ50:AL50"/>
    <mergeCell ref="AM50:AO50"/>
    <mergeCell ref="AP50:AR50"/>
    <mergeCell ref="AS51:AU51"/>
    <mergeCell ref="AV51:AX51"/>
    <mergeCell ref="AY51:BA51"/>
    <mergeCell ref="BB51:BD51"/>
    <mergeCell ref="BE51:BG51"/>
    <mergeCell ref="BH51:BJ51"/>
    <mergeCell ref="BK51:BQ51"/>
    <mergeCell ref="Q51:W51"/>
    <mergeCell ref="X51:AD51"/>
    <mergeCell ref="AE51:AF51"/>
    <mergeCell ref="AG51:AI51"/>
    <mergeCell ref="AJ51:AL51"/>
    <mergeCell ref="AM51:AO51"/>
    <mergeCell ref="AP51:AR51"/>
    <mergeCell ref="AS54:AU54"/>
    <mergeCell ref="AV54:AX54"/>
    <mergeCell ref="AY54:BA54"/>
    <mergeCell ref="BB54:BD54"/>
    <mergeCell ref="BE54:BG54"/>
    <mergeCell ref="BH54:BJ54"/>
    <mergeCell ref="BK54:BQ54"/>
    <mergeCell ref="Q54:W54"/>
    <mergeCell ref="X54:AD54"/>
    <mergeCell ref="AE54:AF54"/>
    <mergeCell ref="AG54:AI54"/>
    <mergeCell ref="AJ54:AL54"/>
    <mergeCell ref="AM54:AO54"/>
    <mergeCell ref="AP54:AR54"/>
    <mergeCell ref="Q32:W32"/>
    <mergeCell ref="Q33:W33"/>
    <mergeCell ref="X33:AD33"/>
    <mergeCell ref="AE33:AF33"/>
    <mergeCell ref="AG33:AI33"/>
    <mergeCell ref="AJ33:AL33"/>
    <mergeCell ref="AM33:AO33"/>
    <mergeCell ref="BK33:BQ33"/>
    <mergeCell ref="A34:BQ34"/>
    <mergeCell ref="AP33:AR33"/>
    <mergeCell ref="AS33:AU33"/>
    <mergeCell ref="AV33:AX33"/>
    <mergeCell ref="AY33:BA33"/>
    <mergeCell ref="BB33:BD33"/>
    <mergeCell ref="BE33:BG33"/>
    <mergeCell ref="BH33:BJ33"/>
    <mergeCell ref="E30:I33"/>
    <mergeCell ref="B31:D31"/>
    <mergeCell ref="BE48:BG48"/>
    <mergeCell ref="BH48:BJ48"/>
    <mergeCell ref="BK48:BQ48"/>
    <mergeCell ref="Q48:W48"/>
    <mergeCell ref="X48:AD48"/>
    <mergeCell ref="AE48:AF48"/>
    <mergeCell ref="AG48:AI48"/>
    <mergeCell ref="AJ48:AL48"/>
    <mergeCell ref="AM48:AO48"/>
    <mergeCell ref="AP48:AR48"/>
    <mergeCell ref="AS49:AU49"/>
    <mergeCell ref="AV49:AX49"/>
    <mergeCell ref="AY49:BA49"/>
    <mergeCell ref="BB49:BD49"/>
    <mergeCell ref="BE49:BG49"/>
    <mergeCell ref="BH49:BJ49"/>
    <mergeCell ref="BK49:BQ49"/>
    <mergeCell ref="Q49:W49"/>
    <mergeCell ref="X49:AD49"/>
    <mergeCell ref="AE49:AF49"/>
    <mergeCell ref="AG49:AI49"/>
    <mergeCell ref="AJ49:AL49"/>
    <mergeCell ref="AM49:AO49"/>
    <mergeCell ref="AP49:AR49"/>
    <mergeCell ref="AS53:AU53"/>
    <mergeCell ref="AV53:AX53"/>
    <mergeCell ref="AY53:BA53"/>
    <mergeCell ref="BB53:BD53"/>
    <mergeCell ref="BE53:BG53"/>
    <mergeCell ref="BH53:BJ53"/>
    <mergeCell ref="BK53:BQ53"/>
    <mergeCell ref="Q53:W53"/>
    <mergeCell ref="X53:AD53"/>
    <mergeCell ref="AE53:AF53"/>
    <mergeCell ref="AG53:AI53"/>
    <mergeCell ref="AJ53:AL53"/>
    <mergeCell ref="AM53:AO53"/>
    <mergeCell ref="AP53:AR53"/>
    <mergeCell ref="AS47:AU47"/>
    <mergeCell ref="AV47:AX47"/>
    <mergeCell ref="AY47:BA47"/>
    <mergeCell ref="BB47:BD47"/>
    <mergeCell ref="BE47:BG47"/>
    <mergeCell ref="BH47:BJ47"/>
    <mergeCell ref="BK47:BQ47"/>
    <mergeCell ref="Q47:W47"/>
    <mergeCell ref="X47:AD47"/>
    <mergeCell ref="AE47:AF47"/>
    <mergeCell ref="AG47:AI47"/>
    <mergeCell ref="AJ47:AL47"/>
    <mergeCell ref="AM47:AO47"/>
    <mergeCell ref="AP47:AR47"/>
    <mergeCell ref="AS48:AU48"/>
    <mergeCell ref="AV48:AX48"/>
    <mergeCell ref="AY48:BA48"/>
    <mergeCell ref="BB48:BD48"/>
    <mergeCell ref="BE43:BG43"/>
    <mergeCell ref="BH43:BJ43"/>
    <mergeCell ref="BK43:BQ43"/>
    <mergeCell ref="BK44:BQ44"/>
    <mergeCell ref="BK45:BQ45"/>
    <mergeCell ref="J43:P43"/>
    <mergeCell ref="Q43:W43"/>
    <mergeCell ref="AG43:AI43"/>
    <mergeCell ref="AJ43:AL43"/>
    <mergeCell ref="AM43:AO43"/>
    <mergeCell ref="AP43:AR43"/>
    <mergeCell ref="AS43:AU43"/>
    <mergeCell ref="Q44:W44"/>
    <mergeCell ref="X44:AD44"/>
    <mergeCell ref="AG44:AI44"/>
    <mergeCell ref="AJ44:AL44"/>
    <mergeCell ref="AM44:AO44"/>
    <mergeCell ref="AP44:AR44"/>
    <mergeCell ref="AS44:AU44"/>
    <mergeCell ref="AE44:AF44"/>
    <mergeCell ref="Q45:W45"/>
    <mergeCell ref="X45:AD45"/>
    <mergeCell ref="AE45:AF45"/>
    <mergeCell ref="AG45:AI45"/>
    <mergeCell ref="AJ45:AL45"/>
    <mergeCell ref="AM45:AO45"/>
    <mergeCell ref="BK42:BQ42"/>
    <mergeCell ref="AG40:AI40"/>
    <mergeCell ref="AJ40:AL40"/>
    <mergeCell ref="AM40:AO40"/>
    <mergeCell ref="AP40:AR40"/>
    <mergeCell ref="AS40:AU40"/>
    <mergeCell ref="AV40:AX40"/>
    <mergeCell ref="AY40:BA40"/>
    <mergeCell ref="X40:AD40"/>
    <mergeCell ref="AE40:AF40"/>
    <mergeCell ref="X41:AD41"/>
    <mergeCell ref="AE41:AF41"/>
    <mergeCell ref="B41:D41"/>
    <mergeCell ref="B42:D42"/>
    <mergeCell ref="B43:D43"/>
    <mergeCell ref="J42:P42"/>
    <mergeCell ref="Q42:W42"/>
    <mergeCell ref="AV42:AX42"/>
    <mergeCell ref="AY42:BA42"/>
    <mergeCell ref="BB42:BD42"/>
    <mergeCell ref="BE42:BG42"/>
    <mergeCell ref="BH42:BJ42"/>
    <mergeCell ref="X42:AD42"/>
    <mergeCell ref="AE42:AF42"/>
    <mergeCell ref="AG42:AI42"/>
    <mergeCell ref="AJ42:AL42"/>
    <mergeCell ref="AM42:AO42"/>
    <mergeCell ref="AP42:AR42"/>
    <mergeCell ref="AS42:AU42"/>
    <mergeCell ref="AV43:AX43"/>
    <mergeCell ref="AY43:BA43"/>
    <mergeCell ref="BB43:BD43"/>
    <mergeCell ref="AV32:AX32"/>
    <mergeCell ref="AY32:BA32"/>
    <mergeCell ref="BB32:BD32"/>
    <mergeCell ref="BE32:BG32"/>
    <mergeCell ref="BH32:BJ32"/>
    <mergeCell ref="BK32:BQ32"/>
    <mergeCell ref="X32:AD32"/>
    <mergeCell ref="AE32:AF32"/>
    <mergeCell ref="AG32:AI32"/>
    <mergeCell ref="AJ32:AL32"/>
    <mergeCell ref="AM32:AO32"/>
    <mergeCell ref="AP32:AR32"/>
    <mergeCell ref="AS32:AU32"/>
    <mergeCell ref="BB40:BD40"/>
    <mergeCell ref="BE40:BG40"/>
    <mergeCell ref="BH40:BJ40"/>
    <mergeCell ref="BK40:BQ40"/>
    <mergeCell ref="BE35:BG35"/>
    <mergeCell ref="BH35:BJ35"/>
    <mergeCell ref="BK35:BQ35"/>
    <mergeCell ref="X35:AD35"/>
    <mergeCell ref="AE35:AF35"/>
    <mergeCell ref="AY36:BA36"/>
    <mergeCell ref="BB36:BD36"/>
    <mergeCell ref="BE36:BG36"/>
    <mergeCell ref="BH36:BJ36"/>
    <mergeCell ref="BK36:BQ36"/>
    <mergeCell ref="A27:BQ27"/>
    <mergeCell ref="E28:I28"/>
    <mergeCell ref="J28:P28"/>
    <mergeCell ref="Q28:W28"/>
    <mergeCell ref="X28:AD28"/>
    <mergeCell ref="AE28:AF28"/>
    <mergeCell ref="BK28:BQ28"/>
    <mergeCell ref="BB29:BD29"/>
    <mergeCell ref="BE29:BG29"/>
    <mergeCell ref="BH29:BJ29"/>
    <mergeCell ref="BK29:BQ29"/>
    <mergeCell ref="AG29:AI29"/>
    <mergeCell ref="AJ29:AL29"/>
    <mergeCell ref="AM29:AO29"/>
    <mergeCell ref="AP29:AR29"/>
    <mergeCell ref="AS29:AU29"/>
    <mergeCell ref="AV29:AX29"/>
    <mergeCell ref="AY29:BA29"/>
    <mergeCell ref="E29:I29"/>
    <mergeCell ref="AV31:AX31"/>
    <mergeCell ref="AY31:BA31"/>
    <mergeCell ref="BB31:BD31"/>
    <mergeCell ref="BE31:BG31"/>
    <mergeCell ref="BH31:BJ31"/>
    <mergeCell ref="BK31:BQ31"/>
    <mergeCell ref="X31:AD31"/>
    <mergeCell ref="AE31:AF31"/>
    <mergeCell ref="AG31:AI31"/>
    <mergeCell ref="AJ31:AL31"/>
    <mergeCell ref="AM31:AO31"/>
    <mergeCell ref="AP31:AR31"/>
    <mergeCell ref="AS31:AU31"/>
    <mergeCell ref="AY28:BA28"/>
    <mergeCell ref="BB28:BD28"/>
    <mergeCell ref="BE28:BG28"/>
    <mergeCell ref="BH28:BJ28"/>
    <mergeCell ref="AG28:AI28"/>
    <mergeCell ref="AJ28:AL28"/>
    <mergeCell ref="AM28:AO28"/>
    <mergeCell ref="AP28:AR28"/>
    <mergeCell ref="AS28:AU28"/>
    <mergeCell ref="AV28:AX28"/>
    <mergeCell ref="AV30:AX30"/>
    <mergeCell ref="AY30:BA30"/>
    <mergeCell ref="BB30:BD30"/>
    <mergeCell ref="BE30:BG30"/>
    <mergeCell ref="BH30:BJ30"/>
    <mergeCell ref="BK30:BQ30"/>
    <mergeCell ref="X30:AD30"/>
    <mergeCell ref="AE30:AF30"/>
    <mergeCell ref="AG30:AI30"/>
    <mergeCell ref="AJ30:AL30"/>
    <mergeCell ref="AM30:AO30"/>
    <mergeCell ref="AP30:AR30"/>
    <mergeCell ref="AS30:AU30"/>
    <mergeCell ref="BH25:BJ25"/>
    <mergeCell ref="BK25:BQ25"/>
    <mergeCell ref="AM25:AO25"/>
    <mergeCell ref="AP25:AR25"/>
    <mergeCell ref="AS25:AU25"/>
    <mergeCell ref="AV25:AX25"/>
    <mergeCell ref="AY25:BA25"/>
    <mergeCell ref="BB25:BD25"/>
    <mergeCell ref="BE25:BG25"/>
    <mergeCell ref="BH26:BJ26"/>
    <mergeCell ref="BK26:BQ26"/>
    <mergeCell ref="AM26:AO26"/>
    <mergeCell ref="AP26:AR26"/>
    <mergeCell ref="AS26:AU26"/>
    <mergeCell ref="AV26:AX26"/>
    <mergeCell ref="AY26:BA26"/>
    <mergeCell ref="BB26:BD26"/>
    <mergeCell ref="BE26:BG26"/>
    <mergeCell ref="BB38:BD38"/>
    <mergeCell ref="BE38:BG38"/>
    <mergeCell ref="BH38:BJ38"/>
    <mergeCell ref="BK38:BQ38"/>
    <mergeCell ref="BK39:BQ39"/>
    <mergeCell ref="AG38:AI38"/>
    <mergeCell ref="AJ38:AL38"/>
    <mergeCell ref="AM38:AO38"/>
    <mergeCell ref="AP38:AR38"/>
    <mergeCell ref="AS38:AU38"/>
    <mergeCell ref="AV38:AX38"/>
    <mergeCell ref="AY38:BA38"/>
    <mergeCell ref="BB41:BD41"/>
    <mergeCell ref="BE41:BG41"/>
    <mergeCell ref="BH41:BJ41"/>
    <mergeCell ref="BK41:BQ41"/>
    <mergeCell ref="AG41:AI41"/>
    <mergeCell ref="AJ41:AL41"/>
    <mergeCell ref="AM41:AO41"/>
    <mergeCell ref="AP41:AR41"/>
    <mergeCell ref="AS41:AU41"/>
    <mergeCell ref="AV41:AX41"/>
    <mergeCell ref="AY41:BA41"/>
    <mergeCell ref="AS35:AU35"/>
    <mergeCell ref="AV35:AX35"/>
    <mergeCell ref="AY35:BA35"/>
    <mergeCell ref="BB35:BD35"/>
    <mergeCell ref="AG35:AI35"/>
    <mergeCell ref="AG36:AI36"/>
    <mergeCell ref="AJ36:AL36"/>
    <mergeCell ref="AM36:AO36"/>
    <mergeCell ref="AP36:AR36"/>
    <mergeCell ref="AS36:AU36"/>
    <mergeCell ref="AV36:AX36"/>
    <mergeCell ref="BB37:BD37"/>
    <mergeCell ref="BE37:BG37"/>
    <mergeCell ref="BH37:BJ37"/>
    <mergeCell ref="BK37:BQ37"/>
    <mergeCell ref="AG37:AI37"/>
    <mergeCell ref="AJ37:AL37"/>
    <mergeCell ref="AM37:AO37"/>
    <mergeCell ref="AP37:AR37"/>
    <mergeCell ref="AS37:AU37"/>
    <mergeCell ref="AV37:AX37"/>
    <mergeCell ref="AY37:BA37"/>
    <mergeCell ref="B28:D28"/>
    <mergeCell ref="B29:D29"/>
    <mergeCell ref="J29:P29"/>
    <mergeCell ref="Q29:W29"/>
    <mergeCell ref="X29:AD29"/>
    <mergeCell ref="AE29:AF29"/>
    <mergeCell ref="B30:D30"/>
    <mergeCell ref="J36:P36"/>
    <mergeCell ref="J37:P37"/>
    <mergeCell ref="Q37:W37"/>
    <mergeCell ref="X37:AD37"/>
    <mergeCell ref="B37:D37"/>
    <mergeCell ref="B38:D38"/>
    <mergeCell ref="B39:D39"/>
    <mergeCell ref="J38:P38"/>
    <mergeCell ref="Q38:W38"/>
    <mergeCell ref="X38:AD38"/>
    <mergeCell ref="AE38:AF38"/>
    <mergeCell ref="X39:AD39"/>
    <mergeCell ref="AE39:AF39"/>
    <mergeCell ref="J31:P33"/>
    <mergeCell ref="Q31:W31"/>
    <mergeCell ref="B32:D32"/>
    <mergeCell ref="B33:D33"/>
    <mergeCell ref="B35:D35"/>
    <mergeCell ref="E35:I35"/>
    <mergeCell ref="J35:P35"/>
    <mergeCell ref="Q35:W35"/>
    <mergeCell ref="B36:D36"/>
    <mergeCell ref="B21:D21"/>
    <mergeCell ref="E21:I21"/>
    <mergeCell ref="B22:D22"/>
    <mergeCell ref="E22:I22"/>
    <mergeCell ref="B23:D23"/>
    <mergeCell ref="E23:I23"/>
    <mergeCell ref="B24:D24"/>
    <mergeCell ref="E24:I24"/>
    <mergeCell ref="B25:D25"/>
    <mergeCell ref="E25:I25"/>
    <mergeCell ref="Q25:W25"/>
    <mergeCell ref="X25:AD25"/>
    <mergeCell ref="AE25:AF25"/>
    <mergeCell ref="AG25:AI25"/>
    <mergeCell ref="AJ25:AL25"/>
    <mergeCell ref="B26:D26"/>
    <mergeCell ref="E26:I26"/>
    <mergeCell ref="Q26:W26"/>
    <mergeCell ref="X26:AD26"/>
    <mergeCell ref="AE26:AF26"/>
    <mergeCell ref="AG26:AI26"/>
    <mergeCell ref="AJ26:AL26"/>
    <mergeCell ref="J17:P26"/>
    <mergeCell ref="E18:I18"/>
    <mergeCell ref="E19:I19"/>
    <mergeCell ref="E20:I20"/>
    <mergeCell ref="AS19:AU19"/>
    <mergeCell ref="AV19:AX19"/>
    <mergeCell ref="AY19:BA19"/>
    <mergeCell ref="BB19:BD19"/>
    <mergeCell ref="BE19:BG19"/>
    <mergeCell ref="BH19:BJ19"/>
    <mergeCell ref="BK19:BQ19"/>
    <mergeCell ref="Q19:W19"/>
    <mergeCell ref="X19:AD19"/>
    <mergeCell ref="AE19:AF19"/>
    <mergeCell ref="AG19:AI19"/>
    <mergeCell ref="AJ19:AL19"/>
    <mergeCell ref="AM19:AO19"/>
    <mergeCell ref="AP19:AR19"/>
    <mergeCell ref="B19:D19"/>
    <mergeCell ref="B20:D20"/>
    <mergeCell ref="B18:D18"/>
    <mergeCell ref="E15:I15"/>
    <mergeCell ref="J15:P15"/>
    <mergeCell ref="Q15:W15"/>
    <mergeCell ref="X15:AD15"/>
    <mergeCell ref="AE15:AF15"/>
    <mergeCell ref="AG15:AI15"/>
    <mergeCell ref="A16:BQ16"/>
    <mergeCell ref="AS17:AU17"/>
    <mergeCell ref="AV17:AX17"/>
    <mergeCell ref="AY17:BA17"/>
    <mergeCell ref="BB17:BD17"/>
    <mergeCell ref="BE17:BG17"/>
    <mergeCell ref="BH17:BJ17"/>
    <mergeCell ref="BK17:BQ17"/>
    <mergeCell ref="Q17:W17"/>
    <mergeCell ref="X17:AD17"/>
    <mergeCell ref="AE17:AF17"/>
    <mergeCell ref="AG17:AI17"/>
    <mergeCell ref="AJ17:AL17"/>
    <mergeCell ref="AM17:AO17"/>
    <mergeCell ref="AP17:AR17"/>
    <mergeCell ref="B15:D15"/>
    <mergeCell ref="B17:D17"/>
    <mergeCell ref="E17:I17"/>
    <mergeCell ref="AS18:AU18"/>
    <mergeCell ref="AV18:AX18"/>
    <mergeCell ref="AY18:BA18"/>
    <mergeCell ref="BB18:BD18"/>
    <mergeCell ref="BE18:BG18"/>
    <mergeCell ref="BH18:BJ18"/>
    <mergeCell ref="BK18:BQ18"/>
    <mergeCell ref="Q18:W18"/>
    <mergeCell ref="X18:AD18"/>
    <mergeCell ref="AE18:AF18"/>
    <mergeCell ref="AG18:AI18"/>
    <mergeCell ref="AJ18:AL18"/>
    <mergeCell ref="AM18:AO18"/>
    <mergeCell ref="AP18:AR18"/>
    <mergeCell ref="BE15:BG15"/>
    <mergeCell ref="BH15:BJ15"/>
    <mergeCell ref="BK15:BQ15"/>
    <mergeCell ref="AJ15:AL15"/>
    <mergeCell ref="AM15:AO15"/>
    <mergeCell ref="AP15:AR15"/>
    <mergeCell ref="AS15:AU15"/>
    <mergeCell ref="AV15:AX15"/>
    <mergeCell ref="AY15:BA15"/>
    <mergeCell ref="BB15:BD15"/>
    <mergeCell ref="B12:D12"/>
    <mergeCell ref="E12:I12"/>
    <mergeCell ref="J12:P12"/>
    <mergeCell ref="Q12:W12"/>
    <mergeCell ref="X12:AD12"/>
    <mergeCell ref="AE12:AF12"/>
    <mergeCell ref="AG12:AI12"/>
    <mergeCell ref="BE13:BG13"/>
    <mergeCell ref="BH13:BJ13"/>
    <mergeCell ref="BK13:BQ13"/>
    <mergeCell ref="BK14:BQ14"/>
    <mergeCell ref="AJ13:AL13"/>
    <mergeCell ref="AM13:AO13"/>
    <mergeCell ref="AP13:AR13"/>
    <mergeCell ref="AS13:AU13"/>
    <mergeCell ref="AV13:AX13"/>
    <mergeCell ref="AY13:BA13"/>
    <mergeCell ref="BB13:BD13"/>
    <mergeCell ref="B13:D13"/>
    <mergeCell ref="E13:I13"/>
    <mergeCell ref="J13:P13"/>
    <mergeCell ref="Q13:W13"/>
    <mergeCell ref="X13:AD13"/>
    <mergeCell ref="AE13:AF13"/>
    <mergeCell ref="AG13:AI13"/>
    <mergeCell ref="B14:D14"/>
    <mergeCell ref="E14:I14"/>
    <mergeCell ref="J14:P14"/>
    <mergeCell ref="Q14:W14"/>
    <mergeCell ref="X14:AD14"/>
    <mergeCell ref="AE14:AF14"/>
    <mergeCell ref="AG14:AI14"/>
    <mergeCell ref="BE14:BG14"/>
    <mergeCell ref="BH14:BJ14"/>
    <mergeCell ref="AJ14:AL14"/>
    <mergeCell ref="AM14:AO14"/>
    <mergeCell ref="AP14:AR14"/>
    <mergeCell ref="AS14:AU14"/>
    <mergeCell ref="AV14:AX14"/>
    <mergeCell ref="AY14:BA14"/>
    <mergeCell ref="BB14:BD14"/>
    <mergeCell ref="BE12:BG12"/>
    <mergeCell ref="BH12:BJ12"/>
    <mergeCell ref="BK12:BQ12"/>
    <mergeCell ref="AJ12:AL12"/>
    <mergeCell ref="AM12:AO12"/>
    <mergeCell ref="AP12:AR12"/>
    <mergeCell ref="AS12:AU12"/>
    <mergeCell ref="AV12:AX12"/>
    <mergeCell ref="AY12:BA12"/>
    <mergeCell ref="BB12:BD12"/>
    <mergeCell ref="AS11:AU11"/>
    <mergeCell ref="AV11:AX11"/>
    <mergeCell ref="AY11:BA11"/>
    <mergeCell ref="BB11:BD11"/>
    <mergeCell ref="BE11:BG11"/>
    <mergeCell ref="BH11:BJ11"/>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AS22:AU22"/>
    <mergeCell ref="AV22:AX22"/>
    <mergeCell ref="AY22:BA22"/>
    <mergeCell ref="BB22:BD22"/>
    <mergeCell ref="BE22:BG22"/>
    <mergeCell ref="BH22:BJ22"/>
    <mergeCell ref="BK22:BQ22"/>
    <mergeCell ref="Q22:W22"/>
    <mergeCell ref="X22:AD22"/>
    <mergeCell ref="AE22:AF22"/>
    <mergeCell ref="AG22:AI22"/>
    <mergeCell ref="AJ22:AL22"/>
    <mergeCell ref="AM22:AO22"/>
    <mergeCell ref="AP22:AR22"/>
    <mergeCell ref="AS24:AU24"/>
    <mergeCell ref="AV24:AX24"/>
    <mergeCell ref="AY24:BA24"/>
    <mergeCell ref="BB24:BD24"/>
    <mergeCell ref="BE24:BG24"/>
    <mergeCell ref="BH24:BJ24"/>
    <mergeCell ref="BK24:BQ24"/>
    <mergeCell ref="Q24:W24"/>
    <mergeCell ref="X24:AD24"/>
    <mergeCell ref="AE24:AF24"/>
    <mergeCell ref="AG24:AI24"/>
    <mergeCell ref="AJ24:AL24"/>
    <mergeCell ref="AM24:AO24"/>
    <mergeCell ref="AP24:AR24"/>
    <mergeCell ref="AS20:AU20"/>
    <mergeCell ref="AV20:AX20"/>
    <mergeCell ref="AY20:BA20"/>
    <mergeCell ref="BB20:BD20"/>
    <mergeCell ref="BE20:BG20"/>
    <mergeCell ref="BH20:BJ20"/>
    <mergeCell ref="BK20:BQ20"/>
    <mergeCell ref="Q20:W20"/>
    <mergeCell ref="X20:AD20"/>
    <mergeCell ref="AE20:AF20"/>
    <mergeCell ref="AG20:AI20"/>
    <mergeCell ref="AJ20:AL20"/>
    <mergeCell ref="AM20:AO20"/>
    <mergeCell ref="AP20:AR20"/>
    <mergeCell ref="AS21:AU21"/>
    <mergeCell ref="AV21:AX21"/>
    <mergeCell ref="AY21:BA21"/>
    <mergeCell ref="BB21:BD21"/>
    <mergeCell ref="BE21:BG21"/>
    <mergeCell ref="BH21:BJ21"/>
    <mergeCell ref="BK21:BQ21"/>
    <mergeCell ref="Q21:W21"/>
    <mergeCell ref="X21:AD21"/>
    <mergeCell ref="AE21:AF21"/>
    <mergeCell ref="AG21:AI21"/>
    <mergeCell ref="AJ21:AL21"/>
    <mergeCell ref="AM21:AO21"/>
    <mergeCell ref="AP21:AR21"/>
    <mergeCell ref="AS116:AU116"/>
    <mergeCell ref="AV116:AX116"/>
    <mergeCell ref="AY116:BA116"/>
    <mergeCell ref="BB116:BD116"/>
    <mergeCell ref="BE116:BG116"/>
    <mergeCell ref="BH116:BJ116"/>
    <mergeCell ref="BK116:BQ116"/>
    <mergeCell ref="Q116:W116"/>
    <mergeCell ref="X116:AD116"/>
    <mergeCell ref="AE116:AF116"/>
    <mergeCell ref="AG116:AI116"/>
    <mergeCell ref="AJ116:AL116"/>
    <mergeCell ref="AM116:AO116"/>
    <mergeCell ref="AP116:AR116"/>
    <mergeCell ref="AS23:AU23"/>
    <mergeCell ref="AV23:AX23"/>
    <mergeCell ref="AY23:BA23"/>
    <mergeCell ref="BB23:BD23"/>
    <mergeCell ref="BE23:BG23"/>
    <mergeCell ref="BH23:BJ23"/>
    <mergeCell ref="BK23:BQ23"/>
    <mergeCell ref="Q23:W23"/>
    <mergeCell ref="X23:AD23"/>
    <mergeCell ref="AE23:AF23"/>
    <mergeCell ref="AG23:AI23"/>
    <mergeCell ref="AJ23:AL23"/>
    <mergeCell ref="AM23:AO23"/>
    <mergeCell ref="AP23:AR23"/>
    <mergeCell ref="AV39:AX39"/>
    <mergeCell ref="AY39:BA39"/>
    <mergeCell ref="BB39:BD39"/>
    <mergeCell ref="BE39:BG39"/>
    <mergeCell ref="AS114:AU114"/>
    <mergeCell ref="AV114:AX114"/>
    <mergeCell ref="AY114:BA114"/>
    <mergeCell ref="BB114:BD114"/>
    <mergeCell ref="BE114:BG114"/>
    <mergeCell ref="BH114:BJ114"/>
    <mergeCell ref="BK114:BQ114"/>
    <mergeCell ref="Q114:W114"/>
    <mergeCell ref="X114:AD114"/>
    <mergeCell ref="AE114:AF114"/>
    <mergeCell ref="AG114:AI114"/>
    <mergeCell ref="AJ114:AL114"/>
    <mergeCell ref="AM114:AO114"/>
    <mergeCell ref="AP114:AR114"/>
    <mergeCell ref="AS115:AU115"/>
    <mergeCell ref="AV115:AX115"/>
    <mergeCell ref="AY115:BA115"/>
    <mergeCell ref="BB115:BD115"/>
    <mergeCell ref="BE115:BG115"/>
    <mergeCell ref="BH115:BJ115"/>
    <mergeCell ref="BK115:BQ115"/>
    <mergeCell ref="Q115:W115"/>
    <mergeCell ref="X115:AD115"/>
    <mergeCell ref="AE115:AF115"/>
    <mergeCell ref="AG115:AI115"/>
    <mergeCell ref="AJ115:AL115"/>
    <mergeCell ref="AM115:AO115"/>
    <mergeCell ref="AP115:AR115"/>
    <mergeCell ref="AS112:AU112"/>
    <mergeCell ref="AV112:AX112"/>
    <mergeCell ref="AY112:BA112"/>
    <mergeCell ref="BB112:BD112"/>
    <mergeCell ref="BE112:BG112"/>
    <mergeCell ref="BH112:BJ112"/>
    <mergeCell ref="BK112:BQ112"/>
    <mergeCell ref="Q112:W112"/>
    <mergeCell ref="X112:AD112"/>
    <mergeCell ref="AE112:AF112"/>
    <mergeCell ref="AG112:AI112"/>
    <mergeCell ref="AJ112:AL112"/>
    <mergeCell ref="AM112:AO112"/>
    <mergeCell ref="AP112:AR112"/>
    <mergeCell ref="AS113:AU113"/>
    <mergeCell ref="AV113:AX113"/>
    <mergeCell ref="AY113:BA113"/>
    <mergeCell ref="BB113:BD113"/>
    <mergeCell ref="BE113:BG113"/>
    <mergeCell ref="BH113:BJ113"/>
    <mergeCell ref="BK113:BQ113"/>
    <mergeCell ref="Q113:W113"/>
    <mergeCell ref="X113:AD113"/>
    <mergeCell ref="AE113:AF113"/>
    <mergeCell ref="AG113:AI113"/>
    <mergeCell ref="AJ113:AL113"/>
    <mergeCell ref="AM113:AO113"/>
    <mergeCell ref="AP113:AR113"/>
    <mergeCell ref="AG110:AI110"/>
    <mergeCell ref="AJ110:AL110"/>
    <mergeCell ref="AM110:AO110"/>
    <mergeCell ref="AP110:AR110"/>
    <mergeCell ref="AS111:AU111"/>
    <mergeCell ref="AV111:AX111"/>
    <mergeCell ref="AY111:BA111"/>
    <mergeCell ref="BB111:BD111"/>
    <mergeCell ref="BE111:BG111"/>
    <mergeCell ref="BH111:BJ111"/>
    <mergeCell ref="BK111:BQ111"/>
    <mergeCell ref="Q111:W111"/>
    <mergeCell ref="X111:AD111"/>
    <mergeCell ref="AE111:AF111"/>
    <mergeCell ref="AG111:AI111"/>
    <mergeCell ref="AJ111:AL111"/>
    <mergeCell ref="AM111:AO111"/>
    <mergeCell ref="AP111:AR111"/>
    <mergeCell ref="AP109:AR109"/>
    <mergeCell ref="AS109:AU109"/>
    <mergeCell ref="AV109:AX109"/>
    <mergeCell ref="AY109:BA109"/>
    <mergeCell ref="BB109:BD109"/>
    <mergeCell ref="BE109:BG109"/>
    <mergeCell ref="BH109:BJ109"/>
    <mergeCell ref="BK109:BQ109"/>
    <mergeCell ref="AS119:AU119"/>
    <mergeCell ref="AV119:AX119"/>
    <mergeCell ref="AY119:BA119"/>
    <mergeCell ref="BB119:BD119"/>
    <mergeCell ref="BE119:BG119"/>
    <mergeCell ref="BH119:BJ119"/>
    <mergeCell ref="BK119:BQ119"/>
    <mergeCell ref="Q119:W119"/>
    <mergeCell ref="X119:AD119"/>
    <mergeCell ref="AE119:AF119"/>
    <mergeCell ref="AG119:AI119"/>
    <mergeCell ref="AJ119:AL119"/>
    <mergeCell ref="AM119:AO119"/>
    <mergeCell ref="AP119:AR119"/>
    <mergeCell ref="AS110:AU110"/>
    <mergeCell ref="AV110:AX110"/>
    <mergeCell ref="AY110:BA110"/>
    <mergeCell ref="BB110:BD110"/>
    <mergeCell ref="BE110:BG110"/>
    <mergeCell ref="BH110:BJ110"/>
    <mergeCell ref="BK110:BQ110"/>
    <mergeCell ref="Q110:W110"/>
    <mergeCell ref="X110:AD110"/>
    <mergeCell ref="AE110:AF110"/>
    <mergeCell ref="E102:I102"/>
    <mergeCell ref="J102:P102"/>
    <mergeCell ref="B103:D103"/>
    <mergeCell ref="E103:I103"/>
    <mergeCell ref="J103:P103"/>
    <mergeCell ref="B104:D104"/>
    <mergeCell ref="BH105:BJ105"/>
    <mergeCell ref="BK105:BQ105"/>
    <mergeCell ref="AM105:AO105"/>
    <mergeCell ref="AP105:AR105"/>
    <mergeCell ref="AS105:AU105"/>
    <mergeCell ref="AV105:AX105"/>
    <mergeCell ref="AY105:BA105"/>
    <mergeCell ref="BB105:BD105"/>
    <mergeCell ref="BE105:BG105"/>
    <mergeCell ref="E104:I104"/>
    <mergeCell ref="J104:P104"/>
    <mergeCell ref="Q105:W105"/>
    <mergeCell ref="X105:AD105"/>
    <mergeCell ref="AE105:AF105"/>
    <mergeCell ref="AG105:AI105"/>
    <mergeCell ref="AJ105:AL105"/>
    <mergeCell ref="AS117:AU117"/>
    <mergeCell ref="AV117:AX117"/>
    <mergeCell ref="AY117:BA117"/>
    <mergeCell ref="BB117:BD117"/>
    <mergeCell ref="BE117:BG117"/>
    <mergeCell ref="BH117:BJ117"/>
    <mergeCell ref="BK117:BQ117"/>
    <mergeCell ref="Q117:W117"/>
    <mergeCell ref="X117:AD117"/>
    <mergeCell ref="AE117:AF117"/>
    <mergeCell ref="AG117:AI117"/>
    <mergeCell ref="AJ117:AL117"/>
    <mergeCell ref="AM117:AO117"/>
    <mergeCell ref="AP117:AR117"/>
    <mergeCell ref="AS118:AU118"/>
    <mergeCell ref="AV118:AX118"/>
    <mergeCell ref="AY118:BA118"/>
    <mergeCell ref="BB118:BD118"/>
    <mergeCell ref="BE118:BG118"/>
    <mergeCell ref="BH118:BJ118"/>
    <mergeCell ref="BK118:BQ118"/>
    <mergeCell ref="Q118:W118"/>
    <mergeCell ref="X118:AD118"/>
    <mergeCell ref="AE118:AF118"/>
    <mergeCell ref="AG118:AI118"/>
    <mergeCell ref="AJ118:AL118"/>
    <mergeCell ref="AM118:AO118"/>
    <mergeCell ref="AP118:AR118"/>
    <mergeCell ref="BB103:BD103"/>
    <mergeCell ref="BE103:BG103"/>
    <mergeCell ref="BH103:BJ103"/>
    <mergeCell ref="BK103:BQ103"/>
    <mergeCell ref="Q103:W103"/>
    <mergeCell ref="X103:AD103"/>
    <mergeCell ref="AE103:AF103"/>
    <mergeCell ref="AG103:AI103"/>
    <mergeCell ref="AJ103:AL103"/>
    <mergeCell ref="AM103:AO103"/>
    <mergeCell ref="AP103:AR103"/>
    <mergeCell ref="AS104:AU104"/>
    <mergeCell ref="AV104:AX104"/>
    <mergeCell ref="AY104:BA104"/>
    <mergeCell ref="BB104:BD104"/>
    <mergeCell ref="BE104:BG104"/>
    <mergeCell ref="BH104:BJ104"/>
    <mergeCell ref="BK104:BQ104"/>
    <mergeCell ref="Q104:W104"/>
    <mergeCell ref="X104:AD104"/>
    <mergeCell ref="AE104:AF104"/>
    <mergeCell ref="AG104:AI104"/>
    <mergeCell ref="AJ104:AL104"/>
    <mergeCell ref="AM104:AO104"/>
    <mergeCell ref="AP104:AR104"/>
    <mergeCell ref="Q109:W109"/>
    <mergeCell ref="X109:AD109"/>
    <mergeCell ref="AE109:AF109"/>
    <mergeCell ref="AG109:AI109"/>
    <mergeCell ref="AJ109:AL109"/>
    <mergeCell ref="AM109:AO109"/>
    <mergeCell ref="B99:D99"/>
    <mergeCell ref="E99:I99"/>
    <mergeCell ref="J99:P99"/>
    <mergeCell ref="B100:D100"/>
    <mergeCell ref="E100:I100"/>
    <mergeCell ref="J100:P100"/>
    <mergeCell ref="B101:D101"/>
    <mergeCell ref="BH102:BJ102"/>
    <mergeCell ref="BK102:BQ102"/>
    <mergeCell ref="AM102:AO102"/>
    <mergeCell ref="AP102:AR102"/>
    <mergeCell ref="AS102:AU102"/>
    <mergeCell ref="AV102:AX102"/>
    <mergeCell ref="AY102:BA102"/>
    <mergeCell ref="BB102:BD102"/>
    <mergeCell ref="BE102:BG102"/>
    <mergeCell ref="E101:I101"/>
    <mergeCell ref="J101:P101"/>
    <mergeCell ref="Q102:W102"/>
    <mergeCell ref="X102:AD102"/>
    <mergeCell ref="AE102:AF102"/>
    <mergeCell ref="AG102:AI102"/>
    <mergeCell ref="AJ102:AL102"/>
    <mergeCell ref="AS103:AU103"/>
    <mergeCell ref="AV103:AX103"/>
    <mergeCell ref="AY103:BA103"/>
    <mergeCell ref="AS107:AU107"/>
    <mergeCell ref="AV107:AX107"/>
    <mergeCell ref="AY107:BA107"/>
    <mergeCell ref="BB107:BD107"/>
    <mergeCell ref="BE107:BG107"/>
    <mergeCell ref="BH107:BJ107"/>
    <mergeCell ref="BK107:BQ107"/>
    <mergeCell ref="X107:AD107"/>
    <mergeCell ref="AE107:AF107"/>
    <mergeCell ref="AG107:AI107"/>
    <mergeCell ref="AJ107:AL107"/>
    <mergeCell ref="AM107:AO107"/>
    <mergeCell ref="AP107:AR107"/>
    <mergeCell ref="A108:BQ108"/>
    <mergeCell ref="Q106:W106"/>
    <mergeCell ref="X106:AD106"/>
    <mergeCell ref="AE106:AF106"/>
    <mergeCell ref="AG106:AI106"/>
    <mergeCell ref="AJ106:AL106"/>
    <mergeCell ref="AM106:AO106"/>
    <mergeCell ref="AP106:AR106"/>
    <mergeCell ref="Q107:W107"/>
    <mergeCell ref="AS106:AU106"/>
    <mergeCell ref="AV106:AX106"/>
    <mergeCell ref="AY106:BA106"/>
    <mergeCell ref="BB106:BD106"/>
    <mergeCell ref="BE106:BG106"/>
    <mergeCell ref="BH106:BJ106"/>
    <mergeCell ref="BK106:BQ106"/>
    <mergeCell ref="BH74:BJ74"/>
    <mergeCell ref="BK74:BQ74"/>
    <mergeCell ref="Q74:W74"/>
    <mergeCell ref="X74:AD74"/>
    <mergeCell ref="AE74:AF74"/>
    <mergeCell ref="AG74:AI74"/>
    <mergeCell ref="AJ74:AL74"/>
    <mergeCell ref="AM74:AO74"/>
    <mergeCell ref="AP74:AR74"/>
    <mergeCell ref="AS77:AU77"/>
    <mergeCell ref="AV77:AX77"/>
    <mergeCell ref="AY77:BA77"/>
    <mergeCell ref="BB77:BD77"/>
    <mergeCell ref="BE77:BG77"/>
    <mergeCell ref="BH77:BJ77"/>
    <mergeCell ref="BK77:BQ77"/>
    <mergeCell ref="Q77:W77"/>
    <mergeCell ref="X77:AD77"/>
    <mergeCell ref="AE77:AF77"/>
    <mergeCell ref="AG77:AI77"/>
    <mergeCell ref="AJ77:AL77"/>
    <mergeCell ref="AM77:AO77"/>
    <mergeCell ref="AP77:AR77"/>
    <mergeCell ref="Q71:W71"/>
    <mergeCell ref="X71:AD71"/>
    <mergeCell ref="AE71:AF71"/>
    <mergeCell ref="AG71:AI71"/>
    <mergeCell ref="AJ71:AL71"/>
    <mergeCell ref="AS72:AU72"/>
    <mergeCell ref="AV72:AX72"/>
    <mergeCell ref="AY72:BA72"/>
    <mergeCell ref="BB72:BD72"/>
    <mergeCell ref="BE72:BG72"/>
    <mergeCell ref="BH72:BJ72"/>
    <mergeCell ref="BK72:BQ72"/>
    <mergeCell ref="Q72:W72"/>
    <mergeCell ref="X72:AD72"/>
    <mergeCell ref="AE72:AF72"/>
    <mergeCell ref="AG72:AI72"/>
    <mergeCell ref="AJ72:AL72"/>
    <mergeCell ref="AM72:AO72"/>
    <mergeCell ref="AP72:AR72"/>
    <mergeCell ref="AS73:AU73"/>
    <mergeCell ref="AV73:AX73"/>
    <mergeCell ref="AY73:BA73"/>
    <mergeCell ref="BB73:BD73"/>
    <mergeCell ref="BE73:BG73"/>
    <mergeCell ref="BH73:BJ73"/>
    <mergeCell ref="BK73:BQ73"/>
    <mergeCell ref="Q73:W73"/>
    <mergeCell ref="X73:AD73"/>
    <mergeCell ref="AE73:AF73"/>
    <mergeCell ref="AG73:AI73"/>
    <mergeCell ref="AJ73:AL73"/>
    <mergeCell ref="AM73:AO73"/>
    <mergeCell ref="AP73:AR73"/>
    <mergeCell ref="B64:D64"/>
    <mergeCell ref="B65:D65"/>
    <mergeCell ref="B66:D66"/>
    <mergeCell ref="B67:D67"/>
    <mergeCell ref="J67:P67"/>
    <mergeCell ref="J68:P68"/>
    <mergeCell ref="J69:P69"/>
    <mergeCell ref="BH71:BJ71"/>
    <mergeCell ref="BK71:BQ71"/>
    <mergeCell ref="AM71:AO71"/>
    <mergeCell ref="AP71:AR71"/>
    <mergeCell ref="AS71:AU71"/>
    <mergeCell ref="AV71:AX71"/>
    <mergeCell ref="AY71:BA71"/>
    <mergeCell ref="BB71:BD71"/>
    <mergeCell ref="BE71:BG71"/>
    <mergeCell ref="J70:P70"/>
    <mergeCell ref="J71:P71"/>
    <mergeCell ref="AE69:AF69"/>
    <mergeCell ref="AG69:AI69"/>
    <mergeCell ref="AJ69:AL69"/>
    <mergeCell ref="AM69:AO69"/>
    <mergeCell ref="AP69:AR69"/>
    <mergeCell ref="AS70:AU70"/>
    <mergeCell ref="AV70:AX70"/>
    <mergeCell ref="AY70:BA70"/>
    <mergeCell ref="BB70:BD70"/>
    <mergeCell ref="BE70:BG70"/>
    <mergeCell ref="BH70:BJ70"/>
    <mergeCell ref="BK70:BQ70"/>
    <mergeCell ref="Q70:W70"/>
    <mergeCell ref="X70:AD70"/>
    <mergeCell ref="AE70:AF70"/>
    <mergeCell ref="AG70:AI70"/>
    <mergeCell ref="AJ70:AL70"/>
    <mergeCell ref="AM70:AO70"/>
    <mergeCell ref="AP70:AR70"/>
    <mergeCell ref="B57:D57"/>
    <mergeCell ref="B58:D58"/>
    <mergeCell ref="B59:D59"/>
    <mergeCell ref="B60:D60"/>
    <mergeCell ref="B61:D61"/>
    <mergeCell ref="B62:D62"/>
    <mergeCell ref="B63:D63"/>
    <mergeCell ref="B118:D118"/>
    <mergeCell ref="E118:I118"/>
    <mergeCell ref="J118:P118"/>
    <mergeCell ref="B119:D119"/>
    <mergeCell ref="E119:I119"/>
    <mergeCell ref="J119:P119"/>
    <mergeCell ref="B51:D51"/>
    <mergeCell ref="J51:P51"/>
    <mergeCell ref="B52:D52"/>
    <mergeCell ref="J52:P52"/>
    <mergeCell ref="B55:D55"/>
    <mergeCell ref="J55:P55"/>
    <mergeCell ref="B56:D56"/>
    <mergeCell ref="J56:P56"/>
    <mergeCell ref="J57:P57"/>
    <mergeCell ref="J58:P58"/>
    <mergeCell ref="J59:P59"/>
    <mergeCell ref="J60:P60"/>
    <mergeCell ref="J61:P61"/>
    <mergeCell ref="J62:P62"/>
    <mergeCell ref="J63:P63"/>
    <mergeCell ref="J64:P64"/>
    <mergeCell ref="J65:P65"/>
    <mergeCell ref="J66:P66"/>
    <mergeCell ref="B102:D102"/>
    <mergeCell ref="E114:I114"/>
    <mergeCell ref="J114:P114"/>
    <mergeCell ref="B112:D112"/>
    <mergeCell ref="E112:I112"/>
    <mergeCell ref="J112:P112"/>
    <mergeCell ref="B113:D113"/>
    <mergeCell ref="E113:I113"/>
    <mergeCell ref="J113:P113"/>
    <mergeCell ref="B114:D114"/>
    <mergeCell ref="E117:I117"/>
    <mergeCell ref="J117:P117"/>
    <mergeCell ref="B115:D115"/>
    <mergeCell ref="E115:I115"/>
    <mergeCell ref="J115:P115"/>
    <mergeCell ref="B116:D116"/>
    <mergeCell ref="E116:I116"/>
    <mergeCell ref="J116:P116"/>
    <mergeCell ref="B117:D117"/>
    <mergeCell ref="E107:I107"/>
    <mergeCell ref="J107:P107"/>
    <mergeCell ref="B105:D105"/>
    <mergeCell ref="E105:I105"/>
    <mergeCell ref="J105:P105"/>
    <mergeCell ref="B106:D106"/>
    <mergeCell ref="E106:I106"/>
    <mergeCell ref="J106:P106"/>
    <mergeCell ref="B107:D107"/>
    <mergeCell ref="E111:I111"/>
    <mergeCell ref="J111:P111"/>
    <mergeCell ref="B109:D109"/>
    <mergeCell ref="E109:I109"/>
    <mergeCell ref="J109:P109"/>
    <mergeCell ref="B110:D110"/>
    <mergeCell ref="E110:I110"/>
    <mergeCell ref="J110:P110"/>
    <mergeCell ref="B111:D111"/>
    <mergeCell ref="AS101:AU101"/>
    <mergeCell ref="AV101:AX101"/>
    <mergeCell ref="AY101:BA101"/>
    <mergeCell ref="BB101:BD101"/>
    <mergeCell ref="BE101:BG101"/>
    <mergeCell ref="BH101:BJ101"/>
    <mergeCell ref="BK101:BQ101"/>
    <mergeCell ref="Q101:W101"/>
    <mergeCell ref="X101:AD101"/>
    <mergeCell ref="AE101:AF101"/>
    <mergeCell ref="AG101:AI101"/>
    <mergeCell ref="AJ101:AL101"/>
    <mergeCell ref="AM101:AO101"/>
    <mergeCell ref="AP101:AR101"/>
    <mergeCell ref="B91:D91"/>
    <mergeCell ref="B92:D92"/>
    <mergeCell ref="B93:D93"/>
    <mergeCell ref="B95:D95"/>
    <mergeCell ref="J95:P95"/>
    <mergeCell ref="E96:I96"/>
    <mergeCell ref="J96:P96"/>
    <mergeCell ref="B96:D96"/>
    <mergeCell ref="B97:D97"/>
    <mergeCell ref="E97:I97"/>
    <mergeCell ref="J97:P97"/>
    <mergeCell ref="B98:D98"/>
    <mergeCell ref="E98:I98"/>
    <mergeCell ref="J98:P98"/>
    <mergeCell ref="E88:I93"/>
    <mergeCell ref="E95:I95"/>
    <mergeCell ref="BE98:BG98"/>
    <mergeCell ref="BH98:BJ98"/>
    <mergeCell ref="BK98:BQ98"/>
    <mergeCell ref="Q98:W98"/>
    <mergeCell ref="X98:AD98"/>
    <mergeCell ref="AE98:AF98"/>
    <mergeCell ref="AG98:AI98"/>
    <mergeCell ref="AJ98:AL98"/>
    <mergeCell ref="AM98:AO98"/>
    <mergeCell ref="AP98:AR98"/>
    <mergeCell ref="AS99:AU99"/>
    <mergeCell ref="AV99:AX99"/>
    <mergeCell ref="AY99:BA99"/>
    <mergeCell ref="BB99:BD99"/>
    <mergeCell ref="BE99:BG99"/>
    <mergeCell ref="BH99:BJ99"/>
    <mergeCell ref="BK99:BQ99"/>
    <mergeCell ref="Q99:W99"/>
    <mergeCell ref="X99:AD99"/>
    <mergeCell ref="AE99:AF99"/>
    <mergeCell ref="AG99:AI99"/>
    <mergeCell ref="AJ99:AL99"/>
    <mergeCell ref="AM99:AO99"/>
    <mergeCell ref="AP99:AR99"/>
    <mergeCell ref="AS100:AU100"/>
    <mergeCell ref="AV100:AX100"/>
    <mergeCell ref="AY100:BA100"/>
    <mergeCell ref="BB100:BD100"/>
    <mergeCell ref="BE100:BG100"/>
    <mergeCell ref="BH100:BJ100"/>
    <mergeCell ref="BK100:BQ100"/>
    <mergeCell ref="Q100:W100"/>
    <mergeCell ref="X100:AD100"/>
    <mergeCell ref="AE100:AF100"/>
    <mergeCell ref="AG100:AI100"/>
    <mergeCell ref="AJ100:AL100"/>
    <mergeCell ref="AM100:AO100"/>
    <mergeCell ref="AP100:AR100"/>
    <mergeCell ref="AS96:AU96"/>
    <mergeCell ref="AV96:AX96"/>
    <mergeCell ref="AY96:BA96"/>
    <mergeCell ref="BB96:BD96"/>
    <mergeCell ref="BE96:BG96"/>
    <mergeCell ref="BH96:BJ96"/>
    <mergeCell ref="BK96:BQ96"/>
    <mergeCell ref="Q96:W96"/>
    <mergeCell ref="X96:AD96"/>
    <mergeCell ref="AE96:AF96"/>
    <mergeCell ref="AG96:AI96"/>
    <mergeCell ref="AJ96:AL96"/>
    <mergeCell ref="AM96:AO96"/>
    <mergeCell ref="AP96:AR96"/>
    <mergeCell ref="AS98:AU98"/>
    <mergeCell ref="AV98:AX98"/>
    <mergeCell ref="AY98:BA98"/>
    <mergeCell ref="BB98:BD98"/>
    <mergeCell ref="AS95:AU95"/>
    <mergeCell ref="AV95:AX95"/>
    <mergeCell ref="AY95:BA95"/>
    <mergeCell ref="BB95:BD95"/>
    <mergeCell ref="BE95:BG95"/>
    <mergeCell ref="BH95:BJ95"/>
    <mergeCell ref="BK95:BQ95"/>
    <mergeCell ref="Q95:W95"/>
    <mergeCell ref="X95:AD95"/>
    <mergeCell ref="AE95:AF95"/>
    <mergeCell ref="AG95:AI95"/>
    <mergeCell ref="AJ95:AL95"/>
    <mergeCell ref="AM95:AO95"/>
    <mergeCell ref="AP95:AR95"/>
    <mergeCell ref="AS97:AU97"/>
    <mergeCell ref="AV97:AX97"/>
    <mergeCell ref="AY97:BA97"/>
    <mergeCell ref="BB97:BD97"/>
    <mergeCell ref="BE97:BG97"/>
    <mergeCell ref="BH97:BJ97"/>
    <mergeCell ref="BK97:BQ97"/>
    <mergeCell ref="Q97:W97"/>
    <mergeCell ref="X97:AD97"/>
    <mergeCell ref="AE97:AF97"/>
    <mergeCell ref="AG97:AI97"/>
    <mergeCell ref="AJ97:AL97"/>
    <mergeCell ref="AM97:AO97"/>
    <mergeCell ref="AP97:AR97"/>
    <mergeCell ref="J91:P91"/>
    <mergeCell ref="BH93:BJ93"/>
    <mergeCell ref="BK93:BQ93"/>
    <mergeCell ref="AM93:AO93"/>
    <mergeCell ref="AP93:AR93"/>
    <mergeCell ref="AS93:AU93"/>
    <mergeCell ref="AV93:AX93"/>
    <mergeCell ref="AY93:BA93"/>
    <mergeCell ref="BB93:BD93"/>
    <mergeCell ref="BE93:BG93"/>
    <mergeCell ref="A94:BQ94"/>
    <mergeCell ref="J92:P92"/>
    <mergeCell ref="J93:P93"/>
    <mergeCell ref="Q93:W93"/>
    <mergeCell ref="X93:AD93"/>
    <mergeCell ref="AE93:AF93"/>
    <mergeCell ref="AG93:AI93"/>
    <mergeCell ref="AJ93:AL93"/>
    <mergeCell ref="BH91:BJ91"/>
    <mergeCell ref="BK91:BQ91"/>
    <mergeCell ref="AM91:AO91"/>
    <mergeCell ref="AP91:AR91"/>
    <mergeCell ref="AS91:AU91"/>
    <mergeCell ref="AV91:AX91"/>
    <mergeCell ref="AY91:BA91"/>
    <mergeCell ref="BB91:BD91"/>
    <mergeCell ref="BE91:BG91"/>
    <mergeCell ref="J86:P86"/>
    <mergeCell ref="J87:P87"/>
    <mergeCell ref="Q91:W91"/>
    <mergeCell ref="X91:AD91"/>
    <mergeCell ref="AE91:AF91"/>
    <mergeCell ref="AG91:AI91"/>
    <mergeCell ref="AJ91:AL91"/>
    <mergeCell ref="AS92:AU92"/>
    <mergeCell ref="AV92:AX92"/>
    <mergeCell ref="AY92:BA92"/>
    <mergeCell ref="BB92:BD92"/>
    <mergeCell ref="BE92:BG92"/>
    <mergeCell ref="BH92:BJ92"/>
    <mergeCell ref="BK92:BQ92"/>
    <mergeCell ref="Q92:W92"/>
    <mergeCell ref="X92:AD92"/>
    <mergeCell ref="AE92:AF92"/>
    <mergeCell ref="AG92:AI92"/>
    <mergeCell ref="AJ92:AL92"/>
    <mergeCell ref="AM92:AO92"/>
    <mergeCell ref="AP92:AR92"/>
    <mergeCell ref="J88:P88"/>
    <mergeCell ref="J89:P89"/>
    <mergeCell ref="AS90:AU90"/>
    <mergeCell ref="AV90:AX90"/>
    <mergeCell ref="AY90:BA90"/>
    <mergeCell ref="BB90:BD90"/>
    <mergeCell ref="BE90:BG90"/>
    <mergeCell ref="BH90:BJ90"/>
    <mergeCell ref="BK90:BQ90"/>
    <mergeCell ref="Q90:W90"/>
    <mergeCell ref="X90:AD90"/>
    <mergeCell ref="AE90:AF90"/>
    <mergeCell ref="AG90:AI90"/>
    <mergeCell ref="AJ90:AL90"/>
    <mergeCell ref="AM90:AO90"/>
    <mergeCell ref="AP90:AR90"/>
    <mergeCell ref="B82:D82"/>
    <mergeCell ref="B83:D83"/>
    <mergeCell ref="B84:D84"/>
    <mergeCell ref="B85:D85"/>
    <mergeCell ref="J85:P85"/>
    <mergeCell ref="B86:D86"/>
    <mergeCell ref="B87:D87"/>
    <mergeCell ref="B88:D88"/>
    <mergeCell ref="B89:D89"/>
    <mergeCell ref="B90:D90"/>
    <mergeCell ref="J90:P90"/>
    <mergeCell ref="E74:I82"/>
    <mergeCell ref="E83:I87"/>
    <mergeCell ref="AS74:AU74"/>
    <mergeCell ref="AV74:AX74"/>
    <mergeCell ref="AY74:BA74"/>
    <mergeCell ref="BB74:BD74"/>
    <mergeCell ref="BE74:BG74"/>
    <mergeCell ref="BK87:BQ87"/>
    <mergeCell ref="AE87:AF87"/>
    <mergeCell ref="AG87:AI87"/>
    <mergeCell ref="AJ87:AL87"/>
    <mergeCell ref="AM87:AO87"/>
    <mergeCell ref="AP87:AR87"/>
    <mergeCell ref="AS87:AU87"/>
    <mergeCell ref="AV87:AX87"/>
    <mergeCell ref="AS88:AU88"/>
    <mergeCell ref="AV88:AX88"/>
    <mergeCell ref="AY88:BA88"/>
    <mergeCell ref="BB88:BD88"/>
    <mergeCell ref="BE88:BG88"/>
    <mergeCell ref="BH88:BJ88"/>
    <mergeCell ref="BK88:BQ88"/>
    <mergeCell ref="Q88:W88"/>
    <mergeCell ref="X88:AD88"/>
    <mergeCell ref="AE88:AF88"/>
    <mergeCell ref="AG88:AI88"/>
    <mergeCell ref="AJ88:AL88"/>
    <mergeCell ref="AM88:AO88"/>
    <mergeCell ref="AP88:AR88"/>
    <mergeCell ref="AS89:AU89"/>
    <mergeCell ref="AV89:AX89"/>
    <mergeCell ref="AY89:BA89"/>
    <mergeCell ref="BB89:BD89"/>
    <mergeCell ref="BE89:BG89"/>
    <mergeCell ref="BH89:BJ89"/>
    <mergeCell ref="BK89:BQ89"/>
    <mergeCell ref="Q89:W89"/>
    <mergeCell ref="X89:AD89"/>
    <mergeCell ref="AE89:AF89"/>
    <mergeCell ref="AG89:AI89"/>
    <mergeCell ref="AJ89:AL89"/>
    <mergeCell ref="AM89:AO89"/>
    <mergeCell ref="AP89:AR89"/>
    <mergeCell ref="AS86:AU86"/>
    <mergeCell ref="AV86:AX86"/>
    <mergeCell ref="AY86:BA86"/>
    <mergeCell ref="BB86:BD86"/>
    <mergeCell ref="BE86:BG86"/>
    <mergeCell ref="BH86:BJ86"/>
    <mergeCell ref="BK86:BQ86"/>
    <mergeCell ref="Q86:W86"/>
    <mergeCell ref="X86:AD86"/>
    <mergeCell ref="AE86:AF86"/>
    <mergeCell ref="AG86:AI86"/>
    <mergeCell ref="AJ86:AL86"/>
    <mergeCell ref="AM86:AO86"/>
    <mergeCell ref="AP86:AR86"/>
    <mergeCell ref="AY87:BA87"/>
    <mergeCell ref="BB87:BD87"/>
    <mergeCell ref="BE87:BG87"/>
    <mergeCell ref="BH87:BJ87"/>
    <mergeCell ref="AS80:AU80"/>
    <mergeCell ref="AV80:AX80"/>
    <mergeCell ref="AY80:BA80"/>
    <mergeCell ref="BB80:BD80"/>
    <mergeCell ref="BE80:BG80"/>
    <mergeCell ref="BH80:BJ80"/>
    <mergeCell ref="BK80:BQ80"/>
    <mergeCell ref="Q80:W80"/>
    <mergeCell ref="X80:AD80"/>
    <mergeCell ref="AE80:AF80"/>
    <mergeCell ref="AG80:AI80"/>
    <mergeCell ref="AJ80:AL80"/>
    <mergeCell ref="AM80:AO80"/>
    <mergeCell ref="AP80:AR80"/>
    <mergeCell ref="AS82:AU82"/>
    <mergeCell ref="AV82:AX82"/>
    <mergeCell ref="AY82:BA82"/>
    <mergeCell ref="BB82:BD82"/>
    <mergeCell ref="BE82:BG82"/>
    <mergeCell ref="BH82:BJ82"/>
    <mergeCell ref="BK82:BQ82"/>
    <mergeCell ref="Q82:W82"/>
    <mergeCell ref="X82:AD82"/>
    <mergeCell ref="AE82:AF82"/>
    <mergeCell ref="AG82:AI82"/>
    <mergeCell ref="AJ82:AL82"/>
    <mergeCell ref="AM82:AO82"/>
    <mergeCell ref="AP82:AR82"/>
    <mergeCell ref="AS81:AU81"/>
    <mergeCell ref="AV81:AX81"/>
    <mergeCell ref="AY81:BA81"/>
    <mergeCell ref="BB81:BD81"/>
    <mergeCell ref="B76:D76"/>
    <mergeCell ref="J76:P76"/>
    <mergeCell ref="B77:D77"/>
    <mergeCell ref="B78:D78"/>
    <mergeCell ref="BH79:BJ79"/>
    <mergeCell ref="BK79:BQ79"/>
    <mergeCell ref="AM79:AO79"/>
    <mergeCell ref="AP79:AR79"/>
    <mergeCell ref="AS79:AU79"/>
    <mergeCell ref="AV79:AX79"/>
    <mergeCell ref="AY79:BA79"/>
    <mergeCell ref="BB79:BD79"/>
    <mergeCell ref="BE79:BG79"/>
    <mergeCell ref="J77:P77"/>
    <mergeCell ref="J78:P78"/>
    <mergeCell ref="Q79:W79"/>
    <mergeCell ref="X79:AD79"/>
    <mergeCell ref="AE79:AF79"/>
    <mergeCell ref="AG79:AI79"/>
    <mergeCell ref="AJ79:AL79"/>
    <mergeCell ref="B79:D79"/>
    <mergeCell ref="J79:P79"/>
    <mergeCell ref="AS76:AU76"/>
    <mergeCell ref="AV76:AX76"/>
    <mergeCell ref="AY76:BA76"/>
    <mergeCell ref="BB76:BD76"/>
    <mergeCell ref="BE76:BG76"/>
    <mergeCell ref="BH76:BJ76"/>
    <mergeCell ref="BK76:BQ76"/>
    <mergeCell ref="Q76:W76"/>
    <mergeCell ref="X76:AD76"/>
    <mergeCell ref="AE76:AF76"/>
    <mergeCell ref="AG76:AI76"/>
    <mergeCell ref="AJ76:AL76"/>
    <mergeCell ref="AM76:AO76"/>
    <mergeCell ref="AP76:AR76"/>
    <mergeCell ref="AS78:AU78"/>
    <mergeCell ref="AV78:AX78"/>
    <mergeCell ref="AY78:BA78"/>
    <mergeCell ref="BB78:BD78"/>
    <mergeCell ref="BE78:BG78"/>
    <mergeCell ref="BH78:BJ78"/>
    <mergeCell ref="BK78:BQ78"/>
    <mergeCell ref="Q78:W78"/>
    <mergeCell ref="X78:AD78"/>
    <mergeCell ref="AE78:AF78"/>
    <mergeCell ref="AG78:AI78"/>
    <mergeCell ref="AJ78:AL78"/>
    <mergeCell ref="AM78:AO78"/>
    <mergeCell ref="AP78:AR78"/>
    <mergeCell ref="B71:D71"/>
    <mergeCell ref="B72:D72"/>
    <mergeCell ref="J72:P72"/>
    <mergeCell ref="J73:P73"/>
    <mergeCell ref="BH75:BJ75"/>
    <mergeCell ref="BK75:BQ75"/>
    <mergeCell ref="AM75:AO75"/>
    <mergeCell ref="AP75:AR75"/>
    <mergeCell ref="AS75:AU75"/>
    <mergeCell ref="AV75:AX75"/>
    <mergeCell ref="AY75:BA75"/>
    <mergeCell ref="BB75:BD75"/>
    <mergeCell ref="BE75:BG75"/>
    <mergeCell ref="J74:P74"/>
    <mergeCell ref="J75:P75"/>
    <mergeCell ref="Q75:W75"/>
    <mergeCell ref="X75:AD75"/>
    <mergeCell ref="AE75:AF75"/>
    <mergeCell ref="AG75:AI75"/>
    <mergeCell ref="AJ75:AL75"/>
    <mergeCell ref="B73:D73"/>
    <mergeCell ref="B74:D74"/>
    <mergeCell ref="B75:D75"/>
    <mergeCell ref="E65:I73"/>
    <mergeCell ref="BH68:BJ68"/>
    <mergeCell ref="BK68:BQ68"/>
    <mergeCell ref="AM68:AO68"/>
    <mergeCell ref="AP68:AR68"/>
    <mergeCell ref="AS68:AU68"/>
    <mergeCell ref="AV68:AX68"/>
    <mergeCell ref="AY68:BA68"/>
    <mergeCell ref="BB68:BD68"/>
    <mergeCell ref="AS66:AU66"/>
    <mergeCell ref="AV66:AX66"/>
    <mergeCell ref="AY66:BA66"/>
    <mergeCell ref="BB66:BD66"/>
    <mergeCell ref="BE66:BG66"/>
    <mergeCell ref="BH66:BJ66"/>
    <mergeCell ref="BK66:BQ66"/>
    <mergeCell ref="Q66:W66"/>
    <mergeCell ref="X66:AD66"/>
    <mergeCell ref="AE66:AF66"/>
    <mergeCell ref="AG66:AI66"/>
    <mergeCell ref="AJ66:AL66"/>
    <mergeCell ref="AM66:AO66"/>
    <mergeCell ref="AP66:AR66"/>
    <mergeCell ref="B68:D68"/>
    <mergeCell ref="B69:D69"/>
    <mergeCell ref="B70:D70"/>
    <mergeCell ref="BE68:BG68"/>
    <mergeCell ref="Q68:W68"/>
    <mergeCell ref="X68:AD68"/>
    <mergeCell ref="AE68:AF68"/>
    <mergeCell ref="AG68:AI68"/>
    <mergeCell ref="AJ68:AL68"/>
    <mergeCell ref="AS69:AU69"/>
    <mergeCell ref="AV69:AX69"/>
    <mergeCell ref="AY69:BA69"/>
    <mergeCell ref="BB69:BD69"/>
    <mergeCell ref="BE69:BG69"/>
    <mergeCell ref="BH69:BJ69"/>
    <mergeCell ref="BK69:BQ69"/>
    <mergeCell ref="Q69:W69"/>
    <mergeCell ref="X69:AD69"/>
    <mergeCell ref="AS64:AU64"/>
    <mergeCell ref="AV64:AX64"/>
    <mergeCell ref="AY64:BA64"/>
    <mergeCell ref="BB64:BD64"/>
    <mergeCell ref="BE64:BG64"/>
    <mergeCell ref="BH64:BJ64"/>
    <mergeCell ref="BK64:BQ64"/>
    <mergeCell ref="Q64:W64"/>
    <mergeCell ref="X64:AD64"/>
    <mergeCell ref="AE64:AF64"/>
    <mergeCell ref="AG64:AI64"/>
    <mergeCell ref="AJ64:AL64"/>
    <mergeCell ref="AM64:AO64"/>
    <mergeCell ref="AP64:AR64"/>
    <mergeCell ref="AS65:AU65"/>
    <mergeCell ref="AV65:AX65"/>
    <mergeCell ref="AY65:BA65"/>
    <mergeCell ref="BB65:BD65"/>
    <mergeCell ref="BE65:BG65"/>
    <mergeCell ref="BH65:BJ65"/>
    <mergeCell ref="BK65:BQ65"/>
    <mergeCell ref="Q65:W65"/>
    <mergeCell ref="X65:AD65"/>
    <mergeCell ref="AE65:AF65"/>
    <mergeCell ref="AG65:AI65"/>
    <mergeCell ref="AJ65:AL65"/>
    <mergeCell ref="AM65:AO65"/>
    <mergeCell ref="AP65:AR65"/>
    <mergeCell ref="AS62:AU62"/>
    <mergeCell ref="AV62:AX62"/>
    <mergeCell ref="AY62:BA62"/>
    <mergeCell ref="BB62:BD62"/>
    <mergeCell ref="BE62:BG62"/>
    <mergeCell ref="BH62:BJ62"/>
    <mergeCell ref="BK62:BQ62"/>
    <mergeCell ref="Q62:W62"/>
    <mergeCell ref="X62:AD62"/>
    <mergeCell ref="AE62:AF62"/>
    <mergeCell ref="AG62:AI62"/>
    <mergeCell ref="AJ62:AL62"/>
    <mergeCell ref="AM62:AO62"/>
    <mergeCell ref="AP62:AR62"/>
    <mergeCell ref="AS63:AU63"/>
    <mergeCell ref="AV63:AX63"/>
    <mergeCell ref="AY63:BA63"/>
    <mergeCell ref="BB63:BD63"/>
    <mergeCell ref="BE63:BG63"/>
    <mergeCell ref="BH63:BJ63"/>
    <mergeCell ref="BK63:BQ63"/>
    <mergeCell ref="Q63:W63"/>
    <mergeCell ref="X63:AD63"/>
    <mergeCell ref="AE63:AF63"/>
    <mergeCell ref="AG63:AI63"/>
    <mergeCell ref="AJ63:AL63"/>
    <mergeCell ref="AM63:AO63"/>
    <mergeCell ref="AP63:AR63"/>
    <mergeCell ref="BE60:BG60"/>
    <mergeCell ref="BH60:BJ60"/>
    <mergeCell ref="BK60:BQ60"/>
    <mergeCell ref="Q60:W60"/>
    <mergeCell ref="X60:AD60"/>
    <mergeCell ref="AE60:AF60"/>
    <mergeCell ref="AG60:AI60"/>
    <mergeCell ref="AJ60:AL60"/>
    <mergeCell ref="AM60:AO60"/>
    <mergeCell ref="AP60:AR60"/>
    <mergeCell ref="AS61:AU61"/>
    <mergeCell ref="AV61:AX61"/>
    <mergeCell ref="AY61:BA61"/>
    <mergeCell ref="BB61:BD61"/>
    <mergeCell ref="BE61:BG61"/>
    <mergeCell ref="BH61:BJ61"/>
    <mergeCell ref="BK61:BQ61"/>
    <mergeCell ref="Q61:W61"/>
    <mergeCell ref="X61:AD61"/>
    <mergeCell ref="AE61:AF61"/>
    <mergeCell ref="AG61:AI61"/>
    <mergeCell ref="AJ61:AL61"/>
    <mergeCell ref="AM61:AO61"/>
    <mergeCell ref="AP61:AR61"/>
    <mergeCell ref="AS56:AU56"/>
    <mergeCell ref="AV56:AX56"/>
    <mergeCell ref="AY56:BA56"/>
    <mergeCell ref="BB56:BD56"/>
    <mergeCell ref="BE56:BG56"/>
    <mergeCell ref="BH56:BJ56"/>
    <mergeCell ref="BK56:BQ56"/>
    <mergeCell ref="Q56:W56"/>
    <mergeCell ref="X56:AD56"/>
    <mergeCell ref="AE56:AF56"/>
    <mergeCell ref="AG56:AI56"/>
    <mergeCell ref="AJ56:AL56"/>
    <mergeCell ref="AM56:AO56"/>
    <mergeCell ref="AP56:AR56"/>
    <mergeCell ref="AS67:AU67"/>
    <mergeCell ref="AV67:AX67"/>
    <mergeCell ref="AY67:BA67"/>
    <mergeCell ref="BB67:BD67"/>
    <mergeCell ref="BE67:BG67"/>
    <mergeCell ref="BH67:BJ67"/>
    <mergeCell ref="BK67:BQ67"/>
    <mergeCell ref="Q67:W67"/>
    <mergeCell ref="X67:AD67"/>
    <mergeCell ref="AE67:AF67"/>
    <mergeCell ref="AG67:AI67"/>
    <mergeCell ref="AJ67:AL67"/>
    <mergeCell ref="AM67:AO67"/>
    <mergeCell ref="AP67:AR67"/>
    <mergeCell ref="AS60:AU60"/>
    <mergeCell ref="AV60:AX60"/>
    <mergeCell ref="AY60:BA60"/>
    <mergeCell ref="BB60:BD60"/>
    <mergeCell ref="B45:D45"/>
    <mergeCell ref="J45:P45"/>
    <mergeCell ref="B46:D46"/>
    <mergeCell ref="B47:D47"/>
    <mergeCell ref="B54:D54"/>
    <mergeCell ref="J54:P54"/>
    <mergeCell ref="BH55:BJ55"/>
    <mergeCell ref="BK55:BQ55"/>
    <mergeCell ref="AM55:AO55"/>
    <mergeCell ref="AP55:AR55"/>
    <mergeCell ref="AS55:AU55"/>
    <mergeCell ref="AV55:AX55"/>
    <mergeCell ref="AY55:BA55"/>
    <mergeCell ref="BB55:BD55"/>
    <mergeCell ref="BE55:BG55"/>
    <mergeCell ref="B53:D53"/>
    <mergeCell ref="J53:P53"/>
    <mergeCell ref="Q55:W55"/>
    <mergeCell ref="X55:AD55"/>
    <mergeCell ref="AE55:AF55"/>
    <mergeCell ref="AG55:AI55"/>
    <mergeCell ref="AJ55:AL55"/>
    <mergeCell ref="J46:P46"/>
    <mergeCell ref="J47:P47"/>
    <mergeCell ref="B48:D48"/>
    <mergeCell ref="J48:P48"/>
    <mergeCell ref="B49:D49"/>
    <mergeCell ref="J49:P49"/>
    <mergeCell ref="B50:D50"/>
    <mergeCell ref="J50:P50"/>
    <mergeCell ref="E45:I53"/>
    <mergeCell ref="E54:I64"/>
    <mergeCell ref="AP45:AR45"/>
    <mergeCell ref="AS45:AU45"/>
    <mergeCell ref="AV45:AX45"/>
    <mergeCell ref="AY45:BA45"/>
    <mergeCell ref="BB45:BD45"/>
    <mergeCell ref="BE45:BG45"/>
    <mergeCell ref="BH45:BJ45"/>
    <mergeCell ref="AS46:AU46"/>
    <mergeCell ref="AV46:AX46"/>
    <mergeCell ref="AY46:BA46"/>
    <mergeCell ref="BB46:BD46"/>
    <mergeCell ref="BE46:BG46"/>
    <mergeCell ref="BH46:BJ46"/>
    <mergeCell ref="BK46:BQ46"/>
    <mergeCell ref="Q46:W46"/>
    <mergeCell ref="X46:AD46"/>
    <mergeCell ref="AE46:AF46"/>
    <mergeCell ref="AG46:AI46"/>
    <mergeCell ref="AJ46:AL46"/>
    <mergeCell ref="AM46:AO46"/>
    <mergeCell ref="AP46:AR46"/>
    <mergeCell ref="J39:P39"/>
    <mergeCell ref="Q39:W39"/>
    <mergeCell ref="B40:D40"/>
    <mergeCell ref="J40:P40"/>
    <mergeCell ref="Q40:W40"/>
    <mergeCell ref="J41:P41"/>
    <mergeCell ref="Q41:W41"/>
    <mergeCell ref="X43:AD43"/>
    <mergeCell ref="AE43:AF43"/>
    <mergeCell ref="AV44:AX44"/>
    <mergeCell ref="AY44:BA44"/>
    <mergeCell ref="BB44:BD44"/>
    <mergeCell ref="BE44:BG44"/>
    <mergeCell ref="BH44:BJ44"/>
    <mergeCell ref="J30:P30"/>
    <mergeCell ref="Q30:W30"/>
    <mergeCell ref="E36:I44"/>
    <mergeCell ref="Q36:W36"/>
    <mergeCell ref="X36:AD36"/>
    <mergeCell ref="AE36:AF36"/>
    <mergeCell ref="AE37:AF37"/>
    <mergeCell ref="B44:D44"/>
    <mergeCell ref="J44:P44"/>
    <mergeCell ref="BH39:BJ39"/>
    <mergeCell ref="AG39:AI39"/>
    <mergeCell ref="AJ39:AL39"/>
    <mergeCell ref="AM39:AO39"/>
    <mergeCell ref="AP39:AR39"/>
    <mergeCell ref="AS39:AU39"/>
    <mergeCell ref="AJ35:AL35"/>
    <mergeCell ref="AM35:AO35"/>
    <mergeCell ref="AP35:AR35"/>
  </mergeCells>
  <dataValidations count="3">
    <dataValidation type="list" allowBlank="1" showErrorMessage="1" sqref="AG12:AG15 AJ15 AV12:AV15 AY15 AG17:AG26 AJ20:AJ26 AV17:AV26 AY20:AY26 AG28:AG33 AV28:AV33 AG35:AG93 AJ35:AJ93 AV35:AV93 AY35:AY93 AG95:AG107 AJ95:AJ107 AV95:AV107 AY95:AY107 AG109:AG119 AJ109:AJ119 AV109:AV119 AY109:AY119" xr:uid="{00000000-0002-0000-0600-000000000000}">
      <formula1>"合格,不合格,未テスト,N/A"</formula1>
    </dataValidation>
    <dataValidation type="list" allowBlank="1" showErrorMessage="1" sqref="F1" xr:uid="{00000000-0002-0000-0600-000001000000}">
      <formula1>"単体テスト,結合テスト,システムテスト"</formula1>
    </dataValidation>
    <dataValidation type="list" allowBlank="1" showErrorMessage="1" sqref="AE12:AE15 AE17:AE26 AE28:AE33 AE35:AE93 AE95:AE107 AE109:AE119" xr:uid="{00000000-0002-0000-0600-000002000000}">
      <formula1>"N,A,B"</formula1>
    </dataValidation>
  </dataValidations>
  <pageMargins left="0.70866141732283505" right="0.70866141732283505" top="0.74803149606299202" bottom="0.74803149606299202" header="0" footer="0"/>
  <pageSetup paperSize="9" orientation="landscape"/>
  <headerFooter>
    <oddHeader>&amp;L&amp;F</oddHeader>
    <oddFooter>&amp;L08-BM/PM/VTI&amp;C社外秘&amp;R&amp;P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表紙</vt:lpstr>
      <vt:lpstr>変更履歴</vt:lpstr>
      <vt:lpstr>概要</vt:lpstr>
      <vt:lpstr>テスト報告書</vt:lpstr>
      <vt:lpstr>Viewpoint</vt:lpstr>
      <vt:lpstr>機能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hang.nguyenthuy</dc:creator>
  <cp:lastModifiedBy>Macbook</cp:lastModifiedBy>
  <dcterms:created xsi:type="dcterms:W3CDTF">2018-11-16T06:12:00Z</dcterms:created>
  <dcterms:modified xsi:type="dcterms:W3CDTF">2026-04-26T15:43:34Z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7B2AF0236FB04F59A6B1B9F813E8CB9A_12</vt:lpwstr>
  </property>
  <property fmtid="{D5CDD505-2E9C-101B-9397-08002B2CF9AE}" pid="3" name="KSOProductBuildVer">
    <vt:lpwstr>2057-12.2.0.23202</vt:lpwstr>
  </property>
</Properties>
</file>