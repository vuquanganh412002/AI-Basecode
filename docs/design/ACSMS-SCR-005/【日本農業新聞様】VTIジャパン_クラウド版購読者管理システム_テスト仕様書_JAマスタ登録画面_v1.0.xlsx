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表紙" sheetId="1" state="visible" r:id="rId1"/>
    <sheet name="変更履歴" sheetId="2" state="visible" r:id="rId2"/>
    <sheet name="概要" sheetId="3" state="visible" r:id="rId3"/>
    <sheet name="テスト報告書" sheetId="4" state="visible" r:id="rId4"/>
    <sheet name="テスト観点" sheetId="5" state="visible" r:id="rId5"/>
    <sheet name="機能"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游ゴシック"/>
      <color rgb="FF1F3864"/>
      <sz val="26"/>
    </font>
    <font>
      <name val="游ゴシック"/>
      <color rgb="FF1F3864"/>
      <sz val="24"/>
    </font>
    <font>
      <name val="游ゴシック"/>
      <sz val="15"/>
    </font>
    <font>
      <name val="游ゴシック"/>
      <color rgb="FF000000"/>
      <sz val="10"/>
    </font>
    <font>
      <name val="游ゴシック"/>
      <b val="1"/>
      <color rgb="FF000000"/>
      <sz val="11"/>
    </font>
    <font>
      <name val="游ゴシック"/>
      <color rgb="FF000000"/>
      <sz val="11"/>
    </font>
    <font>
      <name val="游ゴシック"/>
      <b val="1"/>
      <color rgb="FF000000"/>
      <sz val="14"/>
    </font>
    <font>
      <name val="游ゴシック"/>
      <i val="1"/>
      <color rgb="FF000000"/>
      <sz val="11"/>
    </font>
  </fonts>
  <fills count="10">
    <fill>
      <patternFill/>
    </fill>
    <fill>
      <patternFill patternType="gray125"/>
    </fill>
    <fill>
      <patternFill patternType="solid">
        <fgColor rgb="FFD9E2F3"/>
      </patternFill>
    </fill>
    <fill>
      <patternFill patternType="solid">
        <fgColor rgb="FFB4C6E7"/>
      </patternFill>
    </fill>
    <fill>
      <patternFill patternType="solid">
        <fgColor rgb="FFFFFF99"/>
      </patternFill>
    </fill>
    <fill>
      <patternFill patternType="solid">
        <fgColor rgb="FFBDD6EE"/>
      </patternFill>
    </fill>
    <fill>
      <patternFill patternType="solid">
        <fgColor rgb="FFDEEAF6"/>
      </patternFill>
    </fill>
    <fill>
      <patternFill patternType="solid">
        <fgColor rgb="FFFFC7CE"/>
      </patternFill>
    </fill>
    <fill>
      <patternFill patternType="solid">
        <fgColor rgb="FFFFEB9C"/>
      </patternFill>
    </fill>
    <fill>
      <patternFill patternType="solid">
        <fgColor rgb="FFC6EFCE"/>
      </patternFill>
    </fill>
  </fills>
  <borders count="23">
    <border>
      <left/>
      <right/>
      <top/>
      <bottom/>
      <diagonal/>
    </border>
    <border>
      <left style="thin">
        <color rgb="FF000000"/>
      </left>
      <right/>
      <top style="thin">
        <color rgb="FF000000"/>
      </top>
    </border>
    <border>
      <left/>
      <right/>
      <top style="thin">
        <color rgb="FF000000"/>
      </top>
    </border>
    <border>
      <left/>
      <right style="thin">
        <color rgb="FF000000"/>
      </right>
      <top style="thin">
        <color rgb="FF000000"/>
      </top>
    </border>
    <border>
      <left style="thin">
        <color rgb="FF000000"/>
      </left>
    </border>
    <border>
      <right style="thin">
        <color rgb="FF000000"/>
      </right>
    </border>
    <border>
      <left style="thin">
        <color rgb="FF000000"/>
      </left>
      <right/>
      <bottom style="thin">
        <color rgb="FF000000"/>
      </bottom>
    </border>
    <border>
      <left/>
      <right/>
      <bottom style="thin">
        <color rgb="FF000000"/>
      </bottom>
    </border>
    <border>
      <left/>
      <right style="thin">
        <color rgb="FF000000"/>
      </right>
      <bottom style="thin">
        <color rgb="FF000000"/>
      </bottom>
    </border>
    <border>
      <left style="thin">
        <color rgb="FF000000"/>
      </left>
      <right style="thin">
        <color rgb="FF000000"/>
      </right>
    </border>
    <border>
      <left/>
      <right style="thin">
        <color rgb="FF000000"/>
      </right>
      <top/>
      <bottom/>
      <diagonal/>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s>
  <cellStyleXfs count="1">
    <xf numFmtId="0" fontId="0" fillId="0" borderId="0"/>
  </cellStyleXfs>
  <cellXfs count="55">
    <xf numFmtId="0" fontId="0" fillId="0" borderId="0" pivotButton="0" quotePrefix="0" xfId="0"/>
    <xf numFmtId="0" fontId="0" fillId="0" borderId="1"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1" fillId="0" borderId="4" applyAlignment="1" pivotButton="0" quotePrefix="0" xfId="0">
      <alignment horizontal="center" vertical="center" wrapText="1"/>
    </xf>
    <xf numFmtId="0" fontId="2" fillId="0" borderId="4" applyAlignment="1" pivotButton="0" quotePrefix="0" xfId="0">
      <alignment horizontal="center" vertical="center" wrapText="1"/>
    </xf>
    <xf numFmtId="0" fontId="3" fillId="0" borderId="4" applyAlignment="1" pivotButton="0" quotePrefix="0" xfId="0">
      <alignment horizontal="center" vertical="center" wrapText="1"/>
    </xf>
    <xf numFmtId="0" fontId="4" fillId="2" borderId="11" applyAlignment="1" pivotButton="0" quotePrefix="0" xfId="0">
      <alignment horizontal="center" vertical="center" wrapText="1"/>
    </xf>
    <xf numFmtId="0" fontId="0" fillId="0" borderId="12" pivotButton="0" quotePrefix="0" xfId="0"/>
    <xf numFmtId="0" fontId="0" fillId="0" borderId="13" pivotButton="0" quotePrefix="0" xfId="0"/>
    <xf numFmtId="49" fontId="4" fillId="2" borderId="11"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8" pivotButton="0" quotePrefix="0" xfId="0"/>
    <xf numFmtId="0" fontId="5" fillId="3" borderId="14" applyAlignment="1" pivotButton="0" quotePrefix="0" xfId="0">
      <alignment horizontal="center" vertical="center" wrapText="1"/>
    </xf>
    <xf numFmtId="0" fontId="5" fillId="3" borderId="11" applyAlignment="1" pivotButton="0" quotePrefix="0" xfId="0">
      <alignment horizontal="center" vertical="center" wrapText="1"/>
    </xf>
    <xf numFmtId="0" fontId="6" fillId="0" borderId="14" applyAlignment="1" pivotButton="0" quotePrefix="0" xfId="0">
      <alignment horizontal="center" vertical="center" wrapText="1"/>
    </xf>
    <xf numFmtId="0" fontId="6" fillId="0" borderId="11" applyAlignment="1" pivotButton="0" quotePrefix="0" xfId="0">
      <alignment horizontal="center" vertical="center" wrapText="1"/>
    </xf>
    <xf numFmtId="0" fontId="6" fillId="0" borderId="11" applyAlignment="1" pivotButton="0" quotePrefix="0" xfId="0">
      <alignment horizontal="left" vertical="center" wrapText="1"/>
    </xf>
    <xf numFmtId="0" fontId="6" fillId="0" borderId="15" applyAlignment="1" pivotButton="0" quotePrefix="0" xfId="0">
      <alignment horizontal="center" vertical="center" wrapText="1"/>
    </xf>
    <xf numFmtId="0" fontId="0" fillId="0" borderId="16" pivotButton="0" quotePrefix="0" xfId="0"/>
    <xf numFmtId="0" fontId="0" fillId="0" borderId="17" pivotButton="0" quotePrefix="0" xfId="0"/>
    <xf numFmtId="49" fontId="6" fillId="0" borderId="15" applyAlignment="1" pivotButton="0" quotePrefix="0" xfId="0">
      <alignment horizontal="center" vertical="center" wrapText="1"/>
    </xf>
    <xf numFmtId="0" fontId="0" fillId="0" borderId="18" pivotButton="0" quotePrefix="0" xfId="0"/>
    <xf numFmtId="0" fontId="0" fillId="0" borderId="19" pivotButton="0" quotePrefix="0" xfId="0"/>
    <xf numFmtId="0" fontId="0" fillId="0" borderId="20" pivotButton="0" quotePrefix="0" xfId="0"/>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5" fillId="4" borderId="0" applyAlignment="1" pivotButton="0" quotePrefix="0" xfId="0">
      <alignment horizontal="left" vertical="center" wrapText="1"/>
    </xf>
    <xf numFmtId="0" fontId="7" fillId="3" borderId="11" applyAlignment="1" pivotButton="0" quotePrefix="0" xfId="0">
      <alignment horizontal="center" vertical="center" wrapText="1"/>
    </xf>
    <xf numFmtId="0" fontId="5" fillId="5" borderId="11" applyAlignment="1" pivotButton="0" quotePrefix="0" xfId="0">
      <alignment horizontal="left" vertical="center" wrapText="1"/>
    </xf>
    <xf numFmtId="49" fontId="6" fillId="0" borderId="11" applyAlignment="1" pivotButton="0" quotePrefix="0" xfId="0">
      <alignment horizontal="left" vertical="center" wrapText="1"/>
    </xf>
    <xf numFmtId="0" fontId="5" fillId="5" borderId="21" applyAlignment="1" pivotButton="0" quotePrefix="0" xfId="0">
      <alignment horizontal="center" vertical="center" wrapText="1"/>
    </xf>
    <xf numFmtId="0" fontId="5" fillId="5" borderId="15" applyAlignment="1" pivotButton="0" quotePrefix="0" xfId="0">
      <alignment horizontal="center" vertical="center" wrapText="1"/>
    </xf>
    <xf numFmtId="0" fontId="5" fillId="5" borderId="11" applyAlignment="1" pivotButton="0" quotePrefix="0" xfId="0">
      <alignment horizontal="center" vertical="center" wrapText="1"/>
    </xf>
    <xf numFmtId="0" fontId="0" fillId="0" borderId="22" pivotButton="0" quotePrefix="0" xfId="0"/>
    <xf numFmtId="0" fontId="5" fillId="6" borderId="14" applyAlignment="1" pivotButton="0" quotePrefix="0" xfId="0">
      <alignment horizontal="left" vertical="center" wrapText="1"/>
    </xf>
    <xf numFmtId="164" fontId="6" fillId="0" borderId="11" applyAlignment="1" pivotButton="0" quotePrefix="0" xfId="0">
      <alignment horizontal="center" vertical="center" wrapText="1"/>
    </xf>
    <xf numFmtId="0" fontId="5" fillId="0" borderId="11" applyAlignment="1" pivotButton="0" quotePrefix="0" xfId="0">
      <alignment horizontal="center" vertical="center" wrapText="1"/>
    </xf>
    <xf numFmtId="164" fontId="5" fillId="0" borderId="11" applyAlignment="1" pivotButton="0" quotePrefix="0" xfId="0">
      <alignment horizontal="center" vertical="center" wrapText="1"/>
    </xf>
    <xf numFmtId="0" fontId="5" fillId="6" borderId="14" applyAlignment="1" pivotButton="0" quotePrefix="0" xfId="0">
      <alignment horizontal="center" vertical="center" wrapText="1"/>
    </xf>
    <xf numFmtId="0" fontId="5" fillId="6" borderId="11" applyAlignment="1" pivotButton="0" quotePrefix="0" xfId="0">
      <alignment horizontal="center" vertical="center" wrapText="1"/>
    </xf>
    <xf numFmtId="0" fontId="6" fillId="0" borderId="14" applyAlignment="1" pivotButton="0" quotePrefix="0" xfId="0">
      <alignment horizontal="center" vertical="top" wrapText="1"/>
    </xf>
    <xf numFmtId="0" fontId="6" fillId="0" borderId="11" applyAlignment="1" pivotButton="0" quotePrefix="0" xfId="0">
      <alignment horizontal="center" vertical="top" wrapText="1"/>
    </xf>
    <xf numFmtId="0" fontId="6" fillId="0" borderId="11" applyAlignment="1" pivotButton="0" quotePrefix="0" xfId="0">
      <alignment horizontal="left" vertical="top" wrapText="1"/>
    </xf>
    <xf numFmtId="0" fontId="5" fillId="7" borderId="11" applyAlignment="1" pivotButton="0" quotePrefix="0" xfId="0">
      <alignment horizontal="center" vertical="top" wrapText="1"/>
    </xf>
    <xf numFmtId="0" fontId="5" fillId="8" borderId="11" applyAlignment="1" pivotButton="0" quotePrefix="0" xfId="0">
      <alignment horizontal="center" vertical="top" wrapText="1"/>
    </xf>
    <xf numFmtId="0" fontId="5" fillId="9" borderId="11" applyAlignment="1" pivotButton="0" quotePrefix="0" xfId="0">
      <alignment horizontal="center" vertical="top" wrapText="1"/>
    </xf>
    <xf numFmtId="0" fontId="5" fillId="5" borderId="11" applyAlignment="1" pivotButton="0" quotePrefix="0" xfId="0">
      <alignment horizontal="right" vertical="center" wrapText="1"/>
    </xf>
    <xf numFmtId="0" fontId="5" fillId="0" borderId="11" applyAlignment="1" pivotButton="0" quotePrefix="0" xfId="0">
      <alignment horizontal="center" vertical="top" wrapText="1"/>
    </xf>
    <xf numFmtId="0" fontId="8" fillId="0" borderId="11" applyAlignment="1" pivotButton="0" quotePrefix="0" xfId="0">
      <alignment horizontal="left" vertical="top" wrapText="1"/>
    </xf>
    <xf numFmtId="0" fontId="5" fillId="6" borderId="21" applyAlignment="1" pivotButton="0" quotePrefix="0" xfId="0">
      <alignment horizontal="center" vertical="center" wrapText="1"/>
    </xf>
    <xf numFmtId="0" fontId="5" fillId="6" borderId="15"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15</col>
      <colOff>0</colOff>
      <row>2</row>
      <rowOff>0</rowOff>
    </from>
    <ext cx="133350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2:AK34"/>
  <sheetViews>
    <sheetView showGridLines="0" workbookViewId="0">
      <selection activeCell="A1" sqref="A1"/>
    </sheetView>
  </sheetViews>
  <sheetFormatPr baseColWidth="8" defaultColWidth="14.5" defaultRowHeight="12.75" customHeight="1"/>
  <cols>
    <col width="3.66" customWidth="1" min="1" max="1"/>
    <col width="3.25" customWidth="1" min="2" max="2"/>
    <col width="3.25" customWidth="1" min="3" max="3"/>
    <col width="3.25" customWidth="1" min="4" max="4"/>
    <col width="3.25" customWidth="1" min="5" max="5"/>
    <col width="3.25" customWidth="1" min="6" max="6"/>
    <col width="3.25" customWidth="1" min="7" max="7"/>
    <col width="3.25" customWidth="1" min="8" max="8"/>
    <col width="3.25" customWidth="1" min="9" max="9"/>
    <col width="3.25" customWidth="1" min="10" max="10"/>
    <col width="3.25" customWidth="1" min="11" max="11"/>
    <col width="3.25" customWidth="1" min="12" max="12"/>
    <col width="3.25" customWidth="1" min="13" max="13"/>
    <col width="3.25" customWidth="1" min="14" max="14"/>
    <col width="3.25" customWidth="1" min="15" max="15"/>
    <col width="3.25" customWidth="1" min="16" max="16"/>
    <col width="3.25" customWidth="1" min="17" max="17"/>
    <col width="3.25" customWidth="1" min="18" max="18"/>
    <col width="3.25" customWidth="1" min="19" max="19"/>
    <col width="3.25" customWidth="1" min="20" max="20"/>
    <col width="3.25" customWidth="1" min="21" max="21"/>
    <col width="3.25" customWidth="1" min="22" max="22"/>
    <col width="3.25" customWidth="1" min="23" max="23"/>
    <col width="3.25" customWidth="1" min="24" max="24"/>
    <col width="3.25" customWidth="1" min="25" max="25"/>
    <col width="3.25" customWidth="1" min="26" max="26"/>
    <col width="3.25" customWidth="1" min="27" max="27"/>
    <col width="3.25" customWidth="1" min="28" max="28"/>
    <col width="3.25" customWidth="1" min="29" max="29"/>
    <col width="3.25" customWidth="1" min="30" max="30"/>
    <col width="3.25" customWidth="1" min="31" max="31"/>
    <col width="3.25" customWidth="1" min="32" max="32"/>
    <col width="3.25" customWidth="1" min="33" max="33"/>
    <col width="3.25" customWidth="1" min="34" max="34"/>
    <col width="3.25" customWidth="1" min="35" max="35"/>
    <col width="3.25" customWidth="1" min="36" max="36"/>
    <col width="3.25" customWidth="1" min="37" max="37"/>
  </cols>
  <sheetData>
    <row r="1" ht="19.5" customHeight="1"/>
    <row r="2" ht="12.75" customHeight="1">
      <c r="B2" s="1"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3" t="n"/>
    </row>
    <row r="3" ht="12.75" customHeight="1">
      <c r="B3" s="4" t="n"/>
      <c r="AK3" s="5" t="n"/>
    </row>
    <row r="4" ht="12.75" customHeight="1">
      <c r="B4" s="4" t="n"/>
      <c r="AK4" s="5" t="n"/>
    </row>
    <row r="5" ht="12.75" customHeight="1">
      <c r="B5" s="4" t="n"/>
      <c r="AK5" s="5" t="n"/>
    </row>
    <row r="6" ht="12.75" customHeight="1">
      <c r="B6" s="4" t="n"/>
      <c r="AK6" s="5" t="n"/>
    </row>
    <row r="7" ht="12.75" customHeight="1">
      <c r="B7" s="4" t="n"/>
      <c r="AK7" s="5" t="n"/>
    </row>
    <row r="8" ht="12.75" customHeight="1">
      <c r="B8" s="4" t="n"/>
      <c r="AK8" s="5" t="n"/>
    </row>
    <row r="9" ht="12.75" customHeight="1">
      <c r="B9" s="4" t="n"/>
      <c r="AK9" s="5" t="n"/>
    </row>
    <row r="10" ht="29.25" customHeight="1">
      <c r="B10" s="6" t="inlineStr">
        <is>
          <t>クラウド版購読者管理システム</t>
        </is>
      </c>
      <c r="AK10" s="5" t="n"/>
    </row>
    <row r="11" ht="12.75" customHeight="1">
      <c r="B11" s="4" t="n"/>
      <c r="AK11" s="5" t="n"/>
    </row>
    <row r="12" ht="39" customHeight="1">
      <c r="B12" s="7" t="inlineStr">
        <is>
          <t>JAマスタ登録画面</t>
        </is>
      </c>
      <c r="AK12" s="5" t="n"/>
    </row>
    <row r="13" ht="12.75" customHeight="1">
      <c r="B13" s="4" t="n"/>
      <c r="AK13" s="5" t="n"/>
    </row>
    <row r="14" ht="12.75" customHeight="1">
      <c r="B14" s="4" t="n"/>
      <c r="AK14" s="5" t="n"/>
    </row>
    <row r="15" ht="12.75" customHeight="1">
      <c r="B15" s="8" t="inlineStr">
        <is>
          <t>版1.0</t>
        </is>
      </c>
      <c r="AK15" s="5" t="n"/>
    </row>
    <row r="16" ht="12.75" customHeight="1">
      <c r="B16" s="4" t="n"/>
      <c r="AK16" s="5" t="n"/>
    </row>
    <row r="17" ht="12.75" customHeight="1">
      <c r="B17" s="4" t="n"/>
      <c r="AK17" s="5" t="n"/>
    </row>
    <row r="18" ht="12.75" customHeight="1">
      <c r="B18" s="4" t="n"/>
      <c r="N18" s="9" t="inlineStr">
        <is>
          <t>フォーマットコード</t>
        </is>
      </c>
      <c r="O18" s="10" t="n"/>
      <c r="P18" s="10" t="n"/>
      <c r="Q18" s="10" t="n"/>
      <c r="R18" s="11" t="n"/>
      <c r="S18" s="9" t="inlineStr">
        <is>
          <t>16-BM/PM/VTI</t>
        </is>
      </c>
      <c r="T18" s="10" t="n"/>
      <c r="U18" s="10" t="n"/>
      <c r="V18" s="10" t="n"/>
      <c r="W18" s="11" t="n"/>
      <c r="AK18" s="5" t="n"/>
    </row>
    <row r="19" ht="12.75" customHeight="1">
      <c r="B19" s="4" t="n"/>
      <c r="N19" s="9" t="inlineStr">
        <is>
          <t>フォーマットバージョン</t>
        </is>
      </c>
      <c r="O19" s="10" t="n"/>
      <c r="P19" s="10" t="n"/>
      <c r="Q19" s="10" t="n"/>
      <c r="R19" s="11" t="n"/>
      <c r="S19" s="9" t="inlineStr">
        <is>
          <t>1.0</t>
        </is>
      </c>
      <c r="T19" s="10" t="n"/>
      <c r="U19" s="10" t="n"/>
      <c r="V19" s="10" t="n"/>
      <c r="W19" s="11" t="n"/>
      <c r="AK19" s="5" t="n"/>
    </row>
    <row r="20" ht="12.75" customHeight="1">
      <c r="B20" s="4" t="n"/>
      <c r="N20" s="9" t="inlineStr">
        <is>
          <t>発行日</t>
        </is>
      </c>
      <c r="O20" s="10" t="n"/>
      <c r="P20" s="10" t="n"/>
      <c r="Q20" s="10" t="n"/>
      <c r="R20" s="11" t="n"/>
      <c r="S20" s="12" t="inlineStr">
        <is>
          <t>2026/05/08</t>
        </is>
      </c>
      <c r="T20" s="10" t="n"/>
      <c r="U20" s="10" t="n"/>
      <c r="V20" s="10" t="n"/>
      <c r="W20" s="11" t="n"/>
      <c r="AK20" s="5" t="n"/>
    </row>
    <row r="21" ht="12.75" customHeight="1">
      <c r="B21" s="4" t="n"/>
      <c r="AK21" s="5" t="n"/>
    </row>
    <row r="22" ht="12.75" customHeight="1">
      <c r="B22" s="4" t="n"/>
      <c r="AK22" s="5" t="n"/>
    </row>
    <row r="23" ht="12.75" customHeight="1">
      <c r="B23" s="4" t="n"/>
      <c r="AK23" s="5" t="n"/>
    </row>
    <row r="24" ht="12.75" customHeight="1">
      <c r="B24" s="4" t="n"/>
      <c r="AK24" s="5" t="n"/>
    </row>
    <row r="25" ht="12.75" customHeight="1">
      <c r="B25" s="4" t="n"/>
      <c r="AK25" s="5" t="n"/>
    </row>
    <row r="26" ht="12.75" customHeight="1">
      <c r="B26" s="4" t="n"/>
      <c r="AK26" s="5" t="n"/>
    </row>
    <row r="27" ht="12.75" customHeight="1">
      <c r="B27" s="4" t="n"/>
      <c r="AK27" s="5" t="n"/>
    </row>
    <row r="28" ht="12.75" customHeight="1">
      <c r="B28" s="4" t="n"/>
      <c r="AK28" s="5" t="n"/>
    </row>
    <row r="29" ht="12.75" customHeight="1">
      <c r="B29" s="4" t="n"/>
      <c r="AK29" s="5" t="n"/>
    </row>
    <row r="30" ht="12.75" customHeight="1">
      <c r="B30" s="4" t="n"/>
      <c r="AK30" s="5" t="n"/>
    </row>
    <row r="31" ht="12.75" customHeight="1">
      <c r="B31" s="4" t="n"/>
      <c r="AK31" s="5" t="n"/>
    </row>
    <row r="32" ht="12.75" customHeight="1">
      <c r="B32" s="4" t="n"/>
      <c r="AK32" s="5" t="n"/>
    </row>
    <row r="33" ht="12.75" customHeight="1">
      <c r="B33" s="4" t="n"/>
      <c r="AK33" s="5" t="n"/>
    </row>
    <row r="34" ht="12.75" customHeight="1">
      <c r="B34" s="13"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c r="AH34" s="14" t="n"/>
      <c r="AI34" s="14" t="n"/>
      <c r="AJ34" s="14" t="n"/>
      <c r="AK34" s="15" t="n"/>
    </row>
    <row r="35" ht="12.75" customHeight="1"/>
  </sheetData>
  <mergeCells count="9">
    <mergeCell ref="N20:R20"/>
    <mergeCell ref="S20:W20"/>
    <mergeCell ref="B12:AK12"/>
    <mergeCell ref="B15:AK15"/>
    <mergeCell ref="B10:AK10"/>
    <mergeCell ref="S19:W19"/>
    <mergeCell ref="N18:R18"/>
    <mergeCell ref="N19:R19"/>
    <mergeCell ref="S18:W1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H2"/>
  <sheetViews>
    <sheetView showGridLines="0" workbookViewId="0">
      <selection activeCell="A1" sqref="A1"/>
    </sheetView>
  </sheetViews>
  <sheetFormatPr baseColWidth="8" defaultColWidth="3.33" defaultRowHeight="15"/>
  <cols>
    <col width="8" customWidth="1" min="1" max="1"/>
    <col width="3.33" customWidth="1" min="2" max="2"/>
    <col width="3.33" customWidth="1" min="3" max="3"/>
    <col width="3.33" customWidth="1" min="4" max="4"/>
    <col width="3.33" customWidth="1" min="5" max="5"/>
    <col width="3.33" customWidth="1" min="6" max="6"/>
    <col width="3.33" customWidth="1" min="7" max="7"/>
    <col width="3.33" customWidth="1" min="8" max="8"/>
    <col width="3.33" customWidth="1" min="9" max="9"/>
    <col width="3.33" customWidth="1" min="10" max="10"/>
    <col width="3.33" customWidth="1" min="11" max="11"/>
    <col width="3.33" customWidth="1" min="12" max="12"/>
    <col width="3.33" customWidth="1" min="13" max="13"/>
    <col width="3.33" customWidth="1" min="14" max="14"/>
    <col width="3.33" customWidth="1" min="15" max="15"/>
    <col width="3.33" customWidth="1" min="16" max="16"/>
    <col width="3.33" customWidth="1" min="17" max="17"/>
    <col width="3.33" customWidth="1" min="18" max="18"/>
    <col width="3.33" customWidth="1" min="19" max="19"/>
    <col width="3.33" customWidth="1" min="20" max="20"/>
    <col width="3.33" customWidth="1" min="21" max="21"/>
    <col width="3.33" customWidth="1" min="22" max="22"/>
    <col width="3.33" customWidth="1" min="23" max="23"/>
    <col width="3.33" customWidth="1" min="24" max="24"/>
    <col width="3.33" customWidth="1" min="25" max="25"/>
    <col width="3.33" customWidth="1" min="26" max="26"/>
    <col width="3.33" customWidth="1" min="27" max="27"/>
    <col width="3.33" customWidth="1" min="28" max="28"/>
    <col width="3.33" customWidth="1" min="29" max="29"/>
    <col width="3.33" customWidth="1" min="30" max="30"/>
    <col width="3.33" customWidth="1" min="31" max="31"/>
    <col width="3.33" customWidth="1" min="32" max="32"/>
    <col width="3.33" customWidth="1" min="33" max="33"/>
    <col width="3.33" customWidth="1" min="34" max="34"/>
  </cols>
  <sheetData>
    <row r="1" ht="22.5" customHeight="1">
      <c r="A1" s="16" t="inlineStr">
        <is>
          <t>項番</t>
        </is>
      </c>
      <c r="B1" s="17" t="inlineStr">
        <is>
          <t>発行日</t>
        </is>
      </c>
      <c r="C1" s="10" t="n"/>
      <c r="D1" s="10" t="n"/>
      <c r="E1" s="11" t="n"/>
      <c r="F1" s="17" t="inlineStr">
        <is>
          <t>バージョン</t>
        </is>
      </c>
      <c r="G1" s="10" t="n"/>
      <c r="H1" s="11" t="n"/>
      <c r="I1" s="17" t="inlineStr">
        <is>
          <t>担当者</t>
        </is>
      </c>
      <c r="J1" s="10" t="n"/>
      <c r="K1" s="10" t="n"/>
      <c r="L1" s="10" t="n"/>
      <c r="M1" s="10" t="n"/>
      <c r="N1" s="11" t="n"/>
      <c r="O1" s="17" t="inlineStr">
        <is>
          <t>変更内容</t>
        </is>
      </c>
      <c r="P1" s="10" t="n"/>
      <c r="Q1" s="10" t="n"/>
      <c r="R1" s="10" t="n"/>
      <c r="S1" s="10" t="n"/>
      <c r="T1" s="10" t="n"/>
      <c r="U1" s="10" t="n"/>
      <c r="V1" s="11" t="n"/>
      <c r="W1" s="17" t="inlineStr">
        <is>
          <t>確認者</t>
        </is>
      </c>
      <c r="X1" s="10" t="n"/>
      <c r="Y1" s="10" t="n"/>
      <c r="Z1" s="10" t="n"/>
      <c r="AA1" s="10" t="n"/>
      <c r="AB1" s="11" t="n"/>
      <c r="AC1" s="17" t="inlineStr">
        <is>
          <t>承認者</t>
        </is>
      </c>
      <c r="AD1" s="10" t="n"/>
      <c r="AE1" s="10" t="n"/>
      <c r="AF1" s="10" t="n"/>
      <c r="AG1" s="10" t="n"/>
      <c r="AH1" s="11" t="n"/>
    </row>
    <row r="2" ht="22.5" customHeight="1">
      <c r="A2" s="18" t="n">
        <v>1</v>
      </c>
      <c r="B2" s="19" t="inlineStr">
        <is>
          <t>2026-05-08</t>
        </is>
      </c>
      <c r="C2" s="10" t="n"/>
      <c r="D2" s="10" t="n"/>
      <c r="E2" s="11" t="n"/>
      <c r="F2" s="19" t="inlineStr">
        <is>
          <t>1.0</t>
        </is>
      </c>
      <c r="G2" s="10" t="n"/>
      <c r="H2" s="11" t="n"/>
      <c r="I2" s="19" t="inlineStr">
        <is>
          <t>Tran Duc Tuyen</t>
        </is>
      </c>
      <c r="J2" s="10" t="n"/>
      <c r="K2" s="10" t="n"/>
      <c r="L2" s="10" t="n"/>
      <c r="M2" s="10" t="n"/>
      <c r="N2" s="11" t="n"/>
      <c r="O2" s="20" t="inlineStr">
        <is>
          <t>新規作成</t>
        </is>
      </c>
      <c r="P2" s="10" t="n"/>
      <c r="Q2" s="10" t="n"/>
      <c r="R2" s="10" t="n"/>
      <c r="S2" s="10" t="n"/>
      <c r="T2" s="10" t="n"/>
      <c r="U2" s="10" t="n"/>
      <c r="V2" s="11" t="n"/>
      <c r="W2" s="19" t="inlineStr">
        <is>
          <t>Nguyen Huy Dat</t>
        </is>
      </c>
      <c r="X2" s="10" t="n"/>
      <c r="Y2" s="10" t="n"/>
      <c r="Z2" s="10" t="n"/>
      <c r="AA2" s="10" t="n"/>
      <c r="AB2" s="11" t="n"/>
      <c r="AC2" s="19" t="inlineStr"/>
      <c r="AD2" s="10" t="n"/>
      <c r="AE2" s="10" t="n"/>
      <c r="AF2" s="10" t="n"/>
      <c r="AG2" s="10" t="n"/>
      <c r="AH2" s="11" t="n"/>
    </row>
  </sheetData>
  <mergeCells count="12">
    <mergeCell ref="B1:E1"/>
    <mergeCell ref="AC2:AH2"/>
    <mergeCell ref="AC1:AH1"/>
    <mergeCell ref="I2:N2"/>
    <mergeCell ref="O2:V2"/>
    <mergeCell ref="W1:AB1"/>
    <mergeCell ref="F1:H1"/>
    <mergeCell ref="O1:V1"/>
    <mergeCell ref="I1:N1"/>
    <mergeCell ref="F2:H2"/>
    <mergeCell ref="B2:E2"/>
    <mergeCell ref="W2:AB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27"/>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概要</t>
        </is>
      </c>
      <c r="R2" s="22" t="n"/>
      <c r="S2" s="22" t="n"/>
      <c r="T2" s="22" t="n"/>
      <c r="U2" s="23" t="n"/>
      <c r="V2" s="24" t="inlineStr">
        <is>
          <t>2026/05/08</t>
        </is>
      </c>
      <c r="W2" s="22" t="n"/>
      <c r="X2" s="22" t="n"/>
      <c r="Y2" s="23" t="n"/>
      <c r="Z2" s="21" t="inlineStr">
        <is>
          <t>Tran Duc Tuyen</t>
        </is>
      </c>
      <c r="AA2" s="22" t="n"/>
      <c r="AB2" s="22" t="n"/>
      <c r="AC2" s="23" t="n"/>
      <c r="AD2" s="24" t="inlineStr">
        <is>
          <t>2026/05/08</t>
        </is>
      </c>
      <c r="AE2" s="22" t="n"/>
      <c r="AF2" s="22" t="n"/>
      <c r="AG2" s="23" t="n"/>
      <c r="AH2" s="21" t="inlineStr">
        <is>
          <t>Tran Duc Tuyen</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4" ht="15" customHeight="1"/>
    <row r="5" ht="19.5" customHeight="1">
      <c r="B5" s="28" t="inlineStr">
        <is>
          <t>1.システム概要</t>
        </is>
      </c>
    </row>
    <row r="6" ht="19.5" customHeight="1">
      <c r="C6" s="29" t="inlineStr">
        <is>
          <t>本システムは、JA向けのクラウド型読者管理システムであり、</t>
        </is>
      </c>
    </row>
    <row r="7" ht="19.5" customHeight="1">
      <c r="C7" s="29" t="inlineStr">
        <is>
          <t>購読者情報の管理、購読履歴の管理、口座振替データの管理などの機能を提供する。</t>
        </is>
      </c>
    </row>
    <row r="8" ht="19.5" customHeight="1">
      <c r="C8" s="29" t="inlineStr">
        <is>
          <t>主な機能として、購読者情報の登録・更新・検索、</t>
        </is>
      </c>
    </row>
    <row r="9" ht="19.5" customHeight="1">
      <c r="C9" s="29" t="inlineStr">
        <is>
          <t>購読内容の変更履歴管理、口座振替データの作成および管理、</t>
        </is>
      </c>
    </row>
    <row r="10" ht="19.5" customHeight="1">
      <c r="C10" s="29" t="inlineStr">
        <is>
          <t>ファイルのアップロード・ダウンロード機能、システムのお知らせ管理などを提供する。</t>
        </is>
      </c>
    </row>
    <row r="11" ht="19.5" customHeight="1">
      <c r="C11" s="29" t="inlineStr">
        <is>
          <t>また、ユーザーのログイン管理、ログイン履歴の記録、</t>
        </is>
      </c>
    </row>
    <row r="12" ht="19.5" customHeight="1">
      <c r="C12" s="29" t="inlineStr">
        <is>
          <t>ユーザー操作ログの記録などのセキュリティ・監査機能をサポートする。</t>
        </is>
      </c>
    </row>
    <row r="13" ht="15" customHeight="1"/>
    <row r="14" ht="19.5" customHeight="1">
      <c r="B14" s="28" t="inlineStr">
        <is>
          <t>2.資料目的</t>
        </is>
      </c>
    </row>
    <row r="15" ht="19.5" customHeight="1">
      <c r="C15" s="30" t="inlineStr">
        <is>
          <t>「JAマスタ登録画面（ACSMS-SCR-005）」において、システム上で新規作成されるテスト仕様書の詳細を記述した資料です。</t>
        </is>
      </c>
    </row>
    <row r="16" ht="19.5" customHeight="1">
      <c r="C16" s="30" t="inlineStr">
        <is>
          <t>本資料はISTQBおよびIEEE 829を参考とし、以下の品質基準を満たすものとする。</t>
        </is>
      </c>
    </row>
    <row r="17" ht="19.5" customHeight="1">
      <c r="C17" s="30" t="inlineStr">
        <is>
          <t>- 各テストケースは単一のシナリオに基づき作成する（単一責任）。</t>
        </is>
      </c>
    </row>
    <row r="18" ht="19.5" customHeight="1">
      <c r="C18" s="30" t="inlineStr">
        <is>
          <t>- 手順は再現可能な粒度で記述し、テストデータを明示する。</t>
        </is>
      </c>
    </row>
    <row r="19" ht="19.5" customHeight="1">
      <c r="C19" s="30" t="inlineStr">
        <is>
          <t>- 期待結果は測定可能とする（メッセージ内容、DBクエリ結果、HTTPステータスコード等）。</t>
        </is>
      </c>
    </row>
    <row r="20" ht="19.5" customHeight="1">
      <c r="C20" s="30" t="inlineStr">
        <is>
          <t>- 優先度（P0：リリース阻害／P1：高／P2：中）を設定する。</t>
        </is>
      </c>
    </row>
    <row r="21" ht="15" customHeight="1"/>
    <row r="22" ht="19.5" customHeight="1">
      <c r="B22" s="28" t="inlineStr">
        <is>
          <t>3.関連資料</t>
        </is>
      </c>
    </row>
    <row r="23" ht="15" customHeight="1"/>
    <row r="24" ht="22.5" customHeight="1">
      <c r="C24" s="16" t="inlineStr">
        <is>
          <t>No</t>
        </is>
      </c>
      <c r="D24" s="17" t="inlineStr">
        <is>
          <t>資料コード</t>
        </is>
      </c>
      <c r="E24" s="10" t="n"/>
      <c r="F24" s="10" t="n"/>
      <c r="G24" s="10" t="n"/>
      <c r="H24" s="10" t="n"/>
      <c r="I24" s="10" t="n"/>
      <c r="J24" s="10" t="n"/>
      <c r="K24" s="10" t="n"/>
      <c r="L24" s="10" t="n"/>
      <c r="M24" s="10" t="n"/>
      <c r="N24" s="11" t="n"/>
      <c r="O24" s="17" t="inlineStr">
        <is>
          <t>資料名</t>
        </is>
      </c>
      <c r="P24" s="10" t="n"/>
      <c r="Q24" s="10" t="n"/>
      <c r="R24" s="10" t="n"/>
      <c r="S24" s="10" t="n"/>
      <c r="T24" s="10" t="n"/>
      <c r="U24" s="10" t="n"/>
      <c r="V24" s="10" t="n"/>
      <c r="W24" s="10" t="n"/>
      <c r="X24" s="10" t="n"/>
      <c r="Y24" s="10" t="n"/>
      <c r="Z24" s="10" t="n"/>
      <c r="AA24" s="10" t="n"/>
      <c r="AB24" s="10" t="n"/>
      <c r="AC24" s="10" t="n"/>
      <c r="AD24" s="10" t="n"/>
      <c r="AE24" s="10" t="n"/>
      <c r="AF24" s="10" t="n"/>
      <c r="AG24" s="11" t="n"/>
    </row>
    <row r="25" ht="22.5" customHeight="1">
      <c r="C25" s="18" t="n">
        <v>1</v>
      </c>
      <c r="D25" s="20" t="inlineStr">
        <is>
          <t>ACSMS-SCR-005</t>
        </is>
      </c>
      <c r="E25" s="10" t="n"/>
      <c r="F25" s="10" t="n"/>
      <c r="G25" s="10" t="n"/>
      <c r="H25" s="10" t="n"/>
      <c r="I25" s="10" t="n"/>
      <c r="J25" s="10" t="n"/>
      <c r="K25" s="10" t="n"/>
      <c r="L25" s="10" t="n"/>
      <c r="M25" s="10" t="n"/>
      <c r="N25" s="11" t="n"/>
      <c r="O25" s="20" t="inlineStr">
        <is>
          <t>JAマスタ登録画面設計書</t>
        </is>
      </c>
      <c r="P25" s="10" t="n"/>
      <c r="Q25" s="10" t="n"/>
      <c r="R25" s="10" t="n"/>
      <c r="S25" s="10" t="n"/>
      <c r="T25" s="10" t="n"/>
      <c r="U25" s="10" t="n"/>
      <c r="V25" s="10" t="n"/>
      <c r="W25" s="10" t="n"/>
      <c r="X25" s="10" t="n"/>
      <c r="Y25" s="10" t="n"/>
      <c r="Z25" s="10" t="n"/>
      <c r="AA25" s="10" t="n"/>
      <c r="AB25" s="10" t="n"/>
      <c r="AC25" s="10" t="n"/>
      <c r="AD25" s="10" t="n"/>
      <c r="AE25" s="10" t="n"/>
      <c r="AF25" s="10" t="n"/>
      <c r="AG25" s="11" t="n"/>
    </row>
    <row r="26" ht="22.5" customHeight="1">
      <c r="C26" s="18" t="n">
        <v>2</v>
      </c>
      <c r="D26" s="20" t="inlineStr">
        <is>
          <t>ACSMS-SCR-005-api</t>
        </is>
      </c>
      <c r="E26" s="10" t="n"/>
      <c r="F26" s="10" t="n"/>
      <c r="G26" s="10" t="n"/>
      <c r="H26" s="10" t="n"/>
      <c r="I26" s="10" t="n"/>
      <c r="J26" s="10" t="n"/>
      <c r="K26" s="10" t="n"/>
      <c r="L26" s="10" t="n"/>
      <c r="M26" s="10" t="n"/>
      <c r="N26" s="11" t="n"/>
      <c r="O26" s="20" t="inlineStr">
        <is>
          <t>JAマスタ登録 API設計書</t>
        </is>
      </c>
      <c r="P26" s="10" t="n"/>
      <c r="Q26" s="10" t="n"/>
      <c r="R26" s="10" t="n"/>
      <c r="S26" s="10" t="n"/>
      <c r="T26" s="10" t="n"/>
      <c r="U26" s="10" t="n"/>
      <c r="V26" s="10" t="n"/>
      <c r="W26" s="10" t="n"/>
      <c r="X26" s="10" t="n"/>
      <c r="Y26" s="10" t="n"/>
      <c r="Z26" s="10" t="n"/>
      <c r="AA26" s="10" t="n"/>
      <c r="AB26" s="10" t="n"/>
      <c r="AC26" s="10" t="n"/>
      <c r="AD26" s="10" t="n"/>
      <c r="AE26" s="10" t="n"/>
      <c r="AF26" s="10" t="n"/>
      <c r="AG26" s="11" t="n"/>
    </row>
    <row r="27" ht="22.5" customHeight="1">
      <c r="C27" s="18" t="n">
        <v>3</v>
      </c>
      <c r="D27" s="20" t="inlineStr">
        <is>
          <t>testcase-viewpoints</t>
        </is>
      </c>
      <c r="E27" s="10" t="n"/>
      <c r="F27" s="10" t="n"/>
      <c r="G27" s="10" t="n"/>
      <c r="H27" s="10" t="n"/>
      <c r="I27" s="10" t="n"/>
      <c r="J27" s="10" t="n"/>
      <c r="K27" s="10" t="n"/>
      <c r="L27" s="10" t="n"/>
      <c r="M27" s="10" t="n"/>
      <c r="N27" s="11" t="n"/>
      <c r="O27" s="20" t="inlineStr">
        <is>
          <t>全システム共通 テスト観点一覧</t>
        </is>
      </c>
      <c r="P27" s="10" t="n"/>
      <c r="Q27" s="10" t="n"/>
      <c r="R27" s="10" t="n"/>
      <c r="S27" s="10" t="n"/>
      <c r="T27" s="10" t="n"/>
      <c r="U27" s="10" t="n"/>
      <c r="V27" s="10" t="n"/>
      <c r="W27" s="10" t="n"/>
      <c r="X27" s="10" t="n"/>
      <c r="Y27" s="10" t="n"/>
      <c r="Z27" s="10" t="n"/>
      <c r="AA27" s="10" t="n"/>
      <c r="AB27" s="10" t="n"/>
      <c r="AC27" s="10" t="n"/>
      <c r="AD27" s="10" t="n"/>
      <c r="AE27" s="10" t="n"/>
      <c r="AF27" s="10" t="n"/>
      <c r="AG27" s="11" t="n"/>
    </row>
  </sheetData>
  <mergeCells count="38">
    <mergeCell ref="B22:AK22"/>
    <mergeCell ref="C19:AK19"/>
    <mergeCell ref="C18:AK18"/>
    <mergeCell ref="O27:AG27"/>
    <mergeCell ref="Z1:AC1"/>
    <mergeCell ref="C6:AK6"/>
    <mergeCell ref="C15:AK15"/>
    <mergeCell ref="B14:AK14"/>
    <mergeCell ref="Q2:U3"/>
    <mergeCell ref="D27:N27"/>
    <mergeCell ref="Z2:AC3"/>
    <mergeCell ref="C20:AK20"/>
    <mergeCell ref="AD2:AG3"/>
    <mergeCell ref="C16:AK16"/>
    <mergeCell ref="J1:P1"/>
    <mergeCell ref="AH2:AK3"/>
    <mergeCell ref="C10:AK10"/>
    <mergeCell ref="O24:AG24"/>
    <mergeCell ref="Q1:U1"/>
    <mergeCell ref="C9:AK9"/>
    <mergeCell ref="V1:Y1"/>
    <mergeCell ref="C12:AK12"/>
    <mergeCell ref="B5:AK5"/>
    <mergeCell ref="AD1:AG1"/>
    <mergeCell ref="J2:P3"/>
    <mergeCell ref="AH1:AK1"/>
    <mergeCell ref="A2:I3"/>
    <mergeCell ref="C11:AK11"/>
    <mergeCell ref="D25:N25"/>
    <mergeCell ref="O26:AG26"/>
    <mergeCell ref="A1:I1"/>
    <mergeCell ref="C17:AK17"/>
    <mergeCell ref="D24:N24"/>
    <mergeCell ref="V2:Y3"/>
    <mergeCell ref="C8:AK8"/>
    <mergeCell ref="C7:AK7"/>
    <mergeCell ref="O25:AG25"/>
    <mergeCell ref="D26:N2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15"/>
  <sheetViews>
    <sheetView showGridLines="0" workbookViewId="0">
      <selection activeCell="A1" sqref="A1"/>
    </sheetView>
  </sheetViews>
  <sheetFormatPr baseColWidth="8" defaultColWidth="5" defaultRowHeight="15"/>
  <cols>
    <col width="13"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5" customWidth="1" min="22" max="22"/>
    <col width="5" customWidth="1" min="23" max="23"/>
    <col width="5" customWidth="1" min="24" max="24"/>
    <col width="5" customWidth="1" min="25" max="25"/>
    <col width="5" customWidth="1" min="26" max="26"/>
    <col width="5" customWidth="1" min="27" max="27"/>
    <col width="5" customWidth="1" min="28" max="28"/>
    <col width="5" customWidth="1" min="29" max="29"/>
    <col width="5" customWidth="1" min="30" max="30"/>
    <col width="5" customWidth="1" min="31" max="31"/>
    <col width="5" customWidth="1" min="32" max="32"/>
    <col width="5" customWidth="1" min="33" max="33"/>
    <col width="5" customWidth="1" min="34" max="34"/>
  </cols>
  <sheetData>
    <row r="1" ht="28.5" customHeight="1">
      <c r="A1" s="31" t="inlineStr">
        <is>
          <t>&lt;単体/結合/システム&gt; テスト報告書</t>
        </is>
      </c>
      <c r="B1" s="10" t="n"/>
      <c r="C1" s="10" t="n"/>
      <c r="D1" s="10" t="n"/>
      <c r="E1" s="10" t="n"/>
      <c r="F1" s="10" t="n"/>
      <c r="G1" s="10" t="n"/>
      <c r="H1" s="10" t="n"/>
      <c r="I1" s="10" t="n"/>
      <c r="J1" s="10" t="n"/>
      <c r="K1" s="10" t="n"/>
      <c r="L1" s="10" t="n"/>
      <c r="M1" s="10" t="n"/>
      <c r="N1" s="10" t="n"/>
      <c r="O1" s="10" t="n"/>
      <c r="P1" s="10" t="n"/>
      <c r="Q1" s="10" t="n"/>
      <c r="R1" s="10" t="n"/>
      <c r="S1" s="10" t="n"/>
      <c r="T1" s="10" t="n"/>
      <c r="U1" s="10" t="n"/>
      <c r="V1" s="10" t="n"/>
      <c r="W1" s="10" t="n"/>
      <c r="X1" s="10" t="n"/>
      <c r="Y1" s="10" t="n"/>
      <c r="Z1" s="10" t="n"/>
      <c r="AA1" s="10" t="n"/>
      <c r="AB1" s="10" t="n"/>
      <c r="AC1" s="10" t="n"/>
      <c r="AD1" s="10" t="n"/>
      <c r="AE1" s="10" t="n"/>
      <c r="AF1" s="10" t="n"/>
      <c r="AG1" s="10" t="n"/>
      <c r="AH1" s="11" t="n"/>
    </row>
    <row r="3" ht="22.5" customHeight="1">
      <c r="A3" s="32" t="inlineStr">
        <is>
          <t>プロジェクト名</t>
        </is>
      </c>
      <c r="B3" s="10" t="n"/>
      <c r="C3" s="10" t="n"/>
      <c r="D3" s="10" t="n"/>
      <c r="E3" s="10" t="n"/>
      <c r="F3" s="11" t="n"/>
      <c r="G3" s="20" t="inlineStr">
        <is>
          <t>クラウド版購読者管理システム</t>
        </is>
      </c>
      <c r="H3" s="10" t="n"/>
      <c r="I3" s="10" t="n"/>
      <c r="J3" s="10" t="n"/>
      <c r="K3" s="10" t="n"/>
      <c r="L3" s="10" t="n"/>
      <c r="M3" s="10" t="n"/>
      <c r="N3" s="10" t="n"/>
      <c r="O3" s="11" t="n"/>
      <c r="P3" s="32" t="inlineStr">
        <is>
          <t>プロジェクトマネージャ</t>
        </is>
      </c>
      <c r="Q3" s="10" t="n"/>
      <c r="R3" s="10" t="n"/>
      <c r="S3" s="10" t="n"/>
      <c r="T3" s="10" t="n"/>
      <c r="U3" s="10" t="n"/>
      <c r="V3" s="10" t="n"/>
      <c r="W3" s="11" t="n"/>
      <c r="X3" s="20" t="inlineStr">
        <is>
          <t>Nguyen Huy Dat</t>
        </is>
      </c>
      <c r="Y3" s="10" t="n"/>
      <c r="Z3" s="10" t="n"/>
      <c r="AA3" s="10" t="n"/>
      <c r="AB3" s="10" t="n"/>
      <c r="AC3" s="10" t="n"/>
      <c r="AD3" s="10" t="n"/>
      <c r="AE3" s="10" t="n"/>
      <c r="AF3" s="10" t="n"/>
      <c r="AG3" s="10" t="n"/>
      <c r="AH3" s="11" t="n"/>
    </row>
    <row r="4" ht="22.5" customHeight="1">
      <c r="A4" s="32" t="inlineStr">
        <is>
          <t>担当者</t>
        </is>
      </c>
      <c r="B4" s="10" t="n"/>
      <c r="C4" s="10" t="n"/>
      <c r="D4" s="10" t="n"/>
      <c r="E4" s="10" t="n"/>
      <c r="F4" s="11" t="n"/>
      <c r="G4" s="20" t="inlineStr">
        <is>
          <t>Tran Duc Tuyen</t>
        </is>
      </c>
      <c r="H4" s="10" t="n"/>
      <c r="I4" s="10" t="n"/>
      <c r="J4" s="10" t="n"/>
      <c r="K4" s="10" t="n"/>
      <c r="L4" s="10" t="n"/>
      <c r="M4" s="10" t="n"/>
      <c r="N4" s="10" t="n"/>
      <c r="O4" s="11" t="n"/>
      <c r="P4" s="32" t="inlineStr">
        <is>
          <t>作成日</t>
        </is>
      </c>
      <c r="Q4" s="10" t="n"/>
      <c r="R4" s="10" t="n"/>
      <c r="S4" s="10" t="n"/>
      <c r="T4" s="10" t="n"/>
      <c r="U4" s="10" t="n"/>
      <c r="V4" s="10" t="n"/>
      <c r="W4" s="11" t="n"/>
      <c r="X4" s="33" t="inlineStr">
        <is>
          <t>2026/05/08</t>
        </is>
      </c>
      <c r="Y4" s="10" t="n"/>
      <c r="Z4" s="10" t="n"/>
      <c r="AA4" s="10" t="n"/>
      <c r="AB4" s="10" t="n"/>
      <c r="AC4" s="10" t="n"/>
      <c r="AD4" s="10" t="n"/>
      <c r="AE4" s="10" t="n"/>
      <c r="AF4" s="10" t="n"/>
      <c r="AG4" s="10" t="n"/>
      <c r="AH4" s="11" t="n"/>
    </row>
    <row r="6" ht="22.5" customHeight="1">
      <c r="A6" s="34" t="inlineStr">
        <is>
          <t>#</t>
        </is>
      </c>
      <c r="B6" s="35" t="inlineStr">
        <is>
          <t>機能名</t>
        </is>
      </c>
      <c r="C6" s="22" t="n"/>
      <c r="D6" s="22" t="n"/>
      <c r="E6" s="22" t="n"/>
      <c r="F6" s="22" t="n"/>
      <c r="G6" s="23" t="n"/>
      <c r="H6" s="36" t="inlineStr">
        <is>
          <t>テストケース分類</t>
        </is>
      </c>
      <c r="I6" s="10" t="n"/>
      <c r="J6" s="10" t="n"/>
      <c r="K6" s="10" t="n"/>
      <c r="L6" s="10" t="n"/>
      <c r="M6" s="10" t="n"/>
      <c r="N6" s="10" t="n"/>
      <c r="O6" s="10" t="n"/>
      <c r="P6" s="11" t="n"/>
      <c r="Q6" s="35" t="inlineStr">
        <is>
          <t>合計</t>
        </is>
      </c>
      <c r="R6" s="22" t="n"/>
      <c r="S6" s="23" t="n"/>
      <c r="T6" s="36" t="inlineStr">
        <is>
          <t>テスト結果</t>
        </is>
      </c>
      <c r="U6" s="10" t="n"/>
      <c r="V6" s="10" t="n"/>
      <c r="W6" s="10" t="n"/>
      <c r="X6" s="10" t="n"/>
      <c r="Y6" s="10" t="n"/>
      <c r="Z6" s="10" t="n"/>
      <c r="AA6" s="10" t="n"/>
      <c r="AB6" s="10" t="n"/>
      <c r="AC6" s="10" t="n"/>
      <c r="AD6" s="10" t="n"/>
      <c r="AE6" s="10" t="n"/>
      <c r="AF6" s="10" t="n"/>
      <c r="AG6" s="10" t="n"/>
      <c r="AH6" s="11" t="n"/>
    </row>
    <row r="7" ht="22.5" customHeight="1">
      <c r="A7" s="37" t="n"/>
      <c r="B7" s="25" t="n"/>
      <c r="C7" s="26" t="n"/>
      <c r="D7" s="26" t="n"/>
      <c r="E7" s="26" t="n"/>
      <c r="F7" s="26" t="n"/>
      <c r="G7" s="27" t="n"/>
      <c r="H7" s="36" t="inlineStr">
        <is>
          <t>正常</t>
        </is>
      </c>
      <c r="I7" s="10" t="n"/>
      <c r="J7" s="11" t="n"/>
      <c r="K7" s="36" t="inlineStr">
        <is>
          <t>異常</t>
        </is>
      </c>
      <c r="L7" s="10" t="n"/>
      <c r="M7" s="11" t="n"/>
      <c r="N7" s="36" t="inlineStr">
        <is>
          <t>境界</t>
        </is>
      </c>
      <c r="O7" s="10" t="n"/>
      <c r="P7" s="11" t="n"/>
      <c r="Q7" s="25" t="n"/>
      <c r="R7" s="26" t="n"/>
      <c r="S7" s="27" t="n"/>
      <c r="T7" s="36" t="inlineStr">
        <is>
          <t>合格</t>
        </is>
      </c>
      <c r="U7" s="10" t="n"/>
      <c r="V7" s="11" t="n"/>
      <c r="W7" s="36" t="inlineStr">
        <is>
          <t>不合格</t>
        </is>
      </c>
      <c r="X7" s="10" t="n"/>
      <c r="Y7" s="11" t="n"/>
      <c r="Z7" s="36" t="inlineStr">
        <is>
          <t>未テスト</t>
        </is>
      </c>
      <c r="AA7" s="10" t="n"/>
      <c r="AB7" s="11" t="n"/>
      <c r="AC7" s="36" t="inlineStr">
        <is>
          <t>N/A</t>
        </is>
      </c>
      <c r="AD7" s="10" t="n"/>
      <c r="AE7" s="11" t="n"/>
      <c r="AF7" s="36" t="inlineStr">
        <is>
          <t>進捗（%）</t>
        </is>
      </c>
      <c r="AG7" s="10" t="n"/>
      <c r="AH7" s="11" t="n"/>
    </row>
    <row r="8" ht="22.5" customHeight="1">
      <c r="A8" s="38" t="inlineStr">
        <is>
          <t>テスト1回目</t>
        </is>
      </c>
    </row>
    <row r="9" ht="22.5" customHeight="1">
      <c r="A9" s="18" t="n">
        <v>1</v>
      </c>
      <c r="B9" s="20" t="inlineStr">
        <is>
          <t>機能</t>
        </is>
      </c>
      <c r="C9" s="10" t="n"/>
      <c r="D9" s="10" t="n"/>
      <c r="E9" s="10" t="n"/>
      <c r="F9" s="10" t="n"/>
      <c r="G9" s="11" t="n"/>
      <c r="H9" s="19">
        <f>INDIRECT("'"&amp;$B9&amp;"'!H7",TRUE)</f>
        <v/>
      </c>
      <c r="I9" s="10" t="n"/>
      <c r="J9" s="11" t="n"/>
      <c r="K9" s="19">
        <f>INDIRECT("'"&amp;$B9&amp;"'!K7",TRUE)</f>
        <v/>
      </c>
      <c r="L9" s="10" t="n"/>
      <c r="M9" s="11" t="n"/>
      <c r="N9" s="19">
        <f>INDIRECT("'"&amp;$B9&amp;"'!N7",TRUE)</f>
        <v/>
      </c>
      <c r="O9" s="10" t="n"/>
      <c r="P9" s="11" t="n"/>
      <c r="Q9" s="19">
        <f>INDIRECT("'"&amp;$B9&amp;"'!Q7",TRUE)</f>
        <v/>
      </c>
      <c r="R9" s="10" t="n"/>
      <c r="S9" s="11" t="n"/>
      <c r="T9" s="19">
        <f>INDIRECT("'"&amp;$B9&amp;"'!T7",TRUE)</f>
        <v/>
      </c>
      <c r="U9" s="10" t="n"/>
      <c r="V9" s="11" t="n"/>
      <c r="W9" s="19">
        <f>INDIRECT("'"&amp;$B9&amp;"'!W7",TRUE)</f>
        <v/>
      </c>
      <c r="X9" s="10" t="n"/>
      <c r="Y9" s="11" t="n"/>
      <c r="Z9" s="19">
        <f>INDIRECT("'"&amp;$B9&amp;"'!Z7",TRUE)</f>
        <v/>
      </c>
      <c r="AA9" s="10" t="n"/>
      <c r="AB9" s="11" t="n"/>
      <c r="AC9" s="19">
        <f>INDIRECT("'"&amp;$B9&amp;"'!AC7",TRUE)</f>
        <v/>
      </c>
      <c r="AD9" s="10" t="n"/>
      <c r="AE9" s="11" t="n"/>
      <c r="AF9" s="39">
        <f>IFERROR((T9+W9+AC9)/Q9,0)</f>
        <v/>
      </c>
      <c r="AG9" s="10" t="n"/>
      <c r="AH9" s="11" t="n"/>
    </row>
    <row r="10" ht="22.5" customHeight="1">
      <c r="A10" s="18" t="n">
        <v>2</v>
      </c>
      <c r="B10" s="20" t="inlineStr"/>
      <c r="C10" s="10" t="n"/>
      <c r="D10" s="10" t="n"/>
      <c r="E10" s="10" t="n"/>
      <c r="F10" s="10" t="n"/>
      <c r="G10" s="11" t="n"/>
      <c r="H10" s="19" t="inlineStr"/>
      <c r="I10" s="10" t="n"/>
      <c r="J10" s="11" t="n"/>
      <c r="K10" s="19" t="inlineStr"/>
      <c r="L10" s="10" t="n"/>
      <c r="M10" s="11" t="n"/>
      <c r="N10" s="19" t="inlineStr"/>
      <c r="O10" s="10" t="n"/>
      <c r="P10" s="11" t="n"/>
      <c r="Q10" s="19" t="inlineStr"/>
      <c r="R10" s="10" t="n"/>
      <c r="S10" s="11" t="n"/>
      <c r="T10" s="19" t="inlineStr"/>
      <c r="U10" s="10" t="n"/>
      <c r="V10" s="11" t="n"/>
      <c r="W10" s="19" t="inlineStr"/>
      <c r="X10" s="10" t="n"/>
      <c r="Y10" s="11" t="n"/>
      <c r="Z10" s="19" t="inlineStr"/>
      <c r="AA10" s="10" t="n"/>
      <c r="AB10" s="11" t="n"/>
      <c r="AC10" s="19" t="inlineStr"/>
      <c r="AD10" s="10" t="n"/>
      <c r="AE10" s="11" t="n"/>
      <c r="AF10" s="39" t="inlineStr"/>
      <c r="AG10" s="10" t="n"/>
      <c r="AH10" s="11" t="n"/>
    </row>
    <row r="11" ht="22.5" customHeight="1">
      <c r="A11" s="18" t="inlineStr"/>
      <c r="B11" s="36" t="inlineStr">
        <is>
          <t>合計</t>
        </is>
      </c>
      <c r="C11" s="10" t="n"/>
      <c r="D11" s="10" t="n"/>
      <c r="E11" s="10" t="n"/>
      <c r="F11" s="10" t="n"/>
      <c r="G11" s="11" t="n"/>
      <c r="H11" s="40">
        <f>SUM(H9:J10)</f>
        <v/>
      </c>
      <c r="I11" s="10" t="n"/>
      <c r="J11" s="11" t="n"/>
      <c r="K11" s="40">
        <f>SUM(K9:M10)</f>
        <v/>
      </c>
      <c r="L11" s="10" t="n"/>
      <c r="M11" s="11" t="n"/>
      <c r="N11" s="40">
        <f>SUM(N9:P10)</f>
        <v/>
      </c>
      <c r="O11" s="10" t="n"/>
      <c r="P11" s="11" t="n"/>
      <c r="Q11" s="40">
        <f>SUM(Q9:S10)</f>
        <v/>
      </c>
      <c r="R11" s="10" t="n"/>
      <c r="S11" s="11" t="n"/>
      <c r="T11" s="40">
        <f>SUM(T9:V10)</f>
        <v/>
      </c>
      <c r="U11" s="10" t="n"/>
      <c r="V11" s="11" t="n"/>
      <c r="W11" s="40">
        <f>SUM(W9:Y10)</f>
        <v/>
      </c>
      <c r="X11" s="10" t="n"/>
      <c r="Y11" s="11" t="n"/>
      <c r="Z11" s="40">
        <f>SUM(Z9:AB10)</f>
        <v/>
      </c>
      <c r="AA11" s="10" t="n"/>
      <c r="AB11" s="11" t="n"/>
      <c r="AC11" s="40">
        <f>SUM(AC9:AE10)</f>
        <v/>
      </c>
      <c r="AD11" s="10" t="n"/>
      <c r="AE11" s="11" t="n"/>
      <c r="AF11" s="41">
        <f>IFERROR((T11+W11+AC11)/Q11,0)</f>
        <v/>
      </c>
      <c r="AG11" s="10" t="n"/>
      <c r="AH11" s="11" t="n"/>
    </row>
    <row r="12" ht="22.5" customHeight="1">
      <c r="A12" s="38" t="inlineStr">
        <is>
          <t>テスト2回目</t>
        </is>
      </c>
    </row>
    <row r="13" ht="22.5" customHeight="1">
      <c r="A13" s="18" t="n">
        <v>1</v>
      </c>
      <c r="B13" s="20" t="inlineStr">
        <is>
          <t>機能</t>
        </is>
      </c>
      <c r="C13" s="10" t="n"/>
      <c r="D13" s="10" t="n"/>
      <c r="E13" s="10" t="n"/>
      <c r="F13" s="10" t="n"/>
      <c r="G13" s="11" t="n"/>
      <c r="H13" s="19">
        <f>INDIRECT("'"&amp;$B13&amp;"'!H8",TRUE)</f>
        <v/>
      </c>
      <c r="I13" s="10" t="n"/>
      <c r="J13" s="11" t="n"/>
      <c r="K13" s="19">
        <f>INDIRECT("'"&amp;$B13&amp;"'!K8",TRUE)</f>
        <v/>
      </c>
      <c r="L13" s="10" t="n"/>
      <c r="M13" s="11" t="n"/>
      <c r="N13" s="19">
        <f>INDIRECT("'"&amp;$B13&amp;"'!N8",TRUE)</f>
        <v/>
      </c>
      <c r="O13" s="10" t="n"/>
      <c r="P13" s="11" t="n"/>
      <c r="Q13" s="19">
        <f>INDIRECT("'"&amp;$B13&amp;"'!Q8",TRUE)</f>
        <v/>
      </c>
      <c r="R13" s="10" t="n"/>
      <c r="S13" s="11" t="n"/>
      <c r="T13" s="19">
        <f>INDIRECT("'"&amp;$B13&amp;"'!T8",TRUE)</f>
        <v/>
      </c>
      <c r="U13" s="10" t="n"/>
      <c r="V13" s="11" t="n"/>
      <c r="W13" s="19">
        <f>INDIRECT("'"&amp;$B13&amp;"'!W8",TRUE)</f>
        <v/>
      </c>
      <c r="X13" s="10" t="n"/>
      <c r="Y13" s="11" t="n"/>
      <c r="Z13" s="19">
        <f>INDIRECT("'"&amp;$B13&amp;"'!Z8",TRUE)</f>
        <v/>
      </c>
      <c r="AA13" s="10" t="n"/>
      <c r="AB13" s="11" t="n"/>
      <c r="AC13" s="19">
        <f>INDIRECT("'"&amp;$B13&amp;"'!AC8",TRUE)</f>
        <v/>
      </c>
      <c r="AD13" s="10" t="n"/>
      <c r="AE13" s="11" t="n"/>
      <c r="AF13" s="39">
        <f>IFERROR((T13+W13+AC13)/Q13,0)</f>
        <v/>
      </c>
      <c r="AG13" s="10" t="n"/>
      <c r="AH13" s="11" t="n"/>
    </row>
    <row r="14" ht="22.5" customHeight="1">
      <c r="A14" s="18" t="n">
        <v>2</v>
      </c>
      <c r="B14" s="20" t="inlineStr"/>
      <c r="C14" s="10" t="n"/>
      <c r="D14" s="10" t="n"/>
      <c r="E14" s="10" t="n"/>
      <c r="F14" s="10" t="n"/>
      <c r="G14" s="11" t="n"/>
      <c r="H14" s="19" t="inlineStr"/>
      <c r="I14" s="10" t="n"/>
      <c r="J14" s="11" t="n"/>
      <c r="K14" s="19" t="inlineStr"/>
      <c r="L14" s="10" t="n"/>
      <c r="M14" s="11" t="n"/>
      <c r="N14" s="19" t="inlineStr"/>
      <c r="O14" s="10" t="n"/>
      <c r="P14" s="11" t="n"/>
      <c r="Q14" s="19" t="inlineStr"/>
      <c r="R14" s="10" t="n"/>
      <c r="S14" s="11" t="n"/>
      <c r="T14" s="19" t="inlineStr"/>
      <c r="U14" s="10" t="n"/>
      <c r="V14" s="11" t="n"/>
      <c r="W14" s="19" t="inlineStr"/>
      <c r="X14" s="10" t="n"/>
      <c r="Y14" s="11" t="n"/>
      <c r="Z14" s="19" t="inlineStr"/>
      <c r="AA14" s="10" t="n"/>
      <c r="AB14" s="11" t="n"/>
      <c r="AC14" s="19" t="inlineStr"/>
      <c r="AD14" s="10" t="n"/>
      <c r="AE14" s="11" t="n"/>
      <c r="AF14" s="39" t="inlineStr"/>
      <c r="AG14" s="10" t="n"/>
      <c r="AH14" s="11" t="n"/>
    </row>
    <row r="15" ht="22.5" customHeight="1">
      <c r="A15" s="18" t="inlineStr"/>
      <c r="B15" s="36" t="inlineStr">
        <is>
          <t>合計</t>
        </is>
      </c>
      <c r="C15" s="10" t="n"/>
      <c r="D15" s="10" t="n"/>
      <c r="E15" s="10" t="n"/>
      <c r="F15" s="10" t="n"/>
      <c r="G15" s="11" t="n"/>
      <c r="H15" s="40">
        <f>SUM(H13:J14)</f>
        <v/>
      </c>
      <c r="I15" s="10" t="n"/>
      <c r="J15" s="11" t="n"/>
      <c r="K15" s="40">
        <f>SUM(K13:M14)</f>
        <v/>
      </c>
      <c r="L15" s="10" t="n"/>
      <c r="M15" s="11" t="n"/>
      <c r="N15" s="40">
        <f>SUM(N13:P14)</f>
        <v/>
      </c>
      <c r="O15" s="10" t="n"/>
      <c r="P15" s="11" t="n"/>
      <c r="Q15" s="40">
        <f>SUM(Q13:S14)</f>
        <v/>
      </c>
      <c r="R15" s="10" t="n"/>
      <c r="S15" s="11" t="n"/>
      <c r="T15" s="40">
        <f>SUM(T13:V14)</f>
        <v/>
      </c>
      <c r="U15" s="10" t="n"/>
      <c r="V15" s="11" t="n"/>
      <c r="W15" s="40">
        <f>SUM(W13:Y14)</f>
        <v/>
      </c>
      <c r="X15" s="10" t="n"/>
      <c r="Y15" s="11" t="n"/>
      <c r="Z15" s="40">
        <f>SUM(Z13:AB14)</f>
        <v/>
      </c>
      <c r="AA15" s="10" t="n"/>
      <c r="AB15" s="11" t="n"/>
      <c r="AC15" s="40">
        <f>SUM(AC13:AE14)</f>
        <v/>
      </c>
      <c r="AD15" s="10" t="n"/>
      <c r="AE15" s="11" t="n"/>
      <c r="AF15" s="41">
        <f>IFERROR((T15+W15+AC15)/Q15,0)</f>
        <v/>
      </c>
      <c r="AG15" s="10" t="n"/>
      <c r="AH15" s="11" t="n"/>
    </row>
  </sheetData>
  <mergeCells count="82">
    <mergeCell ref="Q14:S14"/>
    <mergeCell ref="P4:W4"/>
    <mergeCell ref="AC14:AE14"/>
    <mergeCell ref="A3:F3"/>
    <mergeCell ref="W7:Y7"/>
    <mergeCell ref="H11:J11"/>
    <mergeCell ref="Q15:S15"/>
    <mergeCell ref="B10:G10"/>
    <mergeCell ref="AF14:AH14"/>
    <mergeCell ref="N9:P9"/>
    <mergeCell ref="K10:M10"/>
    <mergeCell ref="T14:V14"/>
    <mergeCell ref="K9:M9"/>
    <mergeCell ref="K11:M11"/>
    <mergeCell ref="Z7:AB7"/>
    <mergeCell ref="AF10:AH10"/>
    <mergeCell ref="B14:G14"/>
    <mergeCell ref="B13:G13"/>
    <mergeCell ref="H7:J7"/>
    <mergeCell ref="N10:P10"/>
    <mergeCell ref="K14:M14"/>
    <mergeCell ref="W9:Y9"/>
    <mergeCell ref="K7:M7"/>
    <mergeCell ref="X3:AH3"/>
    <mergeCell ref="Z9:AB9"/>
    <mergeCell ref="Q13:S13"/>
    <mergeCell ref="A1:AH1"/>
    <mergeCell ref="AC7:AE7"/>
    <mergeCell ref="W10:Y10"/>
    <mergeCell ref="Z11:AB11"/>
    <mergeCell ref="X4:AH4"/>
    <mergeCell ref="B11:G11"/>
    <mergeCell ref="Q10:S10"/>
    <mergeCell ref="N14:P14"/>
    <mergeCell ref="A6:A7"/>
    <mergeCell ref="H13:J13"/>
    <mergeCell ref="AC9:AE9"/>
    <mergeCell ref="T13:V13"/>
    <mergeCell ref="T7:V7"/>
    <mergeCell ref="B15:G15"/>
    <mergeCell ref="H15:J15"/>
    <mergeCell ref="AF7:AH7"/>
    <mergeCell ref="Z10:AB10"/>
    <mergeCell ref="AC11:AE11"/>
    <mergeCell ref="W14:Y14"/>
    <mergeCell ref="K13:M13"/>
    <mergeCell ref="W13:Y13"/>
    <mergeCell ref="K15:M15"/>
    <mergeCell ref="N11:P11"/>
    <mergeCell ref="Q6:S7"/>
    <mergeCell ref="H10:J10"/>
    <mergeCell ref="W15:Y15"/>
    <mergeCell ref="AC13:AE13"/>
    <mergeCell ref="H9:J9"/>
    <mergeCell ref="H6:P6"/>
    <mergeCell ref="AC15:AE15"/>
    <mergeCell ref="T9:V9"/>
    <mergeCell ref="AF9:AH9"/>
    <mergeCell ref="G3:O3"/>
    <mergeCell ref="T11:V11"/>
    <mergeCell ref="AF15:AH15"/>
    <mergeCell ref="AC10:AE10"/>
    <mergeCell ref="AF11:AH11"/>
    <mergeCell ref="Z14:AB14"/>
    <mergeCell ref="N13:P13"/>
    <mergeCell ref="B9:G9"/>
    <mergeCell ref="Q9:S9"/>
    <mergeCell ref="A4:F4"/>
    <mergeCell ref="Z13:AB13"/>
    <mergeCell ref="G4:O4"/>
    <mergeCell ref="W11:Y11"/>
    <mergeCell ref="N15:P15"/>
    <mergeCell ref="Q11:S11"/>
    <mergeCell ref="T6:AH6"/>
    <mergeCell ref="H14:J14"/>
    <mergeCell ref="Z15:AB15"/>
    <mergeCell ref="AF13:AH13"/>
    <mergeCell ref="T15:V15"/>
    <mergeCell ref="N7:P7"/>
    <mergeCell ref="P3:W3"/>
    <mergeCell ref="B6:G7"/>
    <mergeCell ref="T10:V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64"/>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テスト観点</t>
        </is>
      </c>
      <c r="R2" s="22" t="n"/>
      <c r="S2" s="22" t="n"/>
      <c r="T2" s="22" t="n"/>
      <c r="U2" s="23" t="n"/>
      <c r="V2" s="24" t="inlineStr">
        <is>
          <t>2026/05/08</t>
        </is>
      </c>
      <c r="W2" s="22" t="n"/>
      <c r="X2" s="22" t="n"/>
      <c r="Y2" s="23" t="n"/>
      <c r="Z2" s="21" t="inlineStr">
        <is>
          <t>Tran Duc Tuyen</t>
        </is>
      </c>
      <c r="AA2" s="22" t="n"/>
      <c r="AB2" s="22" t="n"/>
      <c r="AC2" s="23" t="n"/>
      <c r="AD2" s="24" t="inlineStr">
        <is>
          <t>2026/05/08</t>
        </is>
      </c>
      <c r="AE2" s="22" t="n"/>
      <c r="AF2" s="22" t="n"/>
      <c r="AG2" s="23" t="n"/>
      <c r="AH2" s="21" t="inlineStr">
        <is>
          <t>Tran Duc Tuyen</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5" ht="19.5" customHeight="1">
      <c r="B5" s="28" t="inlineStr">
        <is>
          <t>1. テスト観点一覧</t>
        </is>
      </c>
    </row>
    <row r="7" ht="28.5" customHeight="1">
      <c r="B7" s="42" t="inlineStr">
        <is>
          <t>#</t>
        </is>
      </c>
      <c r="C7" s="43" t="inlineStr">
        <is>
          <t>観点ID</t>
        </is>
      </c>
      <c r="D7" s="10" t="n"/>
      <c r="E7" s="11" t="n"/>
      <c r="F7" s="43" t="inlineStr">
        <is>
          <t>大分類</t>
        </is>
      </c>
      <c r="G7" s="10" t="n"/>
      <c r="H7" s="10" t="n"/>
      <c r="I7" s="10" t="n"/>
      <c r="J7" s="10" t="n"/>
      <c r="K7" s="10" t="n"/>
      <c r="L7" s="11" t="n"/>
      <c r="M7" s="43" t="inlineStr">
        <is>
          <t>観点名</t>
        </is>
      </c>
      <c r="N7" s="10" t="n"/>
      <c r="O7" s="10" t="n"/>
      <c r="P7" s="10" t="n"/>
      <c r="Q7" s="10" t="n"/>
      <c r="R7" s="10" t="n"/>
      <c r="S7" s="10" t="n"/>
      <c r="T7" s="11" t="n"/>
      <c r="U7" s="43" t="inlineStr">
        <is>
          <t>リスク</t>
        </is>
      </c>
      <c r="V7" s="11" t="n"/>
      <c r="W7" s="43" t="inlineStr">
        <is>
          <t>対象画面範囲</t>
        </is>
      </c>
      <c r="X7" s="10" t="n"/>
      <c r="Y7" s="10" t="n"/>
      <c r="Z7" s="10" t="n"/>
      <c r="AA7" s="10" t="n"/>
      <c r="AB7" s="10" t="n"/>
      <c r="AC7" s="11" t="n"/>
      <c r="AD7" s="43" t="inlineStr">
        <is>
          <t>TC見積</t>
        </is>
      </c>
      <c r="AE7" s="10" t="n"/>
      <c r="AF7" s="11" t="n"/>
    </row>
    <row r="8" ht="30" customHeight="1">
      <c r="B8" s="44" t="n">
        <v>1</v>
      </c>
      <c r="C8" s="45" t="inlineStr">
        <is>
          <t>VP-A-01</t>
        </is>
      </c>
      <c r="D8" s="10" t="n"/>
      <c r="E8" s="11" t="n"/>
      <c r="F8" s="46" t="inlineStr">
        <is>
          <t>A. セキュリティ・権限</t>
        </is>
      </c>
      <c r="G8" s="10" t="n"/>
      <c r="H8" s="10" t="n"/>
      <c r="I8" s="10" t="n"/>
      <c r="J8" s="10" t="n"/>
      <c r="K8" s="10" t="n"/>
      <c r="L8" s="11" t="n"/>
      <c r="M8" s="46" t="inlineStr">
        <is>
          <t>ロール別権限制御（RBAC gate）</t>
        </is>
      </c>
      <c r="N8" s="10" t="n"/>
      <c r="O8" s="10" t="n"/>
      <c r="P8" s="10" t="n"/>
      <c r="Q8" s="10" t="n"/>
      <c r="R8" s="10" t="n"/>
      <c r="S8" s="10" t="n"/>
      <c r="T8" s="11" t="n"/>
      <c r="U8" s="47" t="inlineStr">
        <is>
          <t>高</t>
        </is>
      </c>
      <c r="V8" s="11" t="n"/>
      <c r="W8" s="46" t="inlineStr">
        <is>
          <t>約25保護画面</t>
        </is>
      </c>
      <c r="X8" s="10" t="n"/>
      <c r="Y8" s="10" t="n"/>
      <c r="Z8" s="10" t="n"/>
      <c r="AA8" s="10" t="n"/>
      <c r="AB8" s="10" t="n"/>
      <c r="AC8" s="11" t="n"/>
      <c r="AD8" s="45" t="n">
        <v>265</v>
      </c>
      <c r="AE8" s="10" t="n"/>
      <c r="AF8" s="11" t="n"/>
    </row>
    <row r="9" ht="30" customHeight="1">
      <c r="B9" s="44" t="n">
        <v>2</v>
      </c>
      <c r="C9" s="45" t="inlineStr">
        <is>
          <t>VP-A-02</t>
        </is>
      </c>
      <c r="D9" s="10" t="n"/>
      <c r="E9" s="11" t="n"/>
      <c r="F9" s="46" t="inlineStr">
        <is>
          <t>A. セキュリティ・権限</t>
        </is>
      </c>
      <c r="G9" s="10" t="n"/>
      <c r="H9" s="10" t="n"/>
      <c r="I9" s="10" t="n"/>
      <c r="J9" s="10" t="n"/>
      <c r="K9" s="10" t="n"/>
      <c r="L9" s="11" t="n"/>
      <c r="M9" s="46" t="inlineStr">
        <is>
          <t>データ範囲（DataScope）</t>
        </is>
      </c>
      <c r="N9" s="10" t="n"/>
      <c r="O9" s="10" t="n"/>
      <c r="P9" s="10" t="n"/>
      <c r="Q9" s="10" t="n"/>
      <c r="R9" s="10" t="n"/>
      <c r="S9" s="10" t="n"/>
      <c r="T9" s="11" t="n"/>
      <c r="U9" s="47" t="inlineStr">
        <is>
          <t>高</t>
        </is>
      </c>
      <c r="V9" s="11" t="n"/>
      <c r="W9" s="46" t="inlineStr">
        <is>
          <t>約20一覧／詳細画面</t>
        </is>
      </c>
      <c r="X9" s="10" t="n"/>
      <c r="Y9" s="10" t="n"/>
      <c r="Z9" s="10" t="n"/>
      <c r="AA9" s="10" t="n"/>
      <c r="AB9" s="10" t="n"/>
      <c r="AC9" s="11" t="n"/>
      <c r="AD9" s="45" t="n">
        <v>200</v>
      </c>
      <c r="AE9" s="10" t="n"/>
      <c r="AF9" s="11" t="n"/>
    </row>
    <row r="10" ht="36" customHeight="1">
      <c r="B10" s="44" t="n">
        <v>3</v>
      </c>
      <c r="C10" s="45" t="inlineStr">
        <is>
          <t>VP-A-03</t>
        </is>
      </c>
      <c r="D10" s="10" t="n"/>
      <c r="E10" s="11" t="n"/>
      <c r="F10" s="46" t="inlineStr">
        <is>
          <t>A. セキュリティ・権限</t>
        </is>
      </c>
      <c r="G10" s="10" t="n"/>
      <c r="H10" s="10" t="n"/>
      <c r="I10" s="10" t="n"/>
      <c r="J10" s="10" t="n"/>
      <c r="K10" s="10" t="n"/>
      <c r="L10" s="11" t="n"/>
      <c r="M10" s="46" t="inlineStr">
        <is>
          <t>項目レベル制限（Field-level restriction）</t>
        </is>
      </c>
      <c r="N10" s="10" t="n"/>
      <c r="O10" s="10" t="n"/>
      <c r="P10" s="10" t="n"/>
      <c r="Q10" s="10" t="n"/>
      <c r="R10" s="10" t="n"/>
      <c r="S10" s="10" t="n"/>
      <c r="T10" s="11" t="n"/>
      <c r="U10" s="47" t="inlineStr">
        <is>
          <t>高</t>
        </is>
      </c>
      <c r="V10" s="11" t="n"/>
      <c r="W10" s="46" t="inlineStr">
        <is>
          <t>5マスタ</t>
        </is>
      </c>
      <c r="X10" s="10" t="n"/>
      <c r="Y10" s="10" t="n"/>
      <c r="Z10" s="10" t="n"/>
      <c r="AA10" s="10" t="n"/>
      <c r="AB10" s="10" t="n"/>
      <c r="AC10" s="11" t="n"/>
      <c r="AD10" s="45" t="n">
        <v>50</v>
      </c>
      <c r="AE10" s="10" t="n"/>
      <c r="AF10" s="11" t="n"/>
    </row>
    <row r="11" ht="30" customHeight="1">
      <c r="B11" s="44" t="n">
        <v>4</v>
      </c>
      <c r="C11" s="45" t="inlineStr">
        <is>
          <t>VP-A-04</t>
        </is>
      </c>
      <c r="D11" s="10" t="n"/>
      <c r="E11" s="11" t="n"/>
      <c r="F11" s="46" t="inlineStr">
        <is>
          <t>A. セキュリティ・権限</t>
        </is>
      </c>
      <c r="G11" s="10" t="n"/>
      <c r="H11" s="10" t="n"/>
      <c r="I11" s="10" t="n"/>
      <c r="J11" s="10" t="n"/>
      <c r="K11" s="10" t="n"/>
      <c r="L11" s="11" t="n"/>
      <c r="M11" s="46" t="inlineStr">
        <is>
          <t>URL直接アクセス攻撃</t>
        </is>
      </c>
      <c r="N11" s="10" t="n"/>
      <c r="O11" s="10" t="n"/>
      <c r="P11" s="10" t="n"/>
      <c r="Q11" s="10" t="n"/>
      <c r="R11" s="10" t="n"/>
      <c r="S11" s="10" t="n"/>
      <c r="T11" s="11" t="n"/>
      <c r="U11" s="47" t="inlineStr">
        <is>
          <t>高</t>
        </is>
      </c>
      <c r="V11" s="11" t="n"/>
      <c r="W11" s="46" t="inlineStr">
        <is>
          <t>約25保護画面</t>
        </is>
      </c>
      <c r="X11" s="10" t="n"/>
      <c r="Y11" s="10" t="n"/>
      <c r="Z11" s="10" t="n"/>
      <c r="AA11" s="10" t="n"/>
      <c r="AB11" s="10" t="n"/>
      <c r="AC11" s="11" t="n"/>
      <c r="AD11" s="45" t="n">
        <v>75</v>
      </c>
      <c r="AE11" s="10" t="n"/>
      <c r="AF11" s="11" t="n"/>
    </row>
    <row r="12" ht="30" customHeight="1">
      <c r="B12" s="44" t="n">
        <v>5</v>
      </c>
      <c r="C12" s="45" t="inlineStr">
        <is>
          <t>VP-A-05</t>
        </is>
      </c>
      <c r="D12" s="10" t="n"/>
      <c r="E12" s="11" t="n"/>
      <c r="F12" s="46" t="inlineStr">
        <is>
          <t>A. セキュリティ・権限</t>
        </is>
      </c>
      <c r="G12" s="10" t="n"/>
      <c r="H12" s="10" t="n"/>
      <c r="I12" s="10" t="n"/>
      <c r="J12" s="10" t="n"/>
      <c r="K12" s="10" t="n"/>
      <c r="L12" s="11" t="n"/>
      <c r="M12" s="46" t="inlineStr">
        <is>
          <t>セッション失効／401 ハンドリング</t>
        </is>
      </c>
      <c r="N12" s="10" t="n"/>
      <c r="O12" s="10" t="n"/>
      <c r="P12" s="10" t="n"/>
      <c r="Q12" s="10" t="n"/>
      <c r="R12" s="10" t="n"/>
      <c r="S12" s="10" t="n"/>
      <c r="T12" s="11" t="n"/>
      <c r="U12" s="47" t="inlineStr">
        <is>
          <t>高</t>
        </is>
      </c>
      <c r="V12" s="11" t="n"/>
      <c r="W12" s="46" t="inlineStr">
        <is>
          <t>全システム</t>
        </is>
      </c>
      <c r="X12" s="10" t="n"/>
      <c r="Y12" s="10" t="n"/>
      <c r="Z12" s="10" t="n"/>
      <c r="AA12" s="10" t="n"/>
      <c r="AB12" s="10" t="n"/>
      <c r="AC12" s="11" t="n"/>
      <c r="AD12" s="45" t="n">
        <v>30</v>
      </c>
      <c r="AE12" s="10" t="n"/>
      <c r="AF12" s="11" t="n"/>
    </row>
    <row r="13" ht="30" customHeight="1">
      <c r="B13" s="44" t="n">
        <v>6</v>
      </c>
      <c r="C13" s="45" t="inlineStr">
        <is>
          <t>VP-A-06</t>
        </is>
      </c>
      <c r="D13" s="10" t="n"/>
      <c r="E13" s="11" t="n"/>
      <c r="F13" s="46" t="inlineStr">
        <is>
          <t>A. セキュリティ・権限</t>
        </is>
      </c>
      <c r="G13" s="10" t="n"/>
      <c r="H13" s="10" t="n"/>
      <c r="I13" s="10" t="n"/>
      <c r="J13" s="10" t="n"/>
      <c r="K13" s="10" t="n"/>
      <c r="L13" s="11" t="n"/>
      <c r="M13" s="46" t="inlineStr">
        <is>
          <t>XSS／HTML 描画安全性</t>
        </is>
      </c>
      <c r="N13" s="10" t="n"/>
      <c r="O13" s="10" t="n"/>
      <c r="P13" s="10" t="n"/>
      <c r="Q13" s="10" t="n"/>
      <c r="R13" s="10" t="n"/>
      <c r="S13" s="10" t="n"/>
      <c r="T13" s="11" t="n"/>
      <c r="U13" s="47" t="inlineStr">
        <is>
          <t>高</t>
        </is>
      </c>
      <c r="V13" s="11" t="n"/>
      <c r="W13" s="46" t="inlineStr">
        <is>
          <t>約20フォーム</t>
        </is>
      </c>
      <c r="X13" s="10" t="n"/>
      <c r="Y13" s="10" t="n"/>
      <c r="Z13" s="10" t="n"/>
      <c r="AA13" s="10" t="n"/>
      <c r="AB13" s="10" t="n"/>
      <c r="AC13" s="11" t="n"/>
      <c r="AD13" s="45" t="n">
        <v>50</v>
      </c>
      <c r="AE13" s="10" t="n"/>
      <c r="AF13" s="11" t="n"/>
    </row>
    <row r="14" ht="30" customHeight="1">
      <c r="B14" s="44" t="n">
        <v>7</v>
      </c>
      <c r="C14" s="45" t="inlineStr">
        <is>
          <t>VP-A-07</t>
        </is>
      </c>
      <c r="D14" s="10" t="n"/>
      <c r="E14" s="11" t="n"/>
      <c r="F14" s="46" t="inlineStr">
        <is>
          <t>A. セキュリティ・権限</t>
        </is>
      </c>
      <c r="G14" s="10" t="n"/>
      <c r="H14" s="10" t="n"/>
      <c r="I14" s="10" t="n"/>
      <c r="J14" s="10" t="n"/>
      <c r="K14" s="10" t="n"/>
      <c r="L14" s="11" t="n"/>
      <c r="M14" s="46" t="inlineStr">
        <is>
          <t>CSRF／Cookie セキュリティフラグ</t>
        </is>
      </c>
      <c r="N14" s="10" t="n"/>
      <c r="O14" s="10" t="n"/>
      <c r="P14" s="10" t="n"/>
      <c r="Q14" s="10" t="n"/>
      <c r="R14" s="10" t="n"/>
      <c r="S14" s="10" t="n"/>
      <c r="T14" s="11" t="n"/>
      <c r="U14" s="47" t="inlineStr">
        <is>
          <t>高</t>
        </is>
      </c>
      <c r="V14" s="11" t="n"/>
      <c r="W14" s="46" t="inlineStr">
        <is>
          <t>全システム</t>
        </is>
      </c>
      <c r="X14" s="10" t="n"/>
      <c r="Y14" s="10" t="n"/>
      <c r="Z14" s="10" t="n"/>
      <c r="AA14" s="10" t="n"/>
      <c r="AB14" s="10" t="n"/>
      <c r="AC14" s="11" t="n"/>
      <c r="AD14" s="45" t="n">
        <v>10</v>
      </c>
      <c r="AE14" s="10" t="n"/>
      <c r="AF14" s="11" t="n"/>
    </row>
    <row r="15" ht="30" customHeight="1">
      <c r="B15" s="44" t="n">
        <v>8</v>
      </c>
      <c r="C15" s="45" t="inlineStr">
        <is>
          <t>VP-A-08</t>
        </is>
      </c>
      <c r="D15" s="10" t="n"/>
      <c r="E15" s="11" t="n"/>
      <c r="F15" s="46" t="inlineStr">
        <is>
          <t>A. セキュリティ・権限</t>
        </is>
      </c>
      <c r="G15" s="10" t="n"/>
      <c r="H15" s="10" t="n"/>
      <c r="I15" s="10" t="n"/>
      <c r="J15" s="10" t="n"/>
      <c r="K15" s="10" t="n"/>
      <c r="L15" s="11" t="n"/>
      <c r="M15" s="46" t="inlineStr">
        <is>
          <t>レート制限・Throttling</t>
        </is>
      </c>
      <c r="N15" s="10" t="n"/>
      <c r="O15" s="10" t="n"/>
      <c r="P15" s="10" t="n"/>
      <c r="Q15" s="10" t="n"/>
      <c r="R15" s="10" t="n"/>
      <c r="S15" s="10" t="n"/>
      <c r="T15" s="11" t="n"/>
      <c r="U15" s="48" t="inlineStr">
        <is>
          <t>中</t>
        </is>
      </c>
      <c r="V15" s="11" t="n"/>
      <c r="W15" s="46" t="inlineStr">
        <is>
          <t>全公開API＋認証エンドポイント</t>
        </is>
      </c>
      <c r="X15" s="10" t="n"/>
      <c r="Y15" s="10" t="n"/>
      <c r="Z15" s="10" t="n"/>
      <c r="AA15" s="10" t="n"/>
      <c r="AB15" s="10" t="n"/>
      <c r="AC15" s="11" t="n"/>
      <c r="AD15" s="45" t="n">
        <v>20</v>
      </c>
      <c r="AE15" s="10" t="n"/>
      <c r="AF15" s="11" t="n"/>
    </row>
    <row r="16" ht="30" customHeight="1">
      <c r="B16" s="44" t="n">
        <v>9</v>
      </c>
      <c r="C16" s="45" t="inlineStr">
        <is>
          <t>VP-A-09</t>
        </is>
      </c>
      <c r="D16" s="10" t="n"/>
      <c r="E16" s="11" t="n"/>
      <c r="F16" s="46" t="inlineStr">
        <is>
          <t>A. セキュリティ・権限</t>
        </is>
      </c>
      <c r="G16" s="10" t="n"/>
      <c r="H16" s="10" t="n"/>
      <c r="I16" s="10" t="n"/>
      <c r="J16" s="10" t="n"/>
      <c r="K16" s="10" t="n"/>
      <c r="L16" s="11" t="n"/>
      <c r="M16" s="46" t="inlineStr">
        <is>
          <t>アカウントロック・解除運用</t>
        </is>
      </c>
      <c r="N16" s="10" t="n"/>
      <c r="O16" s="10" t="n"/>
      <c r="P16" s="10" t="n"/>
      <c r="Q16" s="10" t="n"/>
      <c r="R16" s="10" t="n"/>
      <c r="S16" s="10" t="n"/>
      <c r="T16" s="11" t="n"/>
      <c r="U16" s="47" t="inlineStr">
        <is>
          <t>高</t>
        </is>
      </c>
      <c r="V16" s="11" t="n"/>
      <c r="W16" s="46" t="inlineStr">
        <is>
          <t>SCR-001／002＋管理機能</t>
        </is>
      </c>
      <c r="X16" s="10" t="n"/>
      <c r="Y16" s="10" t="n"/>
      <c r="Z16" s="10" t="n"/>
      <c r="AA16" s="10" t="n"/>
      <c r="AB16" s="10" t="n"/>
      <c r="AC16" s="11" t="n"/>
      <c r="AD16" s="45" t="n">
        <v>8</v>
      </c>
      <c r="AE16" s="10" t="n"/>
      <c r="AF16" s="11" t="n"/>
    </row>
    <row r="17" ht="30" customHeight="1">
      <c r="B17" s="44" t="n">
        <v>10</v>
      </c>
      <c r="C17" s="45" t="inlineStr">
        <is>
          <t>VP-A-10</t>
        </is>
      </c>
      <c r="D17" s="10" t="n"/>
      <c r="E17" s="11" t="n"/>
      <c r="F17" s="46" t="inlineStr">
        <is>
          <t>A. セキュリティ・権限</t>
        </is>
      </c>
      <c r="G17" s="10" t="n"/>
      <c r="H17" s="10" t="n"/>
      <c r="I17" s="10" t="n"/>
      <c r="J17" s="10" t="n"/>
      <c r="K17" s="10" t="n"/>
      <c r="L17" s="11" t="n"/>
      <c r="M17" s="46" t="inlineStr">
        <is>
          <t>SQL インジェクション</t>
        </is>
      </c>
      <c r="N17" s="10" t="n"/>
      <c r="O17" s="10" t="n"/>
      <c r="P17" s="10" t="n"/>
      <c r="Q17" s="10" t="n"/>
      <c r="R17" s="10" t="n"/>
      <c r="S17" s="10" t="n"/>
      <c r="T17" s="11" t="n"/>
      <c r="U17" s="47" t="inlineStr">
        <is>
          <t>高</t>
        </is>
      </c>
      <c r="V17" s="11" t="n"/>
      <c r="W17" s="46" t="inlineStr">
        <is>
          <t>約20フォーム＋検索</t>
        </is>
      </c>
      <c r="X17" s="10" t="n"/>
      <c r="Y17" s="10" t="n"/>
      <c r="Z17" s="10" t="n"/>
      <c r="AA17" s="10" t="n"/>
      <c r="AB17" s="10" t="n"/>
      <c r="AC17" s="11" t="n"/>
      <c r="AD17" s="45" t="n">
        <v>30</v>
      </c>
      <c r="AE17" s="10" t="n"/>
      <c r="AF17" s="11" t="n"/>
    </row>
    <row r="18" ht="30" customHeight="1">
      <c r="B18" s="44" t="n">
        <v>11</v>
      </c>
      <c r="C18" s="45" t="inlineStr">
        <is>
          <t>VP-B-01</t>
        </is>
      </c>
      <c r="D18" s="10" t="n"/>
      <c r="E18" s="11" t="n"/>
      <c r="F18" s="46" t="inlineStr">
        <is>
          <t>B. データバリデーション</t>
        </is>
      </c>
      <c r="G18" s="10" t="n"/>
      <c r="H18" s="10" t="n"/>
      <c r="I18" s="10" t="n"/>
      <c r="J18" s="10" t="n"/>
      <c r="K18" s="10" t="n"/>
      <c r="L18" s="11" t="n"/>
      <c r="M18" s="46" t="inlineStr">
        <is>
          <t>必須項目チェック</t>
        </is>
      </c>
      <c r="N18" s="10" t="n"/>
      <c r="O18" s="10" t="n"/>
      <c r="P18" s="10" t="n"/>
      <c r="Q18" s="10" t="n"/>
      <c r="R18" s="10" t="n"/>
      <c r="S18" s="10" t="n"/>
      <c r="T18" s="11" t="n"/>
      <c r="U18" s="48" t="inlineStr">
        <is>
          <t>中</t>
        </is>
      </c>
      <c r="V18" s="11" t="n"/>
      <c r="W18" s="46" t="inlineStr">
        <is>
          <t>約25フォーム</t>
        </is>
      </c>
      <c r="X18" s="10" t="n"/>
      <c r="Y18" s="10" t="n"/>
      <c r="Z18" s="10" t="n"/>
      <c r="AA18" s="10" t="n"/>
      <c r="AB18" s="10" t="n"/>
      <c r="AC18" s="11" t="n"/>
      <c r="AD18" s="45" t="n">
        <v>100</v>
      </c>
      <c r="AE18" s="10" t="n"/>
      <c r="AF18" s="11" t="n"/>
    </row>
    <row r="19" ht="30" customHeight="1">
      <c r="B19" s="44" t="n">
        <v>12</v>
      </c>
      <c r="C19" s="45" t="inlineStr">
        <is>
          <t>VP-B-02</t>
        </is>
      </c>
      <c r="D19" s="10" t="n"/>
      <c r="E19" s="11" t="n"/>
      <c r="F19" s="46" t="inlineStr">
        <is>
          <t>B. データバリデーション</t>
        </is>
      </c>
      <c r="G19" s="10" t="n"/>
      <c r="H19" s="10" t="n"/>
      <c r="I19" s="10" t="n"/>
      <c r="J19" s="10" t="n"/>
      <c r="K19" s="10" t="n"/>
      <c r="L19" s="11" t="n"/>
      <c r="M19" s="46" t="inlineStr">
        <is>
          <t>最小／最大長境界</t>
        </is>
      </c>
      <c r="N19" s="10" t="n"/>
      <c r="O19" s="10" t="n"/>
      <c r="P19" s="10" t="n"/>
      <c r="Q19" s="10" t="n"/>
      <c r="R19" s="10" t="n"/>
      <c r="S19" s="10" t="n"/>
      <c r="T19" s="11" t="n"/>
      <c r="U19" s="48" t="inlineStr">
        <is>
          <t>中</t>
        </is>
      </c>
      <c r="V19" s="11" t="n"/>
      <c r="W19" s="46" t="inlineStr">
        <is>
          <t>約25フォーム</t>
        </is>
      </c>
      <c r="X19" s="10" t="n"/>
      <c r="Y19" s="10" t="n"/>
      <c r="Z19" s="10" t="n"/>
      <c r="AA19" s="10" t="n"/>
      <c r="AB19" s="10" t="n"/>
      <c r="AC19" s="11" t="n"/>
      <c r="AD19" s="45" t="n">
        <v>80</v>
      </c>
      <c r="AE19" s="10" t="n"/>
      <c r="AF19" s="11" t="n"/>
    </row>
    <row r="20" ht="30" customHeight="1">
      <c r="B20" s="44" t="n">
        <v>13</v>
      </c>
      <c r="C20" s="45" t="inlineStr">
        <is>
          <t>VP-B-03</t>
        </is>
      </c>
      <c r="D20" s="10" t="n"/>
      <c r="E20" s="11" t="n"/>
      <c r="F20" s="46" t="inlineStr">
        <is>
          <t>B. データバリデーション</t>
        </is>
      </c>
      <c r="G20" s="10" t="n"/>
      <c r="H20" s="10" t="n"/>
      <c r="I20" s="10" t="n"/>
      <c r="J20" s="10" t="n"/>
      <c r="K20" s="10" t="n"/>
      <c r="L20" s="11" t="n"/>
      <c r="M20" s="46" t="inlineStr">
        <is>
          <t>形式正規表現（郵便／電話／コード）</t>
        </is>
      </c>
      <c r="N20" s="10" t="n"/>
      <c r="O20" s="10" t="n"/>
      <c r="P20" s="10" t="n"/>
      <c r="Q20" s="10" t="n"/>
      <c r="R20" s="10" t="n"/>
      <c r="S20" s="10" t="n"/>
      <c r="T20" s="11" t="n"/>
      <c r="U20" s="48" t="inlineStr">
        <is>
          <t>中</t>
        </is>
      </c>
      <c r="V20" s="11" t="n"/>
      <c r="W20" s="46" t="inlineStr">
        <is>
          <t>約20フォーム</t>
        </is>
      </c>
      <c r="X20" s="10" t="n"/>
      <c r="Y20" s="10" t="n"/>
      <c r="Z20" s="10" t="n"/>
      <c r="AA20" s="10" t="n"/>
      <c r="AB20" s="10" t="n"/>
      <c r="AC20" s="11" t="n"/>
      <c r="AD20" s="45" t="n">
        <v>60</v>
      </c>
      <c r="AE20" s="10" t="n"/>
      <c r="AF20" s="11" t="n"/>
    </row>
    <row r="21" ht="30" customHeight="1">
      <c r="B21" s="44" t="n">
        <v>14</v>
      </c>
      <c r="C21" s="45" t="inlineStr">
        <is>
          <t>VP-B-04</t>
        </is>
      </c>
      <c r="D21" s="10" t="n"/>
      <c r="E21" s="11" t="n"/>
      <c r="F21" s="46" t="inlineStr">
        <is>
          <t>B. データバリデーション</t>
        </is>
      </c>
      <c r="G21" s="10" t="n"/>
      <c r="H21" s="10" t="n"/>
      <c r="I21" s="10" t="n"/>
      <c r="J21" s="10" t="n"/>
      <c r="K21" s="10" t="n"/>
      <c r="L21" s="11" t="n"/>
      <c r="M21" s="46" t="inlineStr">
        <is>
          <t>半角／全角ハンドリング</t>
        </is>
      </c>
      <c r="N21" s="10" t="n"/>
      <c r="O21" s="10" t="n"/>
      <c r="P21" s="10" t="n"/>
      <c r="Q21" s="10" t="n"/>
      <c r="R21" s="10" t="n"/>
      <c r="S21" s="10" t="n"/>
      <c r="T21" s="11" t="n"/>
      <c r="U21" s="48" t="inlineStr">
        <is>
          <t>中</t>
        </is>
      </c>
      <c r="V21" s="11" t="n"/>
      <c r="W21" s="46" t="inlineStr">
        <is>
          <t>約25フォーム</t>
        </is>
      </c>
      <c r="X21" s="10" t="n"/>
      <c r="Y21" s="10" t="n"/>
      <c r="Z21" s="10" t="n"/>
      <c r="AA21" s="10" t="n"/>
      <c r="AB21" s="10" t="n"/>
      <c r="AC21" s="11" t="n"/>
      <c r="AD21" s="45" t="n">
        <v>50</v>
      </c>
      <c r="AE21" s="10" t="n"/>
      <c r="AF21" s="11" t="n"/>
    </row>
    <row r="22" ht="30" customHeight="1">
      <c r="B22" s="44" t="n">
        <v>15</v>
      </c>
      <c r="C22" s="45" t="inlineStr">
        <is>
          <t>VP-B-05</t>
        </is>
      </c>
      <c r="D22" s="10" t="n"/>
      <c r="E22" s="11" t="n"/>
      <c r="F22" s="46" t="inlineStr">
        <is>
          <t>B. データバリデーション</t>
        </is>
      </c>
      <c r="G22" s="10" t="n"/>
      <c r="H22" s="10" t="n"/>
      <c r="I22" s="10" t="n"/>
      <c r="J22" s="10" t="n"/>
      <c r="K22" s="10" t="n"/>
      <c r="L22" s="11" t="n"/>
      <c r="M22" s="46" t="inlineStr">
        <is>
          <t>日付ロジック</t>
        </is>
      </c>
      <c r="N22" s="10" t="n"/>
      <c r="O22" s="10" t="n"/>
      <c r="P22" s="10" t="n"/>
      <c r="Q22" s="10" t="n"/>
      <c r="R22" s="10" t="n"/>
      <c r="S22" s="10" t="n"/>
      <c r="T22" s="11" t="n"/>
      <c r="U22" s="48" t="inlineStr">
        <is>
          <t>中</t>
        </is>
      </c>
      <c r="V22" s="11" t="n"/>
      <c r="W22" s="46" t="inlineStr">
        <is>
          <t>約10日付付きフォーム</t>
        </is>
      </c>
      <c r="X22" s="10" t="n"/>
      <c r="Y22" s="10" t="n"/>
      <c r="Z22" s="10" t="n"/>
      <c r="AA22" s="10" t="n"/>
      <c r="AB22" s="10" t="n"/>
      <c r="AC22" s="11" t="n"/>
      <c r="AD22" s="45" t="n">
        <v>30</v>
      </c>
      <c r="AE22" s="10" t="n"/>
      <c r="AF22" s="11" t="n"/>
    </row>
    <row r="23" ht="30" customHeight="1">
      <c r="B23" s="44" t="n">
        <v>16</v>
      </c>
      <c r="C23" s="45" t="inlineStr">
        <is>
          <t>VP-B-06</t>
        </is>
      </c>
      <c r="D23" s="10" t="n"/>
      <c r="E23" s="11" t="n"/>
      <c r="F23" s="46" t="inlineStr">
        <is>
          <t>B. データバリデーション</t>
        </is>
      </c>
      <c r="G23" s="10" t="n"/>
      <c r="H23" s="10" t="n"/>
      <c r="I23" s="10" t="n"/>
      <c r="J23" s="10" t="n"/>
      <c r="K23" s="10" t="n"/>
      <c r="L23" s="11" t="n"/>
      <c r="M23" s="46" t="inlineStr">
        <is>
          <t>通貨／パーセント形式</t>
        </is>
      </c>
      <c r="N23" s="10" t="n"/>
      <c r="O23" s="10" t="n"/>
      <c r="P23" s="10" t="n"/>
      <c r="Q23" s="10" t="n"/>
      <c r="R23" s="10" t="n"/>
      <c r="S23" s="10" t="n"/>
      <c r="T23" s="11" t="n"/>
      <c r="U23" s="47" t="inlineStr">
        <is>
          <t>高</t>
        </is>
      </c>
      <c r="V23" s="11" t="n"/>
      <c r="W23" s="46" t="inlineStr">
        <is>
          <t>2-3フォーム（単価）</t>
        </is>
      </c>
      <c r="X23" s="10" t="n"/>
      <c r="Y23" s="10" t="n"/>
      <c r="Z23" s="10" t="n"/>
      <c r="AA23" s="10" t="n"/>
      <c r="AB23" s="10" t="n"/>
      <c r="AC23" s="11" t="n"/>
      <c r="AD23" s="45" t="n">
        <v>15</v>
      </c>
      <c r="AE23" s="10" t="n"/>
      <c r="AF23" s="11" t="n"/>
    </row>
    <row r="24" ht="36" customHeight="1">
      <c r="B24" s="44" t="n">
        <v>17</v>
      </c>
      <c r="C24" s="45" t="inlineStr">
        <is>
          <t>VP-B-07</t>
        </is>
      </c>
      <c r="D24" s="10" t="n"/>
      <c r="E24" s="11" t="n"/>
      <c r="F24" s="46" t="inlineStr">
        <is>
          <t>B. データバリデーション</t>
        </is>
      </c>
      <c r="G24" s="10" t="n"/>
      <c r="H24" s="10" t="n"/>
      <c r="I24" s="10" t="n"/>
      <c r="J24" s="10" t="n"/>
      <c r="K24" s="10" t="n"/>
      <c r="L24" s="11" t="n"/>
      <c r="M24" s="46" t="inlineStr">
        <is>
          <t>マスタコード（m_code）参照</t>
        </is>
      </c>
      <c r="N24" s="10" t="n"/>
      <c r="O24" s="10" t="n"/>
      <c r="P24" s="10" t="n"/>
      <c r="Q24" s="10" t="n"/>
      <c r="R24" s="10" t="n"/>
      <c r="S24" s="10" t="n"/>
      <c r="T24" s="11" t="n"/>
      <c r="U24" s="48" t="inlineStr">
        <is>
          <t>中</t>
        </is>
      </c>
      <c r="V24" s="11" t="n"/>
      <c r="W24" s="46" t="inlineStr">
        <is>
          <t>約15ドロップダウン付きフォーム</t>
        </is>
      </c>
      <c r="X24" s="10" t="n"/>
      <c r="Y24" s="10" t="n"/>
      <c r="Z24" s="10" t="n"/>
      <c r="AA24" s="10" t="n"/>
      <c r="AB24" s="10" t="n"/>
      <c r="AC24" s="11" t="n"/>
      <c r="AD24" s="45" t="n">
        <v>45</v>
      </c>
      <c r="AE24" s="10" t="n"/>
      <c r="AF24" s="11" t="n"/>
    </row>
    <row r="25" ht="30" customHeight="1">
      <c r="B25" s="44" t="n">
        <v>18</v>
      </c>
      <c r="C25" s="45" t="inlineStr">
        <is>
          <t>VP-B-08</t>
        </is>
      </c>
      <c r="D25" s="10" t="n"/>
      <c r="E25" s="11" t="n"/>
      <c r="F25" s="46" t="inlineStr">
        <is>
          <t>B. データバリデーション</t>
        </is>
      </c>
      <c r="G25" s="10" t="n"/>
      <c r="H25" s="10" t="n"/>
      <c r="I25" s="10" t="n"/>
      <c r="J25" s="10" t="n"/>
      <c r="K25" s="10" t="n"/>
      <c r="L25" s="11" t="n"/>
      <c r="M25" s="46" t="inlineStr">
        <is>
          <t>キー重複（duplicate code）</t>
        </is>
      </c>
      <c r="N25" s="10" t="n"/>
      <c r="O25" s="10" t="n"/>
      <c r="P25" s="10" t="n"/>
      <c r="Q25" s="10" t="n"/>
      <c r="R25" s="10" t="n"/>
      <c r="S25" s="10" t="n"/>
      <c r="T25" s="11" t="n"/>
      <c r="U25" s="48" t="inlineStr">
        <is>
          <t>中</t>
        </is>
      </c>
      <c r="V25" s="11" t="n"/>
      <c r="W25" s="46" t="inlineStr">
        <is>
          <t>約10マスタ</t>
        </is>
      </c>
      <c r="X25" s="10" t="n"/>
      <c r="Y25" s="10" t="n"/>
      <c r="Z25" s="10" t="n"/>
      <c r="AA25" s="10" t="n"/>
      <c r="AB25" s="10" t="n"/>
      <c r="AC25" s="11" t="n"/>
      <c r="AD25" s="45" t="n">
        <v>30</v>
      </c>
      <c r="AE25" s="10" t="n"/>
      <c r="AF25" s="11" t="n"/>
    </row>
    <row r="26" ht="36" customHeight="1">
      <c r="B26" s="44" t="n">
        <v>19</v>
      </c>
      <c r="C26" s="45" t="inlineStr">
        <is>
          <t>VP-B-09</t>
        </is>
      </c>
      <c r="D26" s="10" t="n"/>
      <c r="E26" s="11" t="n"/>
      <c r="F26" s="46" t="inlineStr">
        <is>
          <t>B. データバリデーション</t>
        </is>
      </c>
      <c r="G26" s="10" t="n"/>
      <c r="H26" s="10" t="n"/>
      <c r="I26" s="10" t="n"/>
      <c r="J26" s="10" t="n"/>
      <c r="K26" s="10" t="n"/>
      <c r="L26" s="11" t="n"/>
      <c r="M26" s="46" t="inlineStr">
        <is>
          <t>IME・全角入力・貼付ハンドリング</t>
        </is>
      </c>
      <c r="N26" s="10" t="n"/>
      <c r="O26" s="10" t="n"/>
      <c r="P26" s="10" t="n"/>
      <c r="Q26" s="10" t="n"/>
      <c r="R26" s="10" t="n"/>
      <c r="S26" s="10" t="n"/>
      <c r="T26" s="11" t="n"/>
      <c r="U26" s="48" t="inlineStr">
        <is>
          <t>中</t>
        </is>
      </c>
      <c r="V26" s="11" t="n"/>
      <c r="W26" s="46" t="inlineStr">
        <is>
          <t>全テキスト入力フォーム＋検索画面</t>
        </is>
      </c>
      <c r="X26" s="10" t="n"/>
      <c r="Y26" s="10" t="n"/>
      <c r="Z26" s="10" t="n"/>
      <c r="AA26" s="10" t="n"/>
      <c r="AB26" s="10" t="n"/>
      <c r="AC26" s="11" t="n"/>
      <c r="AD26" s="45" t="n">
        <v>25</v>
      </c>
      <c r="AE26" s="10" t="n"/>
      <c r="AF26" s="11" t="n"/>
    </row>
    <row r="27" ht="30" customHeight="1">
      <c r="B27" s="44" t="n">
        <v>20</v>
      </c>
      <c r="C27" s="45" t="inlineStr">
        <is>
          <t>VP-C-01</t>
        </is>
      </c>
      <c r="D27" s="10" t="n"/>
      <c r="E27" s="11" t="n"/>
      <c r="F27" s="46" t="inlineStr">
        <is>
          <t>C. 業務ロジック</t>
        </is>
      </c>
      <c r="G27" s="10" t="n"/>
      <c r="H27" s="10" t="n"/>
      <c r="I27" s="10" t="n"/>
      <c r="J27" s="10" t="n"/>
      <c r="K27" s="10" t="n"/>
      <c r="L27" s="11" t="n"/>
      <c r="M27" s="46" t="inlineStr">
        <is>
          <t>CRUD 正常系 + DB 永続化</t>
        </is>
      </c>
      <c r="N27" s="10" t="n"/>
      <c r="O27" s="10" t="n"/>
      <c r="P27" s="10" t="n"/>
      <c r="Q27" s="10" t="n"/>
      <c r="R27" s="10" t="n"/>
      <c r="S27" s="10" t="n"/>
      <c r="T27" s="11" t="n"/>
      <c r="U27" s="47" t="inlineStr">
        <is>
          <t>高</t>
        </is>
      </c>
      <c r="V27" s="11" t="n"/>
      <c r="W27" s="46" t="inlineStr">
        <is>
          <t>約10マスタ</t>
        </is>
      </c>
      <c r="X27" s="10" t="n"/>
      <c r="Y27" s="10" t="n"/>
      <c r="Z27" s="10" t="n"/>
      <c r="AA27" s="10" t="n"/>
      <c r="AB27" s="10" t="n"/>
      <c r="AC27" s="11" t="n"/>
      <c r="AD27" s="45" t="n">
        <v>60</v>
      </c>
      <c r="AE27" s="10" t="n"/>
      <c r="AF27" s="11" t="n"/>
    </row>
    <row r="28" ht="30" customHeight="1">
      <c r="B28" s="44" t="n">
        <v>21</v>
      </c>
      <c r="C28" s="45" t="inlineStr">
        <is>
          <t>VP-C-02</t>
        </is>
      </c>
      <c r="D28" s="10" t="n"/>
      <c r="E28" s="11" t="n"/>
      <c r="F28" s="46" t="inlineStr">
        <is>
          <t>C. 業務ロジック</t>
        </is>
      </c>
      <c r="G28" s="10" t="n"/>
      <c r="H28" s="10" t="n"/>
      <c r="I28" s="10" t="n"/>
      <c r="J28" s="10" t="n"/>
      <c r="K28" s="10" t="n"/>
      <c r="L28" s="11" t="n"/>
      <c r="M28" s="46" t="inlineStr">
        <is>
          <t>同時編集競合</t>
        </is>
      </c>
      <c r="N28" s="10" t="n"/>
      <c r="O28" s="10" t="n"/>
      <c r="P28" s="10" t="n"/>
      <c r="Q28" s="10" t="n"/>
      <c r="R28" s="10" t="n"/>
      <c r="S28" s="10" t="n"/>
      <c r="T28" s="11" t="n"/>
      <c r="U28" s="48" t="inlineStr">
        <is>
          <t>中</t>
        </is>
      </c>
      <c r="V28" s="11" t="n"/>
      <c r="W28" s="46" t="inlineStr">
        <is>
          <t>約8編集画面</t>
        </is>
      </c>
      <c r="X28" s="10" t="n"/>
      <c r="Y28" s="10" t="n"/>
      <c r="Z28" s="10" t="n"/>
      <c r="AA28" s="10" t="n"/>
      <c r="AB28" s="10" t="n"/>
      <c r="AC28" s="11" t="n"/>
      <c r="AD28" s="45" t="n">
        <v>16</v>
      </c>
      <c r="AE28" s="10" t="n"/>
      <c r="AF28" s="11" t="n"/>
    </row>
    <row r="29" ht="30" customHeight="1">
      <c r="B29" s="44" t="n">
        <v>22</v>
      </c>
      <c r="C29" s="45" t="inlineStr">
        <is>
          <t>VP-C-03</t>
        </is>
      </c>
      <c r="D29" s="10" t="n"/>
      <c r="E29" s="11" t="n"/>
      <c r="F29" s="46" t="inlineStr">
        <is>
          <t>C. 業務ロジック</t>
        </is>
      </c>
      <c r="G29" s="10" t="n"/>
      <c r="H29" s="10" t="n"/>
      <c r="I29" s="10" t="n"/>
      <c r="J29" s="10" t="n"/>
      <c r="K29" s="10" t="n"/>
      <c r="L29" s="11" t="n"/>
      <c r="M29" s="46" t="inlineStr">
        <is>
          <t>論理削除 + FK 関連</t>
        </is>
      </c>
      <c r="N29" s="10" t="n"/>
      <c r="O29" s="10" t="n"/>
      <c r="P29" s="10" t="n"/>
      <c r="Q29" s="10" t="n"/>
      <c r="R29" s="10" t="n"/>
      <c r="S29" s="10" t="n"/>
      <c r="T29" s="11" t="n"/>
      <c r="U29" s="47" t="inlineStr">
        <is>
          <t>高</t>
        </is>
      </c>
      <c r="V29" s="11" t="n"/>
      <c r="W29" s="46" t="inlineStr">
        <is>
          <t>約6関連付きマスタ</t>
        </is>
      </c>
      <c r="X29" s="10" t="n"/>
      <c r="Y29" s="10" t="n"/>
      <c r="Z29" s="10" t="n"/>
      <c r="AA29" s="10" t="n"/>
      <c r="AB29" s="10" t="n"/>
      <c r="AC29" s="11" t="n"/>
      <c r="AD29" s="45" t="n">
        <v>18</v>
      </c>
      <c r="AE29" s="10" t="n"/>
      <c r="AF29" s="11" t="n"/>
    </row>
    <row r="30" ht="30" customHeight="1">
      <c r="B30" s="44" t="n">
        <v>23</v>
      </c>
      <c r="C30" s="45" t="inlineStr">
        <is>
          <t>VP-C-04</t>
        </is>
      </c>
      <c r="D30" s="10" t="n"/>
      <c r="E30" s="11" t="n"/>
      <c r="F30" s="46" t="inlineStr">
        <is>
          <t>C. 業務ロジック</t>
        </is>
      </c>
      <c r="G30" s="10" t="n"/>
      <c r="H30" s="10" t="n"/>
      <c r="I30" s="10" t="n"/>
      <c r="J30" s="10" t="n"/>
      <c r="K30" s="10" t="n"/>
      <c r="L30" s="11" t="n"/>
      <c r="M30" s="46" t="inlineStr">
        <is>
          <t>税込／税抜計算</t>
        </is>
      </c>
      <c r="N30" s="10" t="n"/>
      <c r="O30" s="10" t="n"/>
      <c r="P30" s="10" t="n"/>
      <c r="Q30" s="10" t="n"/>
      <c r="R30" s="10" t="n"/>
      <c r="S30" s="10" t="n"/>
      <c r="T30" s="11" t="n"/>
      <c r="U30" s="48" t="inlineStr">
        <is>
          <t>中</t>
        </is>
      </c>
      <c r="V30" s="11" t="n"/>
      <c r="W30" s="46" t="inlineStr">
        <is>
          <t>単価マスタ</t>
        </is>
      </c>
      <c r="X30" s="10" t="n"/>
      <c r="Y30" s="10" t="n"/>
      <c r="Z30" s="10" t="n"/>
      <c r="AA30" s="10" t="n"/>
      <c r="AB30" s="10" t="n"/>
      <c r="AC30" s="11" t="n"/>
      <c r="AD30" s="45" t="n">
        <v>8</v>
      </c>
      <c r="AE30" s="10" t="n"/>
      <c r="AF30" s="11" t="n"/>
    </row>
    <row r="31" ht="30" customHeight="1">
      <c r="B31" s="44" t="n">
        <v>24</v>
      </c>
      <c r="C31" s="45" t="inlineStr">
        <is>
          <t>VP-C-05</t>
        </is>
      </c>
      <c r="D31" s="10" t="n"/>
      <c r="E31" s="11" t="n"/>
      <c r="F31" s="46" t="inlineStr">
        <is>
          <t>C. 業務ロジック</t>
        </is>
      </c>
      <c r="G31" s="10" t="n"/>
      <c r="H31" s="10" t="n"/>
      <c r="I31" s="10" t="n"/>
      <c r="J31" s="10" t="n"/>
      <c r="K31" s="10" t="n"/>
      <c r="L31" s="11" t="n"/>
      <c r="M31" s="46" t="inlineStr">
        <is>
          <t>購読者種別ルール（読み取り専用）</t>
        </is>
      </c>
      <c r="N31" s="10" t="n"/>
      <c r="O31" s="10" t="n"/>
      <c r="P31" s="10" t="n"/>
      <c r="Q31" s="10" t="n"/>
      <c r="R31" s="10" t="n"/>
      <c r="S31" s="10" t="n"/>
      <c r="T31" s="11" t="n"/>
      <c r="U31" s="47" t="inlineStr">
        <is>
          <t>高</t>
        </is>
      </c>
      <c r="V31" s="11" t="n"/>
      <c r="W31" s="46" t="inlineStr">
        <is>
          <t>購読者マスタ</t>
        </is>
      </c>
      <c r="X31" s="10" t="n"/>
      <c r="Y31" s="10" t="n"/>
      <c r="Z31" s="10" t="n"/>
      <c r="AA31" s="10" t="n"/>
      <c r="AB31" s="10" t="n"/>
      <c r="AC31" s="11" t="n"/>
      <c r="AD31" s="45" t="n">
        <v>10</v>
      </c>
      <c r="AE31" s="10" t="n"/>
      <c r="AF31" s="11" t="n"/>
    </row>
    <row r="32" ht="30" customHeight="1">
      <c r="B32" s="44" t="n">
        <v>25</v>
      </c>
      <c r="C32" s="45" t="inlineStr">
        <is>
          <t>VP-C-06</t>
        </is>
      </c>
      <c r="D32" s="10" t="n"/>
      <c r="E32" s="11" t="n"/>
      <c r="F32" s="46" t="inlineStr">
        <is>
          <t>C. 業務ロジック</t>
        </is>
      </c>
      <c r="G32" s="10" t="n"/>
      <c r="H32" s="10" t="n"/>
      <c r="I32" s="10" t="n"/>
      <c r="J32" s="10" t="n"/>
      <c r="K32" s="10" t="n"/>
      <c r="L32" s="11" t="n"/>
      <c r="M32" s="46" t="inlineStr">
        <is>
          <t>Excel取込 部分成功</t>
        </is>
      </c>
      <c r="N32" s="10" t="n"/>
      <c r="O32" s="10" t="n"/>
      <c r="P32" s="10" t="n"/>
      <c r="Q32" s="10" t="n"/>
      <c r="R32" s="10" t="n"/>
      <c r="S32" s="10" t="n"/>
      <c r="T32" s="11" t="n"/>
      <c r="U32" s="48" t="inlineStr">
        <is>
          <t>中</t>
        </is>
      </c>
      <c r="V32" s="11" t="n"/>
      <c r="W32" s="46" t="inlineStr">
        <is>
          <t>2取込画面</t>
        </is>
      </c>
      <c r="X32" s="10" t="n"/>
      <c r="Y32" s="10" t="n"/>
      <c r="Z32" s="10" t="n"/>
      <c r="AA32" s="10" t="n"/>
      <c r="AB32" s="10" t="n"/>
      <c r="AC32" s="11" t="n"/>
      <c r="AD32" s="45" t="n">
        <v>30</v>
      </c>
      <c r="AE32" s="10" t="n"/>
      <c r="AF32" s="11" t="n"/>
    </row>
    <row r="33" ht="30" customHeight="1">
      <c r="B33" s="44" t="n">
        <v>26</v>
      </c>
      <c r="C33" s="45" t="inlineStr">
        <is>
          <t>VP-C-07</t>
        </is>
      </c>
      <c r="D33" s="10" t="n"/>
      <c r="E33" s="11" t="n"/>
      <c r="F33" s="46" t="inlineStr">
        <is>
          <t>C. 業務ロジック</t>
        </is>
      </c>
      <c r="G33" s="10" t="n"/>
      <c r="H33" s="10" t="n"/>
      <c r="I33" s="10" t="n"/>
      <c r="J33" s="10" t="n"/>
      <c r="K33" s="10" t="n"/>
      <c r="L33" s="11" t="n"/>
      <c r="M33" s="46" t="inlineStr">
        <is>
          <t>販売店一括置換</t>
        </is>
      </c>
      <c r="N33" s="10" t="n"/>
      <c r="O33" s="10" t="n"/>
      <c r="P33" s="10" t="n"/>
      <c r="Q33" s="10" t="n"/>
      <c r="R33" s="10" t="n"/>
      <c r="S33" s="10" t="n"/>
      <c r="T33" s="11" t="n"/>
      <c r="U33" s="47" t="inlineStr">
        <is>
          <t>高</t>
        </is>
      </c>
      <c r="V33" s="11" t="n"/>
      <c r="W33" s="46" t="inlineStr">
        <is>
          <t>一括置換</t>
        </is>
      </c>
      <c r="X33" s="10" t="n"/>
      <c r="Y33" s="10" t="n"/>
      <c r="Z33" s="10" t="n"/>
      <c r="AA33" s="10" t="n"/>
      <c r="AB33" s="10" t="n"/>
      <c r="AC33" s="11" t="n"/>
      <c r="AD33" s="45" t="n">
        <v>15</v>
      </c>
      <c r="AE33" s="10" t="n"/>
      <c r="AF33" s="11" t="n"/>
    </row>
    <row r="34" ht="30" customHeight="1">
      <c r="B34" s="44" t="n">
        <v>27</v>
      </c>
      <c r="C34" s="45" t="inlineStr">
        <is>
          <t>VP-C-08</t>
        </is>
      </c>
      <c r="D34" s="10" t="n"/>
      <c r="E34" s="11" t="n"/>
      <c r="F34" s="46" t="inlineStr">
        <is>
          <t>C. 業務ロジック</t>
        </is>
      </c>
      <c r="G34" s="10" t="n"/>
      <c r="H34" s="10" t="n"/>
      <c r="I34" s="10" t="n"/>
      <c r="J34" s="10" t="n"/>
      <c r="K34" s="10" t="n"/>
      <c r="L34" s="11" t="n"/>
      <c r="M34" s="46" t="inlineStr">
        <is>
          <t>レポート集計の正確性</t>
        </is>
      </c>
      <c r="N34" s="10" t="n"/>
      <c r="O34" s="10" t="n"/>
      <c r="P34" s="10" t="n"/>
      <c r="Q34" s="10" t="n"/>
      <c r="R34" s="10" t="n"/>
      <c r="S34" s="10" t="n"/>
      <c r="T34" s="11" t="n"/>
      <c r="U34" s="47" t="inlineStr">
        <is>
          <t>高</t>
        </is>
      </c>
      <c r="V34" s="11" t="n"/>
      <c r="W34" s="46" t="inlineStr">
        <is>
          <t>3レポート</t>
        </is>
      </c>
      <c r="X34" s="10" t="n"/>
      <c r="Y34" s="10" t="n"/>
      <c r="Z34" s="10" t="n"/>
      <c r="AA34" s="10" t="n"/>
      <c r="AB34" s="10" t="n"/>
      <c r="AC34" s="11" t="n"/>
      <c r="AD34" s="45" t="n">
        <v>18</v>
      </c>
      <c r="AE34" s="10" t="n"/>
      <c r="AF34" s="11" t="n"/>
    </row>
    <row r="35" ht="30" customHeight="1">
      <c r="B35" s="44" t="n">
        <v>28</v>
      </c>
      <c r="C35" s="45" t="inlineStr">
        <is>
          <t>VP-D-01</t>
        </is>
      </c>
      <c r="D35" s="10" t="n"/>
      <c r="E35" s="11" t="n"/>
      <c r="F35" s="46" t="inlineStr">
        <is>
          <t>D. 統合・システム</t>
        </is>
      </c>
      <c r="G35" s="10" t="n"/>
      <c r="H35" s="10" t="n"/>
      <c r="I35" s="10" t="n"/>
      <c r="J35" s="10" t="n"/>
      <c r="K35" s="10" t="n"/>
      <c r="L35" s="11" t="n"/>
      <c r="M35" s="46" t="inlineStr">
        <is>
          <t>ログイン + MFA フロー</t>
        </is>
      </c>
      <c r="N35" s="10" t="n"/>
      <c r="O35" s="10" t="n"/>
      <c r="P35" s="10" t="n"/>
      <c r="Q35" s="10" t="n"/>
      <c r="R35" s="10" t="n"/>
      <c r="S35" s="10" t="n"/>
      <c r="T35" s="11" t="n"/>
      <c r="U35" s="47" t="inlineStr">
        <is>
          <t>高</t>
        </is>
      </c>
      <c r="V35" s="11" t="n"/>
      <c r="W35" s="46" t="inlineStr">
        <is>
          <t>SCR-001／002</t>
        </is>
      </c>
      <c r="X35" s="10" t="n"/>
      <c r="Y35" s="10" t="n"/>
      <c r="Z35" s="10" t="n"/>
      <c r="AA35" s="10" t="n"/>
      <c r="AB35" s="10" t="n"/>
      <c r="AC35" s="11" t="n"/>
      <c r="AD35" s="45" t="n">
        <v>25</v>
      </c>
      <c r="AE35" s="10" t="n"/>
      <c r="AF35" s="11" t="n"/>
    </row>
    <row r="36" ht="30" customHeight="1">
      <c r="B36" s="44" t="n">
        <v>29</v>
      </c>
      <c r="C36" s="45" t="inlineStr">
        <is>
          <t>VP-D-02</t>
        </is>
      </c>
      <c r="D36" s="10" t="n"/>
      <c r="E36" s="11" t="n"/>
      <c r="F36" s="46" t="inlineStr">
        <is>
          <t>D. 統合・システム</t>
        </is>
      </c>
      <c r="G36" s="10" t="n"/>
      <c r="H36" s="10" t="n"/>
      <c r="I36" s="10" t="n"/>
      <c r="J36" s="10" t="n"/>
      <c r="K36" s="10" t="n"/>
      <c r="L36" s="11" t="n"/>
      <c r="M36" s="46" t="inlineStr">
        <is>
          <t>セッションスライディング 24h</t>
        </is>
      </c>
      <c r="N36" s="10" t="n"/>
      <c r="O36" s="10" t="n"/>
      <c r="P36" s="10" t="n"/>
      <c r="Q36" s="10" t="n"/>
      <c r="R36" s="10" t="n"/>
      <c r="S36" s="10" t="n"/>
      <c r="T36" s="11" t="n"/>
      <c r="U36" s="47" t="inlineStr">
        <is>
          <t>高</t>
        </is>
      </c>
      <c r="V36" s="11" t="n"/>
      <c r="W36" s="46" t="inlineStr">
        <is>
          <t>全システム</t>
        </is>
      </c>
      <c r="X36" s="10" t="n"/>
      <c r="Y36" s="10" t="n"/>
      <c r="Z36" s="10" t="n"/>
      <c r="AA36" s="10" t="n"/>
      <c r="AB36" s="10" t="n"/>
      <c r="AC36" s="11" t="n"/>
      <c r="AD36" s="45" t="n">
        <v>8</v>
      </c>
      <c r="AE36" s="10" t="n"/>
      <c r="AF36" s="11" t="n"/>
    </row>
    <row r="37" ht="30" customHeight="1">
      <c r="B37" s="44" t="n">
        <v>30</v>
      </c>
      <c r="C37" s="45" t="inlineStr">
        <is>
          <t>VP-D-03</t>
        </is>
      </c>
      <c r="D37" s="10" t="n"/>
      <c r="E37" s="11" t="n"/>
      <c r="F37" s="46" t="inlineStr">
        <is>
          <t>D. 統合・システム</t>
        </is>
      </c>
      <c r="G37" s="10" t="n"/>
      <c r="H37" s="10" t="n"/>
      <c r="I37" s="10" t="n"/>
      <c r="J37" s="10" t="n"/>
      <c r="K37" s="10" t="n"/>
      <c r="L37" s="11" t="n"/>
      <c r="M37" s="46" t="inlineStr">
        <is>
          <t>パスワード再発行フロー</t>
        </is>
      </c>
      <c r="N37" s="10" t="n"/>
      <c r="O37" s="10" t="n"/>
      <c r="P37" s="10" t="n"/>
      <c r="Q37" s="10" t="n"/>
      <c r="R37" s="10" t="n"/>
      <c r="S37" s="10" t="n"/>
      <c r="T37" s="11" t="n"/>
      <c r="U37" s="47" t="inlineStr">
        <is>
          <t>高</t>
        </is>
      </c>
      <c r="V37" s="11" t="n"/>
      <c r="W37" s="46" t="inlineStr">
        <is>
          <t>SCR-007</t>
        </is>
      </c>
      <c r="X37" s="10" t="n"/>
      <c r="Y37" s="10" t="n"/>
      <c r="Z37" s="10" t="n"/>
      <c r="AA37" s="10" t="n"/>
      <c r="AB37" s="10" t="n"/>
      <c r="AC37" s="11" t="n"/>
      <c r="AD37" s="45" t="n">
        <v>15</v>
      </c>
      <c r="AE37" s="10" t="n"/>
      <c r="AF37" s="11" t="n"/>
    </row>
    <row r="38" ht="30" customHeight="1">
      <c r="B38" s="44" t="n">
        <v>31</v>
      </c>
      <c r="C38" s="45" t="inlineStr">
        <is>
          <t>VP-D-04</t>
        </is>
      </c>
      <c r="D38" s="10" t="n"/>
      <c r="E38" s="11" t="n"/>
      <c r="F38" s="46" t="inlineStr">
        <is>
          <t>D. 統合・システム</t>
        </is>
      </c>
      <c r="G38" s="10" t="n"/>
      <c r="H38" s="10" t="n"/>
      <c r="I38" s="10" t="n"/>
      <c r="J38" s="10" t="n"/>
      <c r="K38" s="10" t="n"/>
      <c r="L38" s="11" t="n"/>
      <c r="M38" s="46" t="inlineStr">
        <is>
          <t>監査ログの完全性</t>
        </is>
      </c>
      <c r="N38" s="10" t="n"/>
      <c r="O38" s="10" t="n"/>
      <c r="P38" s="10" t="n"/>
      <c r="Q38" s="10" t="n"/>
      <c r="R38" s="10" t="n"/>
      <c r="S38" s="10" t="n"/>
      <c r="T38" s="11" t="n"/>
      <c r="U38" s="47" t="inlineStr">
        <is>
          <t>高</t>
        </is>
      </c>
      <c r="V38" s="11" t="n"/>
      <c r="W38" s="46" t="inlineStr">
        <is>
          <t>全システム</t>
        </is>
      </c>
      <c r="X38" s="10" t="n"/>
      <c r="Y38" s="10" t="n"/>
      <c r="Z38" s="10" t="n"/>
      <c r="AA38" s="10" t="n"/>
      <c r="AB38" s="10" t="n"/>
      <c r="AC38" s="11" t="n"/>
      <c r="AD38" s="45" t="n">
        <v>40</v>
      </c>
      <c r="AE38" s="10" t="n"/>
      <c r="AF38" s="11" t="n"/>
    </row>
    <row r="39" ht="30" customHeight="1">
      <c r="B39" s="44" t="n">
        <v>32</v>
      </c>
      <c r="C39" s="45" t="inlineStr">
        <is>
          <t>VP-D-05</t>
        </is>
      </c>
      <c r="D39" s="10" t="n"/>
      <c r="E39" s="11" t="n"/>
      <c r="F39" s="46" t="inlineStr">
        <is>
          <t>D. 統合・システム</t>
        </is>
      </c>
      <c r="G39" s="10" t="n"/>
      <c r="H39" s="10" t="n"/>
      <c r="I39" s="10" t="n"/>
      <c r="J39" s="10" t="n"/>
      <c r="K39" s="10" t="n"/>
      <c r="L39" s="11" t="n"/>
      <c r="M39" s="46" t="inlineStr">
        <is>
          <t>ファイルアップロード S3</t>
        </is>
      </c>
      <c r="N39" s="10" t="n"/>
      <c r="O39" s="10" t="n"/>
      <c r="P39" s="10" t="n"/>
      <c r="Q39" s="10" t="n"/>
      <c r="R39" s="10" t="n"/>
      <c r="S39" s="10" t="n"/>
      <c r="T39" s="11" t="n"/>
      <c r="U39" s="48" t="inlineStr">
        <is>
          <t>中</t>
        </is>
      </c>
      <c r="V39" s="11" t="n"/>
      <c r="W39" s="46" t="inlineStr">
        <is>
          <t>SCR-022</t>
        </is>
      </c>
      <c r="X39" s="10" t="n"/>
      <c r="Y39" s="10" t="n"/>
      <c r="Z39" s="10" t="n"/>
      <c r="AA39" s="10" t="n"/>
      <c r="AB39" s="10" t="n"/>
      <c r="AC39" s="11" t="n"/>
      <c r="AD39" s="45" t="n">
        <v>20</v>
      </c>
      <c r="AE39" s="10" t="n"/>
      <c r="AF39" s="11" t="n"/>
    </row>
    <row r="40" ht="30" customHeight="1">
      <c r="B40" s="44" t="n">
        <v>33</v>
      </c>
      <c r="C40" s="45" t="inlineStr">
        <is>
          <t>VP-D-06</t>
        </is>
      </c>
      <c r="D40" s="10" t="n"/>
      <c r="E40" s="11" t="n"/>
      <c r="F40" s="46" t="inlineStr">
        <is>
          <t>D. 統合・システム</t>
        </is>
      </c>
      <c r="G40" s="10" t="n"/>
      <c r="H40" s="10" t="n"/>
      <c r="I40" s="10" t="n"/>
      <c r="J40" s="10" t="n"/>
      <c r="K40" s="10" t="n"/>
      <c r="L40" s="11" t="n"/>
      <c r="M40" s="46" t="inlineStr">
        <is>
          <t>メール通知</t>
        </is>
      </c>
      <c r="N40" s="10" t="n"/>
      <c r="O40" s="10" t="n"/>
      <c r="P40" s="10" t="n"/>
      <c r="Q40" s="10" t="n"/>
      <c r="R40" s="10" t="n"/>
      <c r="S40" s="10" t="n"/>
      <c r="T40" s="11" t="n"/>
      <c r="U40" s="48" t="inlineStr">
        <is>
          <t>中</t>
        </is>
      </c>
      <c r="V40" s="11" t="n"/>
      <c r="W40" s="46" t="inlineStr">
        <is>
          <t>SCR-001／007／お知らせ</t>
        </is>
      </c>
      <c r="X40" s="10" t="n"/>
      <c r="Y40" s="10" t="n"/>
      <c r="Z40" s="10" t="n"/>
      <c r="AA40" s="10" t="n"/>
      <c r="AB40" s="10" t="n"/>
      <c r="AC40" s="11" t="n"/>
      <c r="AD40" s="45" t="n">
        <v>12</v>
      </c>
      <c r="AE40" s="10" t="n"/>
      <c r="AF40" s="11" t="n"/>
    </row>
    <row r="41" ht="30" customHeight="1">
      <c r="B41" s="44" t="n">
        <v>34</v>
      </c>
      <c r="C41" s="45" t="inlineStr">
        <is>
          <t>VP-D-07</t>
        </is>
      </c>
      <c r="D41" s="10" t="n"/>
      <c r="E41" s="11" t="n"/>
      <c r="F41" s="46" t="inlineStr">
        <is>
          <t>D. 統合・システム</t>
        </is>
      </c>
      <c r="G41" s="10" t="n"/>
      <c r="H41" s="10" t="n"/>
      <c r="I41" s="10" t="n"/>
      <c r="J41" s="10" t="n"/>
      <c r="K41" s="10" t="n"/>
      <c r="L41" s="11" t="n"/>
      <c r="M41" s="46" t="inlineStr">
        <is>
          <t>外部 CSV 形式準拠</t>
        </is>
      </c>
      <c r="N41" s="10" t="n"/>
      <c r="O41" s="10" t="n"/>
      <c r="P41" s="10" t="n"/>
      <c r="Q41" s="10" t="n"/>
      <c r="R41" s="10" t="n"/>
      <c r="S41" s="10" t="n"/>
      <c r="T41" s="11" t="n"/>
      <c r="U41" s="47" t="inlineStr">
        <is>
          <t>高</t>
        </is>
      </c>
      <c r="V41" s="11" t="n"/>
      <c r="W41" s="46" t="inlineStr">
        <is>
          <t>SCR-008／009</t>
        </is>
      </c>
      <c r="X41" s="10" t="n"/>
      <c r="Y41" s="10" t="n"/>
      <c r="Z41" s="10" t="n"/>
      <c r="AA41" s="10" t="n"/>
      <c r="AB41" s="10" t="n"/>
      <c r="AC41" s="11" t="n"/>
      <c r="AD41" s="45" t="n">
        <v>15</v>
      </c>
      <c r="AE41" s="10" t="n"/>
      <c r="AF41" s="11" t="n"/>
    </row>
    <row r="42" ht="30" customHeight="1">
      <c r="B42" s="44" t="n">
        <v>35</v>
      </c>
      <c r="C42" s="45" t="inlineStr">
        <is>
          <t>VP-D-08</t>
        </is>
      </c>
      <c r="D42" s="10" t="n"/>
      <c r="E42" s="11" t="n"/>
      <c r="F42" s="46" t="inlineStr">
        <is>
          <t>D. 統合・システム</t>
        </is>
      </c>
      <c r="G42" s="10" t="n"/>
      <c r="H42" s="10" t="n"/>
      <c r="I42" s="10" t="n"/>
      <c r="J42" s="10" t="n"/>
      <c r="K42" s="10" t="n"/>
      <c r="L42" s="11" t="n"/>
      <c r="M42" s="46" t="inlineStr">
        <is>
          <t>ネットワーク／500／タイムアウト</t>
        </is>
      </c>
      <c r="N42" s="10" t="n"/>
      <c r="O42" s="10" t="n"/>
      <c r="P42" s="10" t="n"/>
      <c r="Q42" s="10" t="n"/>
      <c r="R42" s="10" t="n"/>
      <c r="S42" s="10" t="n"/>
      <c r="T42" s="11" t="n"/>
      <c r="U42" s="48" t="inlineStr">
        <is>
          <t>中</t>
        </is>
      </c>
      <c r="V42" s="11" t="n"/>
      <c r="W42" s="46" t="inlineStr">
        <is>
          <t>全システム</t>
        </is>
      </c>
      <c r="X42" s="10" t="n"/>
      <c r="Y42" s="10" t="n"/>
      <c r="Z42" s="10" t="n"/>
      <c r="AA42" s="10" t="n"/>
      <c r="AB42" s="10" t="n"/>
      <c r="AC42" s="11" t="n"/>
      <c r="AD42" s="45" t="n">
        <v>30</v>
      </c>
      <c r="AE42" s="10" t="n"/>
      <c r="AF42" s="11" t="n"/>
    </row>
    <row r="43" ht="36" customHeight="1">
      <c r="B43" s="44" t="n">
        <v>36</v>
      </c>
      <c r="C43" s="45" t="inlineStr">
        <is>
          <t>VP-D-09</t>
        </is>
      </c>
      <c r="D43" s="10" t="n"/>
      <c r="E43" s="11" t="n"/>
      <c r="F43" s="46" t="inlineStr">
        <is>
          <t>D. 統合・システム</t>
        </is>
      </c>
      <c r="G43" s="10" t="n"/>
      <c r="H43" s="10" t="n"/>
      <c r="I43" s="10" t="n"/>
      <c r="J43" s="10" t="n"/>
      <c r="K43" s="10" t="n"/>
      <c r="L43" s="11" t="n"/>
      <c r="M43" s="46" t="inlineStr">
        <is>
          <t>パスワード再発行 旧token無効化＋クールダウン</t>
        </is>
      </c>
      <c r="N43" s="10" t="n"/>
      <c r="O43" s="10" t="n"/>
      <c r="P43" s="10" t="n"/>
      <c r="Q43" s="10" t="n"/>
      <c r="R43" s="10" t="n"/>
      <c r="S43" s="10" t="n"/>
      <c r="T43" s="11" t="n"/>
      <c r="U43" s="47" t="inlineStr">
        <is>
          <t>高</t>
        </is>
      </c>
      <c r="V43" s="11" t="n"/>
      <c r="W43" s="46" t="inlineStr">
        <is>
          <t>SCR-007</t>
        </is>
      </c>
      <c r="X43" s="10" t="n"/>
      <c r="Y43" s="10" t="n"/>
      <c r="Z43" s="10" t="n"/>
      <c r="AA43" s="10" t="n"/>
      <c r="AB43" s="10" t="n"/>
      <c r="AC43" s="11" t="n"/>
      <c r="AD43" s="45" t="n">
        <v>6</v>
      </c>
      <c r="AE43" s="10" t="n"/>
      <c r="AF43" s="11" t="n"/>
    </row>
    <row r="44" ht="30" customHeight="1">
      <c r="B44" s="44" t="n">
        <v>37</v>
      </c>
      <c r="C44" s="45" t="inlineStr">
        <is>
          <t>VP-E-01</t>
        </is>
      </c>
      <c r="D44" s="10" t="n"/>
      <c r="E44" s="11" t="n"/>
      <c r="F44" s="46" t="inlineStr">
        <is>
          <t>E. 非機能・ユーザビリティ</t>
        </is>
      </c>
      <c r="G44" s="10" t="n"/>
      <c r="H44" s="10" t="n"/>
      <c r="I44" s="10" t="n"/>
      <c r="J44" s="10" t="n"/>
      <c r="K44" s="10" t="n"/>
      <c r="L44" s="11" t="n"/>
      <c r="M44" s="46" t="inlineStr">
        <is>
          <t>レイアウト／デザイントークン</t>
        </is>
      </c>
      <c r="N44" s="10" t="n"/>
      <c r="O44" s="10" t="n"/>
      <c r="P44" s="10" t="n"/>
      <c r="Q44" s="10" t="n"/>
      <c r="R44" s="10" t="n"/>
      <c r="S44" s="10" t="n"/>
      <c r="T44" s="11" t="n"/>
      <c r="U44" s="49" t="inlineStr">
        <is>
          <t>低</t>
        </is>
      </c>
      <c r="V44" s="11" t="n"/>
      <c r="W44" s="46" t="inlineStr">
        <is>
          <t>全画面</t>
        </is>
      </c>
      <c r="X44" s="10" t="n"/>
      <c r="Y44" s="10" t="n"/>
      <c r="Z44" s="10" t="n"/>
      <c r="AA44" s="10" t="n"/>
      <c r="AB44" s="10" t="n"/>
      <c r="AC44" s="11" t="n"/>
      <c r="AD44" s="45" t="n">
        <v>60</v>
      </c>
      <c r="AE44" s="10" t="n"/>
      <c r="AF44" s="11" t="n"/>
    </row>
    <row r="45" ht="36" customHeight="1">
      <c r="B45" s="44" t="n">
        <v>38</v>
      </c>
      <c r="C45" s="45" t="inlineStr">
        <is>
          <t>VP-E-02</t>
        </is>
      </c>
      <c r="D45" s="10" t="n"/>
      <c r="E45" s="11" t="n"/>
      <c r="F45" s="46" t="inlineStr">
        <is>
          <t>E. 非機能・ユーザビリティ</t>
        </is>
      </c>
      <c r="G45" s="10" t="n"/>
      <c r="H45" s="10" t="n"/>
      <c r="I45" s="10" t="n"/>
      <c r="J45" s="10" t="n"/>
      <c r="K45" s="10" t="n"/>
      <c r="L45" s="11" t="n"/>
      <c r="M45" s="46" t="inlineStr">
        <is>
          <t>レスポンシブ（モバイル／タブレット）</t>
        </is>
      </c>
      <c r="N45" s="10" t="n"/>
      <c r="O45" s="10" t="n"/>
      <c r="P45" s="10" t="n"/>
      <c r="Q45" s="10" t="n"/>
      <c r="R45" s="10" t="n"/>
      <c r="S45" s="10" t="n"/>
      <c r="T45" s="11" t="n"/>
      <c r="U45" s="49" t="inlineStr">
        <is>
          <t>低</t>
        </is>
      </c>
      <c r="V45" s="11" t="n"/>
      <c r="W45" s="46" t="inlineStr">
        <is>
          <t>全画面</t>
        </is>
      </c>
      <c r="X45" s="10" t="n"/>
      <c r="Y45" s="10" t="n"/>
      <c r="Z45" s="10" t="n"/>
      <c r="AA45" s="10" t="n"/>
      <c r="AB45" s="10" t="n"/>
      <c r="AC45" s="11" t="n"/>
      <c r="AD45" s="45" t="n">
        <v>40</v>
      </c>
      <c r="AE45" s="10" t="n"/>
      <c r="AF45" s="11" t="n"/>
    </row>
    <row r="46" ht="30" customHeight="1">
      <c r="B46" s="44" t="n">
        <v>39</v>
      </c>
      <c r="C46" s="45" t="inlineStr">
        <is>
          <t>VP-E-03</t>
        </is>
      </c>
      <c r="D46" s="10" t="n"/>
      <c r="E46" s="11" t="n"/>
      <c r="F46" s="46" t="inlineStr">
        <is>
          <t>E. 非機能・ユーザビリティ</t>
        </is>
      </c>
      <c r="G46" s="10" t="n"/>
      <c r="H46" s="10" t="n"/>
      <c r="I46" s="10" t="n"/>
      <c r="J46" s="10" t="n"/>
      <c r="K46" s="10" t="n"/>
      <c r="L46" s="11" t="n"/>
      <c r="M46" s="46" t="inlineStr">
        <is>
          <t>キーボード操作</t>
        </is>
      </c>
      <c r="N46" s="10" t="n"/>
      <c r="O46" s="10" t="n"/>
      <c r="P46" s="10" t="n"/>
      <c r="Q46" s="10" t="n"/>
      <c r="R46" s="10" t="n"/>
      <c r="S46" s="10" t="n"/>
      <c r="T46" s="11" t="n"/>
      <c r="U46" s="49" t="inlineStr">
        <is>
          <t>低</t>
        </is>
      </c>
      <c r="V46" s="11" t="n"/>
      <c r="W46" s="46" t="inlineStr">
        <is>
          <t>約25フォーム</t>
        </is>
      </c>
      <c r="X46" s="10" t="n"/>
      <c r="Y46" s="10" t="n"/>
      <c r="Z46" s="10" t="n"/>
      <c r="AA46" s="10" t="n"/>
      <c r="AB46" s="10" t="n"/>
      <c r="AC46" s="11" t="n"/>
      <c r="AD46" s="45" t="n">
        <v>25</v>
      </c>
      <c r="AE46" s="10" t="n"/>
      <c r="AF46" s="11" t="n"/>
    </row>
    <row r="47" ht="30" customHeight="1">
      <c r="B47" s="44" t="n">
        <v>40</v>
      </c>
      <c r="C47" s="45" t="inlineStr">
        <is>
          <t>VP-E-04</t>
        </is>
      </c>
      <c r="D47" s="10" t="n"/>
      <c r="E47" s="11" t="n"/>
      <c r="F47" s="46" t="inlineStr">
        <is>
          <t>E. 非機能・ユーザビリティ</t>
        </is>
      </c>
      <c r="G47" s="10" t="n"/>
      <c r="H47" s="10" t="n"/>
      <c r="I47" s="10" t="n"/>
      <c r="J47" s="10" t="n"/>
      <c r="K47" s="10" t="n"/>
      <c r="L47" s="11" t="n"/>
      <c r="M47" s="46" t="inlineStr">
        <is>
          <t>ブラウザ互換性</t>
        </is>
      </c>
      <c r="N47" s="10" t="n"/>
      <c r="O47" s="10" t="n"/>
      <c r="P47" s="10" t="n"/>
      <c r="Q47" s="10" t="n"/>
      <c r="R47" s="10" t="n"/>
      <c r="S47" s="10" t="n"/>
      <c r="T47" s="11" t="n"/>
      <c r="U47" s="49" t="inlineStr">
        <is>
          <t>低</t>
        </is>
      </c>
      <c r="V47" s="11" t="n"/>
      <c r="W47" s="46" t="inlineStr">
        <is>
          <t>全システム</t>
        </is>
      </c>
      <c r="X47" s="10" t="n"/>
      <c r="Y47" s="10" t="n"/>
      <c r="Z47" s="10" t="n"/>
      <c r="AA47" s="10" t="n"/>
      <c r="AB47" s="10" t="n"/>
      <c r="AC47" s="11" t="n"/>
      <c r="AD47" s="45" t="n">
        <v>5</v>
      </c>
      <c r="AE47" s="10" t="n"/>
      <c r="AF47" s="11" t="n"/>
    </row>
    <row r="48" ht="30" customHeight="1">
      <c r="B48" s="44" t="n">
        <v>41</v>
      </c>
      <c r="C48" s="45" t="inlineStr">
        <is>
          <t>VP-E-05</t>
        </is>
      </c>
      <c r="D48" s="10" t="n"/>
      <c r="E48" s="11" t="n"/>
      <c r="F48" s="46" t="inlineStr">
        <is>
          <t>E. 非機能・ユーザビリティ</t>
        </is>
      </c>
      <c r="G48" s="10" t="n"/>
      <c r="H48" s="10" t="n"/>
      <c r="I48" s="10" t="n"/>
      <c r="J48" s="10" t="n"/>
      <c r="K48" s="10" t="n"/>
      <c r="L48" s="11" t="n"/>
      <c r="M48" s="46" t="inlineStr">
        <is>
          <t>マルチタブセッション同期</t>
        </is>
      </c>
      <c r="N48" s="10" t="n"/>
      <c r="O48" s="10" t="n"/>
      <c r="P48" s="10" t="n"/>
      <c r="Q48" s="10" t="n"/>
      <c r="R48" s="10" t="n"/>
      <c r="S48" s="10" t="n"/>
      <c r="T48" s="11" t="n"/>
      <c r="U48" s="47" t="inlineStr">
        <is>
          <t>高</t>
        </is>
      </c>
      <c r="V48" s="11" t="n"/>
      <c r="W48" s="46" t="inlineStr">
        <is>
          <t>全システム</t>
        </is>
      </c>
      <c r="X48" s="10" t="n"/>
      <c r="Y48" s="10" t="n"/>
      <c r="Z48" s="10" t="n"/>
      <c r="AA48" s="10" t="n"/>
      <c r="AB48" s="10" t="n"/>
      <c r="AC48" s="11" t="n"/>
      <c r="AD48" s="45" t="n">
        <v>5</v>
      </c>
      <c r="AE48" s="10" t="n"/>
      <c r="AF48" s="11" t="n"/>
    </row>
    <row r="49" ht="30" customHeight="1">
      <c r="B49" s="44" t="n">
        <v>42</v>
      </c>
      <c r="C49" s="45" t="inlineStr">
        <is>
          <t>VP-E-07</t>
        </is>
      </c>
      <c r="D49" s="10" t="n"/>
      <c r="E49" s="11" t="n"/>
      <c r="F49" s="46" t="inlineStr">
        <is>
          <t>E. 非機能・ユーザビリティ</t>
        </is>
      </c>
      <c r="G49" s="10" t="n"/>
      <c r="H49" s="10" t="n"/>
      <c r="I49" s="10" t="n"/>
      <c r="J49" s="10" t="n"/>
      <c r="K49" s="10" t="n"/>
      <c r="L49" s="11" t="n"/>
      <c r="M49" s="46" t="inlineStr">
        <is>
          <t>未保存変更ガード・ブラウザ離脱</t>
        </is>
      </c>
      <c r="N49" s="10" t="n"/>
      <c r="O49" s="10" t="n"/>
      <c r="P49" s="10" t="n"/>
      <c r="Q49" s="10" t="n"/>
      <c r="R49" s="10" t="n"/>
      <c r="S49" s="10" t="n"/>
      <c r="T49" s="11" t="n"/>
      <c r="U49" s="48" t="inlineStr">
        <is>
          <t>中</t>
        </is>
      </c>
      <c r="V49" s="11" t="n"/>
      <c r="W49" s="46" t="inlineStr">
        <is>
          <t>全 CRUD 編集フォーム</t>
        </is>
      </c>
      <c r="X49" s="10" t="n"/>
      <c r="Y49" s="10" t="n"/>
      <c r="Z49" s="10" t="n"/>
      <c r="AA49" s="10" t="n"/>
      <c r="AB49" s="10" t="n"/>
      <c r="AC49" s="11" t="n"/>
      <c r="AD49" s="45" t="n">
        <v>8</v>
      </c>
      <c r="AE49" s="10" t="n"/>
      <c r="AF49" s="11" t="n"/>
    </row>
    <row r="50" ht="30" customHeight="1">
      <c r="B50" s="44" t="n">
        <v>43</v>
      </c>
      <c r="C50" s="45" t="inlineStr">
        <is>
          <t>VP-F-01</t>
        </is>
      </c>
      <c r="D50" s="10" t="n"/>
      <c r="E50" s="11" t="n"/>
      <c r="F50" s="46" t="inlineStr">
        <is>
          <t>F. 性能</t>
        </is>
      </c>
      <c r="G50" s="10" t="n"/>
      <c r="H50" s="10" t="n"/>
      <c r="I50" s="10" t="n"/>
      <c r="J50" s="10" t="n"/>
      <c r="K50" s="10" t="n"/>
      <c r="L50" s="11" t="n"/>
      <c r="M50" s="46" t="inlineStr">
        <is>
          <t>性能ベンチマーク</t>
        </is>
      </c>
      <c r="N50" s="10" t="n"/>
      <c r="O50" s="10" t="n"/>
      <c r="P50" s="10" t="n"/>
      <c r="Q50" s="10" t="n"/>
      <c r="R50" s="10" t="n"/>
      <c r="S50" s="10" t="n"/>
      <c r="T50" s="11" t="n"/>
      <c r="U50" s="48" t="inlineStr">
        <is>
          <t>中</t>
        </is>
      </c>
      <c r="V50" s="11" t="n"/>
      <c r="W50" s="46" t="inlineStr">
        <is>
          <t>全画面パフォーマンス計測対象</t>
        </is>
      </c>
      <c r="X50" s="10" t="n"/>
      <c r="Y50" s="10" t="n"/>
      <c r="Z50" s="10" t="n"/>
      <c r="AA50" s="10" t="n"/>
      <c r="AB50" s="10" t="n"/>
      <c r="AC50" s="11" t="n"/>
      <c r="AD50" s="45" t="n">
        <v>12</v>
      </c>
      <c r="AE50" s="10" t="n"/>
      <c r="AF50" s="11" t="n"/>
    </row>
    <row r="51" ht="30" customHeight="1">
      <c r="B51" s="44" t="n">
        <v>44</v>
      </c>
      <c r="C51" s="45" t="inlineStr">
        <is>
          <t>VP-F-02</t>
        </is>
      </c>
      <c r="D51" s="10" t="n"/>
      <c r="E51" s="11" t="n"/>
      <c r="F51" s="46" t="inlineStr">
        <is>
          <t>F. 性能</t>
        </is>
      </c>
      <c r="G51" s="10" t="n"/>
      <c r="H51" s="10" t="n"/>
      <c r="I51" s="10" t="n"/>
      <c r="J51" s="10" t="n"/>
      <c r="K51" s="10" t="n"/>
      <c r="L51" s="11" t="n"/>
      <c r="M51" s="46" t="inlineStr">
        <is>
          <t>大量データ表示性能</t>
        </is>
      </c>
      <c r="N51" s="10" t="n"/>
      <c r="O51" s="10" t="n"/>
      <c r="P51" s="10" t="n"/>
      <c r="Q51" s="10" t="n"/>
      <c r="R51" s="10" t="n"/>
      <c r="S51" s="10" t="n"/>
      <c r="T51" s="11" t="n"/>
      <c r="U51" s="48" t="inlineStr">
        <is>
          <t>中</t>
        </is>
      </c>
      <c r="V51" s="11" t="n"/>
      <c r="W51" s="46" t="inlineStr">
        <is>
          <t>一覧／レポート画面</t>
        </is>
      </c>
      <c r="X51" s="10" t="n"/>
      <c r="Y51" s="10" t="n"/>
      <c r="Z51" s="10" t="n"/>
      <c r="AA51" s="10" t="n"/>
      <c r="AB51" s="10" t="n"/>
      <c r="AC51" s="11" t="n"/>
      <c r="AD51" s="45" t="n">
        <v>8</v>
      </c>
      <c r="AE51" s="10" t="n"/>
      <c r="AF51" s="11" t="n"/>
    </row>
    <row r="52" ht="22.5" customHeight="1">
      <c r="B52" s="50" t="inlineStr">
        <is>
          <t>合計</t>
        </is>
      </c>
      <c r="C52" s="10" t="n"/>
      <c r="D52" s="10" t="n"/>
      <c r="E52" s="10" t="n"/>
      <c r="F52" s="10" t="n"/>
      <c r="G52" s="10" t="n"/>
      <c r="H52" s="10" t="n"/>
      <c r="I52" s="10" t="n"/>
      <c r="J52" s="10" t="n"/>
      <c r="K52" s="10" t="n"/>
      <c r="L52" s="10" t="n"/>
      <c r="M52" s="10" t="n"/>
      <c r="N52" s="10" t="n"/>
      <c r="O52" s="10" t="n"/>
      <c r="P52" s="10" t="n"/>
      <c r="Q52" s="10" t="n"/>
      <c r="R52" s="10" t="n"/>
      <c r="S52" s="10" t="n"/>
      <c r="T52" s="11" t="n"/>
      <c r="U52" s="36" t="inlineStr"/>
      <c r="V52" s="11" t="n"/>
      <c r="W52" s="36" t="inlineStr"/>
      <c r="X52" s="10" t="n"/>
      <c r="Y52" s="10" t="n"/>
      <c r="Z52" s="10" t="n"/>
      <c r="AA52" s="10" t="n"/>
      <c r="AB52" s="10" t="n"/>
      <c r="AC52" s="11" t="n"/>
      <c r="AD52" s="36">
        <f>SUM(AD8:AD51)</f>
        <v/>
      </c>
      <c r="AE52" s="10" t="n"/>
      <c r="AF52" s="11" t="n"/>
    </row>
    <row r="54" ht="19.5" customHeight="1">
      <c r="B54" s="28" t="inlineStr">
        <is>
          <t>2. 観点ID 命名規約・グループ凡例</t>
        </is>
      </c>
    </row>
    <row r="56" ht="28.5" customHeight="1">
      <c r="B56" s="43" t="inlineStr">
        <is>
          <t>グループ</t>
        </is>
      </c>
      <c r="C56" s="11" t="n"/>
      <c r="D56" s="43" t="inlineStr">
        <is>
          <t>接頭辞</t>
        </is>
      </c>
      <c r="E56" s="10" t="n"/>
      <c r="F56" s="11" t="n"/>
      <c r="G56" s="43" t="inlineStr">
        <is>
          <t>名称</t>
        </is>
      </c>
      <c r="H56" s="10" t="n"/>
      <c r="I56" s="10" t="n"/>
      <c r="J56" s="10" t="n"/>
      <c r="K56" s="10" t="n"/>
      <c r="L56" s="11" t="n"/>
      <c r="M56" s="43" t="inlineStr">
        <is>
          <t>観点数</t>
        </is>
      </c>
      <c r="N56" s="11" t="n"/>
      <c r="O56" s="43" t="inlineStr">
        <is>
          <t>リスク傾向</t>
        </is>
      </c>
      <c r="P56" s="10" t="n"/>
      <c r="Q56" s="11" t="n"/>
      <c r="R56" s="43" t="inlineStr">
        <is>
          <t>代表的なテスト観点</t>
        </is>
      </c>
      <c r="S56" s="10" t="n"/>
      <c r="T56" s="10" t="n"/>
      <c r="U56" s="10" t="n"/>
      <c r="V56" s="10" t="n"/>
      <c r="W56" s="10" t="n"/>
      <c r="X56" s="10" t="n"/>
      <c r="Y56" s="10" t="n"/>
      <c r="Z56" s="10" t="n"/>
      <c r="AA56" s="10" t="n"/>
      <c r="AB56" s="10" t="n"/>
      <c r="AC56" s="10" t="n"/>
      <c r="AD56" s="10" t="n"/>
      <c r="AE56" s="10" t="n"/>
      <c r="AF56" s="10" t="n"/>
      <c r="AG56" s="10" t="n"/>
      <c r="AH56" s="10" t="n"/>
      <c r="AI56" s="10" t="n"/>
      <c r="AJ56" s="10" t="n"/>
      <c r="AK56" s="11" t="n"/>
    </row>
    <row r="57" ht="36" customHeight="1">
      <c r="B57" s="51" t="inlineStr">
        <is>
          <t>A</t>
        </is>
      </c>
      <c r="C57" s="11" t="n"/>
      <c r="D57" s="45" t="inlineStr">
        <is>
          <t>VP-A-NN</t>
        </is>
      </c>
      <c r="E57" s="10" t="n"/>
      <c r="F57" s="11" t="n"/>
      <c r="G57" s="46" t="inlineStr">
        <is>
          <t>セキュリティ・権限</t>
        </is>
      </c>
      <c r="H57" s="10" t="n"/>
      <c r="I57" s="10" t="n"/>
      <c r="J57" s="10" t="n"/>
      <c r="K57" s="10" t="n"/>
      <c r="L57" s="11" t="n"/>
      <c r="M57" s="45" t="n">
        <v>10</v>
      </c>
      <c r="N57" s="11" t="n"/>
      <c r="O57" s="45" t="inlineStr">
        <is>
          <t>高</t>
        </is>
      </c>
      <c r="P57" s="10" t="n"/>
      <c r="Q57" s="11" t="n"/>
      <c r="R57" s="46" t="inlineStr">
        <is>
          <t>RBAC、DataScope、項目レベル制限、URL直接攻撃、セッション失効、XSS、CSRF、レート制限、アカウントロック、SQL注入</t>
        </is>
      </c>
      <c r="S57" s="10" t="n"/>
      <c r="T57" s="10" t="n"/>
      <c r="U57" s="10" t="n"/>
      <c r="V57" s="10" t="n"/>
      <c r="W57" s="10" t="n"/>
      <c r="X57" s="10" t="n"/>
      <c r="Y57" s="10" t="n"/>
      <c r="Z57" s="10" t="n"/>
      <c r="AA57" s="10" t="n"/>
      <c r="AB57" s="10" t="n"/>
      <c r="AC57" s="10" t="n"/>
      <c r="AD57" s="10" t="n"/>
      <c r="AE57" s="10" t="n"/>
      <c r="AF57" s="10" t="n"/>
      <c r="AG57" s="10" t="n"/>
      <c r="AH57" s="10" t="n"/>
      <c r="AI57" s="10" t="n"/>
      <c r="AJ57" s="10" t="n"/>
      <c r="AK57" s="11" t="n"/>
    </row>
    <row r="58" ht="30" customHeight="1">
      <c r="B58" s="51" t="inlineStr">
        <is>
          <t>B</t>
        </is>
      </c>
      <c r="C58" s="11" t="n"/>
      <c r="D58" s="45" t="inlineStr">
        <is>
          <t>VP-B-NN</t>
        </is>
      </c>
      <c r="E58" s="10" t="n"/>
      <c r="F58" s="11" t="n"/>
      <c r="G58" s="46" t="inlineStr">
        <is>
          <t>データバリデーション</t>
        </is>
      </c>
      <c r="H58" s="10" t="n"/>
      <c r="I58" s="10" t="n"/>
      <c r="J58" s="10" t="n"/>
      <c r="K58" s="10" t="n"/>
      <c r="L58" s="11" t="n"/>
      <c r="M58" s="45" t="n">
        <v>9</v>
      </c>
      <c r="N58" s="11" t="n"/>
      <c r="O58" s="45" t="inlineStr">
        <is>
          <t>中</t>
        </is>
      </c>
      <c r="P58" s="10" t="n"/>
      <c r="Q58" s="11" t="n"/>
      <c r="R58" s="46" t="inlineStr">
        <is>
          <t>必須／長さ／形式／半角全角／日付／通貨／m_code／重複キー／IME・貼付ハンドリング</t>
        </is>
      </c>
      <c r="S58" s="10" t="n"/>
      <c r="T58" s="10" t="n"/>
      <c r="U58" s="10" t="n"/>
      <c r="V58" s="10" t="n"/>
      <c r="W58" s="10" t="n"/>
      <c r="X58" s="10" t="n"/>
      <c r="Y58" s="10" t="n"/>
      <c r="Z58" s="10" t="n"/>
      <c r="AA58" s="10" t="n"/>
      <c r="AB58" s="10" t="n"/>
      <c r="AC58" s="10" t="n"/>
      <c r="AD58" s="10" t="n"/>
      <c r="AE58" s="10" t="n"/>
      <c r="AF58" s="10" t="n"/>
      <c r="AG58" s="10" t="n"/>
      <c r="AH58" s="10" t="n"/>
      <c r="AI58" s="10" t="n"/>
      <c r="AJ58" s="10" t="n"/>
      <c r="AK58" s="11" t="n"/>
    </row>
    <row r="59" ht="36" customHeight="1">
      <c r="B59" s="51" t="inlineStr">
        <is>
          <t>C</t>
        </is>
      </c>
      <c r="C59" s="11" t="n"/>
      <c r="D59" s="45" t="inlineStr">
        <is>
          <t>VP-C-NN</t>
        </is>
      </c>
      <c r="E59" s="10" t="n"/>
      <c r="F59" s="11" t="n"/>
      <c r="G59" s="46" t="inlineStr">
        <is>
          <t>業務ロジック</t>
        </is>
      </c>
      <c r="H59" s="10" t="n"/>
      <c r="I59" s="10" t="n"/>
      <c r="J59" s="10" t="n"/>
      <c r="K59" s="10" t="n"/>
      <c r="L59" s="11" t="n"/>
      <c r="M59" s="45" t="n">
        <v>8</v>
      </c>
      <c r="N59" s="11" t="n"/>
      <c r="O59" s="45" t="inlineStr">
        <is>
          <t>高</t>
        </is>
      </c>
      <c r="P59" s="10" t="n"/>
      <c r="Q59" s="11" t="n"/>
      <c r="R59" s="46" t="inlineStr">
        <is>
          <t>CRUD 永続化、同時編集競合、論理削除＋FK、税計算、購読者ルール、Excel 取込、レポート集計</t>
        </is>
      </c>
      <c r="S59" s="10" t="n"/>
      <c r="T59" s="10" t="n"/>
      <c r="U59" s="10" t="n"/>
      <c r="V59" s="10" t="n"/>
      <c r="W59" s="10" t="n"/>
      <c r="X59" s="10" t="n"/>
      <c r="Y59" s="10" t="n"/>
      <c r="Z59" s="10" t="n"/>
      <c r="AA59" s="10" t="n"/>
      <c r="AB59" s="10" t="n"/>
      <c r="AC59" s="10" t="n"/>
      <c r="AD59" s="10" t="n"/>
      <c r="AE59" s="10" t="n"/>
      <c r="AF59" s="10" t="n"/>
      <c r="AG59" s="10" t="n"/>
      <c r="AH59" s="10" t="n"/>
      <c r="AI59" s="10" t="n"/>
      <c r="AJ59" s="10" t="n"/>
      <c r="AK59" s="11" t="n"/>
    </row>
    <row r="60" ht="36" customHeight="1">
      <c r="B60" s="51" t="inlineStr">
        <is>
          <t>D</t>
        </is>
      </c>
      <c r="C60" s="11" t="n"/>
      <c r="D60" s="45" t="inlineStr">
        <is>
          <t>VP-D-NN</t>
        </is>
      </c>
      <c r="E60" s="10" t="n"/>
      <c r="F60" s="11" t="n"/>
      <c r="G60" s="46" t="inlineStr">
        <is>
          <t>統合・システム</t>
        </is>
      </c>
      <c r="H60" s="10" t="n"/>
      <c r="I60" s="10" t="n"/>
      <c r="J60" s="10" t="n"/>
      <c r="K60" s="10" t="n"/>
      <c r="L60" s="11" t="n"/>
      <c r="M60" s="45" t="n">
        <v>9</v>
      </c>
      <c r="N60" s="11" t="n"/>
      <c r="O60" s="45" t="inlineStr">
        <is>
          <t>高</t>
        </is>
      </c>
      <c r="P60" s="10" t="n"/>
      <c r="Q60" s="11" t="n"/>
      <c r="R60" s="46" t="inlineStr">
        <is>
          <t>ログイン＋MFA、セッション管理、パスワード再発行、監査ログ、S3、メール、CSV 準拠、ネットワーク／500</t>
        </is>
      </c>
      <c r="S60" s="10" t="n"/>
      <c r="T60" s="10" t="n"/>
      <c r="U60" s="10" t="n"/>
      <c r="V60" s="10" t="n"/>
      <c r="W60" s="10" t="n"/>
      <c r="X60" s="10" t="n"/>
      <c r="Y60" s="10" t="n"/>
      <c r="Z60" s="10" t="n"/>
      <c r="AA60" s="10" t="n"/>
      <c r="AB60" s="10" t="n"/>
      <c r="AC60" s="10" t="n"/>
      <c r="AD60" s="10" t="n"/>
      <c r="AE60" s="10" t="n"/>
      <c r="AF60" s="10" t="n"/>
      <c r="AG60" s="10" t="n"/>
      <c r="AH60" s="10" t="n"/>
      <c r="AI60" s="10" t="n"/>
      <c r="AJ60" s="10" t="n"/>
      <c r="AK60" s="11" t="n"/>
    </row>
    <row r="61" ht="36" customHeight="1">
      <c r="B61" s="51" t="inlineStr">
        <is>
          <t>E</t>
        </is>
      </c>
      <c r="C61" s="11" t="n"/>
      <c r="D61" s="45" t="inlineStr">
        <is>
          <t>VP-E-NN</t>
        </is>
      </c>
      <c r="E61" s="10" t="n"/>
      <c r="F61" s="11" t="n"/>
      <c r="G61" s="46" t="inlineStr">
        <is>
          <t>非機能・ユーザビリティ</t>
        </is>
      </c>
      <c r="H61" s="10" t="n"/>
      <c r="I61" s="10" t="n"/>
      <c r="J61" s="10" t="n"/>
      <c r="K61" s="10" t="n"/>
      <c r="L61" s="11" t="n"/>
      <c r="M61" s="45" t="n">
        <v>6</v>
      </c>
      <c r="N61" s="11" t="n"/>
      <c r="O61" s="45" t="inlineStr">
        <is>
          <t>低〜中</t>
        </is>
      </c>
      <c r="P61" s="10" t="n"/>
      <c r="Q61" s="11" t="n"/>
      <c r="R61" s="46" t="inlineStr">
        <is>
          <t>レイアウト、レスポンシブ、キーボード操作、ブラウザ互換、マルチタブ同期、未保存変更ガード</t>
        </is>
      </c>
      <c r="S61" s="10" t="n"/>
      <c r="T61" s="10" t="n"/>
      <c r="U61" s="10" t="n"/>
      <c r="V61" s="10" t="n"/>
      <c r="W61" s="10" t="n"/>
      <c r="X61" s="10" t="n"/>
      <c r="Y61" s="10" t="n"/>
      <c r="Z61" s="10" t="n"/>
      <c r="AA61" s="10" t="n"/>
      <c r="AB61" s="10" t="n"/>
      <c r="AC61" s="10" t="n"/>
      <c r="AD61" s="10" t="n"/>
      <c r="AE61" s="10" t="n"/>
      <c r="AF61" s="10" t="n"/>
      <c r="AG61" s="10" t="n"/>
      <c r="AH61" s="10" t="n"/>
      <c r="AI61" s="10" t="n"/>
      <c r="AJ61" s="10" t="n"/>
      <c r="AK61" s="11" t="n"/>
    </row>
    <row r="62" ht="30" customHeight="1">
      <c r="B62" s="51" t="inlineStr">
        <is>
          <t>F</t>
        </is>
      </c>
      <c r="C62" s="11" t="n"/>
      <c r="D62" s="45" t="inlineStr">
        <is>
          <t>VP-F-NN</t>
        </is>
      </c>
      <c r="E62" s="10" t="n"/>
      <c r="F62" s="11" t="n"/>
      <c r="G62" s="46" t="inlineStr">
        <is>
          <t>性能</t>
        </is>
      </c>
      <c r="H62" s="10" t="n"/>
      <c r="I62" s="10" t="n"/>
      <c r="J62" s="10" t="n"/>
      <c r="K62" s="10" t="n"/>
      <c r="L62" s="11" t="n"/>
      <c r="M62" s="45" t="n">
        <v>2</v>
      </c>
      <c r="N62" s="11" t="n"/>
      <c r="O62" s="45" t="inlineStr">
        <is>
          <t>中</t>
        </is>
      </c>
      <c r="P62" s="10" t="n"/>
      <c r="Q62" s="11" t="n"/>
      <c r="R62" s="46" t="inlineStr">
        <is>
          <t>性能ベンチマーク、大量データ表示性能</t>
        </is>
      </c>
      <c r="S62" s="10" t="n"/>
      <c r="T62" s="10" t="n"/>
      <c r="U62" s="10" t="n"/>
      <c r="V62" s="10" t="n"/>
      <c r="W62" s="10" t="n"/>
      <c r="X62" s="10" t="n"/>
      <c r="Y62" s="10" t="n"/>
      <c r="Z62" s="10" t="n"/>
      <c r="AA62" s="10" t="n"/>
      <c r="AB62" s="10" t="n"/>
      <c r="AC62" s="10" t="n"/>
      <c r="AD62" s="10" t="n"/>
      <c r="AE62" s="10" t="n"/>
      <c r="AF62" s="10" t="n"/>
      <c r="AG62" s="10" t="n"/>
      <c r="AH62" s="10" t="n"/>
      <c r="AI62" s="10" t="n"/>
      <c r="AJ62" s="10" t="n"/>
      <c r="AK62" s="11" t="n"/>
    </row>
    <row r="64" ht="30" customHeight="1">
      <c r="B64" s="52" t="inlineStr">
        <is>
          <t>命名規約：VP-{グループ記号}-{NN} 形式（NN はグループ内の2桁連番）。新規観点は同グループの末尾に追加する（例：VP-A-11）。グループ記号はリスク軸による分類で、JSTQB FL の品質特性区分に準拠する。</t>
        </is>
      </c>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c r="AD64" s="10" t="n"/>
      <c r="AE64" s="10" t="n"/>
      <c r="AF64" s="10" t="n"/>
      <c r="AG64" s="10" t="n"/>
      <c r="AH64" s="10" t="n"/>
      <c r="AI64" s="10" t="n"/>
      <c r="AJ64" s="10" t="n"/>
      <c r="AK64" s="11" t="n"/>
    </row>
  </sheetData>
  <mergeCells count="333">
    <mergeCell ref="AD34:AF34"/>
    <mergeCell ref="AD28:AF28"/>
    <mergeCell ref="C21:E21"/>
    <mergeCell ref="AD36:AF36"/>
    <mergeCell ref="AD30:AF30"/>
    <mergeCell ref="M60:N60"/>
    <mergeCell ref="C23:E23"/>
    <mergeCell ref="J1:P1"/>
    <mergeCell ref="AH2:AK3"/>
    <mergeCell ref="M31:T31"/>
    <mergeCell ref="C18:E18"/>
    <mergeCell ref="C34:E34"/>
    <mergeCell ref="F18:L18"/>
    <mergeCell ref="F45:L45"/>
    <mergeCell ref="AD29:AF29"/>
    <mergeCell ref="F17:L17"/>
    <mergeCell ref="U20:V20"/>
    <mergeCell ref="W7:AC7"/>
    <mergeCell ref="U14:V14"/>
    <mergeCell ref="F47:L47"/>
    <mergeCell ref="F46:L46"/>
    <mergeCell ref="U22:V22"/>
    <mergeCell ref="W8:AC8"/>
    <mergeCell ref="F48:L48"/>
    <mergeCell ref="Z1:AC1"/>
    <mergeCell ref="O59:Q59"/>
    <mergeCell ref="AD49:AF49"/>
    <mergeCell ref="O61:Q61"/>
    <mergeCell ref="U13:V13"/>
    <mergeCell ref="U7:V7"/>
    <mergeCell ref="AD50:AF50"/>
    <mergeCell ref="AD42:AF42"/>
    <mergeCell ref="AD52:AF52"/>
    <mergeCell ref="C24:E24"/>
    <mergeCell ref="U8:V8"/>
    <mergeCell ref="C26:E26"/>
    <mergeCell ref="U10:V10"/>
    <mergeCell ref="M32:T32"/>
    <mergeCell ref="W21:AC21"/>
    <mergeCell ref="G62:L62"/>
    <mergeCell ref="AD32:AF32"/>
    <mergeCell ref="AD26:AF26"/>
    <mergeCell ref="W10:AC10"/>
    <mergeCell ref="M16:T16"/>
    <mergeCell ref="C37:E37"/>
    <mergeCell ref="U21:V21"/>
    <mergeCell ref="M27:T27"/>
    <mergeCell ref="M18:T18"/>
    <mergeCell ref="F51:L51"/>
    <mergeCell ref="M45:T45"/>
    <mergeCell ref="AH1:AK1"/>
    <mergeCell ref="C14:E14"/>
    <mergeCell ref="F38:L38"/>
    <mergeCell ref="U35:V35"/>
    <mergeCell ref="AD45:AF45"/>
    <mergeCell ref="W29:AC29"/>
    <mergeCell ref="W23:AC23"/>
    <mergeCell ref="C27:E27"/>
    <mergeCell ref="M40:T40"/>
    <mergeCell ref="AD7:AF7"/>
    <mergeCell ref="W24:AC24"/>
    <mergeCell ref="M12:T12"/>
    <mergeCell ref="O57:Q57"/>
    <mergeCell ref="W51:AC51"/>
    <mergeCell ref="W26:AC26"/>
    <mergeCell ref="M41:T41"/>
    <mergeCell ref="M57:N57"/>
    <mergeCell ref="M24:T24"/>
    <mergeCell ref="C45:E45"/>
    <mergeCell ref="U29:V29"/>
    <mergeCell ref="U23:V23"/>
    <mergeCell ref="C47:E47"/>
    <mergeCell ref="U31:V31"/>
    <mergeCell ref="W42:AC42"/>
    <mergeCell ref="C40:E40"/>
    <mergeCell ref="C51:E51"/>
    <mergeCell ref="W19:AC19"/>
    <mergeCell ref="W37:AC37"/>
    <mergeCell ref="F19:L19"/>
    <mergeCell ref="M37:T37"/>
    <mergeCell ref="U42:V42"/>
    <mergeCell ref="AD48:AF48"/>
    <mergeCell ref="W32:AC32"/>
    <mergeCell ref="R56:AK56"/>
    <mergeCell ref="M14:T14"/>
    <mergeCell ref="M43:T43"/>
    <mergeCell ref="AD10:AF10"/>
    <mergeCell ref="W27:AC27"/>
    <mergeCell ref="F9:L9"/>
    <mergeCell ref="C46:E46"/>
    <mergeCell ref="R59:AK59"/>
    <mergeCell ref="W44:AC44"/>
    <mergeCell ref="C48:E48"/>
    <mergeCell ref="U32:V32"/>
    <mergeCell ref="U47:V47"/>
    <mergeCell ref="M25:T25"/>
    <mergeCell ref="W45:AC45"/>
    <mergeCell ref="M33:T33"/>
    <mergeCell ref="W20:AC20"/>
    <mergeCell ref="B64:AK64"/>
    <mergeCell ref="AD21:AF21"/>
    <mergeCell ref="W47:AC47"/>
    <mergeCell ref="W22:AC22"/>
    <mergeCell ref="AD23:AF23"/>
    <mergeCell ref="U50:V50"/>
    <mergeCell ref="U44:V44"/>
    <mergeCell ref="C16:E16"/>
    <mergeCell ref="F22:L22"/>
    <mergeCell ref="C9:E9"/>
    <mergeCell ref="U45:V45"/>
    <mergeCell ref="B58:C58"/>
    <mergeCell ref="R57:AK57"/>
    <mergeCell ref="C36:E36"/>
    <mergeCell ref="C11:E11"/>
    <mergeCell ref="M51:T51"/>
    <mergeCell ref="F11:L11"/>
    <mergeCell ref="B60:C60"/>
    <mergeCell ref="AD16:AF16"/>
    <mergeCell ref="W33:AC33"/>
    <mergeCell ref="F40:L40"/>
    <mergeCell ref="AD18:AF18"/>
    <mergeCell ref="F12:L12"/>
    <mergeCell ref="W35:AC35"/>
    <mergeCell ref="D59:F59"/>
    <mergeCell ref="V1:Y1"/>
    <mergeCell ref="AD17:AF17"/>
    <mergeCell ref="G59:L59"/>
    <mergeCell ref="F41:L41"/>
    <mergeCell ref="R62:AK62"/>
    <mergeCell ref="F35:L35"/>
    <mergeCell ref="G61:L61"/>
    <mergeCell ref="W46:AC46"/>
    <mergeCell ref="M34:T34"/>
    <mergeCell ref="B59:C59"/>
    <mergeCell ref="D61:F61"/>
    <mergeCell ref="AD31:AF31"/>
    <mergeCell ref="W48:AC48"/>
    <mergeCell ref="M49:T49"/>
    <mergeCell ref="D62:F62"/>
    <mergeCell ref="D56:F56"/>
    <mergeCell ref="C17:E17"/>
    <mergeCell ref="F34:L34"/>
    <mergeCell ref="O60:Q60"/>
    <mergeCell ref="F25:L25"/>
    <mergeCell ref="C19:E19"/>
    <mergeCell ref="F30:L30"/>
    <mergeCell ref="B52:T52"/>
    <mergeCell ref="G56:L56"/>
    <mergeCell ref="W41:AC41"/>
    <mergeCell ref="W43:AC43"/>
    <mergeCell ref="AD44:AF44"/>
    <mergeCell ref="AD19:AF19"/>
    <mergeCell ref="F13:L13"/>
    <mergeCell ref="M59:N59"/>
    <mergeCell ref="F43:L43"/>
    <mergeCell ref="AD27:AF27"/>
    <mergeCell ref="M9:T9"/>
    <mergeCell ref="M20:T20"/>
    <mergeCell ref="O62:Q62"/>
    <mergeCell ref="M11:T11"/>
    <mergeCell ref="O56:Q56"/>
    <mergeCell ref="U16:V16"/>
    <mergeCell ref="B61:C61"/>
    <mergeCell ref="C7:E7"/>
    <mergeCell ref="AD22:AF22"/>
    <mergeCell ref="M22:T22"/>
    <mergeCell ref="AD37:AF37"/>
    <mergeCell ref="M15:T15"/>
    <mergeCell ref="U28:V28"/>
    <mergeCell ref="AD9:AF9"/>
    <mergeCell ref="AD47:AF47"/>
    <mergeCell ref="J2:P3"/>
    <mergeCell ref="F33:L33"/>
    <mergeCell ref="F8:L8"/>
    <mergeCell ref="AD38:AF38"/>
    <mergeCell ref="W16:AC16"/>
    <mergeCell ref="C20:E20"/>
    <mergeCell ref="C25:E25"/>
    <mergeCell ref="D57:F57"/>
    <mergeCell ref="F31:L31"/>
    <mergeCell ref="F28:L28"/>
    <mergeCell ref="G57:L57"/>
    <mergeCell ref="W18:AC18"/>
    <mergeCell ref="C22:E22"/>
    <mergeCell ref="F39:L39"/>
    <mergeCell ref="W17:AC17"/>
    <mergeCell ref="W11:AC11"/>
    <mergeCell ref="M35:T35"/>
    <mergeCell ref="G58:L58"/>
    <mergeCell ref="Z2:AC3"/>
    <mergeCell ref="AD2:AG3"/>
    <mergeCell ref="C38:E38"/>
    <mergeCell ref="C13:E13"/>
    <mergeCell ref="M30:T30"/>
    <mergeCell ref="F21:L21"/>
    <mergeCell ref="U24:V24"/>
    <mergeCell ref="M46:T46"/>
    <mergeCell ref="D60:F60"/>
    <mergeCell ref="U18:V18"/>
    <mergeCell ref="C15:E15"/>
    <mergeCell ref="C33:E33"/>
    <mergeCell ref="F50:L50"/>
    <mergeCell ref="A1:I1"/>
    <mergeCell ref="W12:AC12"/>
    <mergeCell ref="U19:V19"/>
    <mergeCell ref="C35:E35"/>
    <mergeCell ref="C10:E10"/>
    <mergeCell ref="AD46:AF46"/>
    <mergeCell ref="AD40:AF40"/>
    <mergeCell ref="F49:L49"/>
    <mergeCell ref="F14:L14"/>
    <mergeCell ref="Q2:U3"/>
    <mergeCell ref="AD41:AF41"/>
    <mergeCell ref="D58:F58"/>
    <mergeCell ref="U37:V37"/>
    <mergeCell ref="M13:T13"/>
    <mergeCell ref="M7:T7"/>
    <mergeCell ref="C28:E28"/>
    <mergeCell ref="U12:V12"/>
    <mergeCell ref="AD43:AF43"/>
    <mergeCell ref="G60:L60"/>
    <mergeCell ref="C30:E30"/>
    <mergeCell ref="M36:T36"/>
    <mergeCell ref="M8:T8"/>
    <mergeCell ref="B54:AK54"/>
    <mergeCell ref="U26:V26"/>
    <mergeCell ref="AD25:AF25"/>
    <mergeCell ref="C41:E41"/>
    <mergeCell ref="W9:AC9"/>
    <mergeCell ref="F37:L37"/>
    <mergeCell ref="C43:E43"/>
    <mergeCell ref="U27:V27"/>
    <mergeCell ref="W14:AC14"/>
    <mergeCell ref="W38:AC38"/>
    <mergeCell ref="W13:AC13"/>
    <mergeCell ref="U25:V25"/>
    <mergeCell ref="O58:Q58"/>
    <mergeCell ref="W40:AC40"/>
    <mergeCell ref="W15:AC15"/>
    <mergeCell ref="M21:T21"/>
    <mergeCell ref="F15:L15"/>
    <mergeCell ref="M61:N61"/>
    <mergeCell ref="AD1:AG1"/>
    <mergeCell ref="F42:L42"/>
    <mergeCell ref="M26:T26"/>
    <mergeCell ref="AD51:AF51"/>
    <mergeCell ref="U38:V38"/>
    <mergeCell ref="C29:E29"/>
    <mergeCell ref="M56:N56"/>
    <mergeCell ref="U40:V40"/>
    <mergeCell ref="C44:E44"/>
    <mergeCell ref="C31:E31"/>
    <mergeCell ref="U15:V15"/>
    <mergeCell ref="M39:T39"/>
    <mergeCell ref="AD11:AF11"/>
    <mergeCell ref="W28:AC28"/>
    <mergeCell ref="F10:L10"/>
    <mergeCell ref="Q1:U1"/>
    <mergeCell ref="M28:T28"/>
    <mergeCell ref="C49:E49"/>
    <mergeCell ref="U33:V33"/>
    <mergeCell ref="AD39:AF39"/>
    <mergeCell ref="C42:E42"/>
    <mergeCell ref="AD24:AF24"/>
    <mergeCell ref="M62:N62"/>
    <mergeCell ref="M29:T29"/>
    <mergeCell ref="M23:T23"/>
    <mergeCell ref="U46:V46"/>
    <mergeCell ref="C12:E12"/>
    <mergeCell ref="U48:V48"/>
    <mergeCell ref="C39:E39"/>
    <mergeCell ref="W34:AC34"/>
    <mergeCell ref="U41:V41"/>
    <mergeCell ref="W25:AC25"/>
    <mergeCell ref="C32:E32"/>
    <mergeCell ref="W36:AC36"/>
    <mergeCell ref="U43:V43"/>
    <mergeCell ref="F7:L7"/>
    <mergeCell ref="W30:AC30"/>
    <mergeCell ref="AD12:AF12"/>
    <mergeCell ref="M42:T42"/>
    <mergeCell ref="A2:I3"/>
    <mergeCell ref="M17:T17"/>
    <mergeCell ref="F36:L36"/>
    <mergeCell ref="AD20:AF20"/>
    <mergeCell ref="M47:T47"/>
    <mergeCell ref="AD14:AF14"/>
    <mergeCell ref="W31:AC31"/>
    <mergeCell ref="M19:T19"/>
    <mergeCell ref="AD13:AF13"/>
    <mergeCell ref="C50:E50"/>
    <mergeCell ref="U34:V34"/>
    <mergeCell ref="U9:V9"/>
    <mergeCell ref="R58:AK58"/>
    <mergeCell ref="AD15:AF15"/>
    <mergeCell ref="M44:T44"/>
    <mergeCell ref="U49:V49"/>
    <mergeCell ref="U36:V36"/>
    <mergeCell ref="B56:C56"/>
    <mergeCell ref="R60:AK60"/>
    <mergeCell ref="U30:V30"/>
    <mergeCell ref="F29:L29"/>
    <mergeCell ref="W49:AC49"/>
    <mergeCell ref="M10:T10"/>
    <mergeCell ref="B57:C57"/>
    <mergeCell ref="F24:L24"/>
    <mergeCell ref="AD8:AF8"/>
    <mergeCell ref="F32:L32"/>
    <mergeCell ref="F26:L26"/>
    <mergeCell ref="U51:V51"/>
    <mergeCell ref="V2:Y3"/>
    <mergeCell ref="M50:T50"/>
    <mergeCell ref="M58:N58"/>
    <mergeCell ref="B62:C62"/>
    <mergeCell ref="R61:AK61"/>
    <mergeCell ref="F27:L27"/>
    <mergeCell ref="W52:AC52"/>
    <mergeCell ref="W39:AC39"/>
    <mergeCell ref="M48:T48"/>
    <mergeCell ref="U17:V17"/>
    <mergeCell ref="U11:V11"/>
    <mergeCell ref="F44:L44"/>
    <mergeCell ref="C8:E8"/>
    <mergeCell ref="F16:L16"/>
    <mergeCell ref="F20:L20"/>
    <mergeCell ref="U52:V52"/>
    <mergeCell ref="B5:AK5"/>
    <mergeCell ref="U39:V39"/>
    <mergeCell ref="AD33:AF33"/>
    <mergeCell ref="W50:AC50"/>
    <mergeCell ref="M38:T38"/>
    <mergeCell ref="AD35:AF35"/>
    <mergeCell ref="F23:L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Q80"/>
  <sheetViews>
    <sheetView showGridLines="0" workbookViewId="0">
      <selection activeCell="A1" sqref="A1"/>
    </sheetView>
  </sheetViews>
  <sheetFormatPr baseColWidth="8" defaultColWidth="12.63" defaultRowHeight="15"/>
  <cols>
    <col width="4" customWidth="1" min="1" max="1"/>
    <col width="4" customWidth="1" min="2" max="2"/>
    <col width="4" customWidth="1" min="3" max="3"/>
    <col width="4" customWidth="1" min="4" max="4"/>
    <col width="4" customWidth="1" min="5" max="5"/>
    <col width="4" customWidth="1" min="6" max="6"/>
    <col width="4" customWidth="1" min="7" max="7"/>
    <col width="4" customWidth="1" min="8" max="8"/>
    <col width="4" customWidth="1" min="9" max="9"/>
    <col width="4" customWidth="1" min="10" max="10"/>
    <col width="4" customWidth="1" min="11" max="11"/>
    <col width="4" customWidth="1" min="12" max="12"/>
    <col width="4" customWidth="1" min="13" max="13"/>
    <col width="4" customWidth="1" min="14" max="14"/>
    <col width="4" customWidth="1" min="15" max="15"/>
    <col width="4" customWidth="1" min="16" max="16"/>
    <col width="4" customWidth="1" min="17" max="17"/>
    <col width="4" customWidth="1" min="18" max="18"/>
    <col width="4" customWidth="1" min="19" max="19"/>
    <col width="4" customWidth="1" min="20" max="20"/>
    <col width="4" customWidth="1" min="21" max="21"/>
    <col width="4" customWidth="1" min="22" max="22"/>
    <col width="4" customWidth="1" min="23" max="23"/>
    <col width="4" customWidth="1" min="24" max="24"/>
    <col width="4" customWidth="1" min="25" max="25"/>
    <col width="4" customWidth="1" min="26" max="26"/>
    <col width="4" customWidth="1" min="27" max="27"/>
    <col width="4" customWidth="1" min="28" max="28"/>
    <col width="4" customWidth="1" min="29" max="29"/>
    <col width="4" customWidth="1" min="30" max="30"/>
    <col width="4" customWidth="1" min="31" max="31"/>
    <col width="4" customWidth="1" min="32" max="32"/>
    <col width="4" customWidth="1" min="33" max="33"/>
    <col width="4" customWidth="1" min="34" max="34"/>
    <col width="4" customWidth="1" min="35" max="35"/>
    <col width="4" customWidth="1" min="36" max="36"/>
    <col width="4" customWidth="1" min="37" max="37"/>
    <col width="4" customWidth="1" min="38" max="38"/>
    <col width="4" customWidth="1" min="39" max="39"/>
    <col width="4" customWidth="1" min="40" max="40"/>
    <col width="4" customWidth="1" min="41" max="41"/>
    <col width="4" customWidth="1" min="42" max="42"/>
    <col width="4" customWidth="1" min="43" max="43"/>
    <col width="4" customWidth="1" min="44" max="44"/>
    <col width="4" customWidth="1" min="45" max="45"/>
    <col width="4" customWidth="1" min="46" max="46"/>
    <col width="4" customWidth="1" min="47" max="47"/>
    <col width="4" customWidth="1" min="48" max="48"/>
    <col width="4" customWidth="1" min="49" max="49"/>
    <col width="4" customWidth="1" min="50" max="50"/>
    <col width="4" customWidth="1" min="51" max="51"/>
    <col width="4" customWidth="1" min="52" max="52"/>
    <col width="4" customWidth="1" min="53" max="53"/>
    <col width="4" customWidth="1" min="54" max="54"/>
    <col width="4" customWidth="1" min="55" max="55"/>
    <col width="4" customWidth="1" min="56" max="56"/>
    <col width="4" customWidth="1" min="57" max="57"/>
    <col width="4" customWidth="1" min="58" max="58"/>
    <col width="4" customWidth="1" min="59" max="59"/>
    <col width="4" customWidth="1" min="60" max="60"/>
    <col width="4" customWidth="1" min="61" max="61"/>
    <col width="4" customWidth="1" min="62" max="62"/>
    <col width="4" customWidth="1" min="63" max="63"/>
    <col width="4" customWidth="1" min="64" max="64"/>
    <col width="4" customWidth="1" min="65" max="65"/>
    <col width="4" customWidth="1" min="66" max="66"/>
    <col width="4" customWidth="1" min="67" max="67"/>
    <col width="4" customWidth="1" min="68" max="68"/>
    <col width="4" customWidth="1" min="69" max="69"/>
  </cols>
  <sheetData>
    <row r="1" ht="22.5" customHeight="1">
      <c r="A1" s="43" t="inlineStr">
        <is>
          <t>テストレベル</t>
        </is>
      </c>
      <c r="B1" s="10" t="n"/>
      <c r="C1" s="10" t="n"/>
      <c r="D1" s="10" t="n"/>
      <c r="E1" s="11" t="n"/>
      <c r="F1" s="20" t="inlineStr">
        <is>
          <t>結合テスト</t>
        </is>
      </c>
      <c r="G1" s="10" t="n"/>
      <c r="H1" s="10" t="n"/>
      <c r="I1" s="10" t="n"/>
      <c r="J1" s="10" t="n"/>
      <c r="K1" s="10" t="n"/>
      <c r="L1" s="10" t="n"/>
      <c r="M1" s="10" t="n"/>
      <c r="N1" s="10" t="n"/>
      <c r="O1" s="10" t="n"/>
      <c r="P1" s="10" t="n"/>
      <c r="Q1" s="11" t="n"/>
      <c r="R1" s="43" t="inlineStr">
        <is>
          <t>機能／モジュール</t>
        </is>
      </c>
      <c r="S1" s="10" t="n"/>
      <c r="T1" s="10" t="n"/>
      <c r="U1" s="10" t="n"/>
      <c r="V1" s="11" t="n"/>
      <c r="W1" s="20" t="inlineStr">
        <is>
          <t>ACSMS-SCR-005_JAマスタ登録画面</t>
        </is>
      </c>
      <c r="X1" s="10" t="n"/>
      <c r="Y1" s="10" t="n"/>
      <c r="Z1" s="10" t="n"/>
      <c r="AA1" s="10" t="n"/>
      <c r="AB1" s="10" t="n"/>
      <c r="AC1" s="10" t="n"/>
      <c r="AD1" s="10" t="n"/>
      <c r="AE1" s="10" t="n"/>
      <c r="AF1" s="10" t="n"/>
      <c r="AG1" s="10" t="n"/>
      <c r="AH1" s="11" t="n"/>
    </row>
    <row r="2" ht="22.5" customHeight="1">
      <c r="A2" s="43" t="inlineStr">
        <is>
          <t>作成者</t>
        </is>
      </c>
      <c r="B2" s="10" t="n"/>
      <c r="C2" s="10" t="n"/>
      <c r="D2" s="10" t="n"/>
      <c r="E2" s="11" t="n"/>
      <c r="F2" s="20" t="inlineStr">
        <is>
          <t>Tran Duc Tuyen</t>
        </is>
      </c>
      <c r="G2" s="10" t="n"/>
      <c r="H2" s="10" t="n"/>
      <c r="I2" s="10" t="n"/>
      <c r="J2" s="10" t="n"/>
      <c r="K2" s="10" t="n"/>
      <c r="L2" s="10" t="n"/>
      <c r="M2" s="10" t="n"/>
      <c r="N2" s="10" t="n"/>
      <c r="O2" s="10" t="n"/>
      <c r="P2" s="10" t="n"/>
      <c r="Q2" s="11" t="n"/>
      <c r="R2" s="43" t="inlineStr">
        <is>
          <t>作成日</t>
        </is>
      </c>
      <c r="S2" s="10" t="n"/>
      <c r="T2" s="10" t="n"/>
      <c r="U2" s="10" t="n"/>
      <c r="V2" s="11" t="n"/>
      <c r="W2" s="33" t="inlineStr">
        <is>
          <t>2026/05/08</t>
        </is>
      </c>
      <c r="X2" s="10" t="n"/>
      <c r="Y2" s="10" t="n"/>
      <c r="Z2" s="10" t="n"/>
      <c r="AA2" s="10" t="n"/>
      <c r="AB2" s="10" t="n"/>
      <c r="AC2" s="10" t="n"/>
      <c r="AD2" s="10" t="n"/>
      <c r="AE2" s="10" t="n"/>
      <c r="AF2" s="10" t="n"/>
      <c r="AG2" s="10" t="n"/>
      <c r="AH2" s="11" t="n"/>
    </row>
    <row r="3" ht="22.5" customHeight="1">
      <c r="A3" s="43" t="inlineStr">
        <is>
          <t>確認者</t>
        </is>
      </c>
      <c r="B3" s="10" t="n"/>
      <c r="C3" s="10" t="n"/>
      <c r="D3" s="10" t="n"/>
      <c r="E3" s="11" t="n"/>
      <c r="F3" s="20" t="inlineStr">
        <is>
          <t>Nguyen Huy Dat</t>
        </is>
      </c>
      <c r="G3" s="10" t="n"/>
      <c r="H3" s="10" t="n"/>
      <c r="I3" s="10" t="n"/>
      <c r="J3" s="10" t="n"/>
      <c r="K3" s="10" t="n"/>
      <c r="L3" s="10" t="n"/>
      <c r="M3" s="10" t="n"/>
      <c r="N3" s="10" t="n"/>
      <c r="O3" s="10" t="n"/>
      <c r="P3" s="10" t="n"/>
      <c r="Q3" s="11" t="n"/>
      <c r="R3" s="43" t="inlineStr">
        <is>
          <t>確認日</t>
        </is>
      </c>
      <c r="S3" s="10" t="n"/>
      <c r="T3" s="10" t="n"/>
      <c r="U3" s="10" t="n"/>
      <c r="V3" s="11" t="n"/>
      <c r="W3" s="33" t="inlineStr"/>
      <c r="X3" s="10" t="n"/>
      <c r="Y3" s="10" t="n"/>
      <c r="Z3" s="10" t="n"/>
      <c r="AA3" s="10" t="n"/>
      <c r="AB3" s="10" t="n"/>
      <c r="AC3" s="10" t="n"/>
      <c r="AD3" s="10" t="n"/>
      <c r="AE3" s="10" t="n"/>
      <c r="AF3" s="10" t="n"/>
      <c r="AG3" s="10" t="n"/>
      <c r="AH3" s="11" t="n"/>
    </row>
    <row r="4" ht="22.5" customHeight="1">
      <c r="A4" s="43" t="inlineStr">
        <is>
          <t>テスト環境</t>
        </is>
      </c>
      <c r="B4" s="10" t="n"/>
      <c r="C4" s="10" t="n"/>
      <c r="D4" s="10" t="n"/>
      <c r="E4" s="11" t="n"/>
      <c r="F4" s="20" t="inlineStr">
        <is>
          <t>Windows 10/11, Chrome</t>
        </is>
      </c>
      <c r="G4" s="10" t="n"/>
      <c r="H4" s="10" t="n"/>
      <c r="I4" s="10" t="n"/>
      <c r="J4" s="10" t="n"/>
      <c r="K4" s="10" t="n"/>
      <c r="L4" s="10" t="n"/>
      <c r="M4" s="10" t="n"/>
      <c r="N4" s="10" t="n"/>
      <c r="O4" s="10" t="n"/>
      <c r="P4" s="10" t="n"/>
      <c r="Q4" s="10" t="n"/>
      <c r="R4" s="10" t="n"/>
      <c r="S4" s="10" t="n"/>
      <c r="T4" s="10" t="n"/>
      <c r="U4" s="10" t="n"/>
      <c r="V4" s="10" t="n"/>
      <c r="W4" s="10" t="n"/>
      <c r="X4" s="10" t="n"/>
      <c r="Y4" s="10" t="n"/>
      <c r="Z4" s="10" t="n"/>
      <c r="AA4" s="10" t="n"/>
      <c r="AB4" s="10" t="n"/>
      <c r="AC4" s="10" t="n"/>
      <c r="AD4" s="10" t="n"/>
      <c r="AE4" s="10" t="n"/>
      <c r="AF4" s="10" t="n"/>
      <c r="AG4" s="10" t="n"/>
      <c r="AH4" s="11" t="n"/>
    </row>
    <row r="5" ht="22.5" customHeight="1">
      <c r="A5" s="43" t="inlineStr">
        <is>
          <t>分類</t>
        </is>
      </c>
      <c r="B5" s="10" t="n"/>
      <c r="C5" s="10" t="n"/>
      <c r="D5" s="10" t="n"/>
      <c r="E5" s="10" t="n"/>
      <c r="F5" s="10" t="n"/>
      <c r="G5" s="10" t="n"/>
      <c r="H5" s="10" t="n"/>
      <c r="I5" s="10" t="n"/>
      <c r="J5" s="10" t="n"/>
      <c r="K5" s="10" t="n"/>
      <c r="L5" s="10" t="n"/>
      <c r="M5" s="10" t="n"/>
      <c r="N5" s="10" t="n"/>
      <c r="O5" s="10" t="n"/>
      <c r="P5" s="10" t="n"/>
      <c r="Q5" s="10" t="n"/>
      <c r="R5" s="10" t="n"/>
      <c r="S5" s="11" t="n"/>
      <c r="T5" s="43" t="inlineStr">
        <is>
          <t>テスト結果</t>
        </is>
      </c>
      <c r="U5" s="10" t="n"/>
      <c r="V5" s="10" t="n"/>
      <c r="W5" s="10" t="n"/>
      <c r="X5" s="10" t="n"/>
      <c r="Y5" s="10" t="n"/>
      <c r="Z5" s="10" t="n"/>
      <c r="AA5" s="10" t="n"/>
      <c r="AB5" s="10" t="n"/>
      <c r="AC5" s="10" t="n"/>
      <c r="AD5" s="10" t="n"/>
      <c r="AE5" s="10" t="n"/>
      <c r="AF5" s="10" t="n"/>
      <c r="AG5" s="10" t="n"/>
      <c r="AH5" s="11" t="n"/>
    </row>
    <row r="6" ht="22.5" customHeight="1">
      <c r="A6" s="43" t="inlineStr">
        <is>
          <t>回目</t>
        </is>
      </c>
      <c r="B6" s="10" t="n"/>
      <c r="C6" s="10" t="n"/>
      <c r="D6" s="10" t="n"/>
      <c r="E6" s="10" t="n"/>
      <c r="F6" s="10" t="n"/>
      <c r="G6" s="11" t="n"/>
      <c r="H6" s="43" t="inlineStr">
        <is>
          <t>正常</t>
        </is>
      </c>
      <c r="I6" s="10" t="n"/>
      <c r="J6" s="11" t="n"/>
      <c r="K6" s="43" t="inlineStr">
        <is>
          <t>異常</t>
        </is>
      </c>
      <c r="L6" s="10" t="n"/>
      <c r="M6" s="11" t="n"/>
      <c r="N6" s="43" t="inlineStr">
        <is>
          <t>境界値</t>
        </is>
      </c>
      <c r="O6" s="10" t="n"/>
      <c r="P6" s="11" t="n"/>
      <c r="Q6" s="43" t="inlineStr">
        <is>
          <t>合計</t>
        </is>
      </c>
      <c r="R6" s="10" t="n"/>
      <c r="S6" s="11" t="n"/>
      <c r="T6" s="43" t="inlineStr">
        <is>
          <t>合格</t>
        </is>
      </c>
      <c r="U6" s="10" t="n"/>
      <c r="V6" s="11" t="n"/>
      <c r="W6" s="43" t="inlineStr">
        <is>
          <t>不合格</t>
        </is>
      </c>
      <c r="X6" s="10" t="n"/>
      <c r="Y6" s="11" t="n"/>
      <c r="Z6" s="43" t="inlineStr">
        <is>
          <t>未テスト</t>
        </is>
      </c>
      <c r="AA6" s="10" t="n"/>
      <c r="AB6" s="11" t="n"/>
      <c r="AC6" s="43" t="inlineStr">
        <is>
          <t>N/A</t>
        </is>
      </c>
      <c r="AD6" s="10" t="n"/>
      <c r="AE6" s="11" t="n"/>
      <c r="AF6" s="43" t="inlineStr">
        <is>
          <t>合計</t>
        </is>
      </c>
      <c r="AG6" s="10" t="n"/>
      <c r="AH6" s="11" t="n"/>
    </row>
    <row r="7" ht="22.5" customHeight="1">
      <c r="A7" s="43" t="inlineStr">
        <is>
          <t>1回目</t>
        </is>
      </c>
      <c r="B7" s="10" t="n"/>
      <c r="C7" s="10" t="n"/>
      <c r="D7" s="10" t="n"/>
      <c r="E7" s="10" t="n"/>
      <c r="F7" s="10" t="n"/>
      <c r="G7" s="11" t="n"/>
      <c r="H7" s="19">
        <f>COUNTIF($AE$12:$AF$1049,"N")</f>
        <v/>
      </c>
      <c r="I7" s="10" t="n"/>
      <c r="J7" s="11" t="n"/>
      <c r="K7" s="19">
        <f>COUNTIF($AE$12:$AF$1049,"A")</f>
        <v/>
      </c>
      <c r="L7" s="10" t="n"/>
      <c r="M7" s="11" t="n"/>
      <c r="N7" s="19">
        <f>COUNTIF($AE$12:$AF$1049,"B")</f>
        <v/>
      </c>
      <c r="O7" s="10" t="n"/>
      <c r="P7" s="11" t="n"/>
      <c r="Q7" s="40">
        <f>SUM(H7:P7)</f>
        <v/>
      </c>
      <c r="R7" s="10" t="n"/>
      <c r="S7" s="11" t="n"/>
      <c r="T7" s="19">
        <f>COUNTIF($AG$12:$AI$1049,T$6)</f>
        <v/>
      </c>
      <c r="U7" s="10" t="n"/>
      <c r="V7" s="11" t="n"/>
      <c r="W7" s="19">
        <f>COUNTIF($AG$12:$AI$1049,W$6)</f>
        <v/>
      </c>
      <c r="X7" s="10" t="n"/>
      <c r="Y7" s="11" t="n"/>
      <c r="Z7" s="19">
        <f>COUNTIF($AG$12:$AI$1049,Z$6)</f>
        <v/>
      </c>
      <c r="AA7" s="10" t="n"/>
      <c r="AB7" s="11" t="n"/>
      <c r="AC7" s="19">
        <f>COUNTIF($AG$12:$AI$1049,AC$6)</f>
        <v/>
      </c>
      <c r="AD7" s="10" t="n"/>
      <c r="AE7" s="11" t="n"/>
      <c r="AF7" s="40">
        <f>SUM(T7:AE7)</f>
        <v/>
      </c>
      <c r="AG7" s="10" t="n"/>
      <c r="AH7" s="11" t="n"/>
    </row>
    <row r="8" ht="22.5" customHeight="1">
      <c r="A8" s="43" t="inlineStr">
        <is>
          <t>2回目</t>
        </is>
      </c>
      <c r="B8" s="10" t="n"/>
      <c r="C8" s="10" t="n"/>
      <c r="D8" s="10" t="n"/>
      <c r="E8" s="10" t="n"/>
      <c r="F8" s="10" t="n"/>
      <c r="G8" s="11" t="n"/>
      <c r="H8" s="19">
        <f>COUNTIF($AE$12:$AF$1049,"N")</f>
        <v/>
      </c>
      <c r="I8" s="10" t="n"/>
      <c r="J8" s="11" t="n"/>
      <c r="K8" s="19">
        <f>COUNTIF($AE$12:$AF$1049,"A")</f>
        <v/>
      </c>
      <c r="L8" s="10" t="n"/>
      <c r="M8" s="11" t="n"/>
      <c r="N8" s="19">
        <f>COUNTIF($AE$12:$AF$1049,"B")</f>
        <v/>
      </c>
      <c r="O8" s="10" t="n"/>
      <c r="P8" s="11" t="n"/>
      <c r="Q8" s="40">
        <f>SUM(H8:P8)</f>
        <v/>
      </c>
      <c r="R8" s="10" t="n"/>
      <c r="S8" s="11" t="n"/>
      <c r="T8" s="19">
        <f>COUNTIF($AV$12:$AX$1049,T$6)</f>
        <v/>
      </c>
      <c r="U8" s="10" t="n"/>
      <c r="V8" s="11" t="n"/>
      <c r="W8" s="19">
        <f>COUNTIF($AV$12:$AX$1049,W$6)</f>
        <v/>
      </c>
      <c r="X8" s="10" t="n"/>
      <c r="Y8" s="11" t="n"/>
      <c r="Z8" s="19">
        <f>COUNTIF($AV$12:$AX$1049,Z$6)</f>
        <v/>
      </c>
      <c r="AA8" s="10" t="n"/>
      <c r="AB8" s="11" t="n"/>
      <c r="AC8" s="19">
        <f>COUNTIF($AV$12:$AX$1049,AC$6)</f>
        <v/>
      </c>
      <c r="AD8" s="10" t="n"/>
      <c r="AE8" s="11" t="n"/>
      <c r="AF8" s="40">
        <f>SUM(T8:AE8)</f>
        <v/>
      </c>
      <c r="AG8" s="10" t="n"/>
      <c r="AH8" s="11" t="n"/>
    </row>
    <row r="9" ht="12.75" customHeight="1"/>
    <row r="10" ht="36" customHeight="1">
      <c r="A10" s="53" t="inlineStr">
        <is>
          <t>#</t>
        </is>
      </c>
      <c r="B10" s="54" t="inlineStr">
        <is>
          <t>要件ID</t>
        </is>
      </c>
      <c r="C10" s="22" t="n"/>
      <c r="D10" s="23" t="n"/>
      <c r="E10" s="54" t="inlineStr">
        <is>
          <t>説明</t>
        </is>
      </c>
      <c r="F10" s="22" t="n"/>
      <c r="G10" s="22" t="n"/>
      <c r="H10" s="22" t="n"/>
      <c r="I10" s="23" t="n"/>
      <c r="J10" s="54" t="inlineStr">
        <is>
          <t>前提条件</t>
        </is>
      </c>
      <c r="K10" s="22" t="n"/>
      <c r="L10" s="22" t="n"/>
      <c r="M10" s="22" t="n"/>
      <c r="N10" s="22" t="n"/>
      <c r="O10" s="22" t="n"/>
      <c r="P10" s="23" t="n"/>
      <c r="Q10" s="54" t="inlineStr">
        <is>
          <t>ステップ／手順</t>
        </is>
      </c>
      <c r="R10" s="22" t="n"/>
      <c r="S10" s="22" t="n"/>
      <c r="T10" s="22" t="n"/>
      <c r="U10" s="22" t="n"/>
      <c r="V10" s="22" t="n"/>
      <c r="W10" s="23" t="n"/>
      <c r="X10" s="54" t="inlineStr">
        <is>
          <t>期待結果／アウトプット</t>
        </is>
      </c>
      <c r="Y10" s="22" t="n"/>
      <c r="Z10" s="22" t="n"/>
      <c r="AA10" s="22" t="n"/>
      <c r="AB10" s="22" t="n"/>
      <c r="AC10" s="22" t="n"/>
      <c r="AD10" s="23" t="n"/>
      <c r="AE10" s="54" t="inlineStr">
        <is>
          <t>種類</t>
        </is>
      </c>
      <c r="AF10" s="23" t="n"/>
      <c r="AG10" s="43" t="inlineStr">
        <is>
          <t>テスト1回目の結果</t>
        </is>
      </c>
      <c r="AH10" s="10" t="n"/>
      <c r="AI10" s="10" t="n"/>
      <c r="AJ10" s="10" t="n"/>
      <c r="AK10" s="10" t="n"/>
      <c r="AL10" s="10" t="n"/>
      <c r="AM10" s="10" t="n"/>
      <c r="AN10" s="10" t="n"/>
      <c r="AO10" s="10" t="n"/>
      <c r="AP10" s="10" t="n"/>
      <c r="AQ10" s="10" t="n"/>
      <c r="AR10" s="10" t="n"/>
      <c r="AS10" s="10" t="n"/>
      <c r="AT10" s="10" t="n"/>
      <c r="AU10" s="11" t="n"/>
      <c r="AV10" s="43" t="inlineStr">
        <is>
          <t>テスト2回目の結果</t>
        </is>
      </c>
      <c r="AW10" s="10" t="n"/>
      <c r="AX10" s="10" t="n"/>
      <c r="AY10" s="10" t="n"/>
      <c r="AZ10" s="10" t="n"/>
      <c r="BA10" s="10" t="n"/>
      <c r="BB10" s="10" t="n"/>
      <c r="BC10" s="10" t="n"/>
      <c r="BD10" s="10" t="n"/>
      <c r="BE10" s="10" t="n"/>
      <c r="BF10" s="10" t="n"/>
      <c r="BG10" s="10" t="n"/>
      <c r="BH10" s="10" t="n"/>
      <c r="BI10" s="10" t="n"/>
      <c r="BJ10" s="11" t="n"/>
      <c r="BK10" s="54" t="inlineStr">
        <is>
          <t>備考</t>
        </is>
      </c>
      <c r="BL10" s="22" t="n"/>
      <c r="BM10" s="22" t="n"/>
      <c r="BN10" s="22" t="n"/>
      <c r="BO10" s="22" t="n"/>
      <c r="BP10" s="22" t="n"/>
      <c r="BQ10" s="23" t="n"/>
    </row>
    <row r="11" ht="36" customHeight="1">
      <c r="A11" s="37" t="n"/>
      <c r="B11" s="25" t="n"/>
      <c r="C11" s="26" t="n"/>
      <c r="D11" s="27" t="n"/>
      <c r="E11" s="25" t="n"/>
      <c r="F11" s="26" t="n"/>
      <c r="G11" s="26" t="n"/>
      <c r="H11" s="26" t="n"/>
      <c r="I11" s="27" t="n"/>
      <c r="J11" s="25" t="n"/>
      <c r="K11" s="26" t="n"/>
      <c r="L11" s="26" t="n"/>
      <c r="M11" s="26" t="n"/>
      <c r="N11" s="26" t="n"/>
      <c r="O11" s="26" t="n"/>
      <c r="P11" s="27" t="n"/>
      <c r="Q11" s="25" t="n"/>
      <c r="R11" s="26" t="n"/>
      <c r="S11" s="26" t="n"/>
      <c r="T11" s="26" t="n"/>
      <c r="U11" s="26" t="n"/>
      <c r="V11" s="26" t="n"/>
      <c r="W11" s="27" t="n"/>
      <c r="X11" s="25" t="n"/>
      <c r="Y11" s="26" t="n"/>
      <c r="Z11" s="26" t="n"/>
      <c r="AA11" s="26" t="n"/>
      <c r="AB11" s="26" t="n"/>
      <c r="AC11" s="26" t="n"/>
      <c r="AD11" s="27" t="n"/>
      <c r="AE11" s="25" t="n"/>
      <c r="AF11" s="27" t="n"/>
      <c r="AG11" s="43" t="inlineStr">
        <is>
          <t>結果</t>
        </is>
      </c>
      <c r="AH11" s="10" t="n"/>
      <c r="AI11" s="11" t="n"/>
      <c r="AJ11" s="43" t="inlineStr">
        <is>
          <t>実績／
アウトプット</t>
        </is>
      </c>
      <c r="AK11" s="10" t="n"/>
      <c r="AL11" s="11" t="n"/>
      <c r="AM11" s="43" t="inlineStr">
        <is>
          <t>担当者</t>
        </is>
      </c>
      <c r="AN11" s="10" t="n"/>
      <c r="AO11" s="11" t="n"/>
      <c r="AP11" s="43" t="inlineStr">
        <is>
          <t>確認日付
（MM/DD）</t>
        </is>
      </c>
      <c r="AQ11" s="10" t="n"/>
      <c r="AR11" s="11" t="n"/>
      <c r="AS11" s="43" t="inlineStr">
        <is>
          <t>バグID</t>
        </is>
      </c>
      <c r="AT11" s="10" t="n"/>
      <c r="AU11" s="11" t="n"/>
      <c r="AV11" s="43" t="inlineStr">
        <is>
          <t>結果</t>
        </is>
      </c>
      <c r="AW11" s="10" t="n"/>
      <c r="AX11" s="11" t="n"/>
      <c r="AY11" s="43" t="inlineStr">
        <is>
          <t>実績／
アウトプット</t>
        </is>
      </c>
      <c r="AZ11" s="10" t="n"/>
      <c r="BA11" s="11" t="n"/>
      <c r="BB11" s="43" t="inlineStr">
        <is>
          <t>担当者</t>
        </is>
      </c>
      <c r="BC11" s="10" t="n"/>
      <c r="BD11" s="11" t="n"/>
      <c r="BE11" s="43" t="inlineStr">
        <is>
          <t>確認日付
（MM/DD）</t>
        </is>
      </c>
      <c r="BF11" s="10" t="n"/>
      <c r="BG11" s="11" t="n"/>
      <c r="BH11" s="43" t="inlineStr">
        <is>
          <t>バグID</t>
        </is>
      </c>
      <c r="BI11" s="10" t="n"/>
      <c r="BJ11" s="11" t="n"/>
      <c r="BK11" s="25" t="n"/>
      <c r="BL11" s="26" t="n"/>
      <c r="BM11" s="26" t="n"/>
      <c r="BN11" s="26" t="n"/>
      <c r="BO11" s="26" t="n"/>
      <c r="BP11" s="26" t="n"/>
      <c r="BQ11" s="27" t="n"/>
    </row>
    <row r="12" ht="22.5" customHeight="1">
      <c r="A12" s="32" t="inlineStr">
        <is>
          <t>アクセス権限制御（Access Control）</t>
        </is>
      </c>
      <c r="B12" s="10" t="n"/>
      <c r="C12" s="10" t="n"/>
      <c r="D12" s="10" t="n"/>
      <c r="E12" s="10"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0" t="n"/>
      <c r="AL12" s="10" t="n"/>
      <c r="AM12" s="10" t="n"/>
      <c r="AN12" s="10" t="n"/>
      <c r="AO12" s="10" t="n"/>
      <c r="AP12" s="10" t="n"/>
      <c r="AQ12" s="10" t="n"/>
      <c r="AR12" s="10" t="n"/>
      <c r="AS12" s="10" t="n"/>
      <c r="AT12" s="10" t="n"/>
      <c r="AU12" s="10" t="n"/>
      <c r="AV12" s="10" t="n"/>
      <c r="AW12" s="10" t="n"/>
      <c r="AX12" s="10" t="n"/>
      <c r="AY12" s="10" t="n"/>
      <c r="AZ12" s="10" t="n"/>
      <c r="BA12" s="10" t="n"/>
      <c r="BB12" s="10" t="n"/>
      <c r="BC12" s="10" t="n"/>
      <c r="BD12" s="10" t="n"/>
      <c r="BE12" s="10" t="n"/>
      <c r="BF12" s="10" t="n"/>
      <c r="BG12" s="10" t="n"/>
      <c r="BH12" s="10" t="n"/>
      <c r="BI12" s="10" t="n"/>
      <c r="BJ12" s="10" t="n"/>
      <c r="BK12" s="10" t="n"/>
      <c r="BL12" s="10" t="n"/>
      <c r="BM12" s="10" t="n"/>
      <c r="BN12" s="10" t="n"/>
      <c r="BO12" s="10" t="n"/>
      <c r="BP12" s="10" t="n"/>
      <c r="BQ12" s="11" t="n"/>
    </row>
    <row r="13" ht="432" customHeight="1">
      <c r="A13" s="44" t="n">
        <v>1</v>
      </c>
      <c r="B13" s="46" t="inlineStr">
        <is>
          <t>ACSMS-TC-005-001</t>
        </is>
      </c>
      <c r="C13" s="10" t="n"/>
      <c r="D13" s="11" t="n"/>
      <c r="E13" s="46" t="inlineStr">
        <is>
          <t>NICHINO_ADMIN による登録／編集画面アクセス許可</t>
        </is>
      </c>
      <c r="F13" s="10" t="n"/>
      <c r="G13" s="10" t="n"/>
      <c r="H13" s="10" t="n"/>
      <c r="I13" s="11" t="n"/>
      <c r="J13" s="46" t="inlineStr">
        <is>
          <t>・role: NICHINO_ADMIN
・ログイン済 + MFA認証済
・権限: ja.create / ja.view / ja.update を保持</t>
        </is>
      </c>
      <c r="K13" s="10" t="n"/>
      <c r="L13" s="10" t="n"/>
      <c r="M13" s="10" t="n"/>
      <c r="N13" s="10" t="n"/>
      <c r="O13" s="10" t="n"/>
      <c r="P13" s="11" t="n"/>
      <c r="Q13" s="46" t="inlineStr">
        <is>
          <r>
            <rPr>
              <rFont val="メイリオ"/>
              <b val="1"/>
              <sz val="10"/>
            </rPr>
            <t xml:space="preserve">ステップ1：
</t>
          </r>
          <r>
            <rPr>
              <rFont val="メイリオ"/>
              <sz val="10"/>
            </rPr>
            <t xml:space="preserve">ダッシュボードを開き、サイドバーで「JAマスタ」項目を確認
</t>
          </r>
          <r>
            <rPr>
              <rFont val="メイリオ"/>
              <b val="1"/>
              <sz val="10"/>
            </rPr>
            <t xml:space="preserve">ステップ2：
</t>
          </r>
          <r>
            <rPr>
              <rFont val="メイリオ"/>
              <sz val="10"/>
            </rPr>
            <t xml:space="preserve">「JAマスタ」をクリック → 一覧画面の「新規登録」ボタンをクリック
</t>
          </r>
          <r>
            <rPr>
              <rFont val="メイリオ"/>
              <b val="1"/>
              <sz val="10"/>
            </rPr>
            <t xml:space="preserve">ステップ3：
</t>
          </r>
          <r>
            <rPr>
              <rFont val="メイリオ"/>
              <sz val="10"/>
            </rPr>
            <t xml:space="preserve">URL `/ja/{ja_id}/edit` で既存JAの編集画面を直接アクセス
</t>
          </r>
          <r>
            <rPr>
              <rFont val="メイリオ"/>
              <b val="1"/>
              <sz val="10"/>
            </rPr>
            <t xml:space="preserve">ステップ4：
</t>
          </r>
          <r>
            <rPr>
              <rFont val="メイリオ"/>
              <sz val="10"/>
            </rPr>
            <t>DevTools で POST `/api/v1/ja` を有効なリクエストボディで送信、続けて PUT `/api/v1/ja/{ja_id}` を送信</t>
          </r>
        </is>
      </c>
      <c r="R13" s="10" t="n"/>
      <c r="S13" s="10" t="n"/>
      <c r="T13" s="10" t="n"/>
      <c r="U13" s="10" t="n"/>
      <c r="V13" s="10" t="n"/>
      <c r="W13" s="11" t="n"/>
      <c r="X13" s="46" t="inlineStr">
        <is>
          <r>
            <rPr>
              <rFont val="メイリオ"/>
              <b val="1"/>
              <sz val="10"/>
            </rPr>
            <t xml:space="preserve">ステップ1：
</t>
          </r>
          <r>
            <rPr>
              <rFont val="メイリオ"/>
              <sz val="10"/>
            </rPr>
            <t xml:space="preserve">サイドバーに「JAマスタ」項目が表示される（権限 `ja.view` を保持するため）
</t>
          </r>
          <r>
            <rPr>
              <rFont val="メイリオ"/>
              <b val="1"/>
              <sz val="10"/>
            </rPr>
            <t xml:space="preserve">ステップ2：
</t>
          </r>
          <r>
            <rPr>
              <rFont val="メイリオ"/>
              <sz val="10"/>
            </rPr>
            <t xml:space="preserve">`/ja/create` 画面が開く、フォームが表示される
</t>
          </r>
          <r>
            <rPr>
              <rFont val="メイリオ"/>
              <b val="1"/>
              <sz val="10"/>
            </rPr>
            <t xml:space="preserve">ステップ3：
</t>
          </r>
          <r>
            <rPr>
              <rFont val="メイリオ"/>
              <sz val="10"/>
            </rPr>
            <t xml:space="preserve">`/ja/{ja_id}/edit` 画面が開く、既存値がフォームに表示される
</t>
          </r>
          <r>
            <rPr>
              <rFont val="メイリオ"/>
              <b val="1"/>
              <sz val="10"/>
            </rPr>
            <t xml:space="preserve">ステップ4：
</t>
          </r>
          <r>
            <rPr>
              <rFont val="メイリオ"/>
              <sz val="10"/>
            </rPr>
            <t xml:space="preserve">HTTP 201 で登録成功、HTTP 200 で更新成功
</t>
          </r>
          <r>
            <rPr>
              <rFont val="メイリオ"/>
              <b val="1"/>
              <sz val="10"/>
            </rPr>
            <t xml:space="preserve">補足：
</t>
          </r>
          <r>
            <rPr>
              <rFont val="メイリオ"/>
              <sz val="10"/>
            </rPr>
            <t xml:space="preserve">・FEメニュー、FEルーターガード、BE APIガードの3層すべてでアクセスが許可される
</t>
          </r>
          <r>
            <rPr>
              <rFont val="メイリオ"/>
              <sz val="10"/>
            </rPr>
            <t xml:space="preserve">・NICHINO_ADMIN は全JAに対する登録／編集権限を保持する
</t>
          </r>
          <r>
            <rPr>
              <rFont val="メイリオ"/>
              <sz val="10"/>
            </rPr>
            <t>・`m_ja` に新規行が追加され、`t_log` に CREATE / UPDATE 成功ログが記録される</t>
          </r>
        </is>
      </c>
      <c r="Y13" s="10" t="n"/>
      <c r="Z13" s="10" t="n"/>
      <c r="AA13" s="10" t="n"/>
      <c r="AB13" s="10" t="n"/>
      <c r="AC13" s="10" t="n"/>
      <c r="AD13" s="11" t="n"/>
      <c r="AE13" s="45" t="inlineStr">
        <is>
          <t>N</t>
        </is>
      </c>
      <c r="AF13" s="11" t="n"/>
      <c r="AG13" s="45" t="inlineStr"/>
      <c r="AH13" s="10" t="n"/>
      <c r="AI13" s="11" t="n"/>
      <c r="AJ13" s="45" t="inlineStr"/>
      <c r="AK13" s="10" t="n"/>
      <c r="AL13" s="11" t="n"/>
      <c r="AM13" s="45" t="inlineStr"/>
      <c r="AN13" s="10" t="n"/>
      <c r="AO13" s="11" t="n"/>
      <c r="AP13" s="45" t="inlineStr"/>
      <c r="AQ13" s="10" t="n"/>
      <c r="AR13" s="11" t="n"/>
      <c r="AS13" s="45" t="inlineStr"/>
      <c r="AT13" s="10" t="n"/>
      <c r="AU13" s="11" t="n"/>
      <c r="AV13" s="45" t="inlineStr"/>
      <c r="AW13" s="10" t="n"/>
      <c r="AX13" s="11" t="n"/>
      <c r="AY13" s="45" t="inlineStr"/>
      <c r="AZ13" s="10" t="n"/>
      <c r="BA13" s="11" t="n"/>
      <c r="BB13" s="45" t="inlineStr"/>
      <c r="BC13" s="10" t="n"/>
      <c r="BD13" s="11" t="n"/>
      <c r="BE13" s="45" t="inlineStr"/>
      <c r="BF13" s="10" t="n"/>
      <c r="BG13" s="11" t="n"/>
      <c r="BH13" s="45" t="inlineStr"/>
      <c r="BI13" s="10" t="n"/>
      <c r="BJ13" s="11" t="n"/>
      <c r="BK13" s="46" t="inlineStr"/>
      <c r="BL13" s="10" t="n"/>
      <c r="BM13" s="10" t="n"/>
      <c r="BN13" s="10" t="n"/>
      <c r="BO13" s="10" t="n"/>
      <c r="BP13" s="10" t="n"/>
      <c r="BQ13" s="11" t="n"/>
    </row>
    <row r="14" ht="450" customHeight="1">
      <c r="A14" s="44" t="n">
        <v>2</v>
      </c>
      <c r="B14" s="46" t="inlineStr">
        <is>
          <t>ACSMS-TC-005-002</t>
        </is>
      </c>
      <c r="C14" s="10" t="n"/>
      <c r="D14" s="11" t="n"/>
      <c r="E14" s="46" t="inlineStr">
        <is>
          <t>NICHINO_STAFF による登録／編集画面アクセス禁止</t>
        </is>
      </c>
      <c r="F14" s="10" t="n"/>
      <c r="G14" s="10" t="n"/>
      <c r="H14" s="10" t="n"/>
      <c r="I14" s="11" t="n"/>
      <c r="J14" s="46" t="inlineStr">
        <is>
          <t>・role: NICHINO_STAFF
・ログイン済 + MFA認証済
・権限: ja.* をいずれも保持しない</t>
        </is>
      </c>
      <c r="K14" s="10" t="n"/>
      <c r="L14" s="10" t="n"/>
      <c r="M14" s="10" t="n"/>
      <c r="N14" s="10" t="n"/>
      <c r="O14" s="10" t="n"/>
      <c r="P14" s="11" t="n"/>
      <c r="Q14" s="46" t="inlineStr">
        <is>
          <r>
            <rPr>
              <rFont val="メイリオ"/>
              <b val="1"/>
              <sz val="10"/>
            </rPr>
            <t xml:space="preserve">ステップ1：
</t>
          </r>
          <r>
            <rPr>
              <rFont val="メイリオ"/>
              <sz val="10"/>
            </rPr>
            <t xml:space="preserve">サイドバーで「JAマスタ」項目を確認
</t>
          </r>
          <r>
            <rPr>
              <rFont val="メイリオ"/>
              <b val="1"/>
              <sz val="10"/>
            </rPr>
            <t xml:space="preserve">ステップ2：
</t>
          </r>
          <r>
            <rPr>
              <rFont val="メイリオ"/>
              <sz val="10"/>
            </rPr>
            <t xml:space="preserve">URL `/ja/create` を直接アクセス
</t>
          </r>
          <r>
            <rPr>
              <rFont val="メイリオ"/>
              <b val="1"/>
              <sz val="10"/>
            </rPr>
            <t xml:space="preserve">ステップ3：
</t>
          </r>
          <r>
            <rPr>
              <rFont val="メイリオ"/>
              <sz val="10"/>
            </rPr>
            <t xml:space="preserve">URL `/ja/1/edit` を直接アクセス
</t>
          </r>
          <r>
            <rPr>
              <rFont val="メイリオ"/>
              <b val="1"/>
              <sz val="10"/>
            </rPr>
            <t xml:space="preserve">ステップ4：
</t>
          </r>
          <r>
            <rPr>
              <rFont val="メイリオ"/>
              <sz val="10"/>
            </rPr>
            <t>DevTools で POST `/api/v1/ja` を有効なリクエストボディで送信</t>
          </r>
        </is>
      </c>
      <c r="R14" s="10" t="n"/>
      <c r="S14" s="10" t="n"/>
      <c r="T14" s="10" t="n"/>
      <c r="U14" s="10" t="n"/>
      <c r="V14" s="10" t="n"/>
      <c r="W14" s="11" t="n"/>
      <c r="X14" s="46" t="inlineStr">
        <is>
          <r>
            <rPr>
              <rFont val="メイリオ"/>
              <b val="1"/>
              <sz val="10"/>
            </rPr>
            <t xml:space="preserve">ステップ1：
</t>
          </r>
          <r>
            <rPr>
              <rFont val="メイリオ"/>
              <sz val="10"/>
            </rPr>
            <t xml:space="preserve">サイドバーに「JAマスタ」項目が表示されない（NICHINO_STAFF は `ja.view` 権限を持たない）
</t>
          </r>
          <r>
            <rPr>
              <rFont val="メイリオ"/>
              <b val="1"/>
              <sz val="10"/>
            </rPr>
            <t xml:space="preserve">ステップ2：
</t>
          </r>
          <r>
            <rPr>
              <rFont val="メイリオ"/>
              <sz val="10"/>
            </rPr>
            <t xml:space="preserve">トースト「アクセス権がありません。」表示
</t>
          </r>
          <r>
            <rPr>
              <rFont val="メイリオ"/>
              <sz val="10"/>
            </rPr>
            <t xml:space="preserve">かつ、「/dashboard」へリダイレクト
</t>
          </r>
          <r>
            <rPr>
              <rFont val="メイリオ"/>
              <b val="1"/>
              <sz val="10"/>
            </rPr>
            <t xml:space="preserve">ステップ3：
</t>
          </r>
          <r>
            <rPr>
              <rFont val="メイリオ"/>
              <sz val="10"/>
            </rPr>
            <t xml:space="preserve">トースト「アクセス権がありません。」表示
</t>
          </r>
          <r>
            <rPr>
              <rFont val="メイリオ"/>
              <sz val="10"/>
            </rPr>
            <t xml:space="preserve">かつ、「/dashboard」へリダイレクト
</t>
          </r>
          <r>
            <rPr>
              <rFont val="メイリオ"/>
              <b val="1"/>
              <sz val="10"/>
            </rPr>
            <t xml:space="preserve">ステップ4：
</t>
          </r>
          <r>
            <rPr>
              <rFont val="メイリオ"/>
              <sz val="10"/>
            </rPr>
            <t xml:space="preserve">HTTPステータスコード：403
</t>
          </r>
          <r>
            <rPr>
              <rFont val="メイリオ"/>
              <sz val="10"/>
            </rPr>
            <t xml:space="preserve">error_code：FORBIDDEN
</t>
          </r>
          <r>
            <rPr>
              <rFont val="メイリオ"/>
              <sz val="10"/>
            </rPr>
            <t xml:space="preserve">message：「この画面へのアクセス権限がありません。」
</t>
          </r>
          <r>
            <rPr>
              <rFont val="メイリオ"/>
              <b val="1"/>
              <sz val="10"/>
            </rPr>
            <t xml:space="preserve">補足：
</t>
          </r>
          <r>
            <rPr>
              <rFont val="メイリオ"/>
              <sz val="10"/>
            </rPr>
            <t xml:space="preserve">・FEメニュー、FEルーターガード、BE APIガードの3層すべてでアクセスが拒否される
</t>
          </r>
          <r>
            <rPr>
              <rFont val="メイリオ"/>
              <sz val="10"/>
            </rPr>
            <t xml:space="preserve">・`m_ja` に新規行が追加されない
</t>
          </r>
          <r>
            <rPr>
              <rFont val="メイリオ"/>
              <sz val="10"/>
            </rPr>
            <t>・`t_log` にエラーログ（log_type=3）が記録される</t>
          </r>
        </is>
      </c>
      <c r="Y14" s="10" t="n"/>
      <c r="Z14" s="10" t="n"/>
      <c r="AA14" s="10" t="n"/>
      <c r="AB14" s="10" t="n"/>
      <c r="AC14" s="10" t="n"/>
      <c r="AD14" s="11" t="n"/>
      <c r="AE14" s="45" t="inlineStr">
        <is>
          <t>A</t>
        </is>
      </c>
      <c r="AF14" s="11" t="n"/>
      <c r="AG14" s="45" t="inlineStr"/>
      <c r="AH14" s="10" t="n"/>
      <c r="AI14" s="11" t="n"/>
      <c r="AJ14" s="45" t="inlineStr"/>
      <c r="AK14" s="10" t="n"/>
      <c r="AL14" s="11" t="n"/>
      <c r="AM14" s="45" t="inlineStr"/>
      <c r="AN14" s="10" t="n"/>
      <c r="AO14" s="11" t="n"/>
      <c r="AP14" s="45" t="inlineStr"/>
      <c r="AQ14" s="10" t="n"/>
      <c r="AR14" s="11" t="n"/>
      <c r="AS14" s="45" t="inlineStr"/>
      <c r="AT14" s="10" t="n"/>
      <c r="AU14" s="11" t="n"/>
      <c r="AV14" s="45" t="inlineStr"/>
      <c r="AW14" s="10" t="n"/>
      <c r="AX14" s="11" t="n"/>
      <c r="AY14" s="45" t="inlineStr"/>
      <c r="AZ14" s="10" t="n"/>
      <c r="BA14" s="11" t="n"/>
      <c r="BB14" s="45" t="inlineStr"/>
      <c r="BC14" s="10" t="n"/>
      <c r="BD14" s="11" t="n"/>
      <c r="BE14" s="45" t="inlineStr"/>
      <c r="BF14" s="10" t="n"/>
      <c r="BG14" s="11" t="n"/>
      <c r="BH14" s="45" t="inlineStr"/>
      <c r="BI14" s="10" t="n"/>
      <c r="BJ14" s="11" t="n"/>
      <c r="BK14" s="46" t="inlineStr">
        <is>
          <t>クリティカル — 失敗時はRBACバイパスを意味し、セキュリティインシデントとして扱う。</t>
        </is>
      </c>
      <c r="BL14" s="10" t="n"/>
      <c r="BM14" s="10" t="n"/>
      <c r="BN14" s="10" t="n"/>
      <c r="BO14" s="10" t="n"/>
      <c r="BP14" s="10" t="n"/>
      <c r="BQ14" s="11" t="n"/>
    </row>
    <row r="15" ht="450" customHeight="1">
      <c r="A15" s="44" t="n">
        <v>3</v>
      </c>
      <c r="B15" s="46" t="inlineStr">
        <is>
          <t>ACSMS-TC-005-003</t>
        </is>
      </c>
      <c r="C15" s="10" t="n"/>
      <c r="D15" s="11" t="n"/>
      <c r="E15" s="46" t="inlineStr">
        <is>
          <t>CHUOKAI による編集画面アクセス — 登録は不可、自管轄JAの編集のみ可</t>
        </is>
      </c>
      <c r="F15" s="10" t="n"/>
      <c r="G15" s="10" t="n"/>
      <c r="H15" s="10" t="n"/>
      <c r="I15" s="11" t="n"/>
      <c r="J15" s="46" t="inlineStr">
        <is>
          <t>・role: CHUOKAI（chuokai-001 所属）
・権限: ja.view / ja.update のみ保持（ja.create は保持しない）
・自管轄JA: ja-001 / 管轄外JA: ja-101 (chuokai-002 配下)</t>
        </is>
      </c>
      <c r="K15" s="10" t="n"/>
      <c r="L15" s="10" t="n"/>
      <c r="M15" s="10" t="n"/>
      <c r="N15" s="10" t="n"/>
      <c r="O15" s="10" t="n"/>
      <c r="P15" s="11" t="n"/>
      <c r="Q15" s="46" t="inlineStr">
        <is>
          <r>
            <rPr>
              <rFont val="メイリオ"/>
              <b val="1"/>
              <sz val="10"/>
            </rPr>
            <t xml:space="preserve">ステップ1：
</t>
          </r>
          <r>
            <rPr>
              <rFont val="メイリオ"/>
              <sz val="10"/>
            </rPr>
            <t xml:space="preserve">サイドバーで「JAマスタ」項目を確認
</t>
          </r>
          <r>
            <rPr>
              <rFont val="メイリオ"/>
              <b val="1"/>
              <sz val="10"/>
            </rPr>
            <t xml:space="preserve">ステップ2：
</t>
          </r>
          <r>
            <rPr>
              <rFont val="メイリオ"/>
              <sz val="10"/>
            </rPr>
            <t xml:space="preserve">URL `/ja/create` を直接アクセス
</t>
          </r>
          <r>
            <rPr>
              <rFont val="メイリオ"/>
              <b val="1"/>
              <sz val="10"/>
            </rPr>
            <t xml:space="preserve">ステップ3：
</t>
          </r>
          <r>
            <rPr>
              <rFont val="メイリオ"/>
              <sz val="10"/>
            </rPr>
            <t xml:space="preserve">DevTools で POST `/api/v1/ja` を有効なリクエストボディで送信
</t>
          </r>
          <r>
            <rPr>
              <rFont val="メイリオ"/>
              <b val="1"/>
              <sz val="10"/>
            </rPr>
            <t xml:space="preserve">ステップ4：
</t>
          </r>
          <r>
            <rPr>
              <rFont val="メイリオ"/>
              <sz val="10"/>
            </rPr>
            <t xml:space="preserve">URL `/ja/1/edit`（自管轄JA）を直接アクセス
</t>
          </r>
          <r>
            <rPr>
              <rFont val="メイリオ"/>
              <b val="1"/>
              <sz val="10"/>
            </rPr>
            <t xml:space="preserve">ステップ5：
</t>
          </r>
          <r>
            <rPr>
              <rFont val="メイリオ"/>
              <sz val="10"/>
            </rPr>
            <t>URL `/ja/101/edit`（管轄外JA）を直接アクセス、続けて DevTools で PUT `/api/v1/ja/101` を送信</t>
          </r>
        </is>
      </c>
      <c r="R15" s="10" t="n"/>
      <c r="S15" s="10" t="n"/>
      <c r="T15" s="10" t="n"/>
      <c r="U15" s="10" t="n"/>
      <c r="V15" s="10" t="n"/>
      <c r="W15" s="11" t="n"/>
      <c r="X15" s="46" t="inlineStr">
        <is>
          <r>
            <rPr>
              <rFont val="メイリオ"/>
              <b val="1"/>
              <sz val="10"/>
            </rPr>
            <t xml:space="preserve">ステップ1：
</t>
          </r>
          <r>
            <rPr>
              <rFont val="メイリオ"/>
              <sz val="10"/>
            </rPr>
            <t xml:space="preserve">サイドバーに「JAマスタ」項目が表示される（`ja.view` 保持のため）
</t>
          </r>
          <r>
            <rPr>
              <rFont val="メイリオ"/>
              <b val="1"/>
              <sz val="10"/>
            </rPr>
            <t xml:space="preserve">ステップ2：
</t>
          </r>
          <r>
            <rPr>
              <rFont val="メイリオ"/>
              <sz val="10"/>
            </rPr>
            <t xml:space="preserve">トースト「アクセス権がありません。」表示
</t>
          </r>
          <r>
            <rPr>
              <rFont val="メイリオ"/>
              <sz val="10"/>
            </rPr>
            <t xml:space="preserve">かつ、「/dashboard」へリダイレクト
</t>
          </r>
          <r>
            <rPr>
              <rFont val="メイリオ"/>
              <b val="1"/>
              <sz val="10"/>
            </rPr>
            <t xml:space="preserve">ステップ3：
</t>
          </r>
          <r>
            <rPr>
              <rFont val="メイリオ"/>
              <sz val="10"/>
            </rPr>
            <t xml:space="preserve">HTTPステータスコード：403
</t>
          </r>
          <r>
            <rPr>
              <rFont val="メイリオ"/>
              <sz val="10"/>
            </rPr>
            <t xml:space="preserve">error_code：FORBIDDEN
</t>
          </r>
          <r>
            <rPr>
              <rFont val="メイリオ"/>
              <sz val="10"/>
            </rPr>
            <t xml:space="preserve">message：「この画面へのアクセス権限がありません。」
</t>
          </r>
          <r>
            <rPr>
              <rFont val="メイリオ"/>
              <b val="1"/>
              <sz val="10"/>
            </rPr>
            <t xml:space="preserve">ステップ4：
</t>
          </r>
          <r>
            <rPr>
              <rFont val="メイリオ"/>
              <sz val="10"/>
            </rPr>
            <t xml:space="preserve">編集画面が開く、既存値が表示される（部分項目のみ編集可能）
</t>
          </r>
          <r>
            <rPr>
              <rFont val="メイリオ"/>
              <b val="1"/>
              <sz val="10"/>
            </rPr>
            <t xml:space="preserve">ステップ5：
</t>
          </r>
          <r>
            <rPr>
              <rFont val="メイリオ"/>
              <sz val="10"/>
            </rPr>
            <t xml:space="preserve">HTTPステータスコード：404
</t>
          </r>
          <r>
            <rPr>
              <rFont val="メイリオ"/>
              <sz val="10"/>
            </rPr>
            <t xml:space="preserve">error_code：NOT_FOUND
</t>
          </r>
          <r>
            <rPr>
              <rFont val="メイリオ"/>
              <sz val="10"/>
            </rPr>
            <t xml:space="preserve">message：「指定されたJAが見つかりません。」
</t>
          </r>
          <r>
            <rPr>
              <rFont val="メイリオ"/>
              <b val="1"/>
              <sz val="10"/>
            </rPr>
            <t xml:space="preserve">補足：
</t>
          </r>
          <r>
            <rPr>
              <rFont val="メイリオ"/>
              <sz val="10"/>
            </rPr>
            <t xml:space="preserve">・CHUOKAI は新規登録不可、自管轄JAの編集のみ可
</t>
          </r>
          <r>
            <rPr>
              <rFont val="メイリオ"/>
              <sz val="10"/>
            </rPr>
            <t xml:space="preserve">・管轄外JAへの直接アクセスは存在隠蔽のため HTTP 404（NOT_FOUND）として返却される
</t>
          </r>
          <r>
            <rPr>
              <rFont val="メイリオ"/>
              <sz val="10"/>
            </rPr>
            <t>・api.md エラー一覧では DATA_SCOPE_VIOLATION（403）と定義されているが、実装では security.md `assertJaScope` 規則に従い 404 マスキングが優先される</t>
          </r>
        </is>
      </c>
      <c r="Y15" s="10" t="n"/>
      <c r="Z15" s="10" t="n"/>
      <c r="AA15" s="10" t="n"/>
      <c r="AB15" s="10" t="n"/>
      <c r="AC15" s="10" t="n"/>
      <c r="AD15" s="11" t="n"/>
      <c r="AE15" s="45" t="inlineStr">
        <is>
          <t>A</t>
        </is>
      </c>
      <c r="AF15" s="11" t="n"/>
      <c r="AG15" s="45" t="inlineStr"/>
      <c r="AH15" s="10" t="n"/>
      <c r="AI15" s="11" t="n"/>
      <c r="AJ15" s="45" t="inlineStr"/>
      <c r="AK15" s="10" t="n"/>
      <c r="AL15" s="11" t="n"/>
      <c r="AM15" s="45" t="inlineStr"/>
      <c r="AN15" s="10" t="n"/>
      <c r="AO15" s="11" t="n"/>
      <c r="AP15" s="45" t="inlineStr"/>
      <c r="AQ15" s="10" t="n"/>
      <c r="AR15" s="11" t="n"/>
      <c r="AS15" s="45" t="inlineStr"/>
      <c r="AT15" s="10" t="n"/>
      <c r="AU15" s="11" t="n"/>
      <c r="AV15" s="45" t="inlineStr"/>
      <c r="AW15" s="10" t="n"/>
      <c r="AX15" s="11" t="n"/>
      <c r="AY15" s="45" t="inlineStr"/>
      <c r="AZ15" s="10" t="n"/>
      <c r="BA15" s="11" t="n"/>
      <c r="BB15" s="45" t="inlineStr"/>
      <c r="BC15" s="10" t="n"/>
      <c r="BD15" s="11" t="n"/>
      <c r="BE15" s="45" t="inlineStr"/>
      <c r="BF15" s="10" t="n"/>
      <c r="BG15" s="11" t="n"/>
      <c r="BH15" s="45" t="inlineStr"/>
      <c r="BI15" s="10" t="n"/>
      <c r="BJ15" s="11" t="n"/>
      <c r="BK15" s="46" t="inlineStr"/>
      <c r="BL15" s="10" t="n"/>
      <c r="BM15" s="10" t="n"/>
      <c r="BN15" s="10" t="n"/>
      <c r="BO15" s="10" t="n"/>
      <c r="BP15" s="10" t="n"/>
      <c r="BQ15" s="11" t="n"/>
    </row>
    <row r="16" ht="450" customHeight="1">
      <c r="A16" s="44" t="n">
        <v>4</v>
      </c>
      <c r="B16" s="46" t="inlineStr">
        <is>
          <t>ACSMS-TC-005-004</t>
        </is>
      </c>
      <c r="C16" s="10" t="n"/>
      <c r="D16" s="11" t="n"/>
      <c r="E16" s="46" t="inlineStr">
        <is>
          <t>JA_HONTEN による編集画面アクセス — 登録は不可、自JAの編集のみ可</t>
        </is>
      </c>
      <c r="F16" s="10" t="n"/>
      <c r="G16" s="10" t="n"/>
      <c r="H16" s="10" t="n"/>
      <c r="I16" s="11" t="n"/>
      <c r="J16" s="46" t="inlineStr">
        <is>
          <t>・role: JA_HONTEN（ja-001 所属）
・権限: ja.view / ja.update のみ保持（ja.create は保持しない）
・自JA: ja-001 / 他JA: ja-002</t>
        </is>
      </c>
      <c r="K16" s="10" t="n"/>
      <c r="L16" s="10" t="n"/>
      <c r="M16" s="10" t="n"/>
      <c r="N16" s="10" t="n"/>
      <c r="O16" s="10" t="n"/>
      <c r="P16" s="11" t="n"/>
      <c r="Q16" s="46" t="inlineStr">
        <is>
          <r>
            <rPr>
              <rFont val="メイリオ"/>
              <b val="1"/>
              <sz val="10"/>
            </rPr>
            <t xml:space="preserve">ステップ1：
</t>
          </r>
          <r>
            <rPr>
              <rFont val="メイリオ"/>
              <sz val="10"/>
            </rPr>
            <t xml:space="preserve">サイドバーで「JAマスタ」項目を確認
</t>
          </r>
          <r>
            <rPr>
              <rFont val="メイリオ"/>
              <b val="1"/>
              <sz val="10"/>
            </rPr>
            <t xml:space="preserve">ステップ2：
</t>
          </r>
          <r>
            <rPr>
              <rFont val="メイリオ"/>
              <sz val="10"/>
            </rPr>
            <t xml:space="preserve">URL `/ja/create` を直接アクセス、続けて DevTools で POST `/api/v1/ja` を送信
</t>
          </r>
          <r>
            <rPr>
              <rFont val="メイリオ"/>
              <b val="1"/>
              <sz val="10"/>
            </rPr>
            <t xml:space="preserve">ステップ3：
</t>
          </r>
          <r>
            <rPr>
              <rFont val="メイリオ"/>
              <sz val="10"/>
            </rPr>
            <t xml:space="preserve">URL `/ja/1/edit`（自JA）を直接アクセス
</t>
          </r>
          <r>
            <rPr>
              <rFont val="メイリオ"/>
              <b val="1"/>
              <sz val="10"/>
            </rPr>
            <t xml:space="preserve">ステップ4：
</t>
          </r>
          <r>
            <rPr>
              <rFont val="メイリオ"/>
              <sz val="10"/>
            </rPr>
            <t>URL `/ja/2/edit`（他JA）を直接アクセス、続けて DevTools で PUT `/api/v1/ja/2` を送信</t>
          </r>
        </is>
      </c>
      <c r="R16" s="10" t="n"/>
      <c r="S16" s="10" t="n"/>
      <c r="T16" s="10" t="n"/>
      <c r="U16" s="10" t="n"/>
      <c r="V16" s="10" t="n"/>
      <c r="W16" s="11" t="n"/>
      <c r="X16" s="46" t="inlineStr">
        <is>
          <r>
            <rPr>
              <rFont val="メイリオ"/>
              <b val="1"/>
              <sz val="10"/>
            </rPr>
            <t xml:space="preserve">ステップ1：
</t>
          </r>
          <r>
            <rPr>
              <rFont val="メイリオ"/>
              <sz val="10"/>
            </rPr>
            <t xml:space="preserve">サイドバーに「JAマスタ」項目が表示される（`ja.view` 保持のため）
</t>
          </r>
          <r>
            <rPr>
              <rFont val="メイリオ"/>
              <b val="1"/>
              <sz val="10"/>
            </rPr>
            <t xml:space="preserve">ステップ2：
</t>
          </r>
          <r>
            <rPr>
              <rFont val="メイリオ"/>
              <sz val="10"/>
            </rPr>
            <t xml:space="preserve">トースト「アクセス権がありません。」表示 + `/dashboard` へリダイレクト
</t>
          </r>
          <r>
            <rPr>
              <rFont val="メイリオ"/>
              <sz val="10"/>
            </rPr>
            <t xml:space="preserve">かつ、API は HTTP 403、error_code：FORBIDDEN
</t>
          </r>
          <r>
            <rPr>
              <rFont val="メイリオ"/>
              <b val="1"/>
              <sz val="10"/>
            </rPr>
            <t xml:space="preserve">ステップ3：
</t>
          </r>
          <r>
            <rPr>
              <rFont val="メイリオ"/>
              <sz val="10"/>
            </rPr>
            <t xml:space="preserve">編集画面が開く、既存値が表示される（部分項目のみ編集可能）
</t>
          </r>
          <r>
            <rPr>
              <rFont val="メイリオ"/>
              <b val="1"/>
              <sz val="10"/>
            </rPr>
            <t xml:space="preserve">ステップ4：
</t>
          </r>
          <r>
            <rPr>
              <rFont val="メイリオ"/>
              <sz val="10"/>
            </rPr>
            <t xml:space="preserve">HTTPステータスコード：404
</t>
          </r>
          <r>
            <rPr>
              <rFont val="メイリオ"/>
              <sz val="10"/>
            </rPr>
            <t xml:space="preserve">error_code：NOT_FOUND
</t>
          </r>
          <r>
            <rPr>
              <rFont val="メイリオ"/>
              <sz val="10"/>
            </rPr>
            <t xml:space="preserve">message：「指定されたJAが見つかりません。」
</t>
          </r>
          <r>
            <rPr>
              <rFont val="メイリオ"/>
              <b val="1"/>
              <sz val="10"/>
            </rPr>
            <t xml:space="preserve">補足：
</t>
          </r>
          <r>
            <rPr>
              <rFont val="メイリオ"/>
              <sz val="10"/>
            </rPr>
            <t xml:space="preserve">・JA_HONTEN は新規登録不可、自JAの編集のみ可
</t>
          </r>
          <r>
            <rPr>
              <rFont val="メイリオ"/>
              <sz val="10"/>
            </rPr>
            <t xml:space="preserve">・他JAへの直接アクセスは存在隠蔽のため HTTP 404（NOT_FOUND）として返却される
</t>
          </r>
          <r>
            <rPr>
              <rFont val="メイリオ"/>
              <sz val="10"/>
            </rPr>
            <t>・api.md エラー一覧では DATA_SCOPE_VIOLATION（403）と定義されているが、実装では security.md `assertJaScope` 規則に従い 404 マスキングが優先される</t>
          </r>
        </is>
      </c>
      <c r="Y16" s="10" t="n"/>
      <c r="Z16" s="10" t="n"/>
      <c r="AA16" s="10" t="n"/>
      <c r="AB16" s="10" t="n"/>
      <c r="AC16" s="10" t="n"/>
      <c r="AD16" s="11" t="n"/>
      <c r="AE16" s="45" t="inlineStr">
        <is>
          <t>A</t>
        </is>
      </c>
      <c r="AF16" s="11" t="n"/>
      <c r="AG16" s="45" t="inlineStr"/>
      <c r="AH16" s="10" t="n"/>
      <c r="AI16" s="11" t="n"/>
      <c r="AJ16" s="45" t="inlineStr"/>
      <c r="AK16" s="10" t="n"/>
      <c r="AL16" s="11" t="n"/>
      <c r="AM16" s="45" t="inlineStr"/>
      <c r="AN16" s="10" t="n"/>
      <c r="AO16" s="11" t="n"/>
      <c r="AP16" s="45" t="inlineStr"/>
      <c r="AQ16" s="10" t="n"/>
      <c r="AR16" s="11" t="n"/>
      <c r="AS16" s="45" t="inlineStr"/>
      <c r="AT16" s="10" t="n"/>
      <c r="AU16" s="11" t="n"/>
      <c r="AV16" s="45" t="inlineStr"/>
      <c r="AW16" s="10" t="n"/>
      <c r="AX16" s="11" t="n"/>
      <c r="AY16" s="45" t="inlineStr"/>
      <c r="AZ16" s="10" t="n"/>
      <c r="BA16" s="11" t="n"/>
      <c r="BB16" s="45" t="inlineStr"/>
      <c r="BC16" s="10" t="n"/>
      <c r="BD16" s="11" t="n"/>
      <c r="BE16" s="45" t="inlineStr"/>
      <c r="BF16" s="10" t="n"/>
      <c r="BG16" s="11" t="n"/>
      <c r="BH16" s="45" t="inlineStr"/>
      <c r="BI16" s="10" t="n"/>
      <c r="BJ16" s="11" t="n"/>
      <c r="BK16" s="46" t="inlineStr"/>
      <c r="BL16" s="10" t="n"/>
      <c r="BM16" s="10" t="n"/>
      <c r="BN16" s="10" t="n"/>
      <c r="BO16" s="10" t="n"/>
      <c r="BP16" s="10" t="n"/>
      <c r="BQ16" s="11" t="n"/>
    </row>
    <row r="17" ht="450" customHeight="1">
      <c r="A17" s="44" t="n">
        <v>5</v>
      </c>
      <c r="B17" s="46" t="inlineStr">
        <is>
          <t>ACSMS-TC-005-005</t>
        </is>
      </c>
      <c r="C17" s="10" t="n"/>
      <c r="D17" s="11" t="n"/>
      <c r="E17" s="46" t="inlineStr">
        <is>
          <t>JA_KANRI_SHITEN による登録／編集画面アクセス禁止</t>
        </is>
      </c>
      <c r="F17" s="10" t="n"/>
      <c r="G17" s="10" t="n"/>
      <c r="H17" s="10" t="n"/>
      <c r="I17" s="11" t="n"/>
      <c r="J17" s="46" t="inlineStr">
        <is>
          <t>・role: JA_KANRI_SHITEN（ja-001 / branch-001 所属）
・ログイン済 + MFA認証済
・権限: ja.* をいずれも保持しない</t>
        </is>
      </c>
      <c r="K17" s="10" t="n"/>
      <c r="L17" s="10" t="n"/>
      <c r="M17" s="10" t="n"/>
      <c r="N17" s="10" t="n"/>
      <c r="O17" s="10" t="n"/>
      <c r="P17" s="11" t="n"/>
      <c r="Q17" s="46" t="inlineStr">
        <is>
          <r>
            <rPr>
              <rFont val="メイリオ"/>
              <b val="1"/>
              <sz val="10"/>
            </rPr>
            <t xml:space="preserve">ステップ1：
</t>
          </r>
          <r>
            <rPr>
              <rFont val="メイリオ"/>
              <sz val="10"/>
            </rPr>
            <t xml:space="preserve">サイドバーで「JAマスタ」項目を確認
</t>
          </r>
          <r>
            <rPr>
              <rFont val="メイリオ"/>
              <b val="1"/>
              <sz val="10"/>
            </rPr>
            <t xml:space="preserve">ステップ2：
</t>
          </r>
          <r>
            <rPr>
              <rFont val="メイリオ"/>
              <sz val="10"/>
            </rPr>
            <t xml:space="preserve">URL `/ja/create` を直接アクセス
</t>
          </r>
          <r>
            <rPr>
              <rFont val="メイリオ"/>
              <b val="1"/>
              <sz val="10"/>
            </rPr>
            <t xml:space="preserve">ステップ3：
</t>
          </r>
          <r>
            <rPr>
              <rFont val="メイリオ"/>
              <sz val="10"/>
            </rPr>
            <t xml:space="preserve">URL `/ja/1/edit` を直接アクセス
</t>
          </r>
          <r>
            <rPr>
              <rFont val="メイリオ"/>
              <b val="1"/>
              <sz val="10"/>
            </rPr>
            <t xml:space="preserve">ステップ4：
</t>
          </r>
          <r>
            <rPr>
              <rFont val="メイリオ"/>
              <sz val="10"/>
            </rPr>
            <t>DevTools で PUT `/api/v1/ja/1` を有効なリクエストボディで送信</t>
          </r>
        </is>
      </c>
      <c r="R17" s="10" t="n"/>
      <c r="S17" s="10" t="n"/>
      <c r="T17" s="10" t="n"/>
      <c r="U17" s="10" t="n"/>
      <c r="V17" s="10" t="n"/>
      <c r="W17" s="11" t="n"/>
      <c r="X17" s="46" t="inlineStr">
        <is>
          <r>
            <rPr>
              <rFont val="メイリオ"/>
              <b val="1"/>
              <sz val="10"/>
            </rPr>
            <t xml:space="preserve">ステップ1：
</t>
          </r>
          <r>
            <rPr>
              <rFont val="メイリオ"/>
              <sz val="10"/>
            </rPr>
            <t xml:space="preserve">サイドバーに「JAマスタ」項目が表示されない
</t>
          </r>
          <r>
            <rPr>
              <rFont val="メイリオ"/>
              <b val="1"/>
              <sz val="10"/>
            </rPr>
            <t xml:space="preserve">ステップ2：
</t>
          </r>
          <r>
            <rPr>
              <rFont val="メイリオ"/>
              <sz val="10"/>
            </rPr>
            <t xml:space="preserve">トースト「アクセス権がありません。」表示
</t>
          </r>
          <r>
            <rPr>
              <rFont val="メイリオ"/>
              <sz val="10"/>
            </rPr>
            <t xml:space="preserve">かつ、「/dashboard」へリダイレクト
</t>
          </r>
          <r>
            <rPr>
              <rFont val="メイリオ"/>
              <b val="1"/>
              <sz val="10"/>
            </rPr>
            <t xml:space="preserve">ステップ3：
</t>
          </r>
          <r>
            <rPr>
              <rFont val="メイリオ"/>
              <sz val="10"/>
            </rPr>
            <t xml:space="preserve">トースト「アクセス権がありません。」表示
</t>
          </r>
          <r>
            <rPr>
              <rFont val="メイリオ"/>
              <sz val="10"/>
            </rPr>
            <t xml:space="preserve">かつ、「/dashboard」へリダイレクト
</t>
          </r>
          <r>
            <rPr>
              <rFont val="メイリオ"/>
              <b val="1"/>
              <sz val="10"/>
            </rPr>
            <t xml:space="preserve">ステップ4：
</t>
          </r>
          <r>
            <rPr>
              <rFont val="メイリオ"/>
              <sz val="10"/>
            </rPr>
            <t xml:space="preserve">HTTPステータスコード：403
</t>
          </r>
          <r>
            <rPr>
              <rFont val="メイリオ"/>
              <sz val="10"/>
            </rPr>
            <t xml:space="preserve">error_code：FORBIDDEN
</t>
          </r>
          <r>
            <rPr>
              <rFont val="メイリオ"/>
              <sz val="10"/>
            </rPr>
            <t xml:space="preserve">message：「この画面へのアクセス権限がありません。」
</t>
          </r>
          <r>
            <rPr>
              <rFont val="メイリオ"/>
              <b val="1"/>
              <sz val="10"/>
            </rPr>
            <t xml:space="preserve">補足：
</t>
          </r>
          <r>
            <rPr>
              <rFont val="メイリオ"/>
              <sz val="10"/>
            </rPr>
            <t xml:space="preserve">・JA_KANRI_SHITEN は JAマスタの参照／登録／編集すべて不可
</t>
          </r>
          <r>
            <rPr>
              <rFont val="メイリオ"/>
              <sz val="10"/>
            </rPr>
            <t xml:space="preserve">・3層（FEメニュー／FEルーターガード／BE APIガード）すべてでアクセスが拒否される
</t>
          </r>
          <r>
            <rPr>
              <rFont val="メイリオ"/>
              <sz val="10"/>
            </rPr>
            <t>・`m_ja` に変更なし、`t_log` にエラーログ（log_type=3）が記録される</t>
          </r>
        </is>
      </c>
      <c r="Y17" s="10" t="n"/>
      <c r="Z17" s="10" t="n"/>
      <c r="AA17" s="10" t="n"/>
      <c r="AB17" s="10" t="n"/>
      <c r="AC17" s="10" t="n"/>
      <c r="AD17" s="11" t="n"/>
      <c r="AE17" s="45" t="inlineStr">
        <is>
          <t>A</t>
        </is>
      </c>
      <c r="AF17" s="11" t="n"/>
      <c r="AG17" s="45" t="inlineStr"/>
      <c r="AH17" s="10" t="n"/>
      <c r="AI17" s="11" t="n"/>
      <c r="AJ17" s="45" t="inlineStr"/>
      <c r="AK17" s="10" t="n"/>
      <c r="AL17" s="11" t="n"/>
      <c r="AM17" s="45" t="inlineStr"/>
      <c r="AN17" s="10" t="n"/>
      <c r="AO17" s="11" t="n"/>
      <c r="AP17" s="45" t="inlineStr"/>
      <c r="AQ17" s="10" t="n"/>
      <c r="AR17" s="11" t="n"/>
      <c r="AS17" s="45" t="inlineStr"/>
      <c r="AT17" s="10" t="n"/>
      <c r="AU17" s="11" t="n"/>
      <c r="AV17" s="45" t="inlineStr"/>
      <c r="AW17" s="10" t="n"/>
      <c r="AX17" s="11" t="n"/>
      <c r="AY17" s="45" t="inlineStr"/>
      <c r="AZ17" s="10" t="n"/>
      <c r="BA17" s="11" t="n"/>
      <c r="BB17" s="45" t="inlineStr"/>
      <c r="BC17" s="10" t="n"/>
      <c r="BD17" s="11" t="n"/>
      <c r="BE17" s="45" t="inlineStr"/>
      <c r="BF17" s="10" t="n"/>
      <c r="BG17" s="11" t="n"/>
      <c r="BH17" s="45" t="inlineStr"/>
      <c r="BI17" s="10" t="n"/>
      <c r="BJ17" s="11" t="n"/>
      <c r="BK17" s="46" t="inlineStr">
        <is>
          <t>(なし)
---</t>
        </is>
      </c>
      <c r="BL17" s="10" t="n"/>
      <c r="BM17" s="10" t="n"/>
      <c r="BN17" s="10" t="n"/>
      <c r="BO17" s="10" t="n"/>
      <c r="BP17" s="10" t="n"/>
      <c r="BQ17" s="11" t="n"/>
    </row>
    <row r="18" ht="22.5" customHeight="1">
      <c r="A18" s="32" t="inlineStr">
        <is>
          <t>画面表示・レスポンシブ（Layout &amp; Responsive）</t>
        </is>
      </c>
      <c r="B18" s="10" t="n"/>
      <c r="C18" s="10" t="n"/>
      <c r="D18" s="10" t="n"/>
      <c r="E18" s="10" t="n"/>
      <c r="F18" s="10" t="n"/>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c r="AA18" s="10" t="n"/>
      <c r="AB18" s="10" t="n"/>
      <c r="AC18" s="10" t="n"/>
      <c r="AD18" s="10" t="n"/>
      <c r="AE18" s="10" t="n"/>
      <c r="AF18" s="10" t="n"/>
      <c r="AG18" s="10" t="n"/>
      <c r="AH18" s="10" t="n"/>
      <c r="AI18" s="10" t="n"/>
      <c r="AJ18" s="10" t="n"/>
      <c r="AK18" s="10" t="n"/>
      <c r="AL18" s="10" t="n"/>
      <c r="AM18" s="10" t="n"/>
      <c r="AN18" s="10" t="n"/>
      <c r="AO18" s="10" t="n"/>
      <c r="AP18" s="10" t="n"/>
      <c r="AQ18" s="10" t="n"/>
      <c r="AR18" s="10" t="n"/>
      <c r="AS18" s="10" t="n"/>
      <c r="AT18" s="10" t="n"/>
      <c r="AU18" s="10" t="n"/>
      <c r="AV18" s="10" t="n"/>
      <c r="AW18" s="10" t="n"/>
      <c r="AX18" s="10" t="n"/>
      <c r="AY18" s="10" t="n"/>
      <c r="AZ18" s="10" t="n"/>
      <c r="BA18" s="10" t="n"/>
      <c r="BB18" s="10" t="n"/>
      <c r="BC18" s="10" t="n"/>
      <c r="BD18" s="10" t="n"/>
      <c r="BE18" s="10" t="n"/>
      <c r="BF18" s="10" t="n"/>
      <c r="BG18" s="10" t="n"/>
      <c r="BH18" s="10" t="n"/>
      <c r="BI18" s="10" t="n"/>
      <c r="BJ18" s="10" t="n"/>
      <c r="BK18" s="10" t="n"/>
      <c r="BL18" s="10" t="n"/>
      <c r="BM18" s="10" t="n"/>
      <c r="BN18" s="10" t="n"/>
      <c r="BO18" s="10" t="n"/>
      <c r="BP18" s="10" t="n"/>
      <c r="BQ18" s="11" t="n"/>
    </row>
    <row r="19" ht="272" customHeight="1">
      <c r="A19" s="44" t="n">
        <v>6</v>
      </c>
      <c r="B19" s="46" t="inlineStr">
        <is>
          <t>ACSMS-TC-005-006</t>
        </is>
      </c>
      <c r="C19" s="10" t="n"/>
      <c r="D19" s="11" t="n"/>
      <c r="E19" s="46" t="inlineStr">
        <is>
          <t>登録画面 全体レイアウトが設計仕様に一致</t>
        </is>
      </c>
      <c r="F19" s="10" t="n"/>
      <c r="G19" s="10" t="n"/>
      <c r="H19" s="10" t="n"/>
      <c r="I19" s="11" t="n"/>
      <c r="J19" s="46" t="inlineStr">
        <is>
          <t>・role: NICHINO_ADMIN
・ブラウザ: Chrome (latest), 解像度 1920×1080</t>
        </is>
      </c>
      <c r="K19" s="10" t="n"/>
      <c r="L19" s="10" t="n"/>
      <c r="M19" s="10" t="n"/>
      <c r="N19" s="10" t="n"/>
      <c r="O19" s="10" t="n"/>
      <c r="P19" s="11" t="n"/>
      <c r="Q19" s="46" t="inlineStr">
        <is>
          <r>
            <rPr>
              <rFont val="メイリオ"/>
              <b val="1"/>
              <sz val="10"/>
            </rPr>
            <t xml:space="preserve">ステップ1：
</t>
          </r>
          <r>
            <rPr>
              <rFont val="メイリオ"/>
              <sz val="10"/>
            </rPr>
            <t xml:space="preserve">「JAマスタ」一覧画面の「新規登録」ボタンをクリック
</t>
          </r>
          <r>
            <rPr>
              <rFont val="メイリオ"/>
              <b val="1"/>
              <sz val="10"/>
            </rPr>
            <t xml:space="preserve">ステップ2：
</t>
          </r>
          <r>
            <rPr>
              <rFont val="メイリオ"/>
              <sz val="10"/>
            </rPr>
            <t xml:space="preserve">設計仕様書（screen-design.md / index.html）と画面を並べて比較
</t>
          </r>
          <r>
            <rPr>
              <rFont val="メイリオ"/>
              <b val="1"/>
              <sz val="10"/>
            </rPr>
            <t xml:space="preserve">ステップ3：
</t>
          </r>
          <r>
            <rPr>
              <rFont val="メイリオ"/>
              <sz val="10"/>
            </rPr>
            <t>各要素の位置を確認（タイトルバー位置、フォーム配置、ボタン配置）</t>
          </r>
        </is>
      </c>
      <c r="R19" s="10" t="n"/>
      <c r="S19" s="10" t="n"/>
      <c r="T19" s="10" t="n"/>
      <c r="U19" s="10" t="n"/>
      <c r="V19" s="10" t="n"/>
      <c r="W19" s="11" t="n"/>
      <c r="X19" s="46" t="inlineStr">
        <is>
          <r>
            <rPr>
              <rFont val="メイリオ"/>
              <b val="1"/>
              <sz val="10"/>
            </rPr>
            <t xml:space="preserve">ステップ1：
</t>
          </r>
          <r>
            <rPr>
              <rFont val="メイリオ"/>
              <sz val="10"/>
            </rPr>
            <t xml:space="preserve">`/ja/create` 画面が開く
</t>
          </r>
          <r>
            <rPr>
              <rFont val="メイリオ"/>
              <b val="1"/>
              <sz val="10"/>
            </rPr>
            <t xml:space="preserve">ステップ2：
</t>
          </r>
          <r>
            <rPr>
              <rFont val="メイリオ"/>
              <sz val="10"/>
            </rPr>
            <t xml:space="preserve">背景色、フォント、フォントサイズ、padding/margin、ボタン色、入力欄スタイルがすべて一致
</t>
          </r>
          <r>
            <rPr>
              <rFont val="メイリオ"/>
              <b val="1"/>
              <sz val="10"/>
            </rPr>
            <t xml:space="preserve">ステップ3：
</t>
          </r>
          <r>
            <rPr>
              <rFont val="メイリオ"/>
              <sz val="10"/>
            </rPr>
            <t xml:space="preserve">設計仕様通り
</t>
          </r>
          <r>
            <rPr>
              <rFont val="メイリオ"/>
              <b val="1"/>
              <sz val="10"/>
            </rPr>
            <t xml:space="preserve">補足：
</t>
          </r>
          <r>
            <rPr>
              <rFont val="メイリオ"/>
              <sz val="10"/>
            </rPr>
            <t xml:space="preserve">・設計仕様との視覚差異なし
</t>
          </r>
          <r>
            <rPr>
              <rFont val="メイリオ"/>
              <sz val="10"/>
            </rPr>
            <t>・design tokens (`design-tokens.ts`) が適用されている（hardcoded color なし）</t>
          </r>
        </is>
      </c>
      <c r="Y19" s="10" t="n"/>
      <c r="Z19" s="10" t="n"/>
      <c r="AA19" s="10" t="n"/>
      <c r="AB19" s="10" t="n"/>
      <c r="AC19" s="10" t="n"/>
      <c r="AD19" s="11" t="n"/>
      <c r="AE19" s="45" t="inlineStr">
        <is>
          <t>N</t>
        </is>
      </c>
      <c r="AF19" s="11" t="n"/>
      <c r="AG19" s="45" t="inlineStr"/>
      <c r="AH19" s="10" t="n"/>
      <c r="AI19" s="11" t="n"/>
      <c r="AJ19" s="45" t="inlineStr"/>
      <c r="AK19" s="10" t="n"/>
      <c r="AL19" s="11" t="n"/>
      <c r="AM19" s="45" t="inlineStr"/>
      <c r="AN19" s="10" t="n"/>
      <c r="AO19" s="11" t="n"/>
      <c r="AP19" s="45" t="inlineStr"/>
      <c r="AQ19" s="10" t="n"/>
      <c r="AR19" s="11" t="n"/>
      <c r="AS19" s="45" t="inlineStr"/>
      <c r="AT19" s="10" t="n"/>
      <c r="AU19" s="11" t="n"/>
      <c r="AV19" s="45" t="inlineStr"/>
      <c r="AW19" s="10" t="n"/>
      <c r="AX19" s="11" t="n"/>
      <c r="AY19" s="45" t="inlineStr"/>
      <c r="AZ19" s="10" t="n"/>
      <c r="BA19" s="11" t="n"/>
      <c r="BB19" s="45" t="inlineStr"/>
      <c r="BC19" s="10" t="n"/>
      <c r="BD19" s="11" t="n"/>
      <c r="BE19" s="45" t="inlineStr"/>
      <c r="BF19" s="10" t="n"/>
      <c r="BG19" s="11" t="n"/>
      <c r="BH19" s="45" t="inlineStr"/>
      <c r="BI19" s="10" t="n"/>
      <c r="BJ19" s="11" t="n"/>
      <c r="BK19" s="46" t="inlineStr"/>
      <c r="BL19" s="10" t="n"/>
      <c r="BM19" s="10" t="n"/>
      <c r="BN19" s="10" t="n"/>
      <c r="BO19" s="10" t="n"/>
      <c r="BP19" s="10" t="n"/>
      <c r="BQ19" s="11" t="n"/>
    </row>
    <row r="20" ht="288" customHeight="1">
      <c r="A20" s="44" t="n">
        <v>7</v>
      </c>
      <c r="B20" s="46" t="inlineStr">
        <is>
          <t>ACSMS-TC-005-007</t>
        </is>
      </c>
      <c r="C20" s="10" t="n"/>
      <c r="D20" s="11" t="n"/>
      <c r="E20" s="46" t="inlineStr">
        <is>
          <t>編集画面 全体レイアウトが設計仕様に一致</t>
        </is>
      </c>
      <c r="F20" s="10" t="n"/>
      <c r="G20" s="10" t="n"/>
      <c r="H20" s="10" t="n"/>
      <c r="I20" s="11" t="n"/>
      <c r="J20" s="46" t="inlineStr">
        <is>
          <t>・role: JA_HONTEN（ja-001 所属）
・既存JAレコード `ja_id = 1` 存在</t>
        </is>
      </c>
      <c r="K20" s="10" t="n"/>
      <c r="L20" s="10" t="n"/>
      <c r="M20" s="10" t="n"/>
      <c r="N20" s="10" t="n"/>
      <c r="O20" s="10" t="n"/>
      <c r="P20" s="11" t="n"/>
      <c r="Q20" s="46" t="inlineStr">
        <is>
          <r>
            <rPr>
              <rFont val="メイリオ"/>
              <b val="1"/>
              <sz val="10"/>
            </rPr>
            <t xml:space="preserve">ステップ1：
</t>
          </r>
          <r>
            <rPr>
              <rFont val="メイリオ"/>
              <sz val="10"/>
            </rPr>
            <t xml:space="preserve">JA一覧から既存レコードの「編集」リンクをクリック
</t>
          </r>
          <r>
            <rPr>
              <rFont val="メイリオ"/>
              <b val="1"/>
              <sz val="10"/>
            </rPr>
            <t xml:space="preserve">ステップ2：
</t>
          </r>
          <r>
            <rPr>
              <rFont val="メイリオ"/>
              <sz val="10"/>
            </rPr>
            <t>設計仕様と比較</t>
          </r>
        </is>
      </c>
      <c r="R20" s="10" t="n"/>
      <c r="S20" s="10" t="n"/>
      <c r="T20" s="10" t="n"/>
      <c r="U20" s="10" t="n"/>
      <c r="V20" s="10" t="n"/>
      <c r="W20" s="11" t="n"/>
      <c r="X20" s="46" t="inlineStr">
        <is>
          <r>
            <rPr>
              <rFont val="メイリオ"/>
              <b val="1"/>
              <sz val="10"/>
            </rPr>
            <t xml:space="preserve">ステップ1：
</t>
          </r>
          <r>
            <rPr>
              <rFont val="メイリオ"/>
              <sz val="10"/>
            </rPr>
            <t xml:space="preserve">`/ja/1/edit` 画面が開く、既存値がフォームに表示
</t>
          </r>
          <r>
            <rPr>
              <rFont val="メイリオ"/>
              <b val="1"/>
              <sz val="10"/>
            </rPr>
            <t xml:space="preserve">ステップ2：
</t>
          </r>
          <r>
            <rPr>
              <rFont val="メイリオ"/>
              <sz val="10"/>
            </rPr>
            <t xml:space="preserve">登録画面と同一レイアウト + 適切な読み取り専用状態（JAコード入力欄が無効状態）
</t>
          </r>
          <r>
            <rPr>
              <rFont val="メイリオ"/>
              <b val="1"/>
              <sz val="10"/>
            </rPr>
            <t xml:space="preserve">補足：
</t>
          </r>
          <r>
            <rPr>
              <rFont val="メイリオ"/>
              <sz val="10"/>
            </rPr>
            <t xml:space="preserve">・編集画面が登録画面と同等の視覚一貫性を持つ
</t>
          </r>
          <r>
            <rPr>
              <rFont val="メイリオ"/>
              <sz val="10"/>
            </rPr>
            <t>・JAコードは読み取り専用、CHUOKAI / JA_HONTEN は※4 対象外項目（JA名、JA名カナ、都道府県、中央会フラグ、金融機関コード、金融機関名）も読み取り専用</t>
          </r>
        </is>
      </c>
      <c r="Y20" s="10" t="n"/>
      <c r="Z20" s="10" t="n"/>
      <c r="AA20" s="10" t="n"/>
      <c r="AB20" s="10" t="n"/>
      <c r="AC20" s="10" t="n"/>
      <c r="AD20" s="11" t="n"/>
      <c r="AE20" s="45" t="inlineStr">
        <is>
          <t>N</t>
        </is>
      </c>
      <c r="AF20" s="11" t="n"/>
      <c r="AG20" s="45" t="inlineStr"/>
      <c r="AH20" s="10" t="n"/>
      <c r="AI20" s="11" t="n"/>
      <c r="AJ20" s="45" t="inlineStr"/>
      <c r="AK20" s="10" t="n"/>
      <c r="AL20" s="11" t="n"/>
      <c r="AM20" s="45" t="inlineStr"/>
      <c r="AN20" s="10" t="n"/>
      <c r="AO20" s="11" t="n"/>
      <c r="AP20" s="45" t="inlineStr"/>
      <c r="AQ20" s="10" t="n"/>
      <c r="AR20" s="11" t="n"/>
      <c r="AS20" s="45" t="inlineStr"/>
      <c r="AT20" s="10" t="n"/>
      <c r="AU20" s="11" t="n"/>
      <c r="AV20" s="45" t="inlineStr"/>
      <c r="AW20" s="10" t="n"/>
      <c r="AX20" s="11" t="n"/>
      <c r="AY20" s="45" t="inlineStr"/>
      <c r="AZ20" s="10" t="n"/>
      <c r="BA20" s="11" t="n"/>
      <c r="BB20" s="45" t="inlineStr"/>
      <c r="BC20" s="10" t="n"/>
      <c r="BD20" s="11" t="n"/>
      <c r="BE20" s="45" t="inlineStr"/>
      <c r="BF20" s="10" t="n"/>
      <c r="BG20" s="11" t="n"/>
      <c r="BH20" s="45" t="inlineStr"/>
      <c r="BI20" s="10" t="n"/>
      <c r="BJ20" s="11" t="n"/>
      <c r="BK20" s="46" t="inlineStr"/>
      <c r="BL20" s="10" t="n"/>
      <c r="BM20" s="10" t="n"/>
      <c r="BN20" s="10" t="n"/>
      <c r="BO20" s="10" t="n"/>
      <c r="BP20" s="10" t="n"/>
      <c r="BQ20" s="11" t="n"/>
    </row>
    <row r="21" ht="304" customHeight="1">
      <c r="A21" s="44" t="n">
        <v>8</v>
      </c>
      <c r="B21" s="46" t="inlineStr">
        <is>
          <t>ACSMS-TC-005-008</t>
        </is>
      </c>
      <c r="C21" s="10" t="n"/>
      <c r="D21" s="11" t="n"/>
      <c r="E21" s="46" t="inlineStr">
        <is>
          <t>レスポンシブ動作 — PC／タブレット／モバイル ブレークポイント</t>
        </is>
      </c>
      <c r="F21" s="10" t="n"/>
      <c r="G21" s="10" t="n"/>
      <c r="H21" s="10" t="n"/>
      <c r="I21" s="11" t="n"/>
      <c r="J21" s="46" t="inlineStr">
        <is>
          <t>・登録画面を開いた状態</t>
        </is>
      </c>
      <c r="K21" s="10" t="n"/>
      <c r="L21" s="10" t="n"/>
      <c r="M21" s="10" t="n"/>
      <c r="N21" s="10" t="n"/>
      <c r="O21" s="10" t="n"/>
      <c r="P21" s="11" t="n"/>
      <c r="Q21" s="46" t="inlineStr">
        <is>
          <r>
            <rPr>
              <rFont val="メイリオ"/>
              <b val="1"/>
              <sz val="10"/>
            </rPr>
            <t xml:space="preserve">ステップ1：
</t>
          </r>
          <r>
            <rPr>
              <rFont val="メイリオ"/>
              <sz val="10"/>
            </rPr>
            <t xml:space="preserve">ウィンドウサイズを 1920×1080 (PC) に設定
</t>
          </r>
          <r>
            <rPr>
              <rFont val="メイリオ"/>
              <b val="1"/>
              <sz val="10"/>
            </rPr>
            <t xml:space="preserve">ステップ2：
</t>
          </r>
          <r>
            <rPr>
              <rFont val="メイリオ"/>
              <sz val="10"/>
            </rPr>
            <t xml:space="preserve">768×1024 (タブレット) に変更
</t>
          </r>
          <r>
            <rPr>
              <rFont val="メイリオ"/>
              <b val="1"/>
              <sz val="10"/>
            </rPr>
            <t xml:space="preserve">ステップ3：
</t>
          </r>
          <r>
            <rPr>
              <rFont val="メイリオ"/>
              <sz val="10"/>
            </rPr>
            <t>375×667 (モバイル) に変更</t>
          </r>
        </is>
      </c>
      <c r="R21" s="10" t="n"/>
      <c r="S21" s="10" t="n"/>
      <c r="T21" s="10" t="n"/>
      <c r="U21" s="10" t="n"/>
      <c r="V21" s="10" t="n"/>
      <c r="W21" s="11" t="n"/>
      <c r="X21" s="46" t="inlineStr">
        <is>
          <r>
            <rPr>
              <rFont val="メイリオ"/>
              <b val="1"/>
              <sz val="10"/>
            </rPr>
            <t xml:space="preserve">ステップ1：
</t>
          </r>
          <r>
            <rPr>
              <rFont val="メイリオ"/>
              <sz val="10"/>
            </rPr>
            <t xml:space="preserve">サイドバー固定表示、フォーム3カラムグリッド
</t>
          </r>
          <r>
            <rPr>
              <rFont val="メイリオ"/>
              <b val="1"/>
              <sz val="10"/>
            </rPr>
            <t xml:space="preserve">ステップ2：
</t>
          </r>
          <r>
            <rPr>
              <rFont val="メイリオ"/>
              <sz val="10"/>
            </rPr>
            <t xml:space="preserve">サイドバー折り畳み、フォーム維持
</t>
          </r>
          <r>
            <rPr>
              <rFont val="メイリオ"/>
              <b val="1"/>
              <sz val="10"/>
            </rPr>
            <t xml:space="preserve">ステップ3：
</t>
          </r>
          <r>
            <rPr>
              <rFont val="メイリオ"/>
              <sz val="10"/>
            </rPr>
            <t xml:space="preserve">サイドバー オーバーレイ、フォーム要素 縦スタック並び、横スクロールなし
</t>
          </r>
          <r>
            <rPr>
              <rFont val="メイリオ"/>
              <b val="1"/>
              <sz val="10"/>
            </rPr>
            <t xml:space="preserve">補足：
</t>
          </r>
          <r>
            <rPr>
              <rFont val="メイリオ"/>
              <sz val="10"/>
            </rPr>
            <t xml:space="preserve">・全3ブレークポイントでレイアウト崩れなし、横スクロール発生せず
</t>
          </r>
          <r>
            <rPr>
              <rFont val="メイリオ"/>
              <sz val="10"/>
            </rPr>
            <t>・フォーム要素はすべて操作可能</t>
          </r>
        </is>
      </c>
      <c r="Y21" s="10" t="n"/>
      <c r="Z21" s="10" t="n"/>
      <c r="AA21" s="10" t="n"/>
      <c r="AB21" s="10" t="n"/>
      <c r="AC21" s="10" t="n"/>
      <c r="AD21" s="11" t="n"/>
      <c r="AE21" s="45" t="inlineStr">
        <is>
          <t>N</t>
        </is>
      </c>
      <c r="AF21" s="11" t="n"/>
      <c r="AG21" s="45" t="inlineStr"/>
      <c r="AH21" s="10" t="n"/>
      <c r="AI21" s="11" t="n"/>
      <c r="AJ21" s="45" t="inlineStr"/>
      <c r="AK21" s="10" t="n"/>
      <c r="AL21" s="11" t="n"/>
      <c r="AM21" s="45" t="inlineStr"/>
      <c r="AN21" s="10" t="n"/>
      <c r="AO21" s="11" t="n"/>
      <c r="AP21" s="45" t="inlineStr"/>
      <c r="AQ21" s="10" t="n"/>
      <c r="AR21" s="11" t="n"/>
      <c r="AS21" s="45" t="inlineStr"/>
      <c r="AT21" s="10" t="n"/>
      <c r="AU21" s="11" t="n"/>
      <c r="AV21" s="45" t="inlineStr"/>
      <c r="AW21" s="10" t="n"/>
      <c r="AX21" s="11" t="n"/>
      <c r="AY21" s="45" t="inlineStr"/>
      <c r="AZ21" s="10" t="n"/>
      <c r="BA21" s="11" t="n"/>
      <c r="BB21" s="45" t="inlineStr"/>
      <c r="BC21" s="10" t="n"/>
      <c r="BD21" s="11" t="n"/>
      <c r="BE21" s="45" t="inlineStr"/>
      <c r="BF21" s="10" t="n"/>
      <c r="BG21" s="11" t="n"/>
      <c r="BH21" s="45" t="inlineStr"/>
      <c r="BI21" s="10" t="n"/>
      <c r="BJ21" s="11" t="n"/>
      <c r="BK21" s="46" t="inlineStr"/>
      <c r="BL21" s="10" t="n"/>
      <c r="BM21" s="10" t="n"/>
      <c r="BN21" s="10" t="n"/>
      <c r="BO21" s="10" t="n"/>
      <c r="BP21" s="10" t="n"/>
      <c r="BQ21" s="11" t="n"/>
    </row>
    <row r="22" ht="432" customHeight="1">
      <c r="A22" s="44" t="n">
        <v>9</v>
      </c>
      <c r="B22" s="46" t="inlineStr">
        <is>
          <t>ACSMS-TC-005-009</t>
        </is>
      </c>
      <c r="C22" s="10" t="n"/>
      <c r="D22" s="11" t="n"/>
      <c r="E22" s="46" t="inlineStr">
        <is>
          <t>フォーム要素表示 — 入力欄／ドロップダウン／ラジオボタン／ボタンが設計仕様通り</t>
        </is>
      </c>
      <c r="F22" s="10" t="n"/>
      <c r="G22" s="10" t="n"/>
      <c r="H22" s="10" t="n"/>
      <c r="I22" s="11" t="n"/>
      <c r="J22" s="46" t="inlineStr">
        <is>
          <t>・登録画面を開いた状態</t>
        </is>
      </c>
      <c r="K22" s="10" t="n"/>
      <c r="L22" s="10" t="n"/>
      <c r="M22" s="10" t="n"/>
      <c r="N22" s="10" t="n"/>
      <c r="O22" s="10" t="n"/>
      <c r="P22" s="11" t="n"/>
      <c r="Q22" s="46" t="inlineStr">
        <is>
          <r>
            <rPr>
              <rFont val="メイリオ"/>
              <b val="1"/>
              <sz val="10"/>
            </rPr>
            <t xml:space="preserve">ステップ1：
</t>
          </r>
          <r>
            <rPr>
              <rFont val="メイリオ"/>
              <sz val="10"/>
            </rPr>
            <t xml:space="preserve">各テキストボックスのプレースホルダー、フォーマット、状態（有効／フォーカス／無効）を確認
</t>
          </r>
          <r>
            <rPr>
              <rFont val="メイリオ"/>
              <b val="1"/>
              <sz val="10"/>
            </rPr>
            <t xml:space="preserve">ステップ2：
</t>
          </r>
          <r>
            <rPr>
              <rFont val="メイリオ"/>
              <sz val="10"/>
            </rPr>
            <t xml:space="preserve">都道府県ドロップダウン表示確認
</t>
          </r>
          <r>
            <rPr>
              <rFont val="メイリオ"/>
              <b val="1"/>
              <sz val="10"/>
            </rPr>
            <t xml:space="preserve">ステップ3：
</t>
          </r>
          <r>
            <rPr>
              <rFont val="メイリオ"/>
              <sz val="10"/>
            </rPr>
            <t xml:space="preserve">中央会フラグ ラジオボタン表示確認
</t>
          </r>
          <r>
            <rPr>
              <rFont val="メイリオ"/>
              <b val="1"/>
              <sz val="10"/>
            </rPr>
            <t xml:space="preserve">ステップ4：
</t>
          </r>
          <r>
            <rPr>
              <rFont val="メイリオ"/>
              <sz val="10"/>
            </rPr>
            <t xml:space="preserve">税区分 ラジオボタン表示確認
</t>
          </r>
          <r>
            <rPr>
              <rFont val="メイリオ"/>
              <b val="1"/>
              <sz val="10"/>
            </rPr>
            <t xml:space="preserve">ステップ5：
</t>
          </r>
          <r>
            <rPr>
              <rFont val="メイリオ"/>
              <sz val="10"/>
            </rPr>
            <t>登録 / 前の画面に戻る ボタンの size, location, icon, color を確認</t>
          </r>
        </is>
      </c>
      <c r="R22" s="10" t="n"/>
      <c r="S22" s="10" t="n"/>
      <c r="T22" s="10" t="n"/>
      <c r="U22" s="10" t="n"/>
      <c r="V22" s="10" t="n"/>
      <c r="W22" s="11" t="n"/>
      <c r="X22" s="46" t="inlineStr">
        <is>
          <r>
            <rPr>
              <rFont val="メイリオ"/>
              <b val="1"/>
              <sz val="10"/>
            </rPr>
            <t xml:space="preserve">ステップ1：
</t>
          </r>
          <r>
            <rPr>
              <rFont val="メイリオ"/>
              <sz val="10"/>
            </rPr>
            <t xml:space="preserve">設計通り — プレースホルダー一致、フォーカス時の枠色変化、無効時はグレーアウト
</t>
          </r>
          <r>
            <rPr>
              <rFont val="メイリオ"/>
              <b val="1"/>
              <sz val="10"/>
            </rPr>
            <t xml:space="preserve">ステップ2：
</t>
          </r>
          <r>
            <rPr>
              <rFont val="メイリオ"/>
              <sz val="10"/>
            </rPr>
            <t xml:space="preserve">都道府県47件のドロップダウン表示、初期値は未選択
</t>
          </r>
          <r>
            <rPr>
              <rFont val="メイリオ"/>
              <b val="1"/>
              <sz val="10"/>
            </rPr>
            <t xml:space="preserve">ステップ3：
</t>
          </r>
          <r>
            <rPr>
              <rFont val="メイリオ"/>
              <sz val="10"/>
            </rPr>
            <t xml:space="preserve">選択肢: `中央会` (true) / `単協` (false) の2オプション、デフォルト未選択
</t>
          </r>
          <r>
            <rPr>
              <rFont val="メイリオ"/>
              <b val="1"/>
              <sz val="10"/>
            </rPr>
            <t xml:space="preserve">ステップ4：
</t>
          </r>
          <r>
            <rPr>
              <rFont val="メイリオ"/>
              <sz val="10"/>
            </rPr>
            <t xml:space="preserve">選択肢: `内税` (1) / `外税` (2) の2オプション、デフォルト未選択
</t>
          </r>
          <r>
            <rPr>
              <rFont val="メイリオ"/>
              <b val="1"/>
              <sz val="10"/>
            </rPr>
            <t xml:space="preserve">ステップ5：
</t>
          </r>
          <r>
            <rPr>
              <rFont val="メイリオ"/>
              <sz val="10"/>
            </rPr>
            <t xml:space="preserve">設計通り。登録ボタンが主ボタン（青）、戻るボタンが副ボタン（白）
</t>
          </r>
          <r>
            <rPr>
              <rFont val="メイリオ"/>
              <b val="1"/>
              <sz val="10"/>
            </rPr>
            <t xml:space="preserve">補足：
</t>
          </r>
          <r>
            <rPr>
              <rFont val="メイリオ"/>
              <sz val="10"/>
            </rPr>
            <t>・全フォーム要素が設計仕様と完全一致</t>
          </r>
        </is>
      </c>
      <c r="Y22" s="10" t="n"/>
      <c r="Z22" s="10" t="n"/>
      <c r="AA22" s="10" t="n"/>
      <c r="AB22" s="10" t="n"/>
      <c r="AC22" s="10" t="n"/>
      <c r="AD22" s="11" t="n"/>
      <c r="AE22" s="45" t="inlineStr">
        <is>
          <t>N</t>
        </is>
      </c>
      <c r="AF22" s="11" t="n"/>
      <c r="AG22" s="45" t="inlineStr"/>
      <c r="AH22" s="10" t="n"/>
      <c r="AI22" s="11" t="n"/>
      <c r="AJ22" s="45" t="inlineStr"/>
      <c r="AK22" s="10" t="n"/>
      <c r="AL22" s="11" t="n"/>
      <c r="AM22" s="45" t="inlineStr"/>
      <c r="AN22" s="10" t="n"/>
      <c r="AO22" s="11" t="n"/>
      <c r="AP22" s="45" t="inlineStr"/>
      <c r="AQ22" s="10" t="n"/>
      <c r="AR22" s="11" t="n"/>
      <c r="AS22" s="45" t="inlineStr"/>
      <c r="AT22" s="10" t="n"/>
      <c r="AU22" s="11" t="n"/>
      <c r="AV22" s="45" t="inlineStr"/>
      <c r="AW22" s="10" t="n"/>
      <c r="AX22" s="11" t="n"/>
      <c r="AY22" s="45" t="inlineStr"/>
      <c r="AZ22" s="10" t="n"/>
      <c r="BA22" s="11" t="n"/>
      <c r="BB22" s="45" t="inlineStr"/>
      <c r="BC22" s="10" t="n"/>
      <c r="BD22" s="11" t="n"/>
      <c r="BE22" s="45" t="inlineStr"/>
      <c r="BF22" s="10" t="n"/>
      <c r="BG22" s="11" t="n"/>
      <c r="BH22" s="45" t="inlineStr"/>
      <c r="BI22" s="10" t="n"/>
      <c r="BJ22" s="11" t="n"/>
      <c r="BK22" s="46" t="inlineStr"/>
      <c r="BL22" s="10" t="n"/>
      <c r="BM22" s="10" t="n"/>
      <c r="BN22" s="10" t="n"/>
      <c r="BO22" s="10" t="n"/>
      <c r="BP22" s="10" t="n"/>
      <c r="BQ22" s="11" t="n"/>
    </row>
    <row r="23" ht="416" customHeight="1">
      <c r="A23" s="44" t="n">
        <v>10</v>
      </c>
      <c r="B23" s="46" t="inlineStr">
        <is>
          <t>ACSMS-TC-005-010</t>
        </is>
      </c>
      <c r="C23" s="10" t="n"/>
      <c r="D23" s="11" t="n"/>
      <c r="E23" s="46" t="inlineStr">
        <is>
          <t>タブ順序とキーボード操作（Tab / Enter）</t>
        </is>
      </c>
      <c r="F23" s="10" t="n"/>
      <c r="G23" s="10" t="n"/>
      <c r="H23" s="10" t="n"/>
      <c r="I23" s="11" t="n"/>
      <c r="J23" s="46" t="inlineStr">
        <is>
          <t>・登録画面を開いた状態、フォーカスは body</t>
        </is>
      </c>
      <c r="K23" s="10" t="n"/>
      <c r="L23" s="10" t="n"/>
      <c r="M23" s="10" t="n"/>
      <c r="N23" s="10" t="n"/>
      <c r="O23" s="10" t="n"/>
      <c r="P23" s="11" t="n"/>
      <c r="Q23" s="46" t="inlineStr">
        <is>
          <r>
            <rPr>
              <rFont val="メイリオ"/>
              <b val="1"/>
              <sz val="10"/>
            </rPr>
            <t xml:space="preserve">ステップ1：
</t>
          </r>
          <r>
            <rPr>
              <rFont val="メイリオ"/>
              <sz val="10"/>
            </rPr>
            <t xml:space="preserve">Tab キーを押下していき、フォーカス遷移を確認
</t>
          </r>
          <r>
            <rPr>
              <rFont val="メイリオ"/>
              <b val="1"/>
              <sz val="10"/>
            </rPr>
            <t xml:space="preserve">ステップ2：
</t>
          </r>
          <r>
            <rPr>
              <rFont val="メイリオ"/>
              <sz val="10"/>
            </rPr>
            <t xml:space="preserve">テキストボックス内で Enter キー押下
</t>
          </r>
          <r>
            <rPr>
              <rFont val="メイリオ"/>
              <b val="1"/>
              <sz val="10"/>
            </rPr>
            <t xml:space="preserve">ステップ3：
</t>
          </r>
          <r>
            <rPr>
              <rFont val="メイリオ"/>
              <sz val="10"/>
            </rPr>
            <t>ドロップダウン上で Enter キー押下</t>
          </r>
        </is>
      </c>
      <c r="R23" s="10" t="n"/>
      <c r="S23" s="10" t="n"/>
      <c r="T23" s="10" t="n"/>
      <c r="U23" s="10" t="n"/>
      <c r="V23" s="10" t="n"/>
      <c r="W23" s="11" t="n"/>
      <c r="X23" s="46" t="inlineStr">
        <is>
          <r>
            <rPr>
              <rFont val="メイリオ"/>
              <b val="1"/>
              <sz val="10"/>
            </rPr>
            <t xml:space="preserve">ステップ1：
</t>
          </r>
          <r>
            <rPr>
              <rFont val="メイリオ"/>
              <sz val="10"/>
            </rPr>
            <t xml:space="preserve">設計仕様通りのタブ順序：JAコード → JA名 → JA名カナ → 都道府県 → 中央会フラグ → 金融機関コード → 金融機関名 → 郵便番号 → 住所 → 電話 → FAX → メール → 担当部署 → 担当者 → 税区分 → 備考 → 登録ボタン → 前の画面に戻るボタン
</t>
          </r>
          <r>
            <rPr>
              <rFont val="メイリオ"/>
              <b val="1"/>
              <sz val="10"/>
            </rPr>
            <t xml:space="preserve">ステップ2：
</t>
          </r>
          <r>
            <rPr>
              <rFont val="メイリオ"/>
              <sz val="10"/>
            </rPr>
            <t xml:space="preserve">Enter による暗黙送信は無効化（preventEnterImplicitSubmit による制御）
</t>
          </r>
          <r>
            <rPr>
              <rFont val="メイリオ"/>
              <b val="1"/>
              <sz val="10"/>
            </rPr>
            <t xml:space="preserve">ステップ3：
</t>
          </r>
          <r>
            <rPr>
              <rFont val="メイリオ"/>
              <sz val="10"/>
            </rPr>
            <t xml:space="preserve">ドロップダウン展開、Enter で選択確定
</t>
          </r>
          <r>
            <rPr>
              <rFont val="メイリオ"/>
              <b val="1"/>
              <sz val="10"/>
            </rPr>
            <t xml:space="preserve">補足：
</t>
          </r>
          <r>
            <rPr>
              <rFont val="メイリオ"/>
              <sz val="10"/>
            </rPr>
            <t xml:space="preserve">・タブ順序が設計仕様通り、すべてキーボード操作可
</t>
          </r>
          <r>
            <rPr>
              <rFont val="メイリオ"/>
              <sz val="10"/>
            </rPr>
            <t>・本画面は16項目フォームのため、Enter による暗黙送信は無効化（CRUD編集フォームの慣行）</t>
          </r>
        </is>
      </c>
      <c r="Y23" s="10" t="n"/>
      <c r="Z23" s="10" t="n"/>
      <c r="AA23" s="10" t="n"/>
      <c r="AB23" s="10" t="n"/>
      <c r="AC23" s="10" t="n"/>
      <c r="AD23" s="11" t="n"/>
      <c r="AE23" s="45" t="inlineStr">
        <is>
          <t>N</t>
        </is>
      </c>
      <c r="AF23" s="11" t="n"/>
      <c r="AG23" s="45" t="inlineStr"/>
      <c r="AH23" s="10" t="n"/>
      <c r="AI23" s="11" t="n"/>
      <c r="AJ23" s="45" t="inlineStr"/>
      <c r="AK23" s="10" t="n"/>
      <c r="AL23" s="11" t="n"/>
      <c r="AM23" s="45" t="inlineStr"/>
      <c r="AN23" s="10" t="n"/>
      <c r="AO23" s="11" t="n"/>
      <c r="AP23" s="45" t="inlineStr"/>
      <c r="AQ23" s="10" t="n"/>
      <c r="AR23" s="11" t="n"/>
      <c r="AS23" s="45" t="inlineStr"/>
      <c r="AT23" s="10" t="n"/>
      <c r="AU23" s="11" t="n"/>
      <c r="AV23" s="45" t="inlineStr"/>
      <c r="AW23" s="10" t="n"/>
      <c r="AX23" s="11" t="n"/>
      <c r="AY23" s="45" t="inlineStr"/>
      <c r="AZ23" s="10" t="n"/>
      <c r="BA23" s="11" t="n"/>
      <c r="BB23" s="45" t="inlineStr"/>
      <c r="BC23" s="10" t="n"/>
      <c r="BD23" s="11" t="n"/>
      <c r="BE23" s="45" t="inlineStr"/>
      <c r="BF23" s="10" t="n"/>
      <c r="BG23" s="11" t="n"/>
      <c r="BH23" s="45" t="inlineStr"/>
      <c r="BI23" s="10" t="n"/>
      <c r="BJ23" s="11" t="n"/>
      <c r="BK23" s="46" t="inlineStr"/>
      <c r="BL23" s="10" t="n"/>
      <c r="BM23" s="10" t="n"/>
      <c r="BN23" s="10" t="n"/>
      <c r="BO23" s="10" t="n"/>
      <c r="BP23" s="10" t="n"/>
      <c r="BQ23" s="11" t="n"/>
    </row>
    <row r="24" ht="240" customHeight="1">
      <c r="A24" s="44" t="n">
        <v>11</v>
      </c>
      <c r="B24" s="46" t="inlineStr">
        <is>
          <t>ACSMS-TC-005-011</t>
        </is>
      </c>
      <c r="C24" s="10" t="n"/>
      <c r="D24" s="11" t="n"/>
      <c r="E24" s="46" t="inlineStr">
        <is>
          <t>ボタン操作信頼性（ダブルクリック・連打・Enter）</t>
        </is>
      </c>
      <c r="F24" s="10" t="n"/>
      <c r="G24" s="10" t="n"/>
      <c r="H24" s="10" t="n"/>
      <c r="I24" s="11" t="n"/>
      <c r="J24" s="46" t="inlineStr">
        <is>
          <t>・登録画面で全項目に有効値を入力済
・テストデータ：JAコード=1301999001、JA名=テストJA、都道府県=13、中央会フラグ=false、金融機関コード=1234、金融機関名=農林中央金庫、税区分=1</t>
        </is>
      </c>
      <c r="K24" s="10" t="n"/>
      <c r="L24" s="10" t="n"/>
      <c r="M24" s="10" t="n"/>
      <c r="N24" s="10" t="n"/>
      <c r="O24" s="10" t="n"/>
      <c r="P24" s="11" t="n"/>
      <c r="Q24" s="46" t="inlineStr">
        <is>
          <r>
            <rPr>
              <rFont val="メイリオ"/>
              <b val="1"/>
              <sz val="10"/>
            </rPr>
            <t xml:space="preserve">ステップ1：
</t>
          </r>
          <r>
            <rPr>
              <rFont val="メイリオ"/>
              <sz val="10"/>
            </rPr>
            <t xml:space="preserve">登録ボタンをダブルクリック（200ms 以内）
</t>
          </r>
          <r>
            <rPr>
              <rFont val="メイリオ"/>
              <b val="1"/>
              <sz val="10"/>
            </rPr>
            <t xml:space="preserve">ステップ2：
</t>
          </r>
          <r>
            <rPr>
              <rFont val="メイリオ"/>
              <sz val="10"/>
            </rPr>
            <t xml:space="preserve">登録ボタンを5秒間連打
</t>
          </r>
          <r>
            <rPr>
              <rFont val="メイリオ"/>
              <b val="1"/>
              <sz val="10"/>
            </rPr>
            <t xml:space="preserve">ステップ3：
</t>
          </r>
          <r>
            <rPr>
              <rFont val="メイリオ"/>
              <sz val="10"/>
            </rPr>
            <t>DB 確認：`SELECT COUNT(*) FROM m_ja WHERE ja_code='1301999001'`</t>
          </r>
        </is>
      </c>
      <c r="R24" s="10" t="n"/>
      <c r="S24" s="10" t="n"/>
      <c r="T24" s="10" t="n"/>
      <c r="U24" s="10" t="n"/>
      <c r="V24" s="10" t="n"/>
      <c r="W24" s="11" t="n"/>
      <c r="X24" s="46" t="inlineStr">
        <is>
          <r>
            <rPr>
              <rFont val="メイリオ"/>
              <b val="1"/>
              <sz val="10"/>
            </rPr>
            <t xml:space="preserve">ステップ1：
</t>
          </r>
          <r>
            <rPr>
              <rFont val="メイリオ"/>
              <sz val="10"/>
            </rPr>
            <t xml:space="preserve">1回目で送信開始、2回目はボタン無効で無視
</t>
          </r>
          <r>
            <rPr>
              <rFont val="メイリオ"/>
              <b val="1"/>
              <sz val="10"/>
            </rPr>
            <t xml:space="preserve">ステップ2：
</t>
          </r>
          <r>
            <rPr>
              <rFont val="メイリオ"/>
              <sz val="10"/>
            </rPr>
            <t xml:space="preserve">送信中はボタン無効、重複登録なし
</t>
          </r>
          <r>
            <rPr>
              <rFont val="メイリオ"/>
              <b val="1"/>
              <sz val="10"/>
            </rPr>
            <t xml:space="preserve">ステップ3：
</t>
          </r>
          <r>
            <rPr>
              <rFont val="メイリオ"/>
              <sz val="10"/>
            </rPr>
            <t xml:space="preserve">1レコードのみ（重複なし）
</t>
          </r>
          <r>
            <rPr>
              <rFont val="メイリオ"/>
              <b val="1"/>
              <sz val="10"/>
            </rPr>
            <t xml:space="preserve">補足：
</t>
          </r>
          <r>
            <rPr>
              <rFont val="メイリオ"/>
              <sz val="10"/>
            </rPr>
            <t xml:space="preserve">・重複登録が発生しない
</t>
          </r>
          <r>
            <rPr>
              <rFont val="メイリオ"/>
              <sz val="10"/>
            </rPr>
            <t>・送信中はボタンが無効状態で表示される</t>
          </r>
        </is>
      </c>
      <c r="Y24" s="10" t="n"/>
      <c r="Z24" s="10" t="n"/>
      <c r="AA24" s="10" t="n"/>
      <c r="AB24" s="10" t="n"/>
      <c r="AC24" s="10" t="n"/>
      <c r="AD24" s="11" t="n"/>
      <c r="AE24" s="45" t="inlineStr">
        <is>
          <t>N</t>
        </is>
      </c>
      <c r="AF24" s="11" t="n"/>
      <c r="AG24" s="45" t="inlineStr"/>
      <c r="AH24" s="10" t="n"/>
      <c r="AI24" s="11" t="n"/>
      <c r="AJ24" s="45" t="inlineStr"/>
      <c r="AK24" s="10" t="n"/>
      <c r="AL24" s="11" t="n"/>
      <c r="AM24" s="45" t="inlineStr"/>
      <c r="AN24" s="10" t="n"/>
      <c r="AO24" s="11" t="n"/>
      <c r="AP24" s="45" t="inlineStr"/>
      <c r="AQ24" s="10" t="n"/>
      <c r="AR24" s="11" t="n"/>
      <c r="AS24" s="45" t="inlineStr"/>
      <c r="AT24" s="10" t="n"/>
      <c r="AU24" s="11" t="n"/>
      <c r="AV24" s="45" t="inlineStr"/>
      <c r="AW24" s="10" t="n"/>
      <c r="AX24" s="11" t="n"/>
      <c r="AY24" s="45" t="inlineStr"/>
      <c r="AZ24" s="10" t="n"/>
      <c r="BA24" s="11" t="n"/>
      <c r="BB24" s="45" t="inlineStr"/>
      <c r="BC24" s="10" t="n"/>
      <c r="BD24" s="11" t="n"/>
      <c r="BE24" s="45" t="inlineStr"/>
      <c r="BF24" s="10" t="n"/>
      <c r="BG24" s="11" t="n"/>
      <c r="BH24" s="45" t="inlineStr"/>
      <c r="BI24" s="10" t="n"/>
      <c r="BJ24" s="11" t="n"/>
      <c r="BK24" s="46" t="inlineStr">
        <is>
          <t>二重送信防止 — テスターからのバグ発見頻度高い領域。
---</t>
        </is>
      </c>
      <c r="BL24" s="10" t="n"/>
      <c r="BM24" s="10" t="n"/>
      <c r="BN24" s="10" t="n"/>
      <c r="BO24" s="10" t="n"/>
      <c r="BP24" s="10" t="n"/>
      <c r="BQ24" s="11" t="n"/>
    </row>
    <row r="25" ht="22.5" customHeight="1">
      <c r="A25" s="32" t="inlineStr">
        <is>
          <t>ヘッダー・パンくず（Header &amp; Breadcrumb）</t>
        </is>
      </c>
      <c r="B25" s="10" t="n"/>
      <c r="C25" s="10" t="n"/>
      <c r="D25" s="10" t="n"/>
      <c r="E25" s="10" t="n"/>
      <c r="F25" s="10" t="n"/>
      <c r="G25" s="10" t="n"/>
      <c r="H25" s="10" t="n"/>
      <c r="I25" s="10" t="n"/>
      <c r="J25" s="10" t="n"/>
      <c r="K25" s="10" t="n"/>
      <c r="L25" s="10" t="n"/>
      <c r="M25" s="10" t="n"/>
      <c r="N25" s="10" t="n"/>
      <c r="O25" s="10" t="n"/>
      <c r="P25" s="10" t="n"/>
      <c r="Q25" s="10" t="n"/>
      <c r="R25" s="10" t="n"/>
      <c r="S25" s="10" t="n"/>
      <c r="T25" s="10" t="n"/>
      <c r="U25" s="10" t="n"/>
      <c r="V25" s="10" t="n"/>
      <c r="W25" s="10" t="n"/>
      <c r="X25" s="10" t="n"/>
      <c r="Y25" s="10" t="n"/>
      <c r="Z25" s="10" t="n"/>
      <c r="AA25" s="10" t="n"/>
      <c r="AB25" s="10" t="n"/>
      <c r="AC25" s="10" t="n"/>
      <c r="AD25" s="10" t="n"/>
      <c r="AE25" s="10" t="n"/>
      <c r="AF25" s="10" t="n"/>
      <c r="AG25" s="10" t="n"/>
      <c r="AH25" s="10" t="n"/>
      <c r="AI25" s="10" t="n"/>
      <c r="AJ25" s="10" t="n"/>
      <c r="AK25" s="10" t="n"/>
      <c r="AL25" s="10" t="n"/>
      <c r="AM25" s="10" t="n"/>
      <c r="AN25" s="10" t="n"/>
      <c r="AO25" s="10" t="n"/>
      <c r="AP25" s="10" t="n"/>
      <c r="AQ25" s="10" t="n"/>
      <c r="AR25" s="10" t="n"/>
      <c r="AS25" s="10" t="n"/>
      <c r="AT25" s="10" t="n"/>
      <c r="AU25" s="10" t="n"/>
      <c r="AV25" s="10" t="n"/>
      <c r="AW25" s="10" t="n"/>
      <c r="AX25" s="10" t="n"/>
      <c r="AY25" s="10" t="n"/>
      <c r="AZ25" s="10" t="n"/>
      <c r="BA25" s="10" t="n"/>
      <c r="BB25" s="10" t="n"/>
      <c r="BC25" s="10" t="n"/>
      <c r="BD25" s="10" t="n"/>
      <c r="BE25" s="10" t="n"/>
      <c r="BF25" s="10" t="n"/>
      <c r="BG25" s="10" t="n"/>
      <c r="BH25" s="10" t="n"/>
      <c r="BI25" s="10" t="n"/>
      <c r="BJ25" s="10" t="n"/>
      <c r="BK25" s="10" t="n"/>
      <c r="BL25" s="10" t="n"/>
      <c r="BM25" s="10" t="n"/>
      <c r="BN25" s="10" t="n"/>
      <c r="BO25" s="10" t="n"/>
      <c r="BP25" s="10" t="n"/>
      <c r="BQ25" s="11" t="n"/>
    </row>
    <row r="26" ht="112" customHeight="1">
      <c r="A26" s="44" t="n">
        <v>12</v>
      </c>
      <c r="B26" s="46" t="inlineStr">
        <is>
          <t>ACSMS-TC-005-012</t>
        </is>
      </c>
      <c r="C26" s="10" t="n"/>
      <c r="D26" s="11" t="n"/>
      <c r="E26" s="46" t="inlineStr">
        <is>
          <t>ヘッダータイトル表示</t>
        </is>
      </c>
      <c r="F26" s="10" t="n"/>
      <c r="G26" s="10" t="n"/>
      <c r="H26" s="10" t="n"/>
      <c r="I26" s="11" t="n"/>
      <c r="J26" s="46" t="inlineStr">
        <is>
          <t>・登録画面または編集画面を開いた状態</t>
        </is>
      </c>
      <c r="K26" s="10" t="n"/>
      <c r="L26" s="10" t="n"/>
      <c r="M26" s="10" t="n"/>
      <c r="N26" s="10" t="n"/>
      <c r="O26" s="10" t="n"/>
      <c r="P26" s="11" t="n"/>
      <c r="Q26" s="46" t="inlineStr">
        <is>
          <r>
            <rPr>
              <rFont val="メイリオ"/>
              <b val="1"/>
              <sz val="10"/>
            </rPr>
            <t xml:space="preserve">ステップ1：
</t>
          </r>
          <r>
            <rPr>
              <rFont val="メイリオ"/>
              <sz val="10"/>
            </rPr>
            <t>画面上部のヘッダー左側を確認</t>
          </r>
        </is>
      </c>
      <c r="R26" s="10" t="n"/>
      <c r="S26" s="10" t="n"/>
      <c r="T26" s="10" t="n"/>
      <c r="U26" s="10" t="n"/>
      <c r="V26" s="10" t="n"/>
      <c r="W26" s="11" t="n"/>
      <c r="X26" s="46" t="inlineStr">
        <is>
          <r>
            <rPr>
              <rFont val="メイリオ"/>
              <b val="1"/>
              <sz val="10"/>
            </rPr>
            <t xml:space="preserve">ステップ1：
</t>
          </r>
          <r>
            <rPr>
              <rFont val="メイリオ"/>
              <sz val="10"/>
            </rPr>
            <t xml:space="preserve">「JAマスタ登録画面」の文字が表示される
</t>
          </r>
          <r>
            <rPr>
              <rFont val="メイリオ"/>
              <b val="1"/>
              <sz val="10"/>
            </rPr>
            <t xml:space="preserve">補足：
</t>
          </r>
          <r>
            <rPr>
              <rFont val="メイリオ"/>
              <sz val="10"/>
            </rPr>
            <t>・タイトル文字列がスペックの literal 通り</t>
          </r>
        </is>
      </c>
      <c r="Y26" s="10" t="n"/>
      <c r="Z26" s="10" t="n"/>
      <c r="AA26" s="10" t="n"/>
      <c r="AB26" s="10" t="n"/>
      <c r="AC26" s="10" t="n"/>
      <c r="AD26" s="11" t="n"/>
      <c r="AE26" s="45" t="inlineStr">
        <is>
          <t>N</t>
        </is>
      </c>
      <c r="AF26" s="11" t="n"/>
      <c r="AG26" s="45" t="inlineStr"/>
      <c r="AH26" s="10" t="n"/>
      <c r="AI26" s="11" t="n"/>
      <c r="AJ26" s="45" t="inlineStr"/>
      <c r="AK26" s="10" t="n"/>
      <c r="AL26" s="11" t="n"/>
      <c r="AM26" s="45" t="inlineStr"/>
      <c r="AN26" s="10" t="n"/>
      <c r="AO26" s="11" t="n"/>
      <c r="AP26" s="45" t="inlineStr"/>
      <c r="AQ26" s="10" t="n"/>
      <c r="AR26" s="11" t="n"/>
      <c r="AS26" s="45" t="inlineStr"/>
      <c r="AT26" s="10" t="n"/>
      <c r="AU26" s="11" t="n"/>
      <c r="AV26" s="45" t="inlineStr"/>
      <c r="AW26" s="10" t="n"/>
      <c r="AX26" s="11" t="n"/>
      <c r="AY26" s="45" t="inlineStr"/>
      <c r="AZ26" s="10" t="n"/>
      <c r="BA26" s="11" t="n"/>
      <c r="BB26" s="45" t="inlineStr"/>
      <c r="BC26" s="10" t="n"/>
      <c r="BD26" s="11" t="n"/>
      <c r="BE26" s="45" t="inlineStr"/>
      <c r="BF26" s="10" t="n"/>
      <c r="BG26" s="11" t="n"/>
      <c r="BH26" s="45" t="inlineStr"/>
      <c r="BI26" s="10" t="n"/>
      <c r="BJ26" s="11" t="n"/>
      <c r="BK26" s="46" t="inlineStr"/>
      <c r="BL26" s="10" t="n"/>
      <c r="BM26" s="10" t="n"/>
      <c r="BN26" s="10" t="n"/>
      <c r="BO26" s="10" t="n"/>
      <c r="BP26" s="10" t="n"/>
      <c r="BQ26" s="11" t="n"/>
    </row>
    <row r="27" ht="240" customHeight="1">
      <c r="A27" s="44" t="n">
        <v>13</v>
      </c>
      <c r="B27" s="46" t="inlineStr">
        <is>
          <t>ACSMS-TC-005-013</t>
        </is>
      </c>
      <c r="C27" s="10" t="n"/>
      <c r="D27" s="11" t="n"/>
      <c r="E27" s="46" t="inlineStr">
        <is>
          <t>通知アイコン + ユーザーメニュー表示</t>
        </is>
      </c>
      <c r="F27" s="10" t="n"/>
      <c r="G27" s="10" t="n"/>
      <c r="H27" s="10" t="n"/>
      <c r="I27" s="11" t="n"/>
      <c r="J27" s="46" t="inlineStr">
        <is>
          <t>・role: NICHINO_ADMIN
・登録画面を開いた状態</t>
        </is>
      </c>
      <c r="K27" s="10" t="n"/>
      <c r="L27" s="10" t="n"/>
      <c r="M27" s="10" t="n"/>
      <c r="N27" s="10" t="n"/>
      <c r="O27" s="10" t="n"/>
      <c r="P27" s="11" t="n"/>
      <c r="Q27" s="46" t="inlineStr">
        <is>
          <r>
            <rPr>
              <rFont val="メイリオ"/>
              <b val="1"/>
              <sz val="10"/>
            </rPr>
            <t xml:space="preserve">ステップ1：
</t>
          </r>
          <r>
            <rPr>
              <rFont val="メイリオ"/>
              <sz val="10"/>
            </rPr>
            <t xml:space="preserve">ヘッダー右側を確認
</t>
          </r>
          <r>
            <rPr>
              <rFont val="メイリオ"/>
              <b val="1"/>
              <sz val="10"/>
            </rPr>
            <t xml:space="preserve">ステップ2：
</t>
          </r>
          <r>
            <rPr>
              <rFont val="メイリオ"/>
              <sz val="10"/>
            </rPr>
            <t xml:space="preserve">ユーザーアイコンにマウスオーバー
</t>
          </r>
          <r>
            <rPr>
              <rFont val="メイリオ"/>
              <b val="1"/>
              <sz val="10"/>
            </rPr>
            <t xml:space="preserve">ステップ3：
</t>
          </r>
          <r>
            <rPr>
              <rFont val="メイリオ"/>
              <sz val="10"/>
            </rPr>
            <t>ユーザーアイコンクリック</t>
          </r>
        </is>
      </c>
      <c r="R27" s="10" t="n"/>
      <c r="S27" s="10" t="n"/>
      <c r="T27" s="10" t="n"/>
      <c r="U27" s="10" t="n"/>
      <c r="V27" s="10" t="n"/>
      <c r="W27" s="11" t="n"/>
      <c r="X27" s="46" t="inlineStr">
        <is>
          <r>
            <rPr>
              <rFont val="メイリオ"/>
              <b val="1"/>
              <sz val="10"/>
            </rPr>
            <t xml:space="preserve">ステップ1：
</t>
          </r>
          <r>
            <rPr>
              <rFont val="メイリオ"/>
              <sz val="10"/>
            </rPr>
            <t xml:space="preserve">通知アイコン → ユーザーアイコン → ログイン名（例：日農（管理者））の順
</t>
          </r>
          <r>
            <rPr>
              <rFont val="メイリオ"/>
              <b val="1"/>
              <sz val="10"/>
            </rPr>
            <t xml:space="preserve">ステップ2：
</t>
          </r>
          <r>
            <rPr>
              <rFont val="メイリオ"/>
              <sz val="10"/>
            </rPr>
            <t xml:space="preserve">hover 時 background 変色
</t>
          </r>
          <r>
            <rPr>
              <rFont val="メイリオ"/>
              <b val="1"/>
              <sz val="10"/>
            </rPr>
            <t xml:space="preserve">ステップ3：
</t>
          </r>
          <r>
            <rPr>
              <rFont val="メイリオ"/>
              <sz val="10"/>
            </rPr>
            <t xml:space="preserve">ドロップダウン展開 — ログアウト等メニュー表示
</t>
          </r>
          <r>
            <rPr>
              <rFont val="メイリオ"/>
              <b val="1"/>
              <sz val="10"/>
            </rPr>
            <t xml:space="preserve">補足：
</t>
          </r>
          <r>
            <rPr>
              <rFont val="メイリオ"/>
              <sz val="10"/>
            </rPr>
            <t>・全 hover/click インタラクションが設計仕様通り</t>
          </r>
        </is>
      </c>
      <c r="Y27" s="10" t="n"/>
      <c r="Z27" s="10" t="n"/>
      <c r="AA27" s="10" t="n"/>
      <c r="AB27" s="10" t="n"/>
      <c r="AC27" s="10" t="n"/>
      <c r="AD27" s="11" t="n"/>
      <c r="AE27" s="45" t="inlineStr">
        <is>
          <t>N</t>
        </is>
      </c>
      <c r="AF27" s="11" t="n"/>
      <c r="AG27" s="45" t="inlineStr"/>
      <c r="AH27" s="10" t="n"/>
      <c r="AI27" s="11" t="n"/>
      <c r="AJ27" s="45" t="inlineStr"/>
      <c r="AK27" s="10" t="n"/>
      <c r="AL27" s="11" t="n"/>
      <c r="AM27" s="45" t="inlineStr"/>
      <c r="AN27" s="10" t="n"/>
      <c r="AO27" s="11" t="n"/>
      <c r="AP27" s="45" t="inlineStr"/>
      <c r="AQ27" s="10" t="n"/>
      <c r="AR27" s="11" t="n"/>
      <c r="AS27" s="45" t="inlineStr"/>
      <c r="AT27" s="10" t="n"/>
      <c r="AU27" s="11" t="n"/>
      <c r="AV27" s="45" t="inlineStr"/>
      <c r="AW27" s="10" t="n"/>
      <c r="AX27" s="11" t="n"/>
      <c r="AY27" s="45" t="inlineStr"/>
      <c r="AZ27" s="10" t="n"/>
      <c r="BA27" s="11" t="n"/>
      <c r="BB27" s="45" t="inlineStr"/>
      <c r="BC27" s="10" t="n"/>
      <c r="BD27" s="11" t="n"/>
      <c r="BE27" s="45" t="inlineStr"/>
      <c r="BF27" s="10" t="n"/>
      <c r="BG27" s="11" t="n"/>
      <c r="BH27" s="45" t="inlineStr"/>
      <c r="BI27" s="10" t="n"/>
      <c r="BJ27" s="11" t="n"/>
      <c r="BK27" s="46" t="inlineStr"/>
      <c r="BL27" s="10" t="n"/>
      <c r="BM27" s="10" t="n"/>
      <c r="BN27" s="10" t="n"/>
      <c r="BO27" s="10" t="n"/>
      <c r="BP27" s="10" t="n"/>
      <c r="BQ27" s="11" t="n"/>
    </row>
    <row r="28" ht="224" customHeight="1">
      <c r="A28" s="44" t="n">
        <v>14</v>
      </c>
      <c r="B28" s="46" t="inlineStr">
        <is>
          <t>ACSMS-TC-005-014</t>
        </is>
      </c>
      <c r="C28" s="10" t="n"/>
      <c r="D28" s="11" t="n"/>
      <c r="E28" s="46" t="inlineStr">
        <is>
          <t>パンくずリスト表示</t>
        </is>
      </c>
      <c r="F28" s="10" t="n"/>
      <c r="G28" s="10" t="n"/>
      <c r="H28" s="10" t="n"/>
      <c r="I28" s="11" t="n"/>
      <c r="J28" s="46" t="inlineStr">
        <is>
          <t>・登録画面を開いた状態</t>
        </is>
      </c>
      <c r="K28" s="10" t="n"/>
      <c r="L28" s="10" t="n"/>
      <c r="M28" s="10" t="n"/>
      <c r="N28" s="10" t="n"/>
      <c r="O28" s="10" t="n"/>
      <c r="P28" s="11" t="n"/>
      <c r="Q28" s="46" t="inlineStr">
        <is>
          <r>
            <rPr>
              <rFont val="メイリオ"/>
              <b val="1"/>
              <sz val="10"/>
            </rPr>
            <t xml:space="preserve">ステップ1：
</t>
          </r>
          <r>
            <rPr>
              <rFont val="メイリオ"/>
              <sz val="10"/>
            </rPr>
            <t xml:space="preserve">画面のタイトル下部のパンくず領域を確認
</t>
          </r>
          <r>
            <rPr>
              <rFont val="メイリオ"/>
              <b val="1"/>
              <sz val="10"/>
            </rPr>
            <t xml:space="preserve">ステップ2：
</t>
          </r>
          <r>
            <rPr>
              <rFont val="メイリオ"/>
              <sz val="10"/>
            </rPr>
            <t>パンくず階層を設計仕様と比較</t>
          </r>
        </is>
      </c>
      <c r="R28" s="10" t="n"/>
      <c r="S28" s="10" t="n"/>
      <c r="T28" s="10" t="n"/>
      <c r="U28" s="10" t="n"/>
      <c r="V28" s="10" t="n"/>
      <c r="W28" s="11" t="n"/>
      <c r="X28" s="46" t="inlineStr">
        <is>
          <r>
            <rPr>
              <rFont val="メイリオ"/>
              <b val="1"/>
              <sz val="10"/>
            </rPr>
            <t xml:space="preserve">ステップ1：
</t>
          </r>
          <r>
            <rPr>
              <rFont val="メイリオ"/>
              <sz val="10"/>
            </rPr>
            <t xml:space="preserve">`ホーム &gt; JAマスタ一覧 &gt; JAマスタ登録画面` の階層表示
</t>
          </r>
          <r>
            <rPr>
              <rFont val="メイリオ"/>
              <b val="1"/>
              <sz val="10"/>
            </rPr>
            <t xml:space="preserve">ステップ2：
</t>
          </r>
          <r>
            <rPr>
              <rFont val="メイリオ"/>
              <sz val="10"/>
            </rPr>
            <t xml:space="preserve">区切り文字、テキスト、リンク有無が一致
</t>
          </r>
          <r>
            <rPr>
              <rFont val="メイリオ"/>
              <b val="1"/>
              <sz val="10"/>
            </rPr>
            <t xml:space="preserve">補足：
</t>
          </r>
          <r>
            <rPr>
              <rFont val="メイリオ"/>
              <sz val="10"/>
            </rPr>
            <t xml:space="preserve">・パンくずが正しい階層 + 設計仕様通りに表示
</t>
          </r>
          <r>
            <rPr>
              <rFont val="メイリオ"/>
              <sz val="10"/>
            </rPr>
            <t>・一覧の親ノードはクリック可能（リンク）、現在画面はリンクなし</t>
          </r>
        </is>
      </c>
      <c r="Y28" s="10" t="n"/>
      <c r="Z28" s="10" t="n"/>
      <c r="AA28" s="10" t="n"/>
      <c r="AB28" s="10" t="n"/>
      <c r="AC28" s="10" t="n"/>
      <c r="AD28" s="11" t="n"/>
      <c r="AE28" s="45" t="inlineStr">
        <is>
          <t>N</t>
        </is>
      </c>
      <c r="AF28" s="11" t="n"/>
      <c r="AG28" s="45" t="inlineStr"/>
      <c r="AH28" s="10" t="n"/>
      <c r="AI28" s="11" t="n"/>
      <c r="AJ28" s="45" t="inlineStr"/>
      <c r="AK28" s="10" t="n"/>
      <c r="AL28" s="11" t="n"/>
      <c r="AM28" s="45" t="inlineStr"/>
      <c r="AN28" s="10" t="n"/>
      <c r="AO28" s="11" t="n"/>
      <c r="AP28" s="45" t="inlineStr"/>
      <c r="AQ28" s="10" t="n"/>
      <c r="AR28" s="11" t="n"/>
      <c r="AS28" s="45" t="inlineStr"/>
      <c r="AT28" s="10" t="n"/>
      <c r="AU28" s="11" t="n"/>
      <c r="AV28" s="45" t="inlineStr"/>
      <c r="AW28" s="10" t="n"/>
      <c r="AX28" s="11" t="n"/>
      <c r="AY28" s="45" t="inlineStr"/>
      <c r="AZ28" s="10" t="n"/>
      <c r="BA28" s="11" t="n"/>
      <c r="BB28" s="45" t="inlineStr"/>
      <c r="BC28" s="10" t="n"/>
      <c r="BD28" s="11" t="n"/>
      <c r="BE28" s="45" t="inlineStr"/>
      <c r="BF28" s="10" t="n"/>
      <c r="BG28" s="11" t="n"/>
      <c r="BH28" s="45" t="inlineStr"/>
      <c r="BI28" s="10" t="n"/>
      <c r="BJ28" s="11" t="n"/>
      <c r="BK28" s="46" t="inlineStr"/>
      <c r="BL28" s="10" t="n"/>
      <c r="BM28" s="10" t="n"/>
      <c r="BN28" s="10" t="n"/>
      <c r="BO28" s="10" t="n"/>
      <c r="BP28" s="10" t="n"/>
      <c r="BQ28" s="11" t="n"/>
    </row>
    <row r="29" ht="192" customHeight="1">
      <c r="A29" s="44" t="n">
        <v>15</v>
      </c>
      <c r="B29" s="46" t="inlineStr">
        <is>
          <t>ACSMS-TC-005-015</t>
        </is>
      </c>
      <c r="C29" s="10" t="n"/>
      <c r="D29" s="11" t="n"/>
      <c r="E29" s="46" t="inlineStr">
        <is>
          <t>パンくず各リンクの遷移動作</t>
        </is>
      </c>
      <c r="F29" s="10" t="n"/>
      <c r="G29" s="10" t="n"/>
      <c r="H29" s="10" t="n"/>
      <c r="I29" s="11" t="n"/>
      <c r="J29" s="46" t="inlineStr">
        <is>
          <t>・登録画面を開いた状態</t>
        </is>
      </c>
      <c r="K29" s="10" t="n"/>
      <c r="L29" s="10" t="n"/>
      <c r="M29" s="10" t="n"/>
      <c r="N29" s="10" t="n"/>
      <c r="O29" s="10" t="n"/>
      <c r="P29" s="11" t="n"/>
      <c r="Q29" s="46" t="inlineStr">
        <is>
          <r>
            <rPr>
              <rFont val="メイリオ"/>
              <b val="1"/>
              <sz val="10"/>
            </rPr>
            <t xml:space="preserve">ステップ1：
</t>
          </r>
          <r>
            <rPr>
              <rFont val="メイリオ"/>
              <sz val="10"/>
            </rPr>
            <t xml:space="preserve">パンくずの「ホーム」をクリック
</t>
          </r>
          <r>
            <rPr>
              <rFont val="メイリオ"/>
              <b val="1"/>
              <sz val="10"/>
            </rPr>
            <t xml:space="preserve">ステップ2：
</t>
          </r>
          <r>
            <rPr>
              <rFont val="メイリオ"/>
              <sz val="10"/>
            </rPr>
            <t xml:space="preserve">登録画面に戻り、「JAマスタ一覧」をクリック
</t>
          </r>
          <r>
            <rPr>
              <rFont val="メイリオ"/>
              <b val="1"/>
              <sz val="10"/>
            </rPr>
            <t xml:space="preserve">ステップ3：
</t>
          </r>
          <r>
            <rPr>
              <rFont val="メイリオ"/>
              <sz val="10"/>
            </rPr>
            <t>登録画面に戻り、「JAマスタ登録画面」（現在画面）をクリック</t>
          </r>
        </is>
      </c>
      <c r="R29" s="10" t="n"/>
      <c r="S29" s="10" t="n"/>
      <c r="T29" s="10" t="n"/>
      <c r="U29" s="10" t="n"/>
      <c r="V29" s="10" t="n"/>
      <c r="W29" s="11" t="n"/>
      <c r="X29" s="46" t="inlineStr">
        <is>
          <r>
            <rPr>
              <rFont val="メイリオ"/>
              <b val="1"/>
              <sz val="10"/>
            </rPr>
            <t xml:space="preserve">ステップ1：
</t>
          </r>
          <r>
            <rPr>
              <rFont val="メイリオ"/>
              <sz val="10"/>
            </rPr>
            <t xml:space="preserve">`/dashboard` へ遷移
</t>
          </r>
          <r>
            <rPr>
              <rFont val="メイリオ"/>
              <b val="1"/>
              <sz val="10"/>
            </rPr>
            <t xml:space="preserve">ステップ2：
</t>
          </r>
          <r>
            <rPr>
              <rFont val="メイリオ"/>
              <sz val="10"/>
            </rPr>
            <t xml:space="preserve">`/ja` 一覧画面へ遷移
</t>
          </r>
          <r>
            <rPr>
              <rFont val="メイリオ"/>
              <b val="1"/>
              <sz val="10"/>
            </rPr>
            <t xml:space="preserve">ステップ3：
</t>
          </r>
          <r>
            <rPr>
              <rFont val="メイリオ"/>
              <sz val="10"/>
            </rPr>
            <t xml:space="preserve">現在画面のため、何も起こらない（再読み込みしない）
</t>
          </r>
          <r>
            <rPr>
              <rFont val="メイリオ"/>
              <b val="1"/>
              <sz val="10"/>
            </rPr>
            <t xml:space="preserve">補足：
</t>
          </r>
          <r>
            <rPr>
              <rFont val="メイリオ"/>
              <sz val="10"/>
            </rPr>
            <t>・各リンクが期待通り動作</t>
          </r>
        </is>
      </c>
      <c r="Y29" s="10" t="n"/>
      <c r="Z29" s="10" t="n"/>
      <c r="AA29" s="10" t="n"/>
      <c r="AB29" s="10" t="n"/>
      <c r="AC29" s="10" t="n"/>
      <c r="AD29" s="11" t="n"/>
      <c r="AE29" s="45" t="inlineStr">
        <is>
          <t>N</t>
        </is>
      </c>
      <c r="AF29" s="11" t="n"/>
      <c r="AG29" s="45" t="inlineStr"/>
      <c r="AH29" s="10" t="n"/>
      <c r="AI29" s="11" t="n"/>
      <c r="AJ29" s="45" t="inlineStr"/>
      <c r="AK29" s="10" t="n"/>
      <c r="AL29" s="11" t="n"/>
      <c r="AM29" s="45" t="inlineStr"/>
      <c r="AN29" s="10" t="n"/>
      <c r="AO29" s="11" t="n"/>
      <c r="AP29" s="45" t="inlineStr"/>
      <c r="AQ29" s="10" t="n"/>
      <c r="AR29" s="11" t="n"/>
      <c r="AS29" s="45" t="inlineStr"/>
      <c r="AT29" s="10" t="n"/>
      <c r="AU29" s="11" t="n"/>
      <c r="AV29" s="45" t="inlineStr"/>
      <c r="AW29" s="10" t="n"/>
      <c r="AX29" s="11" t="n"/>
      <c r="AY29" s="45" t="inlineStr"/>
      <c r="AZ29" s="10" t="n"/>
      <c r="BA29" s="11" t="n"/>
      <c r="BB29" s="45" t="inlineStr"/>
      <c r="BC29" s="10" t="n"/>
      <c r="BD29" s="11" t="n"/>
      <c r="BE29" s="45" t="inlineStr"/>
      <c r="BF29" s="10" t="n"/>
      <c r="BG29" s="11" t="n"/>
      <c r="BH29" s="45" t="inlineStr"/>
      <c r="BI29" s="10" t="n"/>
      <c r="BJ29" s="11" t="n"/>
      <c r="BK29" s="46" t="inlineStr">
        <is>
          <t>(なし)
---</t>
        </is>
      </c>
      <c r="BL29" s="10" t="n"/>
      <c r="BM29" s="10" t="n"/>
      <c r="BN29" s="10" t="n"/>
      <c r="BO29" s="10" t="n"/>
      <c r="BP29" s="10" t="n"/>
      <c r="BQ29" s="11" t="n"/>
    </row>
    <row r="30" ht="22.5" customHeight="1">
      <c r="A30" s="32" t="inlineStr">
        <is>
          <t>入力バリデーション — 登録画面</t>
        </is>
      </c>
      <c r="B30" s="10" t="n"/>
      <c r="C30" s="10" t="n"/>
      <c r="D30" s="10" t="n"/>
      <c r="E30" s="10" t="n"/>
      <c r="F30" s="10" t="n"/>
      <c r="G30" s="10" t="n"/>
      <c r="H30" s="10" t="n"/>
      <c r="I30" s="10" t="n"/>
      <c r="J30" s="10" t="n"/>
      <c r="K30" s="10" t="n"/>
      <c r="L30" s="10" t="n"/>
      <c r="M30" s="10" t="n"/>
      <c r="N30" s="10" t="n"/>
      <c r="O30" s="10" t="n"/>
      <c r="P30" s="10" t="n"/>
      <c r="Q30" s="10" t="n"/>
      <c r="R30" s="10" t="n"/>
      <c r="S30" s="10" t="n"/>
      <c r="T30" s="10" t="n"/>
      <c r="U30" s="10" t="n"/>
      <c r="V30" s="10" t="n"/>
      <c r="W30" s="10" t="n"/>
      <c r="X30" s="10" t="n"/>
      <c r="Y30" s="10" t="n"/>
      <c r="Z30" s="10" t="n"/>
      <c r="AA30" s="10" t="n"/>
      <c r="AB30" s="10" t="n"/>
      <c r="AC30" s="10" t="n"/>
      <c r="AD30" s="10" t="n"/>
      <c r="AE30" s="10" t="n"/>
      <c r="AF30" s="10" t="n"/>
      <c r="AG30" s="10" t="n"/>
      <c r="AH30" s="10" t="n"/>
      <c r="AI30" s="10" t="n"/>
      <c r="AJ30" s="10" t="n"/>
      <c r="AK30" s="10" t="n"/>
      <c r="AL30" s="10" t="n"/>
      <c r="AM30" s="10" t="n"/>
      <c r="AN30" s="10" t="n"/>
      <c r="AO30" s="10" t="n"/>
      <c r="AP30" s="10" t="n"/>
      <c r="AQ30" s="10" t="n"/>
      <c r="AR30" s="10" t="n"/>
      <c r="AS30" s="10" t="n"/>
      <c r="AT30" s="10" t="n"/>
      <c r="AU30" s="10" t="n"/>
      <c r="AV30" s="10" t="n"/>
      <c r="AW30" s="10" t="n"/>
      <c r="AX30" s="10" t="n"/>
      <c r="AY30" s="10" t="n"/>
      <c r="AZ30" s="10" t="n"/>
      <c r="BA30" s="10" t="n"/>
      <c r="BB30" s="10" t="n"/>
      <c r="BC30" s="10" t="n"/>
      <c r="BD30" s="10" t="n"/>
      <c r="BE30" s="10" t="n"/>
      <c r="BF30" s="10" t="n"/>
      <c r="BG30" s="10" t="n"/>
      <c r="BH30" s="10" t="n"/>
      <c r="BI30" s="10" t="n"/>
      <c r="BJ30" s="10" t="n"/>
      <c r="BK30" s="10" t="n"/>
      <c r="BL30" s="10" t="n"/>
      <c r="BM30" s="10" t="n"/>
      <c r="BN30" s="10" t="n"/>
      <c r="BO30" s="10" t="n"/>
      <c r="BP30" s="10" t="n"/>
      <c r="BQ30" s="11" t="n"/>
    </row>
    <row r="31" ht="448" customHeight="1">
      <c r="A31" s="44" t="n">
        <v>16</v>
      </c>
      <c r="B31" s="46" t="inlineStr">
        <is>
          <t>ACSMS-TC-005-016</t>
        </is>
      </c>
      <c r="C31" s="10" t="n"/>
      <c r="D31" s="11" t="n"/>
      <c r="E31" s="46" t="inlineStr">
        <is>
          <t>JAコード — 必須チェック（空欄 + 空白文字）</t>
        </is>
      </c>
      <c r="F31" s="10" t="n"/>
      <c r="G31" s="10" t="n"/>
      <c r="H31" s="10" t="n"/>
      <c r="I31" s="11" t="n"/>
      <c r="J31" s="46" t="inlineStr">
        <is>
          <t>・role: NICHINO_ADMIN
・登録画面、他項目はすべて有効値入力済
・テストデータ：JA名=テストJA、都道府県=13、中央会フラグ=false、金融機関コード=1234、金融機関名=農林中央金庫、税区分=1</t>
        </is>
      </c>
      <c r="K31" s="10" t="n"/>
      <c r="L31" s="10" t="n"/>
      <c r="M31" s="10" t="n"/>
      <c r="N31" s="10" t="n"/>
      <c r="O31" s="10" t="n"/>
      <c r="P31" s="11" t="n"/>
      <c r="Q31" s="46" t="inlineStr">
        <is>
          <r>
            <rPr>
              <rFont val="メイリオ"/>
              <b val="1"/>
              <sz val="10"/>
            </rPr>
            <t xml:space="preserve">ステップ1：
</t>
          </r>
          <r>
            <rPr>
              <rFont val="メイリオ"/>
              <sz val="10"/>
            </rPr>
            <t xml:space="preserve">JAコードを空欄のまま登録ボタン押下
</t>
          </r>
          <r>
            <rPr>
              <rFont val="メイリオ"/>
              <b val="1"/>
              <sz val="10"/>
            </rPr>
            <t xml:space="preserve">ステップ2：
</t>
          </r>
          <r>
            <rPr>
              <rFont val="メイリオ"/>
              <sz val="10"/>
            </rPr>
            <t xml:space="preserve">半角スペース3つを入力 → 登録ボタン押下
</t>
          </r>
          <r>
            <rPr>
              <rFont val="メイリオ"/>
              <b val="1"/>
              <sz val="10"/>
            </rPr>
            <t xml:space="preserve">ステップ3：
</t>
          </r>
          <r>
            <rPr>
              <rFont val="メイリオ"/>
              <sz val="10"/>
            </rPr>
            <t>全角スペース3つを入力 → 登録ボタン押下</t>
          </r>
        </is>
      </c>
      <c r="R31" s="10" t="n"/>
      <c r="S31" s="10" t="n"/>
      <c r="T31" s="10" t="n"/>
      <c r="U31" s="10" t="n"/>
      <c r="V31" s="10" t="n"/>
      <c r="W31" s="11" t="n"/>
      <c r="X31" s="46" t="inlineStr">
        <is>
          <r>
            <rPr>
              <rFont val="メイリオ"/>
              <b val="1"/>
              <sz val="10"/>
            </rPr>
            <t xml:space="preserve">ステップ1：
</t>
          </r>
          <r>
            <rPr>
              <rFont val="メイリオ"/>
              <sz val="10"/>
            </rPr>
            <t xml:space="preserve">項目直下に「必須項目です。」表示
</t>
          </r>
          <r>
            <rPr>
              <rFont val="メイリオ"/>
              <sz val="10"/>
            </rPr>
            <t xml:space="preserve">HTTPステータスコード：400
</t>
          </r>
          <r>
            <rPr>
              <rFont val="メイリオ"/>
              <sz val="10"/>
            </rPr>
            <t xml:space="preserve">error_code：VALIDATION_ERROR
</t>
          </r>
          <r>
            <rPr>
              <rFont val="メイリオ"/>
              <sz val="10"/>
            </rPr>
            <t xml:space="preserve">errors[] に { field: "ja_code", message: "JAコードを入力してください" }
</t>
          </r>
          <r>
            <rPr>
              <rFont val="メイリオ"/>
              <b val="1"/>
              <sz val="10"/>
            </rPr>
            <t xml:space="preserve">ステップ2：
</t>
          </r>
          <r>
            <rPr>
              <rFont val="メイリオ"/>
              <sz val="10"/>
            </rPr>
            <t xml:space="preserve">バックエンド側で前後空白除去後、空欄として判定、「必須項目です。」表示
</t>
          </r>
          <r>
            <rPr>
              <rFont val="メイリオ"/>
              <sz val="10"/>
            </rPr>
            <t xml:space="preserve">HTTPステータスコード：400
</t>
          </r>
          <r>
            <rPr>
              <rFont val="メイリオ"/>
              <sz val="10"/>
            </rPr>
            <t xml:space="preserve">error_code：VALIDATION_ERROR
</t>
          </r>
          <r>
            <rPr>
              <rFont val="メイリオ"/>
              <b val="1"/>
              <sz val="10"/>
            </rPr>
            <t xml:space="preserve">ステップ3：
</t>
          </r>
          <r>
            <rPr>
              <rFont val="メイリオ"/>
              <sz val="10"/>
            </rPr>
            <t xml:space="preserve">全角スペースも前後空白除去対象、「必須項目です。」表示
</t>
          </r>
          <r>
            <rPr>
              <rFont val="メイリオ"/>
              <sz val="10"/>
            </rPr>
            <t xml:space="preserve">HTTPステータスコード：400
</t>
          </r>
          <r>
            <rPr>
              <rFont val="メイリオ"/>
              <sz val="10"/>
            </rPr>
            <t xml:space="preserve">error_code：VALIDATION_ERROR
</t>
          </r>
          <r>
            <rPr>
              <rFont val="メイリオ"/>
              <b val="1"/>
              <sz val="10"/>
            </rPr>
            <t xml:space="preserve">補足：
</t>
          </r>
          <r>
            <rPr>
              <rFont val="メイリオ"/>
              <sz val="10"/>
            </rPr>
            <t xml:space="preserve">・空欄と空白文字のみ入力がすべて必須違反として扱われる
</t>
          </r>
          <r>
            <rPr>
              <rFont val="メイリオ"/>
              <sz val="10"/>
            </rPr>
            <t xml:space="preserve">・バックエンド側で前後空白を除去後、空欄として判定
</t>
          </r>
          <r>
            <rPr>
              <rFont val="メイリオ"/>
              <sz val="10"/>
            </rPr>
            <t>・`m_ja` に行追加なし</t>
          </r>
        </is>
      </c>
      <c r="Y31" s="10" t="n"/>
      <c r="Z31" s="10" t="n"/>
      <c r="AA31" s="10" t="n"/>
      <c r="AB31" s="10" t="n"/>
      <c r="AC31" s="10" t="n"/>
      <c r="AD31" s="11" t="n"/>
      <c r="AE31" s="45" t="inlineStr">
        <is>
          <t>A</t>
        </is>
      </c>
      <c r="AF31" s="11" t="n"/>
      <c r="AG31" s="45" t="inlineStr"/>
      <c r="AH31" s="10" t="n"/>
      <c r="AI31" s="11" t="n"/>
      <c r="AJ31" s="45" t="inlineStr"/>
      <c r="AK31" s="10" t="n"/>
      <c r="AL31" s="11" t="n"/>
      <c r="AM31" s="45" t="inlineStr"/>
      <c r="AN31" s="10" t="n"/>
      <c r="AO31" s="11" t="n"/>
      <c r="AP31" s="45" t="inlineStr"/>
      <c r="AQ31" s="10" t="n"/>
      <c r="AR31" s="11" t="n"/>
      <c r="AS31" s="45" t="inlineStr"/>
      <c r="AT31" s="10" t="n"/>
      <c r="AU31" s="11" t="n"/>
      <c r="AV31" s="45" t="inlineStr"/>
      <c r="AW31" s="10" t="n"/>
      <c r="AX31" s="11" t="n"/>
      <c r="AY31" s="45" t="inlineStr"/>
      <c r="AZ31" s="10" t="n"/>
      <c r="BA31" s="11" t="n"/>
      <c r="BB31" s="45" t="inlineStr"/>
      <c r="BC31" s="10" t="n"/>
      <c r="BD31" s="11" t="n"/>
      <c r="BE31" s="45" t="inlineStr"/>
      <c r="BF31" s="10" t="n"/>
      <c r="BG31" s="11" t="n"/>
      <c r="BH31" s="45" t="inlineStr"/>
      <c r="BI31" s="10" t="n"/>
      <c r="BJ31" s="11" t="n"/>
      <c r="BK31" s="46" t="inlineStr"/>
      <c r="BL31" s="10" t="n"/>
      <c r="BM31" s="10" t="n"/>
      <c r="BN31" s="10" t="n"/>
      <c r="BO31" s="10" t="n"/>
      <c r="BP31" s="10" t="n"/>
      <c r="BQ31" s="11" t="n"/>
    </row>
    <row r="32" ht="240" customHeight="1">
      <c r="A32" s="44" t="n">
        <v>17</v>
      </c>
      <c r="B32" s="46" t="inlineStr">
        <is>
          <t>ACSMS-TC-005-017</t>
        </is>
      </c>
      <c r="C32" s="10" t="n"/>
      <c r="D32" s="11" t="n"/>
      <c r="E32" s="46" t="inlineStr">
        <is>
          <t>JAコード — 最大10文字制限（境界値）</t>
        </is>
      </c>
      <c r="F32" s="10" t="n"/>
      <c r="G32" s="10" t="n"/>
      <c r="H32" s="10" t="n"/>
      <c r="I32" s="11" t="n"/>
      <c r="J32" s="46" t="inlineStr">
        <is>
          <t>・role: NICHINO_ADMIN
・登録画面、他項目有効値入力済</t>
        </is>
      </c>
      <c r="K32" s="10" t="n"/>
      <c r="L32" s="10" t="n"/>
      <c r="M32" s="10" t="n"/>
      <c r="N32" s="10" t="n"/>
      <c r="O32" s="10" t="n"/>
      <c r="P32" s="11" t="n"/>
      <c r="Q32" s="46" t="inlineStr">
        <is>
          <r>
            <rPr>
              <rFont val="メイリオ"/>
              <b val="1"/>
              <sz val="10"/>
            </rPr>
            <t xml:space="preserve">ステップ1：
</t>
          </r>
          <r>
            <rPr>
              <rFont val="メイリオ"/>
              <sz val="10"/>
            </rPr>
            <t xml:space="preserve">JAコードに10文字（例：1301999001）入力 → 登録
</t>
          </r>
          <r>
            <rPr>
              <rFont val="メイリオ"/>
              <b val="1"/>
              <sz val="10"/>
            </rPr>
            <t xml:space="preserve">ステップ2：
</t>
          </r>
          <r>
            <rPr>
              <rFont val="メイリオ"/>
              <sz val="10"/>
            </rPr>
            <t xml:space="preserve">JAコードに11文字目を入力試行
</t>
          </r>
          <r>
            <rPr>
              <rFont val="メイリオ"/>
              <b val="1"/>
              <sz val="10"/>
            </rPr>
            <t xml:space="preserve">ステップ3：
</t>
          </r>
          <r>
            <rPr>
              <rFont val="メイリオ"/>
              <sz val="10"/>
            </rPr>
            <t>JAコード欄に「12345678901234」（14文字）をペースト</t>
          </r>
        </is>
      </c>
      <c r="R32" s="10" t="n"/>
      <c r="S32" s="10" t="n"/>
      <c r="T32" s="10" t="n"/>
      <c r="U32" s="10" t="n"/>
      <c r="V32" s="10" t="n"/>
      <c r="W32" s="11" t="n"/>
      <c r="X32" s="46" t="inlineStr">
        <is>
          <r>
            <rPr>
              <rFont val="メイリオ"/>
              <b val="1"/>
              <sz val="10"/>
            </rPr>
            <t xml:space="preserve">ステップ1：
</t>
          </r>
          <r>
            <rPr>
              <rFont val="メイリオ"/>
              <sz val="10"/>
            </rPr>
            <t xml:space="preserve">正常受付、登録成功
</t>
          </r>
          <r>
            <rPr>
              <rFont val="メイリオ"/>
              <b val="1"/>
              <sz val="10"/>
            </rPr>
            <t xml:space="preserve">ステップ2：
</t>
          </r>
          <r>
            <rPr>
              <rFont val="メイリオ"/>
              <sz val="10"/>
            </rPr>
            <t xml:space="preserve">input maxlength により入力ブロック（11文字目入力不可）
</t>
          </r>
          <r>
            <rPr>
              <rFont val="メイリオ"/>
              <b val="1"/>
              <sz val="10"/>
            </rPr>
            <t xml:space="preserve">ステップ3：
</t>
          </r>
          <r>
            <rPr>
              <rFont val="メイリオ"/>
              <sz val="10"/>
            </rPr>
            <t xml:space="preserve">10文字目までで切捨て、登録レコードは10文字
</t>
          </r>
          <r>
            <rPr>
              <rFont val="メイリオ"/>
              <b val="1"/>
              <sz val="10"/>
            </rPr>
            <t xml:space="preserve">補足：
</t>
          </r>
          <r>
            <rPr>
              <rFont val="メイリオ"/>
              <sz val="10"/>
            </rPr>
            <t>・10文字制限が input maxlength と BE バリデーションで2重に enforced</t>
          </r>
        </is>
      </c>
      <c r="Y32" s="10" t="n"/>
      <c r="Z32" s="10" t="n"/>
      <c r="AA32" s="10" t="n"/>
      <c r="AB32" s="10" t="n"/>
      <c r="AC32" s="10" t="n"/>
      <c r="AD32" s="11" t="n"/>
      <c r="AE32" s="45" t="inlineStr">
        <is>
          <t>B</t>
        </is>
      </c>
      <c r="AF32" s="11" t="n"/>
      <c r="AG32" s="45" t="inlineStr"/>
      <c r="AH32" s="10" t="n"/>
      <c r="AI32" s="11" t="n"/>
      <c r="AJ32" s="45" t="inlineStr"/>
      <c r="AK32" s="10" t="n"/>
      <c r="AL32" s="11" t="n"/>
      <c r="AM32" s="45" t="inlineStr"/>
      <c r="AN32" s="10" t="n"/>
      <c r="AO32" s="11" t="n"/>
      <c r="AP32" s="45" t="inlineStr"/>
      <c r="AQ32" s="10" t="n"/>
      <c r="AR32" s="11" t="n"/>
      <c r="AS32" s="45" t="inlineStr"/>
      <c r="AT32" s="10" t="n"/>
      <c r="AU32" s="11" t="n"/>
      <c r="AV32" s="45" t="inlineStr"/>
      <c r="AW32" s="10" t="n"/>
      <c r="AX32" s="11" t="n"/>
      <c r="AY32" s="45" t="inlineStr"/>
      <c r="AZ32" s="10" t="n"/>
      <c r="BA32" s="11" t="n"/>
      <c r="BB32" s="45" t="inlineStr"/>
      <c r="BC32" s="10" t="n"/>
      <c r="BD32" s="11" t="n"/>
      <c r="BE32" s="45" t="inlineStr"/>
      <c r="BF32" s="10" t="n"/>
      <c r="BG32" s="11" t="n"/>
      <c r="BH32" s="45" t="inlineStr"/>
      <c r="BI32" s="10" t="n"/>
      <c r="BJ32" s="11" t="n"/>
      <c r="BK32" s="46" t="inlineStr"/>
      <c r="BL32" s="10" t="n"/>
      <c r="BM32" s="10" t="n"/>
      <c r="BN32" s="10" t="n"/>
      <c r="BO32" s="10" t="n"/>
      <c r="BP32" s="10" t="n"/>
      <c r="BQ32" s="11" t="n"/>
    </row>
    <row r="33" ht="352" customHeight="1">
      <c r="A33" s="44" t="n">
        <v>18</v>
      </c>
      <c r="B33" s="46" t="inlineStr">
        <is>
          <t>ACSMS-TC-005-018</t>
        </is>
      </c>
      <c r="C33" s="10" t="n"/>
      <c r="D33" s="11" t="n"/>
      <c r="E33" s="46" t="inlineStr">
        <is>
          <t>JAコード — 重複時のエラー</t>
        </is>
      </c>
      <c r="F33" s="10" t="n"/>
      <c r="G33" s="10" t="n"/>
      <c r="H33" s="10" t="n"/>
      <c r="I33" s="11" t="n"/>
      <c r="J33" s="46" t="inlineStr">
        <is>
          <t>・role: NICHINO_ADMIN
・事前データ：`ja_id=1, ja_code='1301001001'` 登録済</t>
        </is>
      </c>
      <c r="K33" s="10" t="n"/>
      <c r="L33" s="10" t="n"/>
      <c r="M33" s="10" t="n"/>
      <c r="N33" s="10" t="n"/>
      <c r="O33" s="10" t="n"/>
      <c r="P33" s="11" t="n"/>
      <c r="Q33" s="46" t="inlineStr">
        <is>
          <r>
            <rPr>
              <rFont val="メイリオ"/>
              <b val="1"/>
              <sz val="10"/>
            </rPr>
            <t xml:space="preserve">ステップ1：
</t>
          </r>
          <r>
            <rPr>
              <rFont val="メイリオ"/>
              <sz val="10"/>
            </rPr>
            <t xml:space="preserve">JAコードに `1301001001` を入力、他は有効値で登録
</t>
          </r>
          <r>
            <rPr>
              <rFont val="メイリオ"/>
              <b val="1"/>
              <sz val="10"/>
            </rPr>
            <t xml:space="preserve">ステップ2：
</t>
          </r>
          <r>
            <rPr>
              <rFont val="メイリオ"/>
              <sz val="10"/>
            </rPr>
            <t xml:space="preserve">DB 確認：`SELECT COUNT(*) FROM m_ja WHERE ja_code = '1301001001' AND deleted_at IS NULL`
</t>
          </r>
          <r>
            <rPr>
              <rFont val="メイリオ"/>
              <b val="1"/>
              <sz val="10"/>
            </rPr>
            <t xml:space="preserve">ステップ3：
</t>
          </r>
          <r>
            <rPr>
              <rFont val="メイリオ"/>
              <sz val="10"/>
            </rPr>
            <t>監査ログ確認：`SELECT * FROM t_log WHERE result_status = 2 ORDER BY log_datetime DESC LIMIT 1`</t>
          </r>
        </is>
      </c>
      <c r="R33" s="10" t="n"/>
      <c r="S33" s="10" t="n"/>
      <c r="T33" s="10" t="n"/>
      <c r="U33" s="10" t="n"/>
      <c r="V33" s="10" t="n"/>
      <c r="W33" s="11" t="n"/>
      <c r="X33" s="46" t="inlineStr">
        <is>
          <r>
            <rPr>
              <rFont val="メイリオ"/>
              <b val="1"/>
              <sz val="10"/>
            </rPr>
            <t xml:space="preserve">ステップ1：
</t>
          </r>
          <r>
            <rPr>
              <rFont val="メイリオ"/>
              <sz val="10"/>
            </rPr>
            <t xml:space="preserve">HTTPステータスコード：400
</t>
          </r>
          <r>
            <rPr>
              <rFont val="メイリオ"/>
              <sz val="10"/>
            </rPr>
            <t xml:space="preserve">error_code：DUPLICATE_CODE
</t>
          </r>
          <r>
            <rPr>
              <rFont val="メイリオ"/>
              <sz val="10"/>
            </rPr>
            <t xml:space="preserve">message：「JAコード「1301001001」はすでに登録されています。」
</t>
          </r>
          <r>
            <rPr>
              <rFont val="メイリオ"/>
              <sz val="10"/>
            </rPr>
            <t xml:space="preserve">登録失敗、画面で項目直下にメッセージ表示
</t>
          </r>
          <r>
            <rPr>
              <rFont val="メイリオ"/>
              <b val="1"/>
              <sz val="10"/>
            </rPr>
            <t xml:space="preserve">ステップ2：
</t>
          </r>
          <r>
            <rPr>
              <rFont val="メイリオ"/>
              <sz val="10"/>
            </rPr>
            <t xml:space="preserve">1レコードのみ（重複なし）
</t>
          </r>
          <r>
            <rPr>
              <rFont val="メイリオ"/>
              <b val="1"/>
              <sz val="10"/>
            </rPr>
            <t xml:space="preserve">ステップ3：
</t>
          </r>
          <r>
            <rPr>
              <rFont val="メイリオ"/>
              <sz val="10"/>
            </rPr>
            <t xml:space="preserve">失敗ログ記録（log_type=3）
</t>
          </r>
          <r>
            <rPr>
              <rFont val="メイリオ"/>
              <b val="1"/>
              <sz val="10"/>
            </rPr>
            <t xml:space="preserve">補足：
</t>
          </r>
          <r>
            <rPr>
              <rFont val="メイリオ"/>
              <sz val="10"/>
            </rPr>
            <t xml:space="preserve">・JAコードはシステム全体で一意（複合 UNIQUE ではなく単純 UNIQUE）
</t>
          </r>
          <r>
            <rPr>
              <rFont val="メイリオ"/>
              <sz val="10"/>
            </rPr>
            <t>・重複検出時は登録 INSERT 実行前に拒否、トランザクション開始前</t>
          </r>
        </is>
      </c>
      <c r="Y33" s="10" t="n"/>
      <c r="Z33" s="10" t="n"/>
      <c r="AA33" s="10" t="n"/>
      <c r="AB33" s="10" t="n"/>
      <c r="AC33" s="10" t="n"/>
      <c r="AD33" s="11" t="n"/>
      <c r="AE33" s="45" t="inlineStr">
        <is>
          <t>A</t>
        </is>
      </c>
      <c r="AF33" s="11" t="n"/>
      <c r="AG33" s="45" t="inlineStr"/>
      <c r="AH33" s="10" t="n"/>
      <c r="AI33" s="11" t="n"/>
      <c r="AJ33" s="45" t="inlineStr"/>
      <c r="AK33" s="10" t="n"/>
      <c r="AL33" s="11" t="n"/>
      <c r="AM33" s="45" t="inlineStr"/>
      <c r="AN33" s="10" t="n"/>
      <c r="AO33" s="11" t="n"/>
      <c r="AP33" s="45" t="inlineStr"/>
      <c r="AQ33" s="10" t="n"/>
      <c r="AR33" s="11" t="n"/>
      <c r="AS33" s="45" t="inlineStr"/>
      <c r="AT33" s="10" t="n"/>
      <c r="AU33" s="11" t="n"/>
      <c r="AV33" s="45" t="inlineStr"/>
      <c r="AW33" s="10" t="n"/>
      <c r="AX33" s="11" t="n"/>
      <c r="AY33" s="45" t="inlineStr"/>
      <c r="AZ33" s="10" t="n"/>
      <c r="BA33" s="11" t="n"/>
      <c r="BB33" s="45" t="inlineStr"/>
      <c r="BC33" s="10" t="n"/>
      <c r="BD33" s="11" t="n"/>
      <c r="BE33" s="45" t="inlineStr"/>
      <c r="BF33" s="10" t="n"/>
      <c r="BG33" s="11" t="n"/>
      <c r="BH33" s="45" t="inlineStr"/>
      <c r="BI33" s="10" t="n"/>
      <c r="BJ33" s="11" t="n"/>
      <c r="BK33" s="46" t="inlineStr"/>
      <c r="BL33" s="10" t="n"/>
      <c r="BM33" s="10" t="n"/>
      <c r="BN33" s="10" t="n"/>
      <c r="BO33" s="10" t="n"/>
      <c r="BP33" s="10" t="n"/>
      <c r="BQ33" s="11" t="n"/>
    </row>
    <row r="34" ht="352" customHeight="1">
      <c r="A34" s="44" t="n">
        <v>19</v>
      </c>
      <c r="B34" s="46" t="inlineStr">
        <is>
          <t>ACSMS-TC-005-019</t>
        </is>
      </c>
      <c r="C34" s="10" t="n"/>
      <c r="D34" s="11" t="n"/>
      <c r="E34" s="46" t="inlineStr">
        <is>
          <t>JAコード — 特殊文字・HTML／SQL インジェクション安全処理</t>
        </is>
      </c>
      <c r="F34" s="10" t="n"/>
      <c r="G34" s="10" t="n"/>
      <c r="H34" s="10" t="n"/>
      <c r="I34" s="11" t="n"/>
      <c r="J34" s="46" t="inlineStr">
        <is>
          <t>・role: NICHINO_ADMIN
・登録画面、他フィールド有効値入力済</t>
        </is>
      </c>
      <c r="K34" s="10" t="n"/>
      <c r="L34" s="10" t="n"/>
      <c r="M34" s="10" t="n"/>
      <c r="N34" s="10" t="n"/>
      <c r="O34" s="10" t="n"/>
      <c r="P34" s="11" t="n"/>
      <c r="Q34" s="46" t="inlineStr">
        <is>
          <r>
            <rPr>
              <rFont val="メイリオ"/>
              <b val="1"/>
              <sz val="10"/>
            </rPr>
            <t xml:space="preserve">ステップ1：
</t>
          </r>
          <r>
            <rPr>
              <rFont val="メイリオ"/>
              <sz val="10"/>
            </rPr>
            <t xml:space="preserve">HTMLタグ `&lt;script&gt;alert(1)&lt;/script&gt;` をJAコードに入力 → 登録
</t>
          </r>
          <r>
            <rPr>
              <rFont val="メイリオ"/>
              <b val="1"/>
              <sz val="10"/>
            </rPr>
            <t xml:space="preserve">ステップ2：
</t>
          </r>
          <r>
            <rPr>
              <rFont val="メイリオ"/>
              <sz val="10"/>
            </rPr>
            <t xml:space="preserve">SQLインジェクション `1301'; DROP TABLE m_ja; --` を入力 → 登録
</t>
          </r>
          <r>
            <rPr>
              <rFont val="メイリオ"/>
              <b val="1"/>
              <sz val="10"/>
            </rPr>
            <t xml:space="preserve">ステップ3：
</t>
          </r>
          <r>
            <rPr>
              <rFont val="メイリオ"/>
              <sz val="10"/>
            </rPr>
            <t>登録成功した場合、編集画面で値を再表示</t>
          </r>
        </is>
      </c>
      <c r="R34" s="10" t="n"/>
      <c r="S34" s="10" t="n"/>
      <c r="T34" s="10" t="n"/>
      <c r="U34" s="10" t="n"/>
      <c r="V34" s="10" t="n"/>
      <c r="W34" s="11" t="n"/>
      <c r="X34" s="46" t="inlineStr">
        <is>
          <r>
            <rPr>
              <rFont val="メイリオ"/>
              <b val="1"/>
              <sz val="10"/>
            </rPr>
            <t xml:space="preserve">ステップ1：
</t>
          </r>
          <r>
            <rPr>
              <rFont val="メイリオ"/>
              <sz val="10"/>
            </rPr>
            <t xml:space="preserve">スペック通り受付／拒否。受付時は literal text として保存・表示（JS execute されない）
</t>
          </r>
          <r>
            <rPr>
              <rFont val="メイリオ"/>
              <b val="1"/>
              <sz val="10"/>
            </rPr>
            <t xml:space="preserve">ステップ2：
</t>
          </r>
          <r>
            <rPr>
              <rFont val="メイリオ"/>
              <sz val="10"/>
            </rPr>
            <t xml:space="preserve">literal 保存または拒否、`m_ja` テーブル削除されない
</t>
          </r>
          <r>
            <rPr>
              <rFont val="メイリオ"/>
              <b val="1"/>
              <sz val="10"/>
            </rPr>
            <t xml:space="preserve">ステップ3：
</t>
          </r>
          <r>
            <rPr>
              <rFont val="メイリオ"/>
              <sz val="10"/>
            </rPr>
            <t xml:space="preserve">literal text のまま表示、JS execute されない
</t>
          </r>
          <r>
            <rPr>
              <rFont val="メイリオ"/>
              <b val="1"/>
              <sz val="10"/>
            </rPr>
            <t xml:space="preserve">補足：
</t>
          </r>
          <r>
            <rPr>
              <rFont val="メイリオ"/>
              <sz val="10"/>
            </rPr>
            <t xml:space="preserve">・Vue auto-escape により蓄積型XSS不発
</t>
          </r>
          <r>
            <rPr>
              <rFont val="メイリオ"/>
              <sz val="10"/>
            </rPr>
            <t xml:space="preserve">・TypeORM のパラメータ化クエリにより SQL インジェクション不発
</t>
          </r>
          <r>
            <rPr>
              <rFont val="メイリオ"/>
              <sz val="10"/>
            </rPr>
            <t>・DB に literal 保存（escape されたデータは持たない）</t>
          </r>
        </is>
      </c>
      <c r="Y34" s="10" t="n"/>
      <c r="Z34" s="10" t="n"/>
      <c r="AA34" s="10" t="n"/>
      <c r="AB34" s="10" t="n"/>
      <c r="AC34" s="10" t="n"/>
      <c r="AD34" s="11" t="n"/>
      <c r="AE34" s="45" t="inlineStr">
        <is>
          <t>A</t>
        </is>
      </c>
      <c r="AF34" s="11" t="n"/>
      <c r="AG34" s="45" t="inlineStr"/>
      <c r="AH34" s="10" t="n"/>
      <c r="AI34" s="11" t="n"/>
      <c r="AJ34" s="45" t="inlineStr"/>
      <c r="AK34" s="10" t="n"/>
      <c r="AL34" s="11" t="n"/>
      <c r="AM34" s="45" t="inlineStr"/>
      <c r="AN34" s="10" t="n"/>
      <c r="AO34" s="11" t="n"/>
      <c r="AP34" s="45" t="inlineStr"/>
      <c r="AQ34" s="10" t="n"/>
      <c r="AR34" s="11" t="n"/>
      <c r="AS34" s="45" t="inlineStr"/>
      <c r="AT34" s="10" t="n"/>
      <c r="AU34" s="11" t="n"/>
      <c r="AV34" s="45" t="inlineStr"/>
      <c r="AW34" s="10" t="n"/>
      <c r="AX34" s="11" t="n"/>
      <c r="AY34" s="45" t="inlineStr"/>
      <c r="AZ34" s="10" t="n"/>
      <c r="BA34" s="11" t="n"/>
      <c r="BB34" s="45" t="inlineStr"/>
      <c r="BC34" s="10" t="n"/>
      <c r="BD34" s="11" t="n"/>
      <c r="BE34" s="45" t="inlineStr"/>
      <c r="BF34" s="10" t="n"/>
      <c r="BG34" s="11" t="n"/>
      <c r="BH34" s="45" t="inlineStr"/>
      <c r="BI34" s="10" t="n"/>
      <c r="BJ34" s="11" t="n"/>
      <c r="BK34" s="46" t="inlineStr">
        <is>
          <t>セキュリティクリティカル — 失敗時はインシデント対応。</t>
        </is>
      </c>
      <c r="BL34" s="10" t="n"/>
      <c r="BM34" s="10" t="n"/>
      <c r="BN34" s="10" t="n"/>
      <c r="BO34" s="10" t="n"/>
      <c r="BP34" s="10" t="n"/>
      <c r="BQ34" s="11" t="n"/>
    </row>
    <row r="35" ht="256" customHeight="1">
      <c r="A35" s="44" t="n">
        <v>20</v>
      </c>
      <c r="B35" s="46" t="inlineStr">
        <is>
          <t>ACSMS-TC-005-020</t>
        </is>
      </c>
      <c r="C35" s="10" t="n"/>
      <c r="D35" s="11" t="n"/>
      <c r="E35" s="46" t="inlineStr">
        <is>
          <t>JA名 — 必須チェック（空欄 + 空白文字）</t>
        </is>
      </c>
      <c r="F35" s="10" t="n"/>
      <c r="G35" s="10" t="n"/>
      <c r="H35" s="10" t="n"/>
      <c r="I35" s="11" t="n"/>
      <c r="J35" s="46" t="inlineStr">
        <is>
          <t>・role: NICHINO_ADMIN
・登録画面、他項目有効値入力済</t>
        </is>
      </c>
      <c r="K35" s="10" t="n"/>
      <c r="L35" s="10" t="n"/>
      <c r="M35" s="10" t="n"/>
      <c r="N35" s="10" t="n"/>
      <c r="O35" s="10" t="n"/>
      <c r="P35" s="11" t="n"/>
      <c r="Q35" s="46" t="inlineStr">
        <is>
          <r>
            <rPr>
              <rFont val="メイリオ"/>
              <b val="1"/>
              <sz val="10"/>
            </rPr>
            <t xml:space="preserve">ステップ1：
</t>
          </r>
          <r>
            <rPr>
              <rFont val="メイリオ"/>
              <sz val="10"/>
            </rPr>
            <t xml:space="preserve">JA名 空欄のまま登録
</t>
          </r>
          <r>
            <rPr>
              <rFont val="メイリオ"/>
              <b val="1"/>
              <sz val="10"/>
            </rPr>
            <t xml:space="preserve">ステップ2：
</t>
          </r>
          <r>
            <rPr>
              <rFont val="メイリオ"/>
              <sz val="10"/>
            </rPr>
            <t>半角・全角スペースのみ入力 → 登録</t>
          </r>
        </is>
      </c>
      <c r="R35" s="10" t="n"/>
      <c r="S35" s="10" t="n"/>
      <c r="T35" s="10" t="n"/>
      <c r="U35" s="10" t="n"/>
      <c r="V35" s="10" t="n"/>
      <c r="W35" s="11" t="n"/>
      <c r="X35" s="46" t="inlineStr">
        <is>
          <r>
            <rPr>
              <rFont val="メイリオ"/>
              <b val="1"/>
              <sz val="10"/>
            </rPr>
            <t xml:space="preserve">ステップ1：
</t>
          </r>
          <r>
            <rPr>
              <rFont val="メイリオ"/>
              <sz val="10"/>
            </rPr>
            <t xml:space="preserve">「必須項目です。」表示
</t>
          </r>
          <r>
            <rPr>
              <rFont val="メイリオ"/>
              <sz val="10"/>
            </rPr>
            <t xml:space="preserve">HTTPステータスコード：400
</t>
          </r>
          <r>
            <rPr>
              <rFont val="メイリオ"/>
              <sz val="10"/>
            </rPr>
            <t xml:space="preserve">error_code：VALIDATION_ERROR
</t>
          </r>
          <r>
            <rPr>
              <rFont val="メイリオ"/>
              <sz val="10"/>
            </rPr>
            <t xml:space="preserve">errors[] に { field: "ja_name", message: "JA名を入力してください" }
</t>
          </r>
          <r>
            <rPr>
              <rFont val="メイリオ"/>
              <b val="1"/>
              <sz val="10"/>
            </rPr>
            <t xml:space="preserve">ステップ2：
</t>
          </r>
          <r>
            <rPr>
              <rFont val="メイリオ"/>
              <sz val="10"/>
            </rPr>
            <t xml:space="preserve">前後空白除去後、空欄として判定、「必須項目です。」表示
</t>
          </r>
          <r>
            <rPr>
              <rFont val="メイリオ"/>
              <sz val="10"/>
            </rPr>
            <t xml:space="preserve">HTTPステータスコード：400
</t>
          </r>
          <r>
            <rPr>
              <rFont val="メイリオ"/>
              <b val="1"/>
              <sz val="10"/>
            </rPr>
            <t xml:space="preserve">補足：
</t>
          </r>
          <r>
            <rPr>
              <rFont val="メイリオ"/>
              <sz val="10"/>
            </rPr>
            <t>・空欄／空白文字のみ入力すべて必須違反として扱われる</t>
          </r>
        </is>
      </c>
      <c r="Y35" s="10" t="n"/>
      <c r="Z35" s="10" t="n"/>
      <c r="AA35" s="10" t="n"/>
      <c r="AB35" s="10" t="n"/>
      <c r="AC35" s="10" t="n"/>
      <c r="AD35" s="11" t="n"/>
      <c r="AE35" s="45" t="inlineStr">
        <is>
          <t>A</t>
        </is>
      </c>
      <c r="AF35" s="11" t="n"/>
      <c r="AG35" s="45" t="inlineStr"/>
      <c r="AH35" s="10" t="n"/>
      <c r="AI35" s="11" t="n"/>
      <c r="AJ35" s="45" t="inlineStr"/>
      <c r="AK35" s="10" t="n"/>
      <c r="AL35" s="11" t="n"/>
      <c r="AM35" s="45" t="inlineStr"/>
      <c r="AN35" s="10" t="n"/>
      <c r="AO35" s="11" t="n"/>
      <c r="AP35" s="45" t="inlineStr"/>
      <c r="AQ35" s="10" t="n"/>
      <c r="AR35" s="11" t="n"/>
      <c r="AS35" s="45" t="inlineStr"/>
      <c r="AT35" s="10" t="n"/>
      <c r="AU35" s="11" t="n"/>
      <c r="AV35" s="45" t="inlineStr"/>
      <c r="AW35" s="10" t="n"/>
      <c r="AX35" s="11" t="n"/>
      <c r="AY35" s="45" t="inlineStr"/>
      <c r="AZ35" s="10" t="n"/>
      <c r="BA35" s="11" t="n"/>
      <c r="BB35" s="45" t="inlineStr"/>
      <c r="BC35" s="10" t="n"/>
      <c r="BD35" s="11" t="n"/>
      <c r="BE35" s="45" t="inlineStr"/>
      <c r="BF35" s="10" t="n"/>
      <c r="BG35" s="11" t="n"/>
      <c r="BH35" s="45" t="inlineStr"/>
      <c r="BI35" s="10" t="n"/>
      <c r="BJ35" s="11" t="n"/>
      <c r="BK35" s="46" t="inlineStr"/>
      <c r="BL35" s="10" t="n"/>
      <c r="BM35" s="10" t="n"/>
      <c r="BN35" s="10" t="n"/>
      <c r="BO35" s="10" t="n"/>
      <c r="BP35" s="10" t="n"/>
      <c r="BQ35" s="11" t="n"/>
    </row>
    <row r="36" ht="272" customHeight="1">
      <c r="A36" s="44" t="n">
        <v>21</v>
      </c>
      <c r="B36" s="46" t="inlineStr">
        <is>
          <t>ACSMS-TC-005-021</t>
        </is>
      </c>
      <c r="C36" s="10" t="n"/>
      <c r="D36" s="11" t="n"/>
      <c r="E36" s="46" t="inlineStr">
        <is>
          <t>JA名 — 最大200文字制限（境界値）</t>
        </is>
      </c>
      <c r="F36" s="10" t="n"/>
      <c r="G36" s="10" t="n"/>
      <c r="H36" s="10" t="n"/>
      <c r="I36" s="11" t="n"/>
      <c r="J36" s="46" t="inlineStr">
        <is>
          <t>・role: NICHINO_ADMIN
・登録画面</t>
        </is>
      </c>
      <c r="K36" s="10" t="n"/>
      <c r="L36" s="10" t="n"/>
      <c r="M36" s="10" t="n"/>
      <c r="N36" s="10" t="n"/>
      <c r="O36" s="10" t="n"/>
      <c r="P36" s="11" t="n"/>
      <c r="Q36" s="46" t="inlineStr">
        <is>
          <r>
            <rPr>
              <rFont val="メイリオ"/>
              <b val="1"/>
              <sz val="10"/>
            </rPr>
            <t xml:space="preserve">ステップ1：
</t>
          </r>
          <r>
            <rPr>
              <rFont val="メイリオ"/>
              <sz val="10"/>
            </rPr>
            <t xml:space="preserve">半角文字200文字入力 → 登録
</t>
          </r>
          <r>
            <rPr>
              <rFont val="メイリオ"/>
              <b val="1"/>
              <sz val="10"/>
            </rPr>
            <t xml:space="preserve">ステップ2：
</t>
          </r>
          <r>
            <rPr>
              <rFont val="メイリオ"/>
              <sz val="10"/>
            </rPr>
            <t xml:space="preserve">半角文字201文字目入力試行
</t>
          </r>
          <r>
            <rPr>
              <rFont val="メイリオ"/>
              <b val="1"/>
              <sz val="10"/>
            </rPr>
            <t xml:space="preserve">ステップ3：
</t>
          </r>
          <r>
            <rPr>
              <rFont val="メイリオ"/>
              <sz val="10"/>
            </rPr>
            <t xml:space="preserve">全角文字200文字（漢字）入力 → 登録
</t>
          </r>
          <r>
            <rPr>
              <rFont val="メイリオ"/>
              <b val="1"/>
              <sz val="10"/>
            </rPr>
            <t xml:space="preserve">ステップ4：
</t>
          </r>
          <r>
            <rPr>
              <rFont val="メイリオ"/>
              <sz val="10"/>
            </rPr>
            <t>半角100 + 全角100 のミックス入力 → 登録</t>
          </r>
        </is>
      </c>
      <c r="R36" s="10" t="n"/>
      <c r="S36" s="10" t="n"/>
      <c r="T36" s="10" t="n"/>
      <c r="U36" s="10" t="n"/>
      <c r="V36" s="10" t="n"/>
      <c r="W36" s="11" t="n"/>
      <c r="X36" s="46" t="inlineStr">
        <is>
          <r>
            <rPr>
              <rFont val="メイリオ"/>
              <b val="1"/>
              <sz val="10"/>
            </rPr>
            <t xml:space="preserve">ステップ1：
</t>
          </r>
          <r>
            <rPr>
              <rFont val="メイリオ"/>
              <sz val="10"/>
            </rPr>
            <t xml:space="preserve">正常受付
</t>
          </r>
          <r>
            <rPr>
              <rFont val="メイリオ"/>
              <b val="1"/>
              <sz val="10"/>
            </rPr>
            <t xml:space="preserve">ステップ2：
</t>
          </r>
          <r>
            <rPr>
              <rFont val="メイリオ"/>
              <sz val="10"/>
            </rPr>
            <t xml:space="preserve">maxlength により201文字目入力不可
</t>
          </r>
          <r>
            <rPr>
              <rFont val="メイリオ"/>
              <b val="1"/>
              <sz val="10"/>
            </rPr>
            <t xml:space="preserve">ステップ3：
</t>
          </r>
          <r>
            <rPr>
              <rFont val="メイリオ"/>
              <sz val="10"/>
            </rPr>
            <t xml:space="preserve">正常受付（半角・全角同一文字数カウント）
</t>
          </r>
          <r>
            <rPr>
              <rFont val="メイリオ"/>
              <b val="1"/>
              <sz val="10"/>
            </rPr>
            <t xml:space="preserve">ステップ4：
</t>
          </r>
          <r>
            <rPr>
              <rFont val="メイリオ"/>
              <sz val="10"/>
            </rPr>
            <t xml:space="preserve">正常受付
</t>
          </r>
          <r>
            <rPr>
              <rFont val="メイリオ"/>
              <b val="1"/>
              <sz val="10"/>
            </rPr>
            <t xml:space="preserve">補足：
</t>
          </r>
          <r>
            <rPr>
              <rFont val="メイリオ"/>
              <sz val="10"/>
            </rPr>
            <t>・200文字制限が半角・全角共通でカウント</t>
          </r>
        </is>
      </c>
      <c r="Y36" s="10" t="n"/>
      <c r="Z36" s="10" t="n"/>
      <c r="AA36" s="10" t="n"/>
      <c r="AB36" s="10" t="n"/>
      <c r="AC36" s="10" t="n"/>
      <c r="AD36" s="11" t="n"/>
      <c r="AE36" s="45" t="inlineStr">
        <is>
          <t>B</t>
        </is>
      </c>
      <c r="AF36" s="11" t="n"/>
      <c r="AG36" s="45" t="inlineStr"/>
      <c r="AH36" s="10" t="n"/>
      <c r="AI36" s="11" t="n"/>
      <c r="AJ36" s="45" t="inlineStr"/>
      <c r="AK36" s="10" t="n"/>
      <c r="AL36" s="11" t="n"/>
      <c r="AM36" s="45" t="inlineStr"/>
      <c r="AN36" s="10" t="n"/>
      <c r="AO36" s="11" t="n"/>
      <c r="AP36" s="45" t="inlineStr"/>
      <c r="AQ36" s="10" t="n"/>
      <c r="AR36" s="11" t="n"/>
      <c r="AS36" s="45" t="inlineStr"/>
      <c r="AT36" s="10" t="n"/>
      <c r="AU36" s="11" t="n"/>
      <c r="AV36" s="45" t="inlineStr"/>
      <c r="AW36" s="10" t="n"/>
      <c r="AX36" s="11" t="n"/>
      <c r="AY36" s="45" t="inlineStr"/>
      <c r="AZ36" s="10" t="n"/>
      <c r="BA36" s="11" t="n"/>
      <c r="BB36" s="45" t="inlineStr"/>
      <c r="BC36" s="10" t="n"/>
      <c r="BD36" s="11" t="n"/>
      <c r="BE36" s="45" t="inlineStr"/>
      <c r="BF36" s="10" t="n"/>
      <c r="BG36" s="11" t="n"/>
      <c r="BH36" s="45" t="inlineStr"/>
      <c r="BI36" s="10" t="n"/>
      <c r="BJ36" s="11" t="n"/>
      <c r="BK36" s="46" t="inlineStr"/>
      <c r="BL36" s="10" t="n"/>
      <c r="BM36" s="10" t="n"/>
      <c r="BN36" s="10" t="n"/>
      <c r="BO36" s="10" t="n"/>
      <c r="BP36" s="10" t="n"/>
      <c r="BQ36" s="11" t="n"/>
    </row>
    <row r="37" ht="240" customHeight="1">
      <c r="A37" s="44" t="n">
        <v>22</v>
      </c>
      <c r="B37" s="46" t="inlineStr">
        <is>
          <t>ACSMS-TC-005-022</t>
        </is>
      </c>
      <c r="C37" s="10" t="n"/>
      <c r="D37" s="11" t="n"/>
      <c r="E37" s="46" t="inlineStr">
        <is>
          <t>JA名 — 全角文字許容（漢字・ひらがな・カタカナ）</t>
        </is>
      </c>
      <c r="F37" s="10" t="n"/>
      <c r="G37" s="10" t="n"/>
      <c r="H37" s="10" t="n"/>
      <c r="I37" s="11" t="n"/>
      <c r="J37" s="46" t="inlineStr">
        <is>
          <t>・role: NICHINO_ADMIN
・登録画面</t>
        </is>
      </c>
      <c r="K37" s="10" t="n"/>
      <c r="L37" s="10" t="n"/>
      <c r="M37" s="10" t="n"/>
      <c r="N37" s="10" t="n"/>
      <c r="O37" s="10" t="n"/>
      <c r="P37" s="11" t="n"/>
      <c r="Q37" s="46" t="inlineStr">
        <is>
          <r>
            <rPr>
              <rFont val="メイリオ"/>
              <b val="1"/>
              <sz val="10"/>
            </rPr>
            <t xml:space="preserve">ステップ1：
</t>
          </r>
          <r>
            <rPr>
              <rFont val="メイリオ"/>
              <sz val="10"/>
            </rPr>
            <t xml:space="preserve">漢字 `JA東京中央` 入力 → 登録
</t>
          </r>
          <r>
            <rPr>
              <rFont val="メイリオ"/>
              <b val="1"/>
              <sz val="10"/>
            </rPr>
            <t xml:space="preserve">ステップ2：
</t>
          </r>
          <r>
            <rPr>
              <rFont val="メイリオ"/>
              <sz val="10"/>
            </rPr>
            <t xml:space="preserve">ひらがな `じぇいえいとうきょう` 入力 → 登録
</t>
          </r>
          <r>
            <rPr>
              <rFont val="メイリオ"/>
              <b val="1"/>
              <sz val="10"/>
            </rPr>
            <t xml:space="preserve">ステップ3：
</t>
          </r>
          <r>
            <rPr>
              <rFont val="メイリオ"/>
              <sz val="10"/>
            </rPr>
            <t xml:space="preserve">カタカナ `ジェイエイトウキョウ` 入力 → 登録
</t>
          </r>
          <r>
            <rPr>
              <rFont val="メイリオ"/>
              <b val="1"/>
              <sz val="10"/>
            </rPr>
            <t xml:space="preserve">ステップ4：
</t>
          </r>
          <r>
            <rPr>
              <rFont val="メイリオ"/>
              <sz val="10"/>
            </rPr>
            <t>半角カタカナ `ｼﾞｪｲｴｲ` 入力 → 登録</t>
          </r>
        </is>
      </c>
      <c r="R37" s="10" t="n"/>
      <c r="S37" s="10" t="n"/>
      <c r="T37" s="10" t="n"/>
      <c r="U37" s="10" t="n"/>
      <c r="V37" s="10" t="n"/>
      <c r="W37" s="11" t="n"/>
      <c r="X37" s="46" t="inlineStr">
        <is>
          <r>
            <rPr>
              <rFont val="メイリオ"/>
              <b val="1"/>
              <sz val="10"/>
            </rPr>
            <t xml:space="preserve">ステップ1：
</t>
          </r>
          <r>
            <rPr>
              <rFont val="メイリオ"/>
              <sz val="10"/>
            </rPr>
            <t xml:space="preserve">正常受付、DB に literal 保存
</t>
          </r>
          <r>
            <rPr>
              <rFont val="メイリオ"/>
              <b val="1"/>
              <sz val="10"/>
            </rPr>
            <t xml:space="preserve">ステップ2：
</t>
          </r>
          <r>
            <rPr>
              <rFont val="メイリオ"/>
              <sz val="10"/>
            </rPr>
            <t xml:space="preserve">正常受付
</t>
          </r>
          <r>
            <rPr>
              <rFont val="メイリオ"/>
              <b val="1"/>
              <sz val="10"/>
            </rPr>
            <t xml:space="preserve">ステップ3：
</t>
          </r>
          <r>
            <rPr>
              <rFont val="メイリオ"/>
              <sz val="10"/>
            </rPr>
            <t xml:space="preserve">正常受付
</t>
          </r>
          <r>
            <rPr>
              <rFont val="メイリオ"/>
              <b val="1"/>
              <sz val="10"/>
            </rPr>
            <t xml:space="preserve">ステップ4：
</t>
          </r>
          <r>
            <rPr>
              <rFont val="メイリオ"/>
              <sz val="10"/>
            </rPr>
            <t xml:space="preserve">正常受付
</t>
          </r>
          <r>
            <rPr>
              <rFont val="メイリオ"/>
              <b val="1"/>
              <sz val="10"/>
            </rPr>
            <t xml:space="preserve">補足：
</t>
          </r>
          <r>
            <rPr>
              <rFont val="メイリオ"/>
              <sz val="10"/>
            </rPr>
            <t>・全角・半角カタカナすべて許容</t>
          </r>
        </is>
      </c>
      <c r="Y37" s="10" t="n"/>
      <c r="Z37" s="10" t="n"/>
      <c r="AA37" s="10" t="n"/>
      <c r="AB37" s="10" t="n"/>
      <c r="AC37" s="10" t="n"/>
      <c r="AD37" s="11" t="n"/>
      <c r="AE37" s="45" t="inlineStr">
        <is>
          <t>N</t>
        </is>
      </c>
      <c r="AF37" s="11" t="n"/>
      <c r="AG37" s="45" t="inlineStr"/>
      <c r="AH37" s="10" t="n"/>
      <c r="AI37" s="11" t="n"/>
      <c r="AJ37" s="45" t="inlineStr"/>
      <c r="AK37" s="10" t="n"/>
      <c r="AL37" s="11" t="n"/>
      <c r="AM37" s="45" t="inlineStr"/>
      <c r="AN37" s="10" t="n"/>
      <c r="AO37" s="11" t="n"/>
      <c r="AP37" s="45" t="inlineStr"/>
      <c r="AQ37" s="10" t="n"/>
      <c r="AR37" s="11" t="n"/>
      <c r="AS37" s="45" t="inlineStr"/>
      <c r="AT37" s="10" t="n"/>
      <c r="AU37" s="11" t="n"/>
      <c r="AV37" s="45" t="inlineStr"/>
      <c r="AW37" s="10" t="n"/>
      <c r="AX37" s="11" t="n"/>
      <c r="AY37" s="45" t="inlineStr"/>
      <c r="AZ37" s="10" t="n"/>
      <c r="BA37" s="11" t="n"/>
      <c r="BB37" s="45" t="inlineStr"/>
      <c r="BC37" s="10" t="n"/>
      <c r="BD37" s="11" t="n"/>
      <c r="BE37" s="45" t="inlineStr"/>
      <c r="BF37" s="10" t="n"/>
      <c r="BG37" s="11" t="n"/>
      <c r="BH37" s="45" t="inlineStr"/>
      <c r="BI37" s="10" t="n"/>
      <c r="BJ37" s="11" t="n"/>
      <c r="BK37" s="46" t="inlineStr"/>
      <c r="BL37" s="10" t="n"/>
      <c r="BM37" s="10" t="n"/>
      <c r="BN37" s="10" t="n"/>
      <c r="BO37" s="10" t="n"/>
      <c r="BP37" s="10" t="n"/>
      <c r="BQ37" s="11" t="n"/>
    </row>
    <row r="38" ht="224" customHeight="1">
      <c r="A38" s="44" t="n">
        <v>23</v>
      </c>
      <c r="B38" s="46" t="inlineStr">
        <is>
          <t>ACSMS-TC-005-023</t>
        </is>
      </c>
      <c r="C38" s="10" t="n"/>
      <c r="D38" s="11" t="n"/>
      <c r="E38" s="46" t="inlineStr">
        <is>
          <t>JA名（カナ） — 任意項目・最大200文字制限</t>
        </is>
      </c>
      <c r="F38" s="10" t="n"/>
      <c r="G38" s="10" t="n"/>
      <c r="H38" s="10" t="n"/>
      <c r="I38" s="11" t="n"/>
      <c r="J38" s="46" t="inlineStr">
        <is>
          <t>・role: NICHINO_ADMIN
・登録画面、他必須項目有効値入力済</t>
        </is>
      </c>
      <c r="K38" s="10" t="n"/>
      <c r="L38" s="10" t="n"/>
      <c r="M38" s="10" t="n"/>
      <c r="N38" s="10" t="n"/>
      <c r="O38" s="10" t="n"/>
      <c r="P38" s="11" t="n"/>
      <c r="Q38" s="46" t="inlineStr">
        <is>
          <r>
            <rPr>
              <rFont val="メイリオ"/>
              <b val="1"/>
              <sz val="10"/>
            </rPr>
            <t xml:space="preserve">ステップ1：
</t>
          </r>
          <r>
            <rPr>
              <rFont val="メイリオ"/>
              <sz val="10"/>
            </rPr>
            <t xml:space="preserve">JA名カナを空欄のまま登録
</t>
          </r>
          <r>
            <rPr>
              <rFont val="メイリオ"/>
              <b val="1"/>
              <sz val="10"/>
            </rPr>
            <t xml:space="preserve">ステップ2：
</t>
          </r>
          <r>
            <rPr>
              <rFont val="メイリオ"/>
              <sz val="10"/>
            </rPr>
            <t xml:space="preserve">カタカナ200文字入力 → 登録
</t>
          </r>
          <r>
            <rPr>
              <rFont val="メイリオ"/>
              <b val="1"/>
              <sz val="10"/>
            </rPr>
            <t xml:space="preserve">ステップ3：
</t>
          </r>
          <r>
            <rPr>
              <rFont val="メイリオ"/>
              <sz val="10"/>
            </rPr>
            <t>201文字目入力試行</t>
          </r>
        </is>
      </c>
      <c r="R38" s="10" t="n"/>
      <c r="S38" s="10" t="n"/>
      <c r="T38" s="10" t="n"/>
      <c r="U38" s="10" t="n"/>
      <c r="V38" s="10" t="n"/>
      <c r="W38" s="11" t="n"/>
      <c r="X38" s="46" t="inlineStr">
        <is>
          <r>
            <rPr>
              <rFont val="メイリオ"/>
              <b val="1"/>
              <sz val="10"/>
            </rPr>
            <t xml:space="preserve">ステップ1：
</t>
          </r>
          <r>
            <rPr>
              <rFont val="メイリオ"/>
              <sz val="10"/>
            </rPr>
            <t xml:space="preserve">正常受付（任意項目）、DB に空文字保存
</t>
          </r>
          <r>
            <rPr>
              <rFont val="メイリオ"/>
              <b val="1"/>
              <sz val="10"/>
            </rPr>
            <t xml:space="preserve">ステップ2：
</t>
          </r>
          <r>
            <rPr>
              <rFont val="メイリオ"/>
              <sz val="10"/>
            </rPr>
            <t xml:space="preserve">正常受付
</t>
          </r>
          <r>
            <rPr>
              <rFont val="メイリオ"/>
              <b val="1"/>
              <sz val="10"/>
            </rPr>
            <t xml:space="preserve">ステップ3：
</t>
          </r>
          <r>
            <rPr>
              <rFont val="メイリオ"/>
              <sz val="10"/>
            </rPr>
            <t xml:space="preserve">maxlength により入力不可
</t>
          </r>
          <r>
            <rPr>
              <rFont val="メイリオ"/>
              <b val="1"/>
              <sz val="10"/>
            </rPr>
            <t xml:space="preserve">補足：
</t>
          </r>
          <r>
            <rPr>
              <rFont val="メイリオ"/>
              <sz val="10"/>
            </rPr>
            <t xml:space="preserve">・任意項目のため空欄でも登録可
</t>
          </r>
          <r>
            <rPr>
              <rFont val="メイリオ"/>
              <sz val="10"/>
            </rPr>
            <t>・200文字制限 enforced</t>
          </r>
        </is>
      </c>
      <c r="Y38" s="10" t="n"/>
      <c r="Z38" s="10" t="n"/>
      <c r="AA38" s="10" t="n"/>
      <c r="AB38" s="10" t="n"/>
      <c r="AC38" s="10" t="n"/>
      <c r="AD38" s="11" t="n"/>
      <c r="AE38" s="45" t="inlineStr">
        <is>
          <t>B</t>
        </is>
      </c>
      <c r="AF38" s="11" t="n"/>
      <c r="AG38" s="45" t="inlineStr"/>
      <c r="AH38" s="10" t="n"/>
      <c r="AI38" s="11" t="n"/>
      <c r="AJ38" s="45" t="inlineStr"/>
      <c r="AK38" s="10" t="n"/>
      <c r="AL38" s="11" t="n"/>
      <c r="AM38" s="45" t="inlineStr"/>
      <c r="AN38" s="10" t="n"/>
      <c r="AO38" s="11" t="n"/>
      <c r="AP38" s="45" t="inlineStr"/>
      <c r="AQ38" s="10" t="n"/>
      <c r="AR38" s="11" t="n"/>
      <c r="AS38" s="45" t="inlineStr"/>
      <c r="AT38" s="10" t="n"/>
      <c r="AU38" s="11" t="n"/>
      <c r="AV38" s="45" t="inlineStr"/>
      <c r="AW38" s="10" t="n"/>
      <c r="AX38" s="11" t="n"/>
      <c r="AY38" s="45" t="inlineStr"/>
      <c r="AZ38" s="10" t="n"/>
      <c r="BA38" s="11" t="n"/>
      <c r="BB38" s="45" t="inlineStr"/>
      <c r="BC38" s="10" t="n"/>
      <c r="BD38" s="11" t="n"/>
      <c r="BE38" s="45" t="inlineStr"/>
      <c r="BF38" s="10" t="n"/>
      <c r="BG38" s="11" t="n"/>
      <c r="BH38" s="45" t="inlineStr"/>
      <c r="BI38" s="10" t="n"/>
      <c r="BJ38" s="11" t="n"/>
      <c r="BK38" s="46" t="inlineStr"/>
      <c r="BL38" s="10" t="n"/>
      <c r="BM38" s="10" t="n"/>
      <c r="BN38" s="10" t="n"/>
      <c r="BO38" s="10" t="n"/>
      <c r="BP38" s="10" t="n"/>
      <c r="BQ38" s="11" t="n"/>
    </row>
    <row r="39" ht="320" customHeight="1">
      <c r="A39" s="44" t="n">
        <v>24</v>
      </c>
      <c r="B39" s="46" t="inlineStr">
        <is>
          <t>ACSMS-TC-005-024</t>
        </is>
      </c>
      <c r="C39" s="10" t="n"/>
      <c r="D39" s="11" t="n"/>
      <c r="E39" s="46" t="inlineStr">
        <is>
          <t>都道府県 — 必須チェック・ドロップダウン値</t>
        </is>
      </c>
      <c r="F39" s="10" t="n"/>
      <c r="G39" s="10" t="n"/>
      <c r="H39" s="10" t="n"/>
      <c r="I39" s="11" t="n"/>
      <c r="J39" s="46" t="inlineStr">
        <is>
          <t>・role: NICHINO_ADMIN
・登録画面、他項目有効値入力済</t>
        </is>
      </c>
      <c r="K39" s="10" t="n"/>
      <c r="L39" s="10" t="n"/>
      <c r="M39" s="10" t="n"/>
      <c r="N39" s="10" t="n"/>
      <c r="O39" s="10" t="n"/>
      <c r="P39" s="11" t="n"/>
      <c r="Q39" s="46" t="inlineStr">
        <is>
          <r>
            <rPr>
              <rFont val="メイリオ"/>
              <b val="1"/>
              <sz val="10"/>
            </rPr>
            <t xml:space="preserve">ステップ1：
</t>
          </r>
          <r>
            <rPr>
              <rFont val="メイリオ"/>
              <sz val="10"/>
            </rPr>
            <t xml:space="preserve">都道府県を未選択のまま登録
</t>
          </r>
          <r>
            <rPr>
              <rFont val="メイリオ"/>
              <b val="1"/>
              <sz val="10"/>
            </rPr>
            <t xml:space="preserve">ステップ2：
</t>
          </r>
          <r>
            <rPr>
              <rFont val="メイリオ"/>
              <sz val="10"/>
            </rPr>
            <t xml:space="preserve">ドロップダウンを開き、47都道府県が表示されることを確認
</t>
          </r>
          <r>
            <rPr>
              <rFont val="メイリオ"/>
              <b val="1"/>
              <sz val="10"/>
            </rPr>
            <t xml:space="preserve">ステップ3：
</t>
          </r>
          <r>
            <rPr>
              <rFont val="メイリオ"/>
              <sz val="10"/>
            </rPr>
            <t>任意の都道府県（例：東京都＝13）を選択 → 登録 → DB 確認</t>
          </r>
        </is>
      </c>
      <c r="R39" s="10" t="n"/>
      <c r="S39" s="10" t="n"/>
      <c r="T39" s="10" t="n"/>
      <c r="U39" s="10" t="n"/>
      <c r="V39" s="10" t="n"/>
      <c r="W39" s="11" t="n"/>
      <c r="X39" s="46" t="inlineStr">
        <is>
          <r>
            <rPr>
              <rFont val="メイリオ"/>
              <b val="1"/>
              <sz val="10"/>
            </rPr>
            <t xml:space="preserve">ステップ1：
</t>
          </r>
          <r>
            <rPr>
              <rFont val="メイリオ"/>
              <sz val="10"/>
            </rPr>
            <t xml:space="preserve">「必須項目です。」表示
</t>
          </r>
          <r>
            <rPr>
              <rFont val="メイリオ"/>
              <sz val="10"/>
            </rPr>
            <t xml:space="preserve">HTTPステータスコード：400
</t>
          </r>
          <r>
            <rPr>
              <rFont val="メイリオ"/>
              <sz val="10"/>
            </rPr>
            <t xml:space="preserve">error_code：VALIDATION_ERROR
</t>
          </r>
          <r>
            <rPr>
              <rFont val="メイリオ"/>
              <sz val="10"/>
            </rPr>
            <t xml:space="preserve">errors[] に { field: "todofuken_code", message: "都道府県を選択してください" }
</t>
          </r>
          <r>
            <rPr>
              <rFont val="メイリオ"/>
              <b val="1"/>
              <sz val="10"/>
            </rPr>
            <t xml:space="preserve">ステップ2：
</t>
          </r>
          <r>
            <rPr>
              <rFont val="メイリオ"/>
              <sz val="10"/>
            </rPr>
            <t xml:space="preserve">都道府県47件すべて表示（北海道～沖縄県、コード01～47）
</t>
          </r>
          <r>
            <rPr>
              <rFont val="メイリオ"/>
              <b val="1"/>
              <sz val="10"/>
            </rPr>
            <t xml:space="preserve">ステップ3：
</t>
          </r>
          <r>
            <rPr>
              <rFont val="メイリオ"/>
              <sz val="10"/>
            </rPr>
            <t xml:space="preserve">正常受付、`m_ja.todofuken_code = '13'` で保存
</t>
          </r>
          <r>
            <rPr>
              <rFont val="メイリオ"/>
              <b val="1"/>
              <sz val="10"/>
            </rPr>
            <t xml:space="preserve">補足：
</t>
          </r>
          <r>
            <rPr>
              <rFont val="メイリオ"/>
              <sz val="10"/>
            </rPr>
            <t xml:space="preserve">・GET `/api/v1/todofuken` API で `m_todofuken` から取得
</t>
          </r>
          <r>
            <rPr>
              <rFont val="メイリオ"/>
              <sz val="10"/>
            </rPr>
            <t>・コードは2桁固定（01～47）</t>
          </r>
        </is>
      </c>
      <c r="Y39" s="10" t="n"/>
      <c r="Z39" s="10" t="n"/>
      <c r="AA39" s="10" t="n"/>
      <c r="AB39" s="10" t="n"/>
      <c r="AC39" s="10" t="n"/>
      <c r="AD39" s="11" t="n"/>
      <c r="AE39" s="45" t="inlineStr">
        <is>
          <t>A</t>
        </is>
      </c>
      <c r="AF39" s="11" t="n"/>
      <c r="AG39" s="45" t="inlineStr"/>
      <c r="AH39" s="10" t="n"/>
      <c r="AI39" s="11" t="n"/>
      <c r="AJ39" s="45" t="inlineStr"/>
      <c r="AK39" s="10" t="n"/>
      <c r="AL39" s="11" t="n"/>
      <c r="AM39" s="45" t="inlineStr"/>
      <c r="AN39" s="10" t="n"/>
      <c r="AO39" s="11" t="n"/>
      <c r="AP39" s="45" t="inlineStr"/>
      <c r="AQ39" s="10" t="n"/>
      <c r="AR39" s="11" t="n"/>
      <c r="AS39" s="45" t="inlineStr"/>
      <c r="AT39" s="10" t="n"/>
      <c r="AU39" s="11" t="n"/>
      <c r="AV39" s="45" t="inlineStr"/>
      <c r="AW39" s="10" t="n"/>
      <c r="AX39" s="11" t="n"/>
      <c r="AY39" s="45" t="inlineStr"/>
      <c r="AZ39" s="10" t="n"/>
      <c r="BA39" s="11" t="n"/>
      <c r="BB39" s="45" t="inlineStr"/>
      <c r="BC39" s="10" t="n"/>
      <c r="BD39" s="11" t="n"/>
      <c r="BE39" s="45" t="inlineStr"/>
      <c r="BF39" s="10" t="n"/>
      <c r="BG39" s="11" t="n"/>
      <c r="BH39" s="45" t="inlineStr"/>
      <c r="BI39" s="10" t="n"/>
      <c r="BJ39" s="11" t="n"/>
      <c r="BK39" s="46" t="inlineStr"/>
      <c r="BL39" s="10" t="n"/>
      <c r="BM39" s="10" t="n"/>
      <c r="BN39" s="10" t="n"/>
      <c r="BO39" s="10" t="n"/>
      <c r="BP39" s="10" t="n"/>
      <c r="BQ39" s="11" t="n"/>
    </row>
    <row r="40" ht="352" customHeight="1">
      <c r="A40" s="44" t="n">
        <v>25</v>
      </c>
      <c r="B40" s="46" t="inlineStr">
        <is>
          <t>ACSMS-TC-005-025</t>
        </is>
      </c>
      <c r="C40" s="10" t="n"/>
      <c r="D40" s="11" t="n"/>
      <c r="E40" s="46" t="inlineStr">
        <is>
          <t>都道府県 — m_todofuken 参照（不正コード拒否）</t>
        </is>
      </c>
      <c r="F40" s="10" t="n"/>
      <c r="G40" s="10" t="n"/>
      <c r="H40" s="10" t="n"/>
      <c r="I40" s="11" t="n"/>
      <c r="J40" s="46" t="inlineStr">
        <is>
          <t>・role: NICHINO_ADMIN</t>
        </is>
      </c>
      <c r="K40" s="10" t="n"/>
      <c r="L40" s="10" t="n"/>
      <c r="M40" s="10" t="n"/>
      <c r="N40" s="10" t="n"/>
      <c r="O40" s="10" t="n"/>
      <c r="P40" s="11" t="n"/>
      <c r="Q40" s="46" t="inlineStr">
        <is>
          <r>
            <rPr>
              <rFont val="メイリオ"/>
              <b val="1"/>
              <sz val="10"/>
            </rPr>
            <t xml:space="preserve">ステップ1：
</t>
          </r>
          <r>
            <rPr>
              <rFont val="メイリオ"/>
              <sz val="10"/>
            </rPr>
            <t xml:space="preserve">DevTools の Console から `fetch('/api/v1/ja', { method: 'POST', body: JSON.stringify({ ja_code: '1399999001', ja_name: 'テスト', todofuken_code: '99', chuokai_flg: false, bank_code: '1234', bank_name: '農林中央金庫', zei_kubun: '1' }), headers: { 'Content-Type': 'application/json' }, credentials: 'include' })` を実行
</t>
          </r>
          <r>
            <rPr>
              <rFont val="メイリオ"/>
              <b val="1"/>
              <sz val="10"/>
            </rPr>
            <t xml:space="preserve">ステップ2：
</t>
          </r>
          <r>
            <rPr>
              <rFont val="メイリオ"/>
              <sz val="10"/>
            </rPr>
            <t xml:space="preserve">レスポンスの HTTP ステータスと error_code 確認
</t>
          </r>
          <r>
            <rPr>
              <rFont val="メイリオ"/>
              <b val="1"/>
              <sz val="10"/>
            </rPr>
            <t xml:space="preserve">ステップ3：
</t>
          </r>
          <r>
            <rPr>
              <rFont val="メイリオ"/>
              <sz val="10"/>
            </rPr>
            <t>DB 確認：`SELECT COUNT(*) FROM m_ja WHERE ja_code = '1399999001'`</t>
          </r>
        </is>
      </c>
      <c r="R40" s="10" t="n"/>
      <c r="S40" s="10" t="n"/>
      <c r="T40" s="10" t="n"/>
      <c r="U40" s="10" t="n"/>
      <c r="V40" s="10" t="n"/>
      <c r="W40" s="11" t="n"/>
      <c r="X40" s="46" t="inlineStr">
        <is>
          <r>
            <rPr>
              <rFont val="メイリオ"/>
              <b val="1"/>
              <sz val="10"/>
            </rPr>
            <t xml:space="preserve">ステップ1：
</t>
          </r>
          <r>
            <rPr>
              <rFont val="メイリオ"/>
              <sz val="10"/>
            </rPr>
            <t xml:space="preserve">バックエンド側で `m_todofuken` 存在チェックにより拒否
</t>
          </r>
          <r>
            <rPr>
              <rFont val="メイリオ"/>
              <b val="1"/>
              <sz val="10"/>
            </rPr>
            <t xml:space="preserve">ステップ2：
</t>
          </r>
          <r>
            <rPr>
              <rFont val="メイリオ"/>
              <sz val="10"/>
            </rPr>
            <t xml:space="preserve">HTTPステータスコード：400
</t>
          </r>
          <r>
            <rPr>
              <rFont val="メイリオ"/>
              <sz val="10"/>
            </rPr>
            <t xml:space="preserve">error_code：VALIDATION_ERROR
</t>
          </r>
          <r>
            <rPr>
              <rFont val="メイリオ"/>
              <sz val="10"/>
            </rPr>
            <t xml:space="preserve">message：「指定された都道府県コードは存在しません」
</t>
          </r>
          <r>
            <rPr>
              <rFont val="メイリオ"/>
              <b val="1"/>
              <sz val="10"/>
            </rPr>
            <t xml:space="preserve">ステップ3：
</t>
          </r>
          <r>
            <rPr>
              <rFont val="メイリオ"/>
              <sz val="10"/>
            </rPr>
            <t xml:space="preserve">0件（行追加なし）
</t>
          </r>
          <r>
            <rPr>
              <rFont val="メイリオ"/>
              <b val="1"/>
              <sz val="10"/>
            </rPr>
            <t xml:space="preserve">補足：
</t>
          </r>
          <r>
            <rPr>
              <rFont val="メイリオ"/>
              <sz val="10"/>
            </rPr>
            <t xml:space="preserve">・存在しない都道府県コード（48以上、または無効な値）はバックエンド側で拒否
</t>
          </r>
          <r>
            <rPr>
              <rFont val="メイリオ"/>
              <sz val="10"/>
            </rPr>
            <t>・FE のドロップダウンは `m_todofuken` から取得するため、UI 経由では発生しないが、API 直接呼び出しに対する防御を検証</t>
          </r>
        </is>
      </c>
      <c r="Y40" s="10" t="n"/>
      <c r="Z40" s="10" t="n"/>
      <c r="AA40" s="10" t="n"/>
      <c r="AB40" s="10" t="n"/>
      <c r="AC40" s="10" t="n"/>
      <c r="AD40" s="11" t="n"/>
      <c r="AE40" s="45" t="inlineStr">
        <is>
          <t>A</t>
        </is>
      </c>
      <c r="AF40" s="11" t="n"/>
      <c r="AG40" s="45" t="inlineStr"/>
      <c r="AH40" s="10" t="n"/>
      <c r="AI40" s="11" t="n"/>
      <c r="AJ40" s="45" t="inlineStr"/>
      <c r="AK40" s="10" t="n"/>
      <c r="AL40" s="11" t="n"/>
      <c r="AM40" s="45" t="inlineStr"/>
      <c r="AN40" s="10" t="n"/>
      <c r="AO40" s="11" t="n"/>
      <c r="AP40" s="45" t="inlineStr"/>
      <c r="AQ40" s="10" t="n"/>
      <c r="AR40" s="11" t="n"/>
      <c r="AS40" s="45" t="inlineStr"/>
      <c r="AT40" s="10" t="n"/>
      <c r="AU40" s="11" t="n"/>
      <c r="AV40" s="45" t="inlineStr"/>
      <c r="AW40" s="10" t="n"/>
      <c r="AX40" s="11" t="n"/>
      <c r="AY40" s="45" t="inlineStr"/>
      <c r="AZ40" s="10" t="n"/>
      <c r="BA40" s="11" t="n"/>
      <c r="BB40" s="45" t="inlineStr"/>
      <c r="BC40" s="10" t="n"/>
      <c r="BD40" s="11" t="n"/>
      <c r="BE40" s="45" t="inlineStr"/>
      <c r="BF40" s="10" t="n"/>
      <c r="BG40" s="11" t="n"/>
      <c r="BH40" s="45" t="inlineStr"/>
      <c r="BI40" s="10" t="n"/>
      <c r="BJ40" s="11" t="n"/>
      <c r="BK40" s="46" t="inlineStr"/>
      <c r="BL40" s="10" t="n"/>
      <c r="BM40" s="10" t="n"/>
      <c r="BN40" s="10" t="n"/>
      <c r="BO40" s="10" t="n"/>
      <c r="BP40" s="10" t="n"/>
      <c r="BQ40" s="11" t="n"/>
    </row>
    <row r="41" ht="304" customHeight="1">
      <c r="A41" s="44" t="n">
        <v>26</v>
      </c>
      <c r="B41" s="46" t="inlineStr">
        <is>
          <t>ACSMS-TC-005-026</t>
        </is>
      </c>
      <c r="C41" s="10" t="n"/>
      <c r="D41" s="11" t="n"/>
      <c r="E41" s="46" t="inlineStr">
        <is>
          <t>中央会フラグ — 必須・ラジオ選択</t>
        </is>
      </c>
      <c r="F41" s="10" t="n"/>
      <c r="G41" s="10" t="n"/>
      <c r="H41" s="10" t="n"/>
      <c r="I41" s="11" t="n"/>
      <c r="J41" s="46" t="inlineStr">
        <is>
          <t>・role: NICHINO_ADMIN
・登録画面、他項目有効値入力済</t>
        </is>
      </c>
      <c r="K41" s="10" t="n"/>
      <c r="L41" s="10" t="n"/>
      <c r="M41" s="10" t="n"/>
      <c r="N41" s="10" t="n"/>
      <c r="O41" s="10" t="n"/>
      <c r="P41" s="11" t="n"/>
      <c r="Q41" s="46" t="inlineStr">
        <is>
          <r>
            <rPr>
              <rFont val="メイリオ"/>
              <b val="1"/>
              <sz val="10"/>
            </rPr>
            <t xml:space="preserve">ステップ1：
</t>
          </r>
          <r>
            <rPr>
              <rFont val="メイリオ"/>
              <sz val="10"/>
            </rPr>
            <t xml:space="preserve">中央会フラグを未選択のまま登録
</t>
          </r>
          <r>
            <rPr>
              <rFont val="メイリオ"/>
              <b val="1"/>
              <sz val="10"/>
            </rPr>
            <t xml:space="preserve">ステップ2：
</t>
          </r>
          <r>
            <rPr>
              <rFont val="メイリオ"/>
              <sz val="10"/>
            </rPr>
            <t xml:space="preserve">`中央会` を選択 → 登録 → DB 確認
</t>
          </r>
          <r>
            <rPr>
              <rFont val="メイリオ"/>
              <b val="1"/>
              <sz val="10"/>
            </rPr>
            <t xml:space="preserve">ステップ3：
</t>
          </r>
          <r>
            <rPr>
              <rFont val="メイリオ"/>
              <sz val="10"/>
            </rPr>
            <t>`単協` を選択 → 登録 → DB 確認</t>
          </r>
        </is>
      </c>
      <c r="R41" s="10" t="n"/>
      <c r="S41" s="10" t="n"/>
      <c r="T41" s="10" t="n"/>
      <c r="U41" s="10" t="n"/>
      <c r="V41" s="10" t="n"/>
      <c r="W41" s="11" t="n"/>
      <c r="X41" s="46" t="inlineStr">
        <is>
          <r>
            <rPr>
              <rFont val="メイリオ"/>
              <b val="1"/>
              <sz val="10"/>
            </rPr>
            <t xml:space="preserve">ステップ1：
</t>
          </r>
          <r>
            <rPr>
              <rFont val="メイリオ"/>
              <sz val="10"/>
            </rPr>
            <t xml:space="preserve">「必須項目です。」表示
</t>
          </r>
          <r>
            <rPr>
              <rFont val="メイリオ"/>
              <sz val="10"/>
            </rPr>
            <t xml:space="preserve">HTTPステータスコード：400
</t>
          </r>
          <r>
            <rPr>
              <rFont val="メイリオ"/>
              <sz val="10"/>
            </rPr>
            <t xml:space="preserve">error_code：VALIDATION_ERROR
</t>
          </r>
          <r>
            <rPr>
              <rFont val="メイリオ"/>
              <sz val="10"/>
            </rPr>
            <t xml:space="preserve">errors[] に { field: "chuokai_flg", message: "中央会フラグを選択してください" }
</t>
          </r>
          <r>
            <rPr>
              <rFont val="メイリオ"/>
              <b val="1"/>
              <sz val="10"/>
            </rPr>
            <t xml:space="preserve">ステップ2：
</t>
          </r>
          <r>
            <rPr>
              <rFont val="メイリオ"/>
              <sz val="10"/>
            </rPr>
            <t xml:space="preserve">正常受付、`m_ja.chuokai_flg = true` で保存
</t>
          </r>
          <r>
            <rPr>
              <rFont val="メイリオ"/>
              <b val="1"/>
              <sz val="10"/>
            </rPr>
            <t xml:space="preserve">ステップ3：
</t>
          </r>
          <r>
            <rPr>
              <rFont val="メイリオ"/>
              <sz val="10"/>
            </rPr>
            <t xml:space="preserve">正常受付、`m_ja.chuokai_flg = false` で保存
</t>
          </r>
          <r>
            <rPr>
              <rFont val="メイリオ"/>
              <b val="1"/>
              <sz val="10"/>
            </rPr>
            <t xml:space="preserve">補足：
</t>
          </r>
          <r>
            <rPr>
              <rFont val="メイリオ"/>
              <sz val="10"/>
            </rPr>
            <t>・ブール値、デフォルト値なし、必ず選択必要</t>
          </r>
        </is>
      </c>
      <c r="Y41" s="10" t="n"/>
      <c r="Z41" s="10" t="n"/>
      <c r="AA41" s="10" t="n"/>
      <c r="AB41" s="10" t="n"/>
      <c r="AC41" s="10" t="n"/>
      <c r="AD41" s="11" t="n"/>
      <c r="AE41" s="45" t="inlineStr">
        <is>
          <t>A</t>
        </is>
      </c>
      <c r="AF41" s="11" t="n"/>
      <c r="AG41" s="45" t="inlineStr"/>
      <c r="AH41" s="10" t="n"/>
      <c r="AI41" s="11" t="n"/>
      <c r="AJ41" s="45" t="inlineStr"/>
      <c r="AK41" s="10" t="n"/>
      <c r="AL41" s="11" t="n"/>
      <c r="AM41" s="45" t="inlineStr"/>
      <c r="AN41" s="10" t="n"/>
      <c r="AO41" s="11" t="n"/>
      <c r="AP41" s="45" t="inlineStr"/>
      <c r="AQ41" s="10" t="n"/>
      <c r="AR41" s="11" t="n"/>
      <c r="AS41" s="45" t="inlineStr"/>
      <c r="AT41" s="10" t="n"/>
      <c r="AU41" s="11" t="n"/>
      <c r="AV41" s="45" t="inlineStr"/>
      <c r="AW41" s="10" t="n"/>
      <c r="AX41" s="11" t="n"/>
      <c r="AY41" s="45" t="inlineStr"/>
      <c r="AZ41" s="10" t="n"/>
      <c r="BA41" s="11" t="n"/>
      <c r="BB41" s="45" t="inlineStr"/>
      <c r="BC41" s="10" t="n"/>
      <c r="BD41" s="11" t="n"/>
      <c r="BE41" s="45" t="inlineStr"/>
      <c r="BF41" s="10" t="n"/>
      <c r="BG41" s="11" t="n"/>
      <c r="BH41" s="45" t="inlineStr"/>
      <c r="BI41" s="10" t="n"/>
      <c r="BJ41" s="11" t="n"/>
      <c r="BK41" s="46" t="inlineStr"/>
      <c r="BL41" s="10" t="n"/>
      <c r="BM41" s="10" t="n"/>
      <c r="BN41" s="10" t="n"/>
      <c r="BO41" s="10" t="n"/>
      <c r="BP41" s="10" t="n"/>
      <c r="BQ41" s="11" t="n"/>
    </row>
    <row r="42" ht="256" customHeight="1">
      <c r="A42" s="44" t="n">
        <v>27</v>
      </c>
      <c r="B42" s="46" t="inlineStr">
        <is>
          <t>ACSMS-TC-005-027</t>
        </is>
      </c>
      <c r="C42" s="10" t="n"/>
      <c r="D42" s="11" t="n"/>
      <c r="E42" s="46" t="inlineStr">
        <is>
          <t>金融機関コード — 必須チェック</t>
        </is>
      </c>
      <c r="F42" s="10" t="n"/>
      <c r="G42" s="10" t="n"/>
      <c r="H42" s="10" t="n"/>
      <c r="I42" s="11" t="n"/>
      <c r="J42" s="46" t="inlineStr">
        <is>
          <t>・role: NICHINO_ADMIN
・登録画面、他項目有効値入力済</t>
        </is>
      </c>
      <c r="K42" s="10" t="n"/>
      <c r="L42" s="10" t="n"/>
      <c r="M42" s="10" t="n"/>
      <c r="N42" s="10" t="n"/>
      <c r="O42" s="10" t="n"/>
      <c r="P42" s="11" t="n"/>
      <c r="Q42" s="46" t="inlineStr">
        <is>
          <r>
            <rPr>
              <rFont val="メイリオ"/>
              <b val="1"/>
              <sz val="10"/>
            </rPr>
            <t xml:space="preserve">ステップ1：
</t>
          </r>
          <r>
            <rPr>
              <rFont val="メイリオ"/>
              <sz val="10"/>
            </rPr>
            <t xml:space="preserve">金融機関コードを空欄のまま登録
</t>
          </r>
          <r>
            <rPr>
              <rFont val="メイリオ"/>
              <b val="1"/>
              <sz val="10"/>
            </rPr>
            <t xml:space="preserve">ステップ2：
</t>
          </r>
          <r>
            <rPr>
              <rFont val="メイリオ"/>
              <sz val="10"/>
            </rPr>
            <t>半角・全角スペースのみ入力 → 登録</t>
          </r>
        </is>
      </c>
      <c r="R42" s="10" t="n"/>
      <c r="S42" s="10" t="n"/>
      <c r="T42" s="10" t="n"/>
      <c r="U42" s="10" t="n"/>
      <c r="V42" s="10" t="n"/>
      <c r="W42" s="11" t="n"/>
      <c r="X42" s="46" t="inlineStr">
        <is>
          <r>
            <rPr>
              <rFont val="メイリオ"/>
              <b val="1"/>
              <sz val="10"/>
            </rPr>
            <t xml:space="preserve">ステップ1：
</t>
          </r>
          <r>
            <rPr>
              <rFont val="メイリオ"/>
              <sz val="10"/>
            </rPr>
            <t xml:space="preserve">「必須項目です。」表示
</t>
          </r>
          <r>
            <rPr>
              <rFont val="メイリオ"/>
              <sz val="10"/>
            </rPr>
            <t xml:space="preserve">HTTPステータスコード：400
</t>
          </r>
          <r>
            <rPr>
              <rFont val="メイリオ"/>
              <sz val="10"/>
            </rPr>
            <t xml:space="preserve">error_code：VALIDATION_ERROR
</t>
          </r>
          <r>
            <rPr>
              <rFont val="メイリオ"/>
              <sz val="10"/>
            </rPr>
            <t xml:space="preserve">errors[] に { field: "bank_code", message: "金融機関コードを入力してください" }
</t>
          </r>
          <r>
            <rPr>
              <rFont val="メイリオ"/>
              <b val="1"/>
              <sz val="10"/>
            </rPr>
            <t xml:space="preserve">ステップ2：
</t>
          </r>
          <r>
            <rPr>
              <rFont val="メイリオ"/>
              <sz val="10"/>
            </rPr>
            <t xml:space="preserve">前後空白除去後、空欄として判定、「必須項目です。」表示
</t>
          </r>
          <r>
            <rPr>
              <rFont val="メイリオ"/>
              <sz val="10"/>
            </rPr>
            <t xml:space="preserve">HTTPステータスコード：400
</t>
          </r>
          <r>
            <rPr>
              <rFont val="メイリオ"/>
              <b val="1"/>
              <sz val="10"/>
            </rPr>
            <t xml:space="preserve">補足：
</t>
          </r>
          <r>
            <rPr>
              <rFont val="メイリオ"/>
              <sz val="10"/>
            </rPr>
            <t>・空欄／空白文字のみ入力すべて必須違反として扱われる</t>
          </r>
        </is>
      </c>
      <c r="Y42" s="10" t="n"/>
      <c r="Z42" s="10" t="n"/>
      <c r="AA42" s="10" t="n"/>
      <c r="AB42" s="10" t="n"/>
      <c r="AC42" s="10" t="n"/>
      <c r="AD42" s="11" t="n"/>
      <c r="AE42" s="45" t="inlineStr">
        <is>
          <t>A</t>
        </is>
      </c>
      <c r="AF42" s="11" t="n"/>
      <c r="AG42" s="45" t="inlineStr"/>
      <c r="AH42" s="10" t="n"/>
      <c r="AI42" s="11" t="n"/>
      <c r="AJ42" s="45" t="inlineStr"/>
      <c r="AK42" s="10" t="n"/>
      <c r="AL42" s="11" t="n"/>
      <c r="AM42" s="45" t="inlineStr"/>
      <c r="AN42" s="10" t="n"/>
      <c r="AO42" s="11" t="n"/>
      <c r="AP42" s="45" t="inlineStr"/>
      <c r="AQ42" s="10" t="n"/>
      <c r="AR42" s="11" t="n"/>
      <c r="AS42" s="45" t="inlineStr"/>
      <c r="AT42" s="10" t="n"/>
      <c r="AU42" s="11" t="n"/>
      <c r="AV42" s="45" t="inlineStr"/>
      <c r="AW42" s="10" t="n"/>
      <c r="AX42" s="11" t="n"/>
      <c r="AY42" s="45" t="inlineStr"/>
      <c r="AZ42" s="10" t="n"/>
      <c r="BA42" s="11" t="n"/>
      <c r="BB42" s="45" t="inlineStr"/>
      <c r="BC42" s="10" t="n"/>
      <c r="BD42" s="11" t="n"/>
      <c r="BE42" s="45" t="inlineStr"/>
      <c r="BF42" s="10" t="n"/>
      <c r="BG42" s="11" t="n"/>
      <c r="BH42" s="45" t="inlineStr"/>
      <c r="BI42" s="10" t="n"/>
      <c r="BJ42" s="11" t="n"/>
      <c r="BK42" s="46" t="inlineStr"/>
      <c r="BL42" s="10" t="n"/>
      <c r="BM42" s="10" t="n"/>
      <c r="BN42" s="10" t="n"/>
      <c r="BO42" s="10" t="n"/>
      <c r="BP42" s="10" t="n"/>
      <c r="BQ42" s="11" t="n"/>
    </row>
    <row r="43" ht="450" customHeight="1">
      <c r="A43" s="44" t="n">
        <v>28</v>
      </c>
      <c r="B43" s="46" t="inlineStr">
        <is>
          <t>ACSMS-TC-005-028</t>
        </is>
      </c>
      <c r="C43" s="10" t="n"/>
      <c r="D43" s="11" t="n"/>
      <c r="E43" s="46" t="inlineStr">
        <is>
          <t>金融機関コード — 4桁固定形式チェック</t>
        </is>
      </c>
      <c r="F43" s="10" t="n"/>
      <c r="G43" s="10" t="n"/>
      <c r="H43" s="10" t="n"/>
      <c r="I43" s="11" t="n"/>
      <c r="J43" s="46" t="inlineStr">
        <is>
          <t>・role: NICHINO_ADMIN
・登録画面、他項目有効値入力済</t>
        </is>
      </c>
      <c r="K43" s="10" t="n"/>
      <c r="L43" s="10" t="n"/>
      <c r="M43" s="10" t="n"/>
      <c r="N43" s="10" t="n"/>
      <c r="O43" s="10" t="n"/>
      <c r="P43" s="11" t="n"/>
      <c r="Q43" s="46" t="inlineStr">
        <is>
          <r>
            <rPr>
              <rFont val="メイリオ"/>
              <b val="1"/>
              <sz val="10"/>
            </rPr>
            <t xml:space="preserve">ステップ1：
</t>
          </r>
          <r>
            <rPr>
              <rFont val="メイリオ"/>
              <sz val="10"/>
            </rPr>
            <t xml:space="preserve">金融機関コードに `1234` (4桁) 入力 → 登録
</t>
          </r>
          <r>
            <rPr>
              <rFont val="メイリオ"/>
              <b val="1"/>
              <sz val="10"/>
            </rPr>
            <t xml:space="preserve">ステップ2：
</t>
          </r>
          <r>
            <rPr>
              <rFont val="メイリオ"/>
              <sz val="10"/>
            </rPr>
            <t xml:space="preserve">`123` (3桁) 入力 → 登録
</t>
          </r>
          <r>
            <rPr>
              <rFont val="メイリオ"/>
              <b val="1"/>
              <sz val="10"/>
            </rPr>
            <t xml:space="preserve">ステップ3：
</t>
          </r>
          <r>
            <rPr>
              <rFont val="メイリオ"/>
              <sz val="10"/>
            </rPr>
            <t xml:space="preserve">`12345` (5桁) 入力試行
</t>
          </r>
          <r>
            <rPr>
              <rFont val="メイリオ"/>
              <b val="1"/>
              <sz val="10"/>
            </rPr>
            <t xml:space="preserve">ステップ4：
</t>
          </r>
          <r>
            <rPr>
              <rFont val="メイリオ"/>
              <sz val="10"/>
            </rPr>
            <t xml:space="preserve">英字 `abcd` 入力 → 登録
</t>
          </r>
          <r>
            <rPr>
              <rFont val="メイリオ"/>
              <b val="1"/>
              <sz val="10"/>
            </rPr>
            <t xml:space="preserve">ステップ5：
</t>
          </r>
          <r>
            <rPr>
              <rFont val="メイリオ"/>
              <sz val="10"/>
            </rPr>
            <t>全角数字 `１２３４` 入力 → 登録</t>
          </r>
        </is>
      </c>
      <c r="R43" s="10" t="n"/>
      <c r="S43" s="10" t="n"/>
      <c r="T43" s="10" t="n"/>
      <c r="U43" s="10" t="n"/>
      <c r="V43" s="10" t="n"/>
      <c r="W43" s="11" t="n"/>
      <c r="X43" s="46" t="inlineStr">
        <is>
          <r>
            <rPr>
              <rFont val="メイリオ"/>
              <b val="1"/>
              <sz val="10"/>
            </rPr>
            <t xml:space="preserve">ステップ1：
</t>
          </r>
          <r>
            <rPr>
              <rFont val="メイリオ"/>
              <sz val="10"/>
            </rPr>
            <t xml:space="preserve">正常受付
</t>
          </r>
          <r>
            <rPr>
              <rFont val="メイリオ"/>
              <b val="1"/>
              <sz val="10"/>
            </rPr>
            <t xml:space="preserve">ステップ2：
</t>
          </r>
          <r>
            <rPr>
              <rFont val="メイリオ"/>
              <sz val="10"/>
            </rPr>
            <t xml:space="preserve">HTTPステータスコード：400
</t>
          </r>
          <r>
            <rPr>
              <rFont val="メイリオ"/>
              <sz val="10"/>
            </rPr>
            <t xml:space="preserve">error_code：VALIDATION_ERROR
</t>
          </r>
          <r>
            <rPr>
              <rFont val="メイリオ"/>
              <sz val="10"/>
            </rPr>
            <t xml:space="preserve">errors[] に { field: "bank_code", message: "金融機関コードは半角数字4桁で入力してください" }
</t>
          </r>
          <r>
            <rPr>
              <rFont val="メイリオ"/>
              <b val="1"/>
              <sz val="10"/>
            </rPr>
            <t xml:space="preserve">ステップ3：
</t>
          </r>
          <r>
            <rPr>
              <rFont val="メイリオ"/>
              <sz val="10"/>
            </rPr>
            <t xml:space="preserve">input maxlength により5桁目入力不可
</t>
          </r>
          <r>
            <rPr>
              <rFont val="メイリオ"/>
              <b val="1"/>
              <sz val="10"/>
            </rPr>
            <t xml:space="preserve">ステップ4：
</t>
          </r>
          <r>
            <rPr>
              <rFont val="メイリオ"/>
              <sz val="10"/>
            </rPr>
            <t xml:space="preserve">HTTPステータスコード：400
</t>
          </r>
          <r>
            <rPr>
              <rFont val="メイリオ"/>
              <sz val="10"/>
            </rPr>
            <t xml:space="preserve">error_code：VALIDATION_ERROR
</t>
          </r>
          <r>
            <rPr>
              <rFont val="メイリオ"/>
              <sz val="10"/>
            </rPr>
            <t xml:space="preserve">errors[] に { field: "bank_code", message: "金融機関コードは半角数字4桁で入力してください" }
</t>
          </r>
          <r>
            <rPr>
              <rFont val="メイリオ"/>
              <b val="1"/>
              <sz val="10"/>
            </rPr>
            <t xml:space="preserve">ステップ5：
</t>
          </r>
          <r>
            <rPr>
              <rFont val="メイリオ"/>
              <sz val="10"/>
            </rPr>
            <t xml:space="preserve">HTTPステータスコード：400
</t>
          </r>
          <r>
            <rPr>
              <rFont val="メイリオ"/>
              <sz val="10"/>
            </rPr>
            <t xml:space="preserve">error_code：VALIDATION_ERROR
</t>
          </r>
          <r>
            <rPr>
              <rFont val="メイリオ"/>
              <sz val="10"/>
            </rPr>
            <t xml:space="preserve">errors[] に { field: "bank_code", message: "金融機関コードは半角数字4桁で入力してください" }
</t>
          </r>
          <r>
            <rPr>
              <rFont val="メイリオ"/>
              <b val="1"/>
              <sz val="10"/>
            </rPr>
            <t xml:space="preserve">補足：
</t>
          </r>
          <r>
            <rPr>
              <rFont val="メイリオ"/>
              <sz val="10"/>
            </rPr>
            <t>・半角数字4桁固定、@Matches(/^\d{4}$/) で BE 検証</t>
          </r>
        </is>
      </c>
      <c r="Y43" s="10" t="n"/>
      <c r="Z43" s="10" t="n"/>
      <c r="AA43" s="10" t="n"/>
      <c r="AB43" s="10" t="n"/>
      <c r="AC43" s="10" t="n"/>
      <c r="AD43" s="11" t="n"/>
      <c r="AE43" s="45" t="inlineStr">
        <is>
          <t>B</t>
        </is>
      </c>
      <c r="AF43" s="11" t="n"/>
      <c r="AG43" s="45" t="inlineStr"/>
      <c r="AH43" s="10" t="n"/>
      <c r="AI43" s="11" t="n"/>
      <c r="AJ43" s="45" t="inlineStr"/>
      <c r="AK43" s="10" t="n"/>
      <c r="AL43" s="11" t="n"/>
      <c r="AM43" s="45" t="inlineStr"/>
      <c r="AN43" s="10" t="n"/>
      <c r="AO43" s="11" t="n"/>
      <c r="AP43" s="45" t="inlineStr"/>
      <c r="AQ43" s="10" t="n"/>
      <c r="AR43" s="11" t="n"/>
      <c r="AS43" s="45" t="inlineStr"/>
      <c r="AT43" s="10" t="n"/>
      <c r="AU43" s="11" t="n"/>
      <c r="AV43" s="45" t="inlineStr"/>
      <c r="AW43" s="10" t="n"/>
      <c r="AX43" s="11" t="n"/>
      <c r="AY43" s="45" t="inlineStr"/>
      <c r="AZ43" s="10" t="n"/>
      <c r="BA43" s="11" t="n"/>
      <c r="BB43" s="45" t="inlineStr"/>
      <c r="BC43" s="10" t="n"/>
      <c r="BD43" s="11" t="n"/>
      <c r="BE43" s="45" t="inlineStr"/>
      <c r="BF43" s="10" t="n"/>
      <c r="BG43" s="11" t="n"/>
      <c r="BH43" s="45" t="inlineStr"/>
      <c r="BI43" s="10" t="n"/>
      <c r="BJ43" s="11" t="n"/>
      <c r="BK43" s="46" t="inlineStr"/>
      <c r="BL43" s="10" t="n"/>
      <c r="BM43" s="10" t="n"/>
      <c r="BN43" s="10" t="n"/>
      <c r="BO43" s="10" t="n"/>
      <c r="BP43" s="10" t="n"/>
      <c r="BQ43" s="11" t="n"/>
    </row>
    <row r="44" ht="272" customHeight="1">
      <c r="A44" s="44" t="n">
        <v>29</v>
      </c>
      <c r="B44" s="46" t="inlineStr">
        <is>
          <t>ACSMS-TC-005-029</t>
        </is>
      </c>
      <c r="C44" s="10" t="n"/>
      <c r="D44" s="11" t="n"/>
      <c r="E44" s="46" t="inlineStr">
        <is>
          <t>金融機関名 — 必須チェック・最大100文字制限</t>
        </is>
      </c>
      <c r="F44" s="10" t="n"/>
      <c r="G44" s="10" t="n"/>
      <c r="H44" s="10" t="n"/>
      <c r="I44" s="11" t="n"/>
      <c r="J44" s="46" t="inlineStr">
        <is>
          <t>・role: NICHINO_ADMIN
・登録画面、他項目有効値入力済</t>
        </is>
      </c>
      <c r="K44" s="10" t="n"/>
      <c r="L44" s="10" t="n"/>
      <c r="M44" s="10" t="n"/>
      <c r="N44" s="10" t="n"/>
      <c r="O44" s="10" t="n"/>
      <c r="P44" s="11" t="n"/>
      <c r="Q44" s="46" t="inlineStr">
        <is>
          <r>
            <rPr>
              <rFont val="メイリオ"/>
              <b val="1"/>
              <sz val="10"/>
            </rPr>
            <t xml:space="preserve">ステップ1：
</t>
          </r>
          <r>
            <rPr>
              <rFont val="メイリオ"/>
              <sz val="10"/>
            </rPr>
            <t xml:space="preserve">金融機関名を空欄のまま登録
</t>
          </r>
          <r>
            <rPr>
              <rFont val="メイリオ"/>
              <b val="1"/>
              <sz val="10"/>
            </rPr>
            <t xml:space="preserve">ステップ2：
</t>
          </r>
          <r>
            <rPr>
              <rFont val="メイリオ"/>
              <sz val="10"/>
            </rPr>
            <t xml:space="preserve">100文字入力 → 登録
</t>
          </r>
          <r>
            <rPr>
              <rFont val="メイリオ"/>
              <b val="1"/>
              <sz val="10"/>
            </rPr>
            <t xml:space="preserve">ステップ3：
</t>
          </r>
          <r>
            <rPr>
              <rFont val="メイリオ"/>
              <sz val="10"/>
            </rPr>
            <t>101文字目入力試行</t>
          </r>
        </is>
      </c>
      <c r="R44" s="10" t="n"/>
      <c r="S44" s="10" t="n"/>
      <c r="T44" s="10" t="n"/>
      <c r="U44" s="10" t="n"/>
      <c r="V44" s="10" t="n"/>
      <c r="W44" s="11" t="n"/>
      <c r="X44" s="46" t="inlineStr">
        <is>
          <r>
            <rPr>
              <rFont val="メイリオ"/>
              <b val="1"/>
              <sz val="10"/>
            </rPr>
            <t xml:space="preserve">ステップ1：
</t>
          </r>
          <r>
            <rPr>
              <rFont val="メイリオ"/>
              <sz val="10"/>
            </rPr>
            <t xml:space="preserve">「必須項目です。」表示
</t>
          </r>
          <r>
            <rPr>
              <rFont val="メイリオ"/>
              <sz val="10"/>
            </rPr>
            <t xml:space="preserve">HTTPステータスコード：400
</t>
          </r>
          <r>
            <rPr>
              <rFont val="メイリオ"/>
              <sz val="10"/>
            </rPr>
            <t xml:space="preserve">error_code：VALIDATION_ERROR
</t>
          </r>
          <r>
            <rPr>
              <rFont val="メイリオ"/>
              <sz val="10"/>
            </rPr>
            <t xml:space="preserve">errors[] に { field: "bank_name", message: "金融機関名を入力してください" }
</t>
          </r>
          <r>
            <rPr>
              <rFont val="メイリオ"/>
              <b val="1"/>
              <sz val="10"/>
            </rPr>
            <t xml:space="preserve">ステップ2：
</t>
          </r>
          <r>
            <rPr>
              <rFont val="メイリオ"/>
              <sz val="10"/>
            </rPr>
            <t xml:space="preserve">正常受付
</t>
          </r>
          <r>
            <rPr>
              <rFont val="メイリオ"/>
              <b val="1"/>
              <sz val="10"/>
            </rPr>
            <t xml:space="preserve">ステップ3：
</t>
          </r>
          <r>
            <rPr>
              <rFont val="メイリオ"/>
              <sz val="10"/>
            </rPr>
            <t xml:space="preserve">maxlength により101文字目入力不可
</t>
          </r>
          <r>
            <rPr>
              <rFont val="メイリオ"/>
              <b val="1"/>
              <sz val="10"/>
            </rPr>
            <t xml:space="preserve">補足：
</t>
          </r>
          <r>
            <rPr>
              <rFont val="メイリオ"/>
              <sz val="10"/>
            </rPr>
            <t>・必須項目、最大100文字</t>
          </r>
        </is>
      </c>
      <c r="Y44" s="10" t="n"/>
      <c r="Z44" s="10" t="n"/>
      <c r="AA44" s="10" t="n"/>
      <c r="AB44" s="10" t="n"/>
      <c r="AC44" s="10" t="n"/>
      <c r="AD44" s="11" t="n"/>
      <c r="AE44" s="45" t="inlineStr">
        <is>
          <t>B</t>
        </is>
      </c>
      <c r="AF44" s="11" t="n"/>
      <c r="AG44" s="45" t="inlineStr"/>
      <c r="AH44" s="10" t="n"/>
      <c r="AI44" s="11" t="n"/>
      <c r="AJ44" s="45" t="inlineStr"/>
      <c r="AK44" s="10" t="n"/>
      <c r="AL44" s="11" t="n"/>
      <c r="AM44" s="45" t="inlineStr"/>
      <c r="AN44" s="10" t="n"/>
      <c r="AO44" s="11" t="n"/>
      <c r="AP44" s="45" t="inlineStr"/>
      <c r="AQ44" s="10" t="n"/>
      <c r="AR44" s="11" t="n"/>
      <c r="AS44" s="45" t="inlineStr"/>
      <c r="AT44" s="10" t="n"/>
      <c r="AU44" s="11" t="n"/>
      <c r="AV44" s="45" t="inlineStr"/>
      <c r="AW44" s="10" t="n"/>
      <c r="AX44" s="11" t="n"/>
      <c r="AY44" s="45" t="inlineStr"/>
      <c r="AZ44" s="10" t="n"/>
      <c r="BA44" s="11" t="n"/>
      <c r="BB44" s="45" t="inlineStr"/>
      <c r="BC44" s="10" t="n"/>
      <c r="BD44" s="11" t="n"/>
      <c r="BE44" s="45" t="inlineStr"/>
      <c r="BF44" s="10" t="n"/>
      <c r="BG44" s="11" t="n"/>
      <c r="BH44" s="45" t="inlineStr"/>
      <c r="BI44" s="10" t="n"/>
      <c r="BJ44" s="11" t="n"/>
      <c r="BK44" s="46" t="inlineStr"/>
      <c r="BL44" s="10" t="n"/>
      <c r="BM44" s="10" t="n"/>
      <c r="BN44" s="10" t="n"/>
      <c r="BO44" s="10" t="n"/>
      <c r="BP44" s="10" t="n"/>
      <c r="BQ44" s="11" t="n"/>
    </row>
    <row r="45" ht="450" customHeight="1">
      <c r="A45" s="44" t="n">
        <v>30</v>
      </c>
      <c r="B45" s="46" t="inlineStr">
        <is>
          <t>ACSMS-TC-005-030</t>
        </is>
      </c>
      <c r="C45" s="10" t="n"/>
      <c r="D45" s="11" t="n"/>
      <c r="E45" s="46" t="inlineStr">
        <is>
          <t>郵便番号 — 任意・7桁形式チェック</t>
        </is>
      </c>
      <c r="F45" s="10" t="n"/>
      <c r="G45" s="10" t="n"/>
      <c r="H45" s="10" t="n"/>
      <c r="I45" s="11" t="n"/>
      <c r="J45" s="46" t="inlineStr">
        <is>
          <t>・role: NICHINO_ADMIN
・登録画面、他項目有効値入力済</t>
        </is>
      </c>
      <c r="K45" s="10" t="n"/>
      <c r="L45" s="10" t="n"/>
      <c r="M45" s="10" t="n"/>
      <c r="N45" s="10" t="n"/>
      <c r="O45" s="10" t="n"/>
      <c r="P45" s="11" t="n"/>
      <c r="Q45" s="46" t="inlineStr">
        <is>
          <r>
            <rPr>
              <rFont val="メイリオ"/>
              <b val="1"/>
              <sz val="10"/>
            </rPr>
            <t xml:space="preserve">ステップ1：
</t>
          </r>
          <r>
            <rPr>
              <rFont val="メイリオ"/>
              <sz val="10"/>
            </rPr>
            <t xml:space="preserve">郵便番号を空欄のまま登録
</t>
          </r>
          <r>
            <rPr>
              <rFont val="メイリオ"/>
              <b val="1"/>
              <sz val="10"/>
            </rPr>
            <t xml:space="preserve">ステップ2：
</t>
          </r>
          <r>
            <rPr>
              <rFont val="メイリオ"/>
              <sz val="10"/>
            </rPr>
            <t xml:space="preserve">`1000001` (7桁) 入力 → 登録
</t>
          </r>
          <r>
            <rPr>
              <rFont val="メイリオ"/>
              <b val="1"/>
              <sz val="10"/>
            </rPr>
            <t xml:space="preserve">ステップ3：
</t>
          </r>
          <r>
            <rPr>
              <rFont val="メイリオ"/>
              <sz val="10"/>
            </rPr>
            <t xml:space="preserve">`100-0001` (ハイフン付き) 入力 → 登録
</t>
          </r>
          <r>
            <rPr>
              <rFont val="メイリオ"/>
              <b val="1"/>
              <sz val="10"/>
            </rPr>
            <t xml:space="preserve">ステップ4：
</t>
          </r>
          <r>
            <rPr>
              <rFont val="メイリオ"/>
              <sz val="10"/>
            </rPr>
            <t xml:space="preserve">`123456` (6桁) 入力 → 登録
</t>
          </r>
          <r>
            <rPr>
              <rFont val="メイリオ"/>
              <b val="1"/>
              <sz val="10"/>
            </rPr>
            <t xml:space="preserve">ステップ5：
</t>
          </r>
          <r>
            <rPr>
              <rFont val="メイリオ"/>
              <sz val="10"/>
            </rPr>
            <t>全角数字 `１２３４５６７` 入力 → 登録</t>
          </r>
        </is>
      </c>
      <c r="R45" s="10" t="n"/>
      <c r="S45" s="10" t="n"/>
      <c r="T45" s="10" t="n"/>
      <c r="U45" s="10" t="n"/>
      <c r="V45" s="10" t="n"/>
      <c r="W45" s="11" t="n"/>
      <c r="X45" s="46" t="inlineStr">
        <is>
          <r>
            <rPr>
              <rFont val="メイリオ"/>
              <b val="1"/>
              <sz val="10"/>
            </rPr>
            <t xml:space="preserve">ステップ1：
</t>
          </r>
          <r>
            <rPr>
              <rFont val="メイリオ"/>
              <sz val="10"/>
            </rPr>
            <t xml:space="preserve">正常受付（任意項目）、DB に空文字保存
</t>
          </r>
          <r>
            <rPr>
              <rFont val="メイリオ"/>
              <b val="1"/>
              <sz val="10"/>
            </rPr>
            <t xml:space="preserve">ステップ2：
</t>
          </r>
          <r>
            <rPr>
              <rFont val="メイリオ"/>
              <sz val="10"/>
            </rPr>
            <t xml:space="preserve">正常受付、DB に `1000001` 保存
</t>
          </r>
          <r>
            <rPr>
              <rFont val="メイリオ"/>
              <b val="1"/>
              <sz val="10"/>
            </rPr>
            <t xml:space="preserve">ステップ3：
</t>
          </r>
          <r>
            <rPr>
              <rFont val="メイリオ"/>
              <sz val="10"/>
            </rPr>
            <t xml:space="preserve">HTTPステータスコード：400
</t>
          </r>
          <r>
            <rPr>
              <rFont val="メイリオ"/>
              <sz val="10"/>
            </rPr>
            <t xml:space="preserve">error_code：VALIDATION_ERROR
</t>
          </r>
          <r>
            <rPr>
              <rFont val="メイリオ"/>
              <sz val="10"/>
            </rPr>
            <t xml:space="preserve">errors[] に { field: "yubin_no", message: "郵便番号は数字のみ（ハイフンなし）入力可能です。" }
</t>
          </r>
          <r>
            <rPr>
              <rFont val="メイリオ"/>
              <b val="1"/>
              <sz val="10"/>
            </rPr>
            <t xml:space="preserve">ステップ4：
</t>
          </r>
          <r>
            <rPr>
              <rFont val="メイリオ"/>
              <sz val="10"/>
            </rPr>
            <t xml:space="preserve">HTTPステータスコード：400
</t>
          </r>
          <r>
            <rPr>
              <rFont val="メイリオ"/>
              <sz val="10"/>
            </rPr>
            <t xml:space="preserve">error_code：VALIDATION_ERROR
</t>
          </r>
          <r>
            <rPr>
              <rFont val="メイリオ"/>
              <sz val="10"/>
            </rPr>
            <t xml:space="preserve">errors[] に { field: "yubin_no", message: "郵便番号は数字のみ（ハイフンなし）入力可能です。" }
</t>
          </r>
          <r>
            <rPr>
              <rFont val="メイリオ"/>
              <b val="1"/>
              <sz val="10"/>
            </rPr>
            <t xml:space="preserve">ステップ5：
</t>
          </r>
          <r>
            <rPr>
              <rFont val="メイリオ"/>
              <sz val="10"/>
            </rPr>
            <t xml:space="preserve">HTTPステータスコード：400
</t>
          </r>
          <r>
            <rPr>
              <rFont val="メイリオ"/>
              <sz val="10"/>
            </rPr>
            <t xml:space="preserve">error_code：VALIDATION_ERROR
</t>
          </r>
          <r>
            <rPr>
              <rFont val="メイリオ"/>
              <sz val="10"/>
            </rPr>
            <t xml:space="preserve">errors[] に { field: "yubin_no", message: "郵便番号は数字のみ（ハイフンなし）入力可能です。" }
</t>
          </r>
          <r>
            <rPr>
              <rFont val="メイリオ"/>
              <b val="1"/>
              <sz val="10"/>
            </rPr>
            <t xml:space="preserve">補足：
</t>
          </r>
          <r>
            <rPr>
              <rFont val="メイリオ"/>
              <sz val="10"/>
            </rPr>
            <t xml:space="preserve">・7桁固定、半角数字のみ（ハイフンなし）
</t>
          </r>
          <r>
            <rPr>
              <rFont val="メイリオ"/>
              <sz val="10"/>
            </rPr>
            <t xml:space="preserve">・ACSMS-MSG-005-003 該当（screen-design.md にタイポあり、本テストでは修正版を使用）
</t>
          </r>
          <r>
            <rPr>
              <rFont val="メイリオ"/>
              <sz val="10"/>
            </rPr>
            <t>・任意項目のため空欄登録可</t>
          </r>
        </is>
      </c>
      <c r="Y45" s="10" t="n"/>
      <c r="Z45" s="10" t="n"/>
      <c r="AA45" s="10" t="n"/>
      <c r="AB45" s="10" t="n"/>
      <c r="AC45" s="10" t="n"/>
      <c r="AD45" s="11" t="n"/>
      <c r="AE45" s="45" t="inlineStr">
        <is>
          <t>B</t>
        </is>
      </c>
      <c r="AF45" s="11" t="n"/>
      <c r="AG45" s="45" t="inlineStr"/>
      <c r="AH45" s="10" t="n"/>
      <c r="AI45" s="11" t="n"/>
      <c r="AJ45" s="45" t="inlineStr"/>
      <c r="AK45" s="10" t="n"/>
      <c r="AL45" s="11" t="n"/>
      <c r="AM45" s="45" t="inlineStr"/>
      <c r="AN45" s="10" t="n"/>
      <c r="AO45" s="11" t="n"/>
      <c r="AP45" s="45" t="inlineStr"/>
      <c r="AQ45" s="10" t="n"/>
      <c r="AR45" s="11" t="n"/>
      <c r="AS45" s="45" t="inlineStr"/>
      <c r="AT45" s="10" t="n"/>
      <c r="AU45" s="11" t="n"/>
      <c r="AV45" s="45" t="inlineStr"/>
      <c r="AW45" s="10" t="n"/>
      <c r="AX45" s="11" t="n"/>
      <c r="AY45" s="45" t="inlineStr"/>
      <c r="AZ45" s="10" t="n"/>
      <c r="BA45" s="11" t="n"/>
      <c r="BB45" s="45" t="inlineStr"/>
      <c r="BC45" s="10" t="n"/>
      <c r="BD45" s="11" t="n"/>
      <c r="BE45" s="45" t="inlineStr"/>
      <c r="BF45" s="10" t="n"/>
      <c r="BG45" s="11" t="n"/>
      <c r="BH45" s="45" t="inlineStr"/>
      <c r="BI45" s="10" t="n"/>
      <c r="BJ45" s="11" t="n"/>
      <c r="BK45" s="46" t="inlineStr">
        <is>
          <t>メッセージリテラルは ACSMS-MSG-005-003 を参照（screen-design.md L113 の重複「郵便番号は」はタイポ、修正後の正式版「郵便番号は数字のみ（ハイフンなし）入力可能です。」を採用）。設計書の正式修正後に再確認。</t>
        </is>
      </c>
      <c r="BL45" s="10" t="n"/>
      <c r="BM45" s="10" t="n"/>
      <c r="BN45" s="10" t="n"/>
      <c r="BO45" s="10" t="n"/>
      <c r="BP45" s="10" t="n"/>
      <c r="BQ45" s="11" t="n"/>
    </row>
    <row r="46" ht="448" customHeight="1">
      <c r="A46" s="44" t="n">
        <v>31</v>
      </c>
      <c r="B46" s="46" t="inlineStr">
        <is>
          <t>ACSMS-TC-005-031</t>
        </is>
      </c>
      <c r="C46" s="10" t="n"/>
      <c r="D46" s="11" t="n"/>
      <c r="E46" s="46" t="inlineStr">
        <is>
          <t>電話番号 — 半角数字のみ・最大15桁</t>
        </is>
      </c>
      <c r="F46" s="10" t="n"/>
      <c r="G46" s="10" t="n"/>
      <c r="H46" s="10" t="n"/>
      <c r="I46" s="11" t="n"/>
      <c r="J46" s="46" t="inlineStr">
        <is>
          <t>・role: NICHINO_ADMIN
・登録画面、他項目有効値入力済</t>
        </is>
      </c>
      <c r="K46" s="10" t="n"/>
      <c r="L46" s="10" t="n"/>
      <c r="M46" s="10" t="n"/>
      <c r="N46" s="10" t="n"/>
      <c r="O46" s="10" t="n"/>
      <c r="P46" s="11" t="n"/>
      <c r="Q46" s="46" t="inlineStr">
        <is>
          <r>
            <rPr>
              <rFont val="メイリオ"/>
              <b val="1"/>
              <sz val="10"/>
            </rPr>
            <t xml:space="preserve">ステップ1：
</t>
          </r>
          <r>
            <rPr>
              <rFont val="メイリオ"/>
              <sz val="10"/>
            </rPr>
            <t xml:space="preserve">電話番号を空欄のまま登録
</t>
          </r>
          <r>
            <rPr>
              <rFont val="メイリオ"/>
              <b val="1"/>
              <sz val="10"/>
            </rPr>
            <t xml:space="preserve">ステップ2：
</t>
          </r>
          <r>
            <rPr>
              <rFont val="メイリオ"/>
              <sz val="10"/>
            </rPr>
            <t xml:space="preserve">`0312345678` (10桁) 入力 → 登録
</t>
          </r>
          <r>
            <rPr>
              <rFont val="メイリオ"/>
              <b val="1"/>
              <sz val="10"/>
            </rPr>
            <t xml:space="preserve">ステップ3：
</t>
          </r>
          <r>
            <rPr>
              <rFont val="メイリオ"/>
              <sz val="10"/>
            </rPr>
            <t xml:space="preserve">`03-1234-5678` (ハイフン付き) 入力 → 登録
</t>
          </r>
          <r>
            <rPr>
              <rFont val="メイリオ"/>
              <b val="1"/>
              <sz val="10"/>
            </rPr>
            <t xml:space="preserve">ステップ4：
</t>
          </r>
          <r>
            <rPr>
              <rFont val="メイリオ"/>
              <sz val="10"/>
            </rPr>
            <t xml:space="preserve">`123456789012345` (15桁) 入力 → 登録
</t>
          </r>
          <r>
            <rPr>
              <rFont val="メイリオ"/>
              <b val="1"/>
              <sz val="10"/>
            </rPr>
            <t xml:space="preserve">ステップ5：
</t>
          </r>
          <r>
            <rPr>
              <rFont val="メイリオ"/>
              <sz val="10"/>
            </rPr>
            <t>16桁目入力試行</t>
          </r>
        </is>
      </c>
      <c r="R46" s="10" t="n"/>
      <c r="S46" s="10" t="n"/>
      <c r="T46" s="10" t="n"/>
      <c r="U46" s="10" t="n"/>
      <c r="V46" s="10" t="n"/>
      <c r="W46" s="11" t="n"/>
      <c r="X46" s="46" t="inlineStr">
        <is>
          <r>
            <rPr>
              <rFont val="メイリオ"/>
              <b val="1"/>
              <sz val="10"/>
            </rPr>
            <t xml:space="preserve">ステップ1：
</t>
          </r>
          <r>
            <rPr>
              <rFont val="メイリオ"/>
              <sz val="10"/>
            </rPr>
            <t xml:space="preserve">正常受付（任意項目）
</t>
          </r>
          <r>
            <rPr>
              <rFont val="メイリオ"/>
              <b val="1"/>
              <sz val="10"/>
            </rPr>
            <t xml:space="preserve">ステップ2：
</t>
          </r>
          <r>
            <rPr>
              <rFont val="メイリオ"/>
              <sz val="10"/>
            </rPr>
            <t xml:space="preserve">正常受付、DB に `0312345678` 保存
</t>
          </r>
          <r>
            <rPr>
              <rFont val="メイリオ"/>
              <b val="1"/>
              <sz val="10"/>
            </rPr>
            <t xml:space="preserve">ステップ3：
</t>
          </r>
          <r>
            <rPr>
              <rFont val="メイリオ"/>
              <sz val="10"/>
            </rPr>
            <t xml:space="preserve">HTTPステータスコード：400
</t>
          </r>
          <r>
            <rPr>
              <rFont val="メイリオ"/>
              <sz val="10"/>
            </rPr>
            <t xml:space="preserve">error_code：VALIDATION_ERROR
</t>
          </r>
          <r>
            <rPr>
              <rFont val="メイリオ"/>
              <sz val="10"/>
            </rPr>
            <t xml:space="preserve">errors[] に { field: "tel", message: "電話番号は数字のみ（ハイフンなし）入力可能です。" }
</t>
          </r>
          <r>
            <rPr>
              <rFont val="メイリオ"/>
              <b val="1"/>
              <sz val="10"/>
            </rPr>
            <t xml:space="preserve">ステップ4：
</t>
          </r>
          <r>
            <rPr>
              <rFont val="メイリオ"/>
              <sz val="10"/>
            </rPr>
            <t xml:space="preserve">正常受付（最大長境界値）
</t>
          </r>
          <r>
            <rPr>
              <rFont val="メイリオ"/>
              <b val="1"/>
              <sz val="10"/>
            </rPr>
            <t xml:space="preserve">ステップ5：
</t>
          </r>
          <r>
            <rPr>
              <rFont val="メイリオ"/>
              <sz val="10"/>
            </rPr>
            <t xml:space="preserve">maxlength により16桁目入力不可
</t>
          </r>
          <r>
            <rPr>
              <rFont val="メイリオ"/>
              <b val="1"/>
              <sz val="10"/>
            </rPr>
            <t xml:space="preserve">補足：
</t>
          </r>
          <r>
            <rPr>
              <rFont val="メイリオ"/>
              <sz val="10"/>
            </rPr>
            <t xml:space="preserve">・任意項目、半角数字のみ（ハイフンなし）、最大15桁
</t>
          </r>
          <r>
            <rPr>
              <rFont val="メイリオ"/>
              <sz val="10"/>
            </rPr>
            <t xml:space="preserve">・ACSMS-MSG-005-006 該当
</t>
          </r>
          <r>
            <rPr>
              <rFont val="メイリオ"/>
              <sz val="10"/>
            </rPr>
            <t>・FE のプレースホルダーは `0312345678`</t>
          </r>
        </is>
      </c>
      <c r="Y46" s="10" t="n"/>
      <c r="Z46" s="10" t="n"/>
      <c r="AA46" s="10" t="n"/>
      <c r="AB46" s="10" t="n"/>
      <c r="AC46" s="10" t="n"/>
      <c r="AD46" s="11" t="n"/>
      <c r="AE46" s="45" t="inlineStr">
        <is>
          <t>B</t>
        </is>
      </c>
      <c r="AF46" s="11" t="n"/>
      <c r="AG46" s="45" t="inlineStr"/>
      <c r="AH46" s="10" t="n"/>
      <c r="AI46" s="11" t="n"/>
      <c r="AJ46" s="45" t="inlineStr"/>
      <c r="AK46" s="10" t="n"/>
      <c r="AL46" s="11" t="n"/>
      <c r="AM46" s="45" t="inlineStr"/>
      <c r="AN46" s="10" t="n"/>
      <c r="AO46" s="11" t="n"/>
      <c r="AP46" s="45" t="inlineStr"/>
      <c r="AQ46" s="10" t="n"/>
      <c r="AR46" s="11" t="n"/>
      <c r="AS46" s="45" t="inlineStr"/>
      <c r="AT46" s="10" t="n"/>
      <c r="AU46" s="11" t="n"/>
      <c r="AV46" s="45" t="inlineStr"/>
      <c r="AW46" s="10" t="n"/>
      <c r="AX46" s="11" t="n"/>
      <c r="AY46" s="45" t="inlineStr"/>
      <c r="AZ46" s="10" t="n"/>
      <c r="BA46" s="11" t="n"/>
      <c r="BB46" s="45" t="inlineStr"/>
      <c r="BC46" s="10" t="n"/>
      <c r="BD46" s="11" t="n"/>
      <c r="BE46" s="45" t="inlineStr"/>
      <c r="BF46" s="10" t="n"/>
      <c r="BG46" s="11" t="n"/>
      <c r="BH46" s="45" t="inlineStr"/>
      <c r="BI46" s="10" t="n"/>
      <c r="BJ46" s="11" t="n"/>
      <c r="BK46" s="46" t="inlineStr"/>
      <c r="BL46" s="10" t="n"/>
      <c r="BM46" s="10" t="n"/>
      <c r="BN46" s="10" t="n"/>
      <c r="BO46" s="10" t="n"/>
      <c r="BP46" s="10" t="n"/>
      <c r="BQ46" s="11" t="n"/>
    </row>
    <row r="47" ht="400" customHeight="1">
      <c r="A47" s="44" t="n">
        <v>32</v>
      </c>
      <c r="B47" s="46" t="inlineStr">
        <is>
          <t>ACSMS-TC-005-032</t>
        </is>
      </c>
      <c r="C47" s="10" t="n"/>
      <c r="D47" s="11" t="n"/>
      <c r="E47" s="46" t="inlineStr">
        <is>
          <t>FAX — 半角数字のみ・最大15桁</t>
        </is>
      </c>
      <c r="F47" s="10" t="n"/>
      <c r="G47" s="10" t="n"/>
      <c r="H47" s="10" t="n"/>
      <c r="I47" s="11" t="n"/>
      <c r="J47" s="46" t="inlineStr">
        <is>
          <t>・role: NICHINO_ADMIN
・登録画面、他項目有効値入力済</t>
        </is>
      </c>
      <c r="K47" s="10" t="n"/>
      <c r="L47" s="10" t="n"/>
      <c r="M47" s="10" t="n"/>
      <c r="N47" s="10" t="n"/>
      <c r="O47" s="10" t="n"/>
      <c r="P47" s="11" t="n"/>
      <c r="Q47" s="46" t="inlineStr">
        <is>
          <r>
            <rPr>
              <rFont val="メイリオ"/>
              <b val="1"/>
              <sz val="10"/>
            </rPr>
            <t xml:space="preserve">ステップ1：
</t>
          </r>
          <r>
            <rPr>
              <rFont val="メイリオ"/>
              <sz val="10"/>
            </rPr>
            <t xml:space="preserve">FAXを空欄のまま登録
</t>
          </r>
          <r>
            <rPr>
              <rFont val="メイリオ"/>
              <b val="1"/>
              <sz val="10"/>
            </rPr>
            <t xml:space="preserve">ステップ2：
</t>
          </r>
          <r>
            <rPr>
              <rFont val="メイリオ"/>
              <sz val="10"/>
            </rPr>
            <t xml:space="preserve">`0312345679` (10桁) 入力 → 登録
</t>
          </r>
          <r>
            <rPr>
              <rFont val="メイリオ"/>
              <b val="1"/>
              <sz val="10"/>
            </rPr>
            <t xml:space="preserve">ステップ3：
</t>
          </r>
          <r>
            <rPr>
              <rFont val="メイリオ"/>
              <sz val="10"/>
            </rPr>
            <t xml:space="preserve">`03-1234-5679` (ハイフン付き) 入力 → 登録
</t>
          </r>
          <r>
            <rPr>
              <rFont val="メイリオ"/>
              <b val="1"/>
              <sz val="10"/>
            </rPr>
            <t xml:space="preserve">ステップ4：
</t>
          </r>
          <r>
            <rPr>
              <rFont val="メイリオ"/>
              <sz val="10"/>
            </rPr>
            <t>英字 `abc` 入力 → 登録</t>
          </r>
        </is>
      </c>
      <c r="R47" s="10" t="n"/>
      <c r="S47" s="10" t="n"/>
      <c r="T47" s="10" t="n"/>
      <c r="U47" s="10" t="n"/>
      <c r="V47" s="10" t="n"/>
      <c r="W47" s="11" t="n"/>
      <c r="X47" s="46" t="inlineStr">
        <is>
          <r>
            <rPr>
              <rFont val="メイリオ"/>
              <b val="1"/>
              <sz val="10"/>
            </rPr>
            <t xml:space="preserve">ステップ1：
</t>
          </r>
          <r>
            <rPr>
              <rFont val="メイリオ"/>
              <sz val="10"/>
            </rPr>
            <t xml:space="preserve">正常受付（任意項目）
</t>
          </r>
          <r>
            <rPr>
              <rFont val="メイリオ"/>
              <b val="1"/>
              <sz val="10"/>
            </rPr>
            <t xml:space="preserve">ステップ2：
</t>
          </r>
          <r>
            <rPr>
              <rFont val="メイリオ"/>
              <sz val="10"/>
            </rPr>
            <t xml:space="preserve">正常受付、DB に `0312345679` 保存
</t>
          </r>
          <r>
            <rPr>
              <rFont val="メイリオ"/>
              <b val="1"/>
              <sz val="10"/>
            </rPr>
            <t xml:space="preserve">ステップ3：
</t>
          </r>
          <r>
            <rPr>
              <rFont val="メイリオ"/>
              <sz val="10"/>
            </rPr>
            <t xml:space="preserve">HTTPステータスコード：400
</t>
          </r>
          <r>
            <rPr>
              <rFont val="メイリオ"/>
              <sz val="10"/>
            </rPr>
            <t xml:space="preserve">error_code：VALIDATION_ERROR
</t>
          </r>
          <r>
            <rPr>
              <rFont val="メイリオ"/>
              <sz val="10"/>
            </rPr>
            <t xml:space="preserve">errors[] に { field: "fax", message: "FAXは数字のみ（ハイフンなし）入力可能です。" }
</t>
          </r>
          <r>
            <rPr>
              <rFont val="メイリオ"/>
              <b val="1"/>
              <sz val="10"/>
            </rPr>
            <t xml:space="preserve">ステップ4：
</t>
          </r>
          <r>
            <rPr>
              <rFont val="メイリオ"/>
              <sz val="10"/>
            </rPr>
            <t xml:space="preserve">HTTPステータスコード：400
</t>
          </r>
          <r>
            <rPr>
              <rFont val="メイリオ"/>
              <sz val="10"/>
            </rPr>
            <t xml:space="preserve">error_code：VALIDATION_ERROR
</t>
          </r>
          <r>
            <rPr>
              <rFont val="メイリオ"/>
              <sz val="10"/>
            </rPr>
            <t xml:space="preserve">errors[] に { field: "fax", message: "FAXは数字のみ（ハイフンなし）入力可能です。" }
</t>
          </r>
          <r>
            <rPr>
              <rFont val="メイリオ"/>
              <b val="1"/>
              <sz val="10"/>
            </rPr>
            <t xml:space="preserve">補足：
</t>
          </r>
          <r>
            <rPr>
              <rFont val="メイリオ"/>
              <sz val="10"/>
            </rPr>
            <t xml:space="preserve">・任意項目、半角数字のみ（ハイフンなし）、最大15桁
</t>
          </r>
          <r>
            <rPr>
              <rFont val="メイリオ"/>
              <sz val="10"/>
            </rPr>
            <t>・ACSMS-MSG-005-007 該当</t>
          </r>
        </is>
      </c>
      <c r="Y47" s="10" t="n"/>
      <c r="Z47" s="10" t="n"/>
      <c r="AA47" s="10" t="n"/>
      <c r="AB47" s="10" t="n"/>
      <c r="AC47" s="10" t="n"/>
      <c r="AD47" s="11" t="n"/>
      <c r="AE47" s="45" t="inlineStr">
        <is>
          <t>B</t>
        </is>
      </c>
      <c r="AF47" s="11" t="n"/>
      <c r="AG47" s="45" t="inlineStr"/>
      <c r="AH47" s="10" t="n"/>
      <c r="AI47" s="11" t="n"/>
      <c r="AJ47" s="45" t="inlineStr"/>
      <c r="AK47" s="10" t="n"/>
      <c r="AL47" s="11" t="n"/>
      <c r="AM47" s="45" t="inlineStr"/>
      <c r="AN47" s="10" t="n"/>
      <c r="AO47" s="11" t="n"/>
      <c r="AP47" s="45" t="inlineStr"/>
      <c r="AQ47" s="10" t="n"/>
      <c r="AR47" s="11" t="n"/>
      <c r="AS47" s="45" t="inlineStr"/>
      <c r="AT47" s="10" t="n"/>
      <c r="AU47" s="11" t="n"/>
      <c r="AV47" s="45" t="inlineStr"/>
      <c r="AW47" s="10" t="n"/>
      <c r="AX47" s="11" t="n"/>
      <c r="AY47" s="45" t="inlineStr"/>
      <c r="AZ47" s="10" t="n"/>
      <c r="BA47" s="11" t="n"/>
      <c r="BB47" s="45" t="inlineStr"/>
      <c r="BC47" s="10" t="n"/>
      <c r="BD47" s="11" t="n"/>
      <c r="BE47" s="45" t="inlineStr"/>
      <c r="BF47" s="10" t="n"/>
      <c r="BG47" s="11" t="n"/>
      <c r="BH47" s="45" t="inlineStr"/>
      <c r="BI47" s="10" t="n"/>
      <c r="BJ47" s="11" t="n"/>
      <c r="BK47" s="46" t="inlineStr"/>
      <c r="BL47" s="10" t="n"/>
      <c r="BM47" s="10" t="n"/>
      <c r="BN47" s="10" t="n"/>
      <c r="BO47" s="10" t="n"/>
      <c r="BP47" s="10" t="n"/>
      <c r="BQ47" s="11" t="n"/>
    </row>
    <row r="48" ht="450" customHeight="1">
      <c r="A48" s="44" t="n">
        <v>33</v>
      </c>
      <c r="B48" s="46" t="inlineStr">
        <is>
          <t>ACSMS-TC-005-033</t>
        </is>
      </c>
      <c r="C48" s="10" t="n"/>
      <c r="D48" s="11" t="n"/>
      <c r="E48" s="46" t="inlineStr">
        <is>
          <t>メールアドレス — 形式チェック・最大100文字制限</t>
        </is>
      </c>
      <c r="F48" s="10" t="n"/>
      <c r="G48" s="10" t="n"/>
      <c r="H48" s="10" t="n"/>
      <c r="I48" s="11" t="n"/>
      <c r="J48" s="46" t="inlineStr">
        <is>
          <t>・role: NICHINO_ADMIN
・登録画面、他項目有効値入力済</t>
        </is>
      </c>
      <c r="K48" s="10" t="n"/>
      <c r="L48" s="10" t="n"/>
      <c r="M48" s="10" t="n"/>
      <c r="N48" s="10" t="n"/>
      <c r="O48" s="10" t="n"/>
      <c r="P48" s="11" t="n"/>
      <c r="Q48" s="46" t="inlineStr">
        <is>
          <r>
            <rPr>
              <rFont val="メイリオ"/>
              <b val="1"/>
              <sz val="10"/>
            </rPr>
            <t xml:space="preserve">ステップ1：
</t>
          </r>
          <r>
            <rPr>
              <rFont val="メイリオ"/>
              <sz val="10"/>
            </rPr>
            <t xml:space="preserve">メールアドレスを空欄のまま登録
</t>
          </r>
          <r>
            <rPr>
              <rFont val="メイリオ"/>
              <b val="1"/>
              <sz val="10"/>
            </rPr>
            <t xml:space="preserve">ステップ2：
</t>
          </r>
          <r>
            <rPr>
              <rFont val="メイリオ"/>
              <sz val="10"/>
            </rPr>
            <t xml:space="preserve">`info@ja-tokyo.or.jp` 入力 → 登録
</t>
          </r>
          <r>
            <rPr>
              <rFont val="メイリオ"/>
              <b val="1"/>
              <sz val="10"/>
            </rPr>
            <t xml:space="preserve">ステップ3：
</t>
          </r>
          <r>
            <rPr>
              <rFont val="メイリオ"/>
              <sz val="10"/>
            </rPr>
            <t xml:space="preserve">`invalid-email` (＠なし) 入力 → 登録
</t>
          </r>
          <r>
            <rPr>
              <rFont val="メイリオ"/>
              <b val="1"/>
              <sz val="10"/>
            </rPr>
            <t xml:space="preserve">ステップ4：
</t>
          </r>
          <r>
            <rPr>
              <rFont val="メイリオ"/>
              <sz val="10"/>
            </rPr>
            <t xml:space="preserve">`abc@` (ドメインなし) 入力 → 登録
</t>
          </r>
          <r>
            <rPr>
              <rFont val="メイリオ"/>
              <b val="1"/>
              <sz val="10"/>
            </rPr>
            <t xml:space="preserve">ステップ5：
</t>
          </r>
          <r>
            <rPr>
              <rFont val="メイリオ"/>
              <sz val="10"/>
            </rPr>
            <t>100文字超のメールアドレス入力試行</t>
          </r>
        </is>
      </c>
      <c r="R48" s="10" t="n"/>
      <c r="S48" s="10" t="n"/>
      <c r="T48" s="10" t="n"/>
      <c r="U48" s="10" t="n"/>
      <c r="V48" s="10" t="n"/>
      <c r="W48" s="11" t="n"/>
      <c r="X48" s="46" t="inlineStr">
        <is>
          <r>
            <rPr>
              <rFont val="メイリオ"/>
              <b val="1"/>
              <sz val="10"/>
            </rPr>
            <t xml:space="preserve">ステップ1：
</t>
          </r>
          <r>
            <rPr>
              <rFont val="メイリオ"/>
              <sz val="10"/>
            </rPr>
            <t xml:space="preserve">正常受付（任意項目）
</t>
          </r>
          <r>
            <rPr>
              <rFont val="メイリオ"/>
              <b val="1"/>
              <sz val="10"/>
            </rPr>
            <t xml:space="preserve">ステップ2：
</t>
          </r>
          <r>
            <rPr>
              <rFont val="メイリオ"/>
              <sz val="10"/>
            </rPr>
            <t xml:space="preserve">正常受付、DB に保存
</t>
          </r>
          <r>
            <rPr>
              <rFont val="メイリオ"/>
              <b val="1"/>
              <sz val="10"/>
            </rPr>
            <t xml:space="preserve">ステップ3：
</t>
          </r>
          <r>
            <rPr>
              <rFont val="メイリオ"/>
              <sz val="10"/>
            </rPr>
            <t xml:space="preserve">HTTPステータスコード：400
</t>
          </r>
          <r>
            <rPr>
              <rFont val="メイリオ"/>
              <sz val="10"/>
            </rPr>
            <t xml:space="preserve">error_code：VALIDATION_ERROR
</t>
          </r>
          <r>
            <rPr>
              <rFont val="メイリオ"/>
              <sz val="10"/>
            </rPr>
            <t xml:space="preserve">errors[] に { field: "email", message: "有効なメールアドレスを入力してください。" }
</t>
          </r>
          <r>
            <rPr>
              <rFont val="メイリオ"/>
              <b val="1"/>
              <sz val="10"/>
            </rPr>
            <t xml:space="preserve">ステップ4：
</t>
          </r>
          <r>
            <rPr>
              <rFont val="メイリオ"/>
              <sz val="10"/>
            </rPr>
            <t xml:space="preserve">HTTPステータスコード：400
</t>
          </r>
          <r>
            <rPr>
              <rFont val="メイリオ"/>
              <sz val="10"/>
            </rPr>
            <t xml:space="preserve">error_code：VALIDATION_ERROR
</t>
          </r>
          <r>
            <rPr>
              <rFont val="メイリオ"/>
              <sz val="10"/>
            </rPr>
            <t xml:space="preserve">errors[] に { field: "email", message: "有効なメールアドレスを入力してください。" }
</t>
          </r>
          <r>
            <rPr>
              <rFont val="メイリオ"/>
              <b val="1"/>
              <sz val="10"/>
            </rPr>
            <t xml:space="preserve">ステップ5：
</t>
          </r>
          <r>
            <rPr>
              <rFont val="メイリオ"/>
              <sz val="10"/>
            </rPr>
            <t xml:space="preserve">maxlength により101文字目入力不可
</t>
          </r>
          <r>
            <rPr>
              <rFont val="メイリオ"/>
              <b val="1"/>
              <sz val="10"/>
            </rPr>
            <t xml:space="preserve">補足：
</t>
          </r>
          <r>
            <rPr>
              <rFont val="メイリオ"/>
              <sz val="10"/>
            </rPr>
            <t xml:space="preserve">・ACSMS-MSG-005-004 該当
</t>
          </r>
          <r>
            <rPr>
              <rFont val="メイリオ"/>
              <sz val="10"/>
            </rPr>
            <t xml:space="preserve">・任意項目、最大100文字
</t>
          </r>
          <r>
            <rPr>
              <rFont val="メイリオ"/>
              <sz val="10"/>
            </rPr>
            <t>・ブラウザネイティブの type="email" は使用しない（プロジェクト規約：vue.md §「NEVER use HTML5 native input types for validation」）</t>
          </r>
        </is>
      </c>
      <c r="Y48" s="10" t="n"/>
      <c r="Z48" s="10" t="n"/>
      <c r="AA48" s="10" t="n"/>
      <c r="AB48" s="10" t="n"/>
      <c r="AC48" s="10" t="n"/>
      <c r="AD48" s="11" t="n"/>
      <c r="AE48" s="45" t="inlineStr">
        <is>
          <t>B</t>
        </is>
      </c>
      <c r="AF48" s="11" t="n"/>
      <c r="AG48" s="45" t="inlineStr"/>
      <c r="AH48" s="10" t="n"/>
      <c r="AI48" s="11" t="n"/>
      <c r="AJ48" s="45" t="inlineStr"/>
      <c r="AK48" s="10" t="n"/>
      <c r="AL48" s="11" t="n"/>
      <c r="AM48" s="45" t="inlineStr"/>
      <c r="AN48" s="10" t="n"/>
      <c r="AO48" s="11" t="n"/>
      <c r="AP48" s="45" t="inlineStr"/>
      <c r="AQ48" s="10" t="n"/>
      <c r="AR48" s="11" t="n"/>
      <c r="AS48" s="45" t="inlineStr"/>
      <c r="AT48" s="10" t="n"/>
      <c r="AU48" s="11" t="n"/>
      <c r="AV48" s="45" t="inlineStr"/>
      <c r="AW48" s="10" t="n"/>
      <c r="AX48" s="11" t="n"/>
      <c r="AY48" s="45" t="inlineStr"/>
      <c r="AZ48" s="10" t="n"/>
      <c r="BA48" s="11" t="n"/>
      <c r="BB48" s="45" t="inlineStr"/>
      <c r="BC48" s="10" t="n"/>
      <c r="BD48" s="11" t="n"/>
      <c r="BE48" s="45" t="inlineStr"/>
      <c r="BF48" s="10" t="n"/>
      <c r="BG48" s="11" t="n"/>
      <c r="BH48" s="45" t="inlineStr"/>
      <c r="BI48" s="10" t="n"/>
      <c r="BJ48" s="11" t="n"/>
      <c r="BK48" s="46" t="inlineStr"/>
      <c r="BL48" s="10" t="n"/>
      <c r="BM48" s="10" t="n"/>
      <c r="BN48" s="10" t="n"/>
      <c r="BO48" s="10" t="n"/>
      <c r="BP48" s="10" t="n"/>
      <c r="BQ48" s="11" t="n"/>
    </row>
    <row r="49" ht="256" customHeight="1">
      <c r="A49" s="44" t="n">
        <v>34</v>
      </c>
      <c r="B49" s="46" t="inlineStr">
        <is>
          <t>ACSMS-TC-005-034</t>
        </is>
      </c>
      <c r="C49" s="10" t="n"/>
      <c r="D49" s="11" t="n"/>
      <c r="E49" s="46" t="inlineStr">
        <is>
          <t>住所 — 任意・最大200文字制限</t>
        </is>
      </c>
      <c r="F49" s="10" t="n"/>
      <c r="G49" s="10" t="n"/>
      <c r="H49" s="10" t="n"/>
      <c r="I49" s="11" t="n"/>
      <c r="J49" s="46" t="inlineStr">
        <is>
          <t>・role: NICHINO_ADMIN
・登録画面、他項目有効値入力済</t>
        </is>
      </c>
      <c r="K49" s="10" t="n"/>
      <c r="L49" s="10" t="n"/>
      <c r="M49" s="10" t="n"/>
      <c r="N49" s="10" t="n"/>
      <c r="O49" s="10" t="n"/>
      <c r="P49" s="11" t="n"/>
      <c r="Q49" s="46" t="inlineStr">
        <is>
          <r>
            <rPr>
              <rFont val="メイリオ"/>
              <b val="1"/>
              <sz val="10"/>
            </rPr>
            <t xml:space="preserve">ステップ1：
</t>
          </r>
          <r>
            <rPr>
              <rFont val="メイリオ"/>
              <sz val="10"/>
            </rPr>
            <t xml:space="preserve">住所を空欄のまま登録
</t>
          </r>
          <r>
            <rPr>
              <rFont val="メイリオ"/>
              <b val="1"/>
              <sz val="10"/>
            </rPr>
            <t xml:space="preserve">ステップ2：
</t>
          </r>
          <r>
            <rPr>
              <rFont val="メイリオ"/>
              <sz val="10"/>
            </rPr>
            <t xml:space="preserve">`東京都千代田区丸の内1-1-1` 入力 → 登録
</t>
          </r>
          <r>
            <rPr>
              <rFont val="メイリオ"/>
              <b val="1"/>
              <sz val="10"/>
            </rPr>
            <t xml:space="preserve">ステップ3：
</t>
          </r>
          <r>
            <rPr>
              <rFont val="メイリオ"/>
              <sz val="10"/>
            </rPr>
            <t xml:space="preserve">200文字入力 → 登録
</t>
          </r>
          <r>
            <rPr>
              <rFont val="メイリオ"/>
              <b val="1"/>
              <sz val="10"/>
            </rPr>
            <t xml:space="preserve">ステップ4：
</t>
          </r>
          <r>
            <rPr>
              <rFont val="メイリオ"/>
              <sz val="10"/>
            </rPr>
            <t>201文字目入力試行</t>
          </r>
        </is>
      </c>
      <c r="R49" s="10" t="n"/>
      <c r="S49" s="10" t="n"/>
      <c r="T49" s="10" t="n"/>
      <c r="U49" s="10" t="n"/>
      <c r="V49" s="10" t="n"/>
      <c r="W49" s="11" t="n"/>
      <c r="X49" s="46" t="inlineStr">
        <is>
          <r>
            <rPr>
              <rFont val="メイリオ"/>
              <b val="1"/>
              <sz val="10"/>
            </rPr>
            <t xml:space="preserve">ステップ1：
</t>
          </r>
          <r>
            <rPr>
              <rFont val="メイリオ"/>
              <sz val="10"/>
            </rPr>
            <t xml:space="preserve">正常受付（任意項目）
</t>
          </r>
          <r>
            <rPr>
              <rFont val="メイリオ"/>
              <b val="1"/>
              <sz val="10"/>
            </rPr>
            <t xml:space="preserve">ステップ2：
</t>
          </r>
          <r>
            <rPr>
              <rFont val="メイリオ"/>
              <sz val="10"/>
            </rPr>
            <t xml:space="preserve">正常受付
</t>
          </r>
          <r>
            <rPr>
              <rFont val="メイリオ"/>
              <b val="1"/>
              <sz val="10"/>
            </rPr>
            <t xml:space="preserve">ステップ3：
</t>
          </r>
          <r>
            <rPr>
              <rFont val="メイリオ"/>
              <sz val="10"/>
            </rPr>
            <t xml:space="preserve">正常受付（境界値）
</t>
          </r>
          <r>
            <rPr>
              <rFont val="メイリオ"/>
              <b val="1"/>
              <sz val="10"/>
            </rPr>
            <t xml:space="preserve">ステップ4：
</t>
          </r>
          <r>
            <rPr>
              <rFont val="メイリオ"/>
              <sz val="10"/>
            </rPr>
            <t xml:space="preserve">maxlength により201文字目入力不可
</t>
          </r>
          <r>
            <rPr>
              <rFont val="メイリオ"/>
              <b val="1"/>
              <sz val="10"/>
            </rPr>
            <t xml:space="preserve">補足：
</t>
          </r>
          <r>
            <rPr>
              <rFont val="メイリオ"/>
              <sz val="10"/>
            </rPr>
            <t>・任意項目、全角・半角混在許容、最大200文字</t>
          </r>
        </is>
      </c>
      <c r="Y49" s="10" t="n"/>
      <c r="Z49" s="10" t="n"/>
      <c r="AA49" s="10" t="n"/>
      <c r="AB49" s="10" t="n"/>
      <c r="AC49" s="10" t="n"/>
      <c r="AD49" s="11" t="n"/>
      <c r="AE49" s="45" t="inlineStr">
        <is>
          <t>B</t>
        </is>
      </c>
      <c r="AF49" s="11" t="n"/>
      <c r="AG49" s="45" t="inlineStr"/>
      <c r="AH49" s="10" t="n"/>
      <c r="AI49" s="11" t="n"/>
      <c r="AJ49" s="45" t="inlineStr"/>
      <c r="AK49" s="10" t="n"/>
      <c r="AL49" s="11" t="n"/>
      <c r="AM49" s="45" t="inlineStr"/>
      <c r="AN49" s="10" t="n"/>
      <c r="AO49" s="11" t="n"/>
      <c r="AP49" s="45" t="inlineStr"/>
      <c r="AQ49" s="10" t="n"/>
      <c r="AR49" s="11" t="n"/>
      <c r="AS49" s="45" t="inlineStr"/>
      <c r="AT49" s="10" t="n"/>
      <c r="AU49" s="11" t="n"/>
      <c r="AV49" s="45" t="inlineStr"/>
      <c r="AW49" s="10" t="n"/>
      <c r="AX49" s="11" t="n"/>
      <c r="AY49" s="45" t="inlineStr"/>
      <c r="AZ49" s="10" t="n"/>
      <c r="BA49" s="11" t="n"/>
      <c r="BB49" s="45" t="inlineStr"/>
      <c r="BC49" s="10" t="n"/>
      <c r="BD49" s="11" t="n"/>
      <c r="BE49" s="45" t="inlineStr"/>
      <c r="BF49" s="10" t="n"/>
      <c r="BG49" s="11" t="n"/>
      <c r="BH49" s="45" t="inlineStr"/>
      <c r="BI49" s="10" t="n"/>
      <c r="BJ49" s="11" t="n"/>
      <c r="BK49" s="46" t="inlineStr"/>
      <c r="BL49" s="10" t="n"/>
      <c r="BM49" s="10" t="n"/>
      <c r="BN49" s="10" t="n"/>
      <c r="BO49" s="10" t="n"/>
      <c r="BP49" s="10" t="n"/>
      <c r="BQ49" s="11" t="n"/>
    </row>
    <row r="50" ht="208" customHeight="1">
      <c r="A50" s="44" t="n">
        <v>35</v>
      </c>
      <c r="B50" s="46" t="inlineStr">
        <is>
          <t>ACSMS-TC-005-035</t>
        </is>
      </c>
      <c r="C50" s="10" t="n"/>
      <c r="D50" s="11" t="n"/>
      <c r="E50" s="46" t="inlineStr">
        <is>
          <t>担当部署名・担当者名 — 任意・最大長制限</t>
        </is>
      </c>
      <c r="F50" s="10" t="n"/>
      <c r="G50" s="10" t="n"/>
      <c r="H50" s="10" t="n"/>
      <c r="I50" s="11" t="n"/>
      <c r="J50" s="46" t="inlineStr">
        <is>
          <t>・role: NICHINO_ADMIN
・登録画面、他項目有効値入力済</t>
        </is>
      </c>
      <c r="K50" s="10" t="n"/>
      <c r="L50" s="10" t="n"/>
      <c r="M50" s="10" t="n"/>
      <c r="N50" s="10" t="n"/>
      <c r="O50" s="10" t="n"/>
      <c r="P50" s="11" t="n"/>
      <c r="Q50" s="46" t="inlineStr">
        <is>
          <r>
            <rPr>
              <rFont val="メイリオ"/>
              <b val="1"/>
              <sz val="10"/>
            </rPr>
            <t xml:space="preserve">ステップ1：
</t>
          </r>
          <r>
            <rPr>
              <rFont val="メイリオ"/>
              <sz val="10"/>
            </rPr>
            <t xml:space="preserve">担当部署名・担当者名を空欄のまま登録
</t>
          </r>
          <r>
            <rPr>
              <rFont val="メイリオ"/>
              <b val="1"/>
              <sz val="10"/>
            </rPr>
            <t xml:space="preserve">ステップ2：
</t>
          </r>
          <r>
            <rPr>
              <rFont val="メイリオ"/>
              <sz val="10"/>
            </rPr>
            <t xml:space="preserve">担当部署名に100文字、担当者名に50文字入力 → 登録
</t>
          </r>
          <r>
            <rPr>
              <rFont val="メイリオ"/>
              <b val="1"/>
              <sz val="10"/>
            </rPr>
            <t xml:space="preserve">ステップ3：
</t>
          </r>
          <r>
            <rPr>
              <rFont val="メイリオ"/>
              <sz val="10"/>
            </rPr>
            <t>担当部署名に101文字目、担当者名に51文字目入力試行</t>
          </r>
        </is>
      </c>
      <c r="R50" s="10" t="n"/>
      <c r="S50" s="10" t="n"/>
      <c r="T50" s="10" t="n"/>
      <c r="U50" s="10" t="n"/>
      <c r="V50" s="10" t="n"/>
      <c r="W50" s="11" t="n"/>
      <c r="X50" s="46" t="inlineStr">
        <is>
          <r>
            <rPr>
              <rFont val="メイリオ"/>
              <b val="1"/>
              <sz val="10"/>
            </rPr>
            <t xml:space="preserve">ステップ1：
</t>
          </r>
          <r>
            <rPr>
              <rFont val="メイリオ"/>
              <sz val="10"/>
            </rPr>
            <t xml:space="preserve">正常受付（両方とも任意項目）
</t>
          </r>
          <r>
            <rPr>
              <rFont val="メイリオ"/>
              <b val="1"/>
              <sz val="10"/>
            </rPr>
            <t xml:space="preserve">ステップ2：
</t>
          </r>
          <r>
            <rPr>
              <rFont val="メイリオ"/>
              <sz val="10"/>
            </rPr>
            <t xml:space="preserve">正常受付、DB に保存
</t>
          </r>
          <r>
            <rPr>
              <rFont val="メイリオ"/>
              <b val="1"/>
              <sz val="10"/>
            </rPr>
            <t xml:space="preserve">ステップ3：
</t>
          </r>
          <r>
            <rPr>
              <rFont val="メイリオ"/>
              <sz val="10"/>
            </rPr>
            <t xml:space="preserve">maxlength により入力不可
</t>
          </r>
          <r>
            <rPr>
              <rFont val="メイリオ"/>
              <b val="1"/>
              <sz val="10"/>
            </rPr>
            <t xml:space="preserve">補足：
</t>
          </r>
          <r>
            <rPr>
              <rFont val="メイリオ"/>
              <sz val="10"/>
            </rPr>
            <t xml:space="preserve">・担当部署名：任意、最大100文字
</t>
          </r>
          <r>
            <rPr>
              <rFont val="メイリオ"/>
              <sz val="10"/>
            </rPr>
            <t>・担当者名：任意、最大50文字</t>
          </r>
        </is>
      </c>
      <c r="Y50" s="10" t="n"/>
      <c r="Z50" s="10" t="n"/>
      <c r="AA50" s="10" t="n"/>
      <c r="AB50" s="10" t="n"/>
      <c r="AC50" s="10" t="n"/>
      <c r="AD50" s="11" t="n"/>
      <c r="AE50" s="45" t="inlineStr">
        <is>
          <t>B</t>
        </is>
      </c>
      <c r="AF50" s="11" t="n"/>
      <c r="AG50" s="45" t="inlineStr"/>
      <c r="AH50" s="10" t="n"/>
      <c r="AI50" s="11" t="n"/>
      <c r="AJ50" s="45" t="inlineStr"/>
      <c r="AK50" s="10" t="n"/>
      <c r="AL50" s="11" t="n"/>
      <c r="AM50" s="45" t="inlineStr"/>
      <c r="AN50" s="10" t="n"/>
      <c r="AO50" s="11" t="n"/>
      <c r="AP50" s="45" t="inlineStr"/>
      <c r="AQ50" s="10" t="n"/>
      <c r="AR50" s="11" t="n"/>
      <c r="AS50" s="45" t="inlineStr"/>
      <c r="AT50" s="10" t="n"/>
      <c r="AU50" s="11" t="n"/>
      <c r="AV50" s="45" t="inlineStr"/>
      <c r="AW50" s="10" t="n"/>
      <c r="AX50" s="11" t="n"/>
      <c r="AY50" s="45" t="inlineStr"/>
      <c r="AZ50" s="10" t="n"/>
      <c r="BA50" s="11" t="n"/>
      <c r="BB50" s="45" t="inlineStr"/>
      <c r="BC50" s="10" t="n"/>
      <c r="BD50" s="11" t="n"/>
      <c r="BE50" s="45" t="inlineStr"/>
      <c r="BF50" s="10" t="n"/>
      <c r="BG50" s="11" t="n"/>
      <c r="BH50" s="45" t="inlineStr"/>
      <c r="BI50" s="10" t="n"/>
      <c r="BJ50" s="11" t="n"/>
      <c r="BK50" s="46" t="inlineStr"/>
      <c r="BL50" s="10" t="n"/>
      <c r="BM50" s="10" t="n"/>
      <c r="BN50" s="10" t="n"/>
      <c r="BO50" s="10" t="n"/>
      <c r="BP50" s="10" t="n"/>
      <c r="BQ50" s="11" t="n"/>
    </row>
    <row r="51" ht="416" customHeight="1">
      <c r="A51" s="44" t="n">
        <v>36</v>
      </c>
      <c r="B51" s="46" t="inlineStr">
        <is>
          <t>ACSMS-TC-005-036</t>
        </is>
      </c>
      <c r="C51" s="10" t="n"/>
      <c r="D51" s="11" t="n"/>
      <c r="E51" s="46" t="inlineStr">
        <is>
          <t>税区分 — 必須・選択値（1: 内税 / 2: 外税）</t>
        </is>
      </c>
      <c r="F51" s="10" t="n"/>
      <c r="G51" s="10" t="n"/>
      <c r="H51" s="10" t="n"/>
      <c r="I51" s="11" t="n"/>
      <c r="J51" s="46" t="inlineStr">
        <is>
          <t>・role: NICHINO_ADMIN
・登録画面、他項目有効値入力済</t>
        </is>
      </c>
      <c r="K51" s="10" t="n"/>
      <c r="L51" s="10" t="n"/>
      <c r="M51" s="10" t="n"/>
      <c r="N51" s="10" t="n"/>
      <c r="O51" s="10" t="n"/>
      <c r="P51" s="11" t="n"/>
      <c r="Q51" s="46" t="inlineStr">
        <is>
          <r>
            <rPr>
              <rFont val="メイリオ"/>
              <b val="1"/>
              <sz val="10"/>
            </rPr>
            <t xml:space="preserve">ステップ1：
</t>
          </r>
          <r>
            <rPr>
              <rFont val="メイリオ"/>
              <sz val="10"/>
            </rPr>
            <t xml:space="preserve">税区分を未選択のまま登録
</t>
          </r>
          <r>
            <rPr>
              <rFont val="メイリオ"/>
              <b val="1"/>
              <sz val="10"/>
            </rPr>
            <t xml:space="preserve">ステップ2：
</t>
          </r>
          <r>
            <rPr>
              <rFont val="メイリオ"/>
              <sz val="10"/>
            </rPr>
            <t xml:space="preserve">`内税` (1) を選択 → 登録 → DB 確認
</t>
          </r>
          <r>
            <rPr>
              <rFont val="メイリオ"/>
              <b val="1"/>
              <sz val="10"/>
            </rPr>
            <t xml:space="preserve">ステップ3：
</t>
          </r>
          <r>
            <rPr>
              <rFont val="メイリオ"/>
              <sz val="10"/>
            </rPr>
            <t xml:space="preserve">`外税` (2) を選択 → 登録 → DB 確認
</t>
          </r>
          <r>
            <rPr>
              <rFont val="メイリオ"/>
              <b val="1"/>
              <sz val="10"/>
            </rPr>
            <t xml:space="preserve">ステップ4：
</t>
          </r>
          <r>
            <rPr>
              <rFont val="メイリオ"/>
              <sz val="10"/>
            </rPr>
            <t>DevTools で POST `/api/v1/ja` に `zei_kubun: '9'` を含めて送信</t>
          </r>
        </is>
      </c>
      <c r="R51" s="10" t="n"/>
      <c r="S51" s="10" t="n"/>
      <c r="T51" s="10" t="n"/>
      <c r="U51" s="10" t="n"/>
      <c r="V51" s="10" t="n"/>
      <c r="W51" s="11" t="n"/>
      <c r="X51" s="46" t="inlineStr">
        <is>
          <r>
            <rPr>
              <rFont val="メイリオ"/>
              <b val="1"/>
              <sz val="10"/>
            </rPr>
            <t xml:space="preserve">ステップ1：
</t>
          </r>
          <r>
            <rPr>
              <rFont val="メイリオ"/>
              <sz val="10"/>
            </rPr>
            <t xml:space="preserve">「必須項目です。」表示
</t>
          </r>
          <r>
            <rPr>
              <rFont val="メイリオ"/>
              <sz val="10"/>
            </rPr>
            <t xml:space="preserve">HTTPステータスコード：400
</t>
          </r>
          <r>
            <rPr>
              <rFont val="メイリオ"/>
              <sz val="10"/>
            </rPr>
            <t xml:space="preserve">error_code：VALIDATION_ERROR
</t>
          </r>
          <r>
            <rPr>
              <rFont val="メイリオ"/>
              <sz val="10"/>
            </rPr>
            <t xml:space="preserve">errors[] に { field: "zei_kubun", message: "税区分を選択してください" }
</t>
          </r>
          <r>
            <rPr>
              <rFont val="メイリオ"/>
              <b val="1"/>
              <sz val="10"/>
            </rPr>
            <t xml:space="preserve">ステップ2：
</t>
          </r>
          <r>
            <rPr>
              <rFont val="メイリオ"/>
              <sz val="10"/>
            </rPr>
            <t xml:space="preserve">正常受付、`m_ja.zei_kubun = '1'` で保存
</t>
          </r>
          <r>
            <rPr>
              <rFont val="メイリオ"/>
              <b val="1"/>
              <sz val="10"/>
            </rPr>
            <t xml:space="preserve">ステップ3：
</t>
          </r>
          <r>
            <rPr>
              <rFont val="メイリオ"/>
              <sz val="10"/>
            </rPr>
            <t xml:space="preserve">正常受付、`m_ja.zei_kubun = '2'` で保存
</t>
          </r>
          <r>
            <rPr>
              <rFont val="メイリオ"/>
              <b val="1"/>
              <sz val="10"/>
            </rPr>
            <t xml:space="preserve">ステップ4：
</t>
          </r>
          <r>
            <rPr>
              <rFont val="メイリオ"/>
              <sz val="10"/>
            </rPr>
            <t xml:space="preserve">HTTPステータスコード：400
</t>
          </r>
          <r>
            <rPr>
              <rFont val="メイリオ"/>
              <sz val="10"/>
            </rPr>
            <t xml:space="preserve">error_code：VALIDATION_ERROR
</t>
          </r>
          <r>
            <rPr>
              <rFont val="メイリオ"/>
              <b val="1"/>
              <sz val="10"/>
            </rPr>
            <t xml:space="preserve">補足：
</t>
          </r>
          <r>
            <rPr>
              <rFont val="メイリオ"/>
              <sz val="10"/>
            </rPr>
            <t xml:space="preserve">・1桁固定、`1` または `2` のみ許容
</t>
          </r>
          <r>
            <rPr>
              <rFont val="メイリオ"/>
              <sz val="10"/>
            </rPr>
            <t>・ZEI_KUBUN m_code カテゴリで管理されるが、本画面ではラジオボタンで2択固定</t>
          </r>
        </is>
      </c>
      <c r="Y51" s="10" t="n"/>
      <c r="Z51" s="10" t="n"/>
      <c r="AA51" s="10" t="n"/>
      <c r="AB51" s="10" t="n"/>
      <c r="AC51" s="10" t="n"/>
      <c r="AD51" s="11" t="n"/>
      <c r="AE51" s="45" t="inlineStr">
        <is>
          <t>A</t>
        </is>
      </c>
      <c r="AF51" s="11" t="n"/>
      <c r="AG51" s="45" t="inlineStr"/>
      <c r="AH51" s="10" t="n"/>
      <c r="AI51" s="11" t="n"/>
      <c r="AJ51" s="45" t="inlineStr"/>
      <c r="AK51" s="10" t="n"/>
      <c r="AL51" s="11" t="n"/>
      <c r="AM51" s="45" t="inlineStr"/>
      <c r="AN51" s="10" t="n"/>
      <c r="AO51" s="11" t="n"/>
      <c r="AP51" s="45" t="inlineStr"/>
      <c r="AQ51" s="10" t="n"/>
      <c r="AR51" s="11" t="n"/>
      <c r="AS51" s="45" t="inlineStr"/>
      <c r="AT51" s="10" t="n"/>
      <c r="AU51" s="11" t="n"/>
      <c r="AV51" s="45" t="inlineStr"/>
      <c r="AW51" s="10" t="n"/>
      <c r="AX51" s="11" t="n"/>
      <c r="AY51" s="45" t="inlineStr"/>
      <c r="AZ51" s="10" t="n"/>
      <c r="BA51" s="11" t="n"/>
      <c r="BB51" s="45" t="inlineStr"/>
      <c r="BC51" s="10" t="n"/>
      <c r="BD51" s="11" t="n"/>
      <c r="BE51" s="45" t="inlineStr"/>
      <c r="BF51" s="10" t="n"/>
      <c r="BG51" s="11" t="n"/>
      <c r="BH51" s="45" t="inlineStr"/>
      <c r="BI51" s="10" t="n"/>
      <c r="BJ51" s="11" t="n"/>
      <c r="BK51" s="46" t="inlineStr"/>
      <c r="BL51" s="10" t="n"/>
      <c r="BM51" s="10" t="n"/>
      <c r="BN51" s="10" t="n"/>
      <c r="BO51" s="10" t="n"/>
      <c r="BP51" s="10" t="n"/>
      <c r="BQ51" s="11" t="n"/>
    </row>
    <row r="52" ht="288" customHeight="1">
      <c r="A52" s="44" t="n">
        <v>37</v>
      </c>
      <c r="B52" s="46" t="inlineStr">
        <is>
          <t>ACSMS-TC-005-037</t>
        </is>
      </c>
      <c r="C52" s="10" t="n"/>
      <c r="D52" s="11" t="n"/>
      <c r="E52" s="46" t="inlineStr">
        <is>
          <t>備考 — 任意・最大500文字制限</t>
        </is>
      </c>
      <c r="F52" s="10" t="n"/>
      <c r="G52" s="10" t="n"/>
      <c r="H52" s="10" t="n"/>
      <c r="I52" s="11" t="n"/>
      <c r="J52" s="46" t="inlineStr">
        <is>
          <t>・role: NICHINO_ADMIN
・登録画面、他項目有効値入力済</t>
        </is>
      </c>
      <c r="K52" s="10" t="n"/>
      <c r="L52" s="10" t="n"/>
      <c r="M52" s="10" t="n"/>
      <c r="N52" s="10" t="n"/>
      <c r="O52" s="10" t="n"/>
      <c r="P52" s="11" t="n"/>
      <c r="Q52" s="46" t="inlineStr">
        <is>
          <r>
            <rPr>
              <rFont val="メイリオ"/>
              <b val="1"/>
              <sz val="10"/>
            </rPr>
            <t xml:space="preserve">ステップ1：
</t>
          </r>
          <r>
            <rPr>
              <rFont val="メイリオ"/>
              <sz val="10"/>
            </rPr>
            <t xml:space="preserve">備考を空欄のまま登録
</t>
          </r>
          <r>
            <rPr>
              <rFont val="メイリオ"/>
              <b val="1"/>
              <sz val="10"/>
            </rPr>
            <t xml:space="preserve">ステップ2：
</t>
          </r>
          <r>
            <rPr>
              <rFont val="メイリオ"/>
              <sz val="10"/>
            </rPr>
            <t xml:space="preserve">500文字入力 → 登録
</t>
          </r>
          <r>
            <rPr>
              <rFont val="メイリオ"/>
              <b val="1"/>
              <sz val="10"/>
            </rPr>
            <t xml:space="preserve">ステップ3：
</t>
          </r>
          <r>
            <rPr>
              <rFont val="メイリオ"/>
              <sz val="10"/>
            </rPr>
            <t xml:space="preserve">501文字目入力試行
</t>
          </r>
          <r>
            <rPr>
              <rFont val="メイリオ"/>
              <b val="1"/>
              <sz val="10"/>
            </rPr>
            <t xml:space="preserve">ステップ4：
</t>
          </r>
          <r>
            <rPr>
              <rFont val="メイリオ"/>
              <sz val="10"/>
            </rPr>
            <t>改行を含む複数行テキスト入力 → 登録</t>
          </r>
        </is>
      </c>
      <c r="R52" s="10" t="n"/>
      <c r="S52" s="10" t="n"/>
      <c r="T52" s="10" t="n"/>
      <c r="U52" s="10" t="n"/>
      <c r="V52" s="10" t="n"/>
      <c r="W52" s="11" t="n"/>
      <c r="X52" s="46" t="inlineStr">
        <is>
          <r>
            <rPr>
              <rFont val="メイリオ"/>
              <b val="1"/>
              <sz val="10"/>
            </rPr>
            <t xml:space="preserve">ステップ1：
</t>
          </r>
          <r>
            <rPr>
              <rFont val="メイリオ"/>
              <sz val="10"/>
            </rPr>
            <t xml:space="preserve">正常受付（任意項目）
</t>
          </r>
          <r>
            <rPr>
              <rFont val="メイリオ"/>
              <b val="1"/>
              <sz val="10"/>
            </rPr>
            <t xml:space="preserve">ステップ2：
</t>
          </r>
          <r>
            <rPr>
              <rFont val="メイリオ"/>
              <sz val="10"/>
            </rPr>
            <t xml:space="preserve">正常受付（境界値）
</t>
          </r>
          <r>
            <rPr>
              <rFont val="メイリオ"/>
              <b val="1"/>
              <sz val="10"/>
            </rPr>
            <t xml:space="preserve">ステップ3：
</t>
          </r>
          <r>
            <rPr>
              <rFont val="メイリオ"/>
              <sz val="10"/>
            </rPr>
            <t xml:space="preserve">maxlength により501文字目入力不可
</t>
          </r>
          <r>
            <rPr>
              <rFont val="メイリオ"/>
              <b val="1"/>
              <sz val="10"/>
            </rPr>
            <t xml:space="preserve">ステップ4：
</t>
          </r>
          <r>
            <rPr>
              <rFont val="メイリオ"/>
              <sz val="10"/>
            </rPr>
            <t xml:space="preserve">改行保持で DB に保存
</t>
          </r>
          <r>
            <rPr>
              <rFont val="メイリオ"/>
              <b val="1"/>
              <sz val="10"/>
            </rPr>
            <t xml:space="preserve">補足：
</t>
          </r>
          <r>
            <rPr>
              <rFont val="メイリオ"/>
              <sz val="10"/>
            </rPr>
            <t xml:space="preserve">・任意項目、最大500文字、改行許容
</t>
          </r>
          <r>
            <rPr>
              <rFont val="メイリオ"/>
              <sz val="10"/>
            </rPr>
            <t>・テキストエリア（textarea）として表示</t>
          </r>
        </is>
      </c>
      <c r="Y52" s="10" t="n"/>
      <c r="Z52" s="10" t="n"/>
      <c r="AA52" s="10" t="n"/>
      <c r="AB52" s="10" t="n"/>
      <c r="AC52" s="10" t="n"/>
      <c r="AD52" s="11" t="n"/>
      <c r="AE52" s="45" t="inlineStr">
        <is>
          <t>B</t>
        </is>
      </c>
      <c r="AF52" s="11" t="n"/>
      <c r="AG52" s="45" t="inlineStr"/>
      <c r="AH52" s="10" t="n"/>
      <c r="AI52" s="11" t="n"/>
      <c r="AJ52" s="45" t="inlineStr"/>
      <c r="AK52" s="10" t="n"/>
      <c r="AL52" s="11" t="n"/>
      <c r="AM52" s="45" t="inlineStr"/>
      <c r="AN52" s="10" t="n"/>
      <c r="AO52" s="11" t="n"/>
      <c r="AP52" s="45" t="inlineStr"/>
      <c r="AQ52" s="10" t="n"/>
      <c r="AR52" s="11" t="n"/>
      <c r="AS52" s="45" t="inlineStr"/>
      <c r="AT52" s="10" t="n"/>
      <c r="AU52" s="11" t="n"/>
      <c r="AV52" s="45" t="inlineStr"/>
      <c r="AW52" s="10" t="n"/>
      <c r="AX52" s="11" t="n"/>
      <c r="AY52" s="45" t="inlineStr"/>
      <c r="AZ52" s="10" t="n"/>
      <c r="BA52" s="11" t="n"/>
      <c r="BB52" s="45" t="inlineStr"/>
      <c r="BC52" s="10" t="n"/>
      <c r="BD52" s="11" t="n"/>
      <c r="BE52" s="45" t="inlineStr"/>
      <c r="BF52" s="10" t="n"/>
      <c r="BG52" s="11" t="n"/>
      <c r="BH52" s="45" t="inlineStr"/>
      <c r="BI52" s="10" t="n"/>
      <c r="BJ52" s="11" t="n"/>
      <c r="BK52" s="46" t="inlineStr">
        <is>
          <t>(なし)
---</t>
        </is>
      </c>
      <c r="BL52" s="10" t="n"/>
      <c r="BM52" s="10" t="n"/>
      <c r="BN52" s="10" t="n"/>
      <c r="BO52" s="10" t="n"/>
      <c r="BP52" s="10" t="n"/>
      <c r="BQ52" s="11" t="n"/>
    </row>
    <row r="53" ht="22.5" customHeight="1">
      <c r="A53" s="32" t="inlineStr">
        <is>
          <t>業務ロジック — 登録（Function — Create）</t>
        </is>
      </c>
      <c r="B53" s="10" t="n"/>
      <c r="C53" s="10" t="n"/>
      <c r="D53" s="10" t="n"/>
      <c r="E53" s="10" t="n"/>
      <c r="F53" s="10" t="n"/>
      <c r="G53" s="10" t="n"/>
      <c r="H53" s="10" t="n"/>
      <c r="I53" s="10" t="n"/>
      <c r="J53" s="10" t="n"/>
      <c r="K53" s="10" t="n"/>
      <c r="L53" s="10" t="n"/>
      <c r="M53" s="10" t="n"/>
      <c r="N53" s="10" t="n"/>
      <c r="O53" s="10" t="n"/>
      <c r="P53" s="10" t="n"/>
      <c r="Q53" s="10" t="n"/>
      <c r="R53" s="10" t="n"/>
      <c r="S53" s="10" t="n"/>
      <c r="T53" s="10" t="n"/>
      <c r="U53" s="10" t="n"/>
      <c r="V53" s="10" t="n"/>
      <c r="W53" s="10" t="n"/>
      <c r="X53" s="10" t="n"/>
      <c r="Y53" s="10" t="n"/>
      <c r="Z53" s="10" t="n"/>
      <c r="AA53" s="10" t="n"/>
      <c r="AB53" s="10" t="n"/>
      <c r="AC53" s="10" t="n"/>
      <c r="AD53" s="10" t="n"/>
      <c r="AE53" s="10" t="n"/>
      <c r="AF53" s="10" t="n"/>
      <c r="AG53" s="10" t="n"/>
      <c r="AH53" s="10" t="n"/>
      <c r="AI53" s="10" t="n"/>
      <c r="AJ53" s="10" t="n"/>
      <c r="AK53" s="10" t="n"/>
      <c r="AL53" s="10" t="n"/>
      <c r="AM53" s="10" t="n"/>
      <c r="AN53" s="10" t="n"/>
      <c r="AO53" s="10" t="n"/>
      <c r="AP53" s="10" t="n"/>
      <c r="AQ53" s="10" t="n"/>
      <c r="AR53" s="10" t="n"/>
      <c r="AS53" s="10" t="n"/>
      <c r="AT53" s="10" t="n"/>
      <c r="AU53" s="10" t="n"/>
      <c r="AV53" s="10" t="n"/>
      <c r="AW53" s="10" t="n"/>
      <c r="AX53" s="10" t="n"/>
      <c r="AY53" s="10" t="n"/>
      <c r="AZ53" s="10" t="n"/>
      <c r="BA53" s="10" t="n"/>
      <c r="BB53" s="10" t="n"/>
      <c r="BC53" s="10" t="n"/>
      <c r="BD53" s="10" t="n"/>
      <c r="BE53" s="10" t="n"/>
      <c r="BF53" s="10" t="n"/>
      <c r="BG53" s="10" t="n"/>
      <c r="BH53" s="10" t="n"/>
      <c r="BI53" s="10" t="n"/>
      <c r="BJ53" s="10" t="n"/>
      <c r="BK53" s="10" t="n"/>
      <c r="BL53" s="10" t="n"/>
      <c r="BM53" s="10" t="n"/>
      <c r="BN53" s="10" t="n"/>
      <c r="BO53" s="10" t="n"/>
      <c r="BP53" s="10" t="n"/>
      <c r="BQ53" s="11" t="n"/>
    </row>
    <row r="54" ht="450" customHeight="1">
      <c r="A54" s="44" t="n">
        <v>38</v>
      </c>
      <c r="B54" s="46" t="inlineStr">
        <is>
          <t>ACSMS-TC-005-038</t>
        </is>
      </c>
      <c r="C54" s="10" t="n"/>
      <c r="D54" s="11" t="n"/>
      <c r="E54" s="46" t="inlineStr">
        <is>
          <t>新規登録 — 全項目正常系登録（DB + 監査ログ）</t>
        </is>
      </c>
      <c r="F54" s="10" t="n"/>
      <c r="G54" s="10" t="n"/>
      <c r="H54" s="10" t="n"/>
      <c r="I54" s="11" t="n"/>
      <c r="J54" s="46" t="inlineStr">
        <is>
          <t>・role: NICHINO_ADMIN
・登録画面、全項目有効値入力済
・テストデータ：JAコード=1301999001、JA名=JA東京テスト、JA名カナ=ジェイエイトウキョウテスト、都道府県=13、中央会フラグ=false、金融機関コード=1234、金融機関名=農林中央金庫、郵便番号=1000001、住所=東京都千代田区、電話=0312345678、FAX=0312345679、メール=test@example.jp、担当部署=総務部、担当者=田中太郎、税区分=1、備考=テスト</t>
        </is>
      </c>
      <c r="K54" s="10" t="n"/>
      <c r="L54" s="10" t="n"/>
      <c r="M54" s="10" t="n"/>
      <c r="N54" s="10" t="n"/>
      <c r="O54" s="10" t="n"/>
      <c r="P54" s="11" t="n"/>
      <c r="Q54" s="46" t="inlineStr">
        <is>
          <r>
            <rPr>
              <rFont val="メイリオ"/>
              <b val="1"/>
              <sz val="10"/>
            </rPr>
            <t xml:space="preserve">ステップ1：
</t>
          </r>
          <r>
            <rPr>
              <rFont val="メイリオ"/>
              <sz val="10"/>
            </rPr>
            <t xml:space="preserve">全項目に有効値を入力 → 登録ボタン押下
</t>
          </r>
          <r>
            <rPr>
              <rFont val="メイリオ"/>
              <b val="1"/>
              <sz val="10"/>
            </rPr>
            <t xml:space="preserve">ステップ2：
</t>
          </r>
          <r>
            <rPr>
              <rFont val="メイリオ"/>
              <sz val="10"/>
            </rPr>
            <t xml:space="preserve">DB 確認：`SELECT * FROM m_ja WHERE ja_code='1301999001'`
</t>
          </r>
          <r>
            <rPr>
              <rFont val="メイリオ"/>
              <b val="1"/>
              <sz val="10"/>
            </rPr>
            <t xml:space="preserve">ステップ3：
</t>
          </r>
          <r>
            <rPr>
              <rFont val="メイリオ"/>
              <sz val="10"/>
            </rPr>
            <t>監査ログ確認：`SELECT * FROM t_log WHERE target_table='m_ja' ORDER BY log_datetime DESC LIMIT 1`</t>
          </r>
        </is>
      </c>
      <c r="R54" s="10" t="n"/>
      <c r="S54" s="10" t="n"/>
      <c r="T54" s="10" t="n"/>
      <c r="U54" s="10" t="n"/>
      <c r="V54" s="10" t="n"/>
      <c r="W54" s="11" t="n"/>
      <c r="X54" s="46" t="inlineStr">
        <is>
          <r>
            <rPr>
              <rFont val="メイリオ"/>
              <b val="1"/>
              <sz val="10"/>
            </rPr>
            <t xml:space="preserve">ステップ1：
</t>
          </r>
          <r>
            <rPr>
              <rFont val="メイリオ"/>
              <sz val="10"/>
            </rPr>
            <t xml:space="preserve">HTTPステータスコード：201
</t>
          </r>
          <r>
            <rPr>
              <rFont val="メイリオ"/>
              <sz val="10"/>
            </rPr>
            <t xml:space="preserve">message：「JAを登録しました」
</t>
          </r>
          <r>
            <rPr>
              <rFont val="メイリオ"/>
              <sz val="10"/>
            </rPr>
            <t xml:space="preserve">トースト「登録しました。」表示
</t>
          </r>
          <r>
            <rPr>
              <rFont val="メイリオ"/>
              <sz val="10"/>
            </rPr>
            <t xml:space="preserve">`/ja` 一覧画面へリダイレクト
</t>
          </r>
          <r>
            <rPr>
              <rFont val="メイリオ"/>
              <b val="1"/>
              <sz val="10"/>
            </rPr>
            <t xml:space="preserve">ステップ2：
</t>
          </r>
          <r>
            <rPr>
              <rFont val="メイリオ"/>
              <sz val="10"/>
            </rPr>
            <t xml:space="preserve">`m_ja` に1行追加、全カラムが入力値と一致、`created_at` が現在時刻、`deleted_at` が NULL
</t>
          </r>
          <r>
            <rPr>
              <rFont val="メイリオ"/>
              <b val="1"/>
              <sz val="10"/>
            </rPr>
            <t xml:space="preserve">ステップ3：
</t>
          </r>
          <r>
            <rPr>
              <rFont val="メイリオ"/>
              <sz val="10"/>
            </rPr>
            <t xml:space="preserve">1行、log_type=1（操作ログ）、operation='CREATE'、result_status=1（成功）、target_table='m_ja'、target_id=新規ja_id、before_value=空、after_value=登録データのJSON
</t>
          </r>
          <r>
            <rPr>
              <rFont val="メイリオ"/>
              <b val="1"/>
              <sz val="10"/>
            </rPr>
            <t xml:space="preserve">補足：
</t>
          </r>
          <r>
            <rPr>
              <rFont val="メイリオ"/>
              <sz val="10"/>
            </rPr>
            <t xml:space="preserve">・DB に正しく永続化
</t>
          </r>
          <r>
            <rPr>
              <rFont val="メイリオ"/>
              <sz val="10"/>
            </rPr>
            <t xml:space="preserve">・監査ログに CREATE イベント記録（before_value 空、after_value JSON 完全）
</t>
          </r>
          <r>
            <rPr>
              <rFont val="メイリオ"/>
              <sz val="10"/>
            </rPr>
            <t>・主 DML + 監査ログが単一トランザクション内でコミット</t>
          </r>
        </is>
      </c>
      <c r="Y54" s="10" t="n"/>
      <c r="Z54" s="10" t="n"/>
      <c r="AA54" s="10" t="n"/>
      <c r="AB54" s="10" t="n"/>
      <c r="AC54" s="10" t="n"/>
      <c r="AD54" s="11" t="n"/>
      <c r="AE54" s="45" t="inlineStr">
        <is>
          <t>N</t>
        </is>
      </c>
      <c r="AF54" s="11" t="n"/>
      <c r="AG54" s="45" t="inlineStr"/>
      <c r="AH54" s="10" t="n"/>
      <c r="AI54" s="11" t="n"/>
      <c r="AJ54" s="45" t="inlineStr"/>
      <c r="AK54" s="10" t="n"/>
      <c r="AL54" s="11" t="n"/>
      <c r="AM54" s="45" t="inlineStr"/>
      <c r="AN54" s="10" t="n"/>
      <c r="AO54" s="11" t="n"/>
      <c r="AP54" s="45" t="inlineStr"/>
      <c r="AQ54" s="10" t="n"/>
      <c r="AR54" s="11" t="n"/>
      <c r="AS54" s="45" t="inlineStr"/>
      <c r="AT54" s="10" t="n"/>
      <c r="AU54" s="11" t="n"/>
      <c r="AV54" s="45" t="inlineStr"/>
      <c r="AW54" s="10" t="n"/>
      <c r="AX54" s="11" t="n"/>
      <c r="AY54" s="45" t="inlineStr"/>
      <c r="AZ54" s="10" t="n"/>
      <c r="BA54" s="11" t="n"/>
      <c r="BB54" s="45" t="inlineStr"/>
      <c r="BC54" s="10" t="n"/>
      <c r="BD54" s="11" t="n"/>
      <c r="BE54" s="45" t="inlineStr"/>
      <c r="BF54" s="10" t="n"/>
      <c r="BG54" s="11" t="n"/>
      <c r="BH54" s="45" t="inlineStr"/>
      <c r="BI54" s="10" t="n"/>
      <c r="BJ54" s="11" t="n"/>
      <c r="BK54" s="46" t="inlineStr"/>
      <c r="BL54" s="10" t="n"/>
      <c r="BM54" s="10" t="n"/>
      <c r="BN54" s="10" t="n"/>
      <c r="BO54" s="10" t="n"/>
      <c r="BP54" s="10" t="n"/>
      <c r="BQ54" s="11" t="n"/>
    </row>
    <row r="55" ht="304" customHeight="1">
      <c r="A55" s="44" t="n">
        <v>39</v>
      </c>
      <c r="B55" s="46" t="inlineStr">
        <is>
          <t>ACSMS-TC-005-039</t>
        </is>
      </c>
      <c r="C55" s="10" t="n"/>
      <c r="D55" s="11" t="n"/>
      <c r="E55" s="46" t="inlineStr">
        <is>
          <t>新規登録 — 必須項目のみ入力での登録</t>
        </is>
      </c>
      <c r="F55" s="10" t="n"/>
      <c r="G55" s="10" t="n"/>
      <c r="H55" s="10" t="n"/>
      <c r="I55" s="11" t="n"/>
      <c r="J55" s="46" t="inlineStr">
        <is>
          <t>・role: NICHINO_ADMIN
・登録画面
・テストデータ（必須項目のみ）：JAコード=1301999002、JA名=JAテスト最小、都道府県=13、中央会フラグ=false、金融機関コード=1234、金融機関名=農林中央金庫、税区分=1</t>
        </is>
      </c>
      <c r="K55" s="10" t="n"/>
      <c r="L55" s="10" t="n"/>
      <c r="M55" s="10" t="n"/>
      <c r="N55" s="10" t="n"/>
      <c r="O55" s="10" t="n"/>
      <c r="P55" s="11" t="n"/>
      <c r="Q55" s="46" t="inlineStr">
        <is>
          <r>
            <rPr>
              <rFont val="メイリオ"/>
              <b val="1"/>
              <sz val="10"/>
            </rPr>
            <t xml:space="preserve">ステップ1：
</t>
          </r>
          <r>
            <rPr>
              <rFont val="メイリオ"/>
              <sz val="10"/>
            </rPr>
            <t xml:space="preserve">必須項目のみ入力、任意項目は空欄のまま登録ボタン押下
</t>
          </r>
          <r>
            <rPr>
              <rFont val="メイリオ"/>
              <b val="1"/>
              <sz val="10"/>
            </rPr>
            <t xml:space="preserve">ステップ2：
</t>
          </r>
          <r>
            <rPr>
              <rFont val="メイリオ"/>
              <sz val="10"/>
            </rPr>
            <t>DB 確認：`SELECT * FROM m_ja WHERE ja_code='1301999002'`</t>
          </r>
        </is>
      </c>
      <c r="R55" s="10" t="n"/>
      <c r="S55" s="10" t="n"/>
      <c r="T55" s="10" t="n"/>
      <c r="U55" s="10" t="n"/>
      <c r="V55" s="10" t="n"/>
      <c r="W55" s="11" t="n"/>
      <c r="X55" s="46" t="inlineStr">
        <is>
          <r>
            <rPr>
              <rFont val="メイリオ"/>
              <b val="1"/>
              <sz val="10"/>
            </rPr>
            <t xml:space="preserve">ステップ1：
</t>
          </r>
          <r>
            <rPr>
              <rFont val="メイリオ"/>
              <sz val="10"/>
            </rPr>
            <t xml:space="preserve">HTTPステータスコード：201
</t>
          </r>
          <r>
            <rPr>
              <rFont val="メイリオ"/>
              <sz val="10"/>
            </rPr>
            <t xml:space="preserve">トースト「登録しました。」表示
</t>
          </r>
          <r>
            <rPr>
              <rFont val="メイリオ"/>
              <sz val="10"/>
            </rPr>
            <t xml:space="preserve">`/ja` 一覧画面へリダイレクト
</t>
          </r>
          <r>
            <rPr>
              <rFont val="メイリオ"/>
              <b val="1"/>
              <sz val="10"/>
            </rPr>
            <t xml:space="preserve">ステップ2：
</t>
          </r>
          <r>
            <rPr>
              <rFont val="メイリオ"/>
              <sz val="10"/>
            </rPr>
            <t xml:space="preserve">1行追加、必須項目は入力値、任意項目（JA名カナ、郵便番号、住所、電話、FAX、メール、担当部署、担当者、備考）は空文字または NULL
</t>
          </r>
          <r>
            <rPr>
              <rFont val="メイリオ"/>
              <b val="1"/>
              <sz val="10"/>
            </rPr>
            <t xml:space="preserve">補足：
</t>
          </r>
          <r>
            <rPr>
              <rFont val="メイリオ"/>
              <sz val="10"/>
            </rPr>
            <t xml:space="preserve">・任意項目空欄でも正常登録可能
</t>
          </r>
          <r>
            <rPr>
              <rFont val="メイリオ"/>
              <sz val="10"/>
            </rPr>
            <t>・nullable 項目は NULL、NOT NULL 項目（biko 等）は空文字で保存</t>
          </r>
        </is>
      </c>
      <c r="Y55" s="10" t="n"/>
      <c r="Z55" s="10" t="n"/>
      <c r="AA55" s="10" t="n"/>
      <c r="AB55" s="10" t="n"/>
      <c r="AC55" s="10" t="n"/>
      <c r="AD55" s="11" t="n"/>
      <c r="AE55" s="45" t="inlineStr">
        <is>
          <t>N</t>
        </is>
      </c>
      <c r="AF55" s="11" t="n"/>
      <c r="AG55" s="45" t="inlineStr"/>
      <c r="AH55" s="10" t="n"/>
      <c r="AI55" s="11" t="n"/>
      <c r="AJ55" s="45" t="inlineStr"/>
      <c r="AK55" s="10" t="n"/>
      <c r="AL55" s="11" t="n"/>
      <c r="AM55" s="45" t="inlineStr"/>
      <c r="AN55" s="10" t="n"/>
      <c r="AO55" s="11" t="n"/>
      <c r="AP55" s="45" t="inlineStr"/>
      <c r="AQ55" s="10" t="n"/>
      <c r="AR55" s="11" t="n"/>
      <c r="AS55" s="45" t="inlineStr"/>
      <c r="AT55" s="10" t="n"/>
      <c r="AU55" s="11" t="n"/>
      <c r="AV55" s="45" t="inlineStr"/>
      <c r="AW55" s="10" t="n"/>
      <c r="AX55" s="11" t="n"/>
      <c r="AY55" s="45" t="inlineStr"/>
      <c r="AZ55" s="10" t="n"/>
      <c r="BA55" s="11" t="n"/>
      <c r="BB55" s="45" t="inlineStr"/>
      <c r="BC55" s="10" t="n"/>
      <c r="BD55" s="11" t="n"/>
      <c r="BE55" s="45" t="inlineStr"/>
      <c r="BF55" s="10" t="n"/>
      <c r="BG55" s="11" t="n"/>
      <c r="BH55" s="45" t="inlineStr"/>
      <c r="BI55" s="10" t="n"/>
      <c r="BJ55" s="11" t="n"/>
      <c r="BK55" s="46" t="inlineStr"/>
      <c r="BL55" s="10" t="n"/>
      <c r="BM55" s="10" t="n"/>
      <c r="BN55" s="10" t="n"/>
      <c r="BO55" s="10" t="n"/>
      <c r="BP55" s="10" t="n"/>
      <c r="BQ55" s="11" t="n"/>
    </row>
    <row r="56" ht="352" customHeight="1">
      <c r="A56" s="44" t="n">
        <v>40</v>
      </c>
      <c r="B56" s="46" t="inlineStr">
        <is>
          <t>ACSMS-TC-005-040</t>
        </is>
      </c>
      <c r="C56" s="10" t="n"/>
      <c r="D56" s="11" t="n"/>
      <c r="E56" s="46" t="inlineStr">
        <is>
          <t>新規登録 — 重複JAコード時のエラー</t>
        </is>
      </c>
      <c r="F56" s="10" t="n"/>
      <c r="G56" s="10" t="n"/>
      <c r="H56" s="10" t="n"/>
      <c r="I56" s="11" t="n"/>
      <c r="J56" s="46" t="inlineStr">
        <is>
          <t>・role: NICHINO_ADMIN
・事前データ：`ja_code='1301001001'` 登録済（deleted_at IS NULL）</t>
        </is>
      </c>
      <c r="K56" s="10" t="n"/>
      <c r="L56" s="10" t="n"/>
      <c r="M56" s="10" t="n"/>
      <c r="N56" s="10" t="n"/>
      <c r="O56" s="10" t="n"/>
      <c r="P56" s="11" t="n"/>
      <c r="Q56" s="46" t="inlineStr">
        <is>
          <r>
            <rPr>
              <rFont val="メイリオ"/>
              <b val="1"/>
              <sz val="10"/>
            </rPr>
            <t xml:space="preserve">ステップ1：
</t>
          </r>
          <r>
            <rPr>
              <rFont val="メイリオ"/>
              <sz val="10"/>
            </rPr>
            <t xml:space="preserve">JAコードに `1301001001` 入力、他は有効値で登録
</t>
          </r>
          <r>
            <rPr>
              <rFont val="メイリオ"/>
              <b val="1"/>
              <sz val="10"/>
            </rPr>
            <t xml:space="preserve">ステップ2：
</t>
          </r>
          <r>
            <rPr>
              <rFont val="メイリオ"/>
              <sz val="10"/>
            </rPr>
            <t xml:space="preserve">DB 確認
</t>
          </r>
          <r>
            <rPr>
              <rFont val="メイリオ"/>
              <b val="1"/>
              <sz val="10"/>
            </rPr>
            <t xml:space="preserve">ステップ3：
</t>
          </r>
          <r>
            <rPr>
              <rFont val="メイリオ"/>
              <sz val="10"/>
            </rPr>
            <t>監査ログ確認：`t_log` に `result_status = 2` の失敗ログ確認</t>
          </r>
        </is>
      </c>
      <c r="R56" s="10" t="n"/>
      <c r="S56" s="10" t="n"/>
      <c r="T56" s="10" t="n"/>
      <c r="U56" s="10" t="n"/>
      <c r="V56" s="10" t="n"/>
      <c r="W56" s="11" t="n"/>
      <c r="X56" s="46" t="inlineStr">
        <is>
          <r>
            <rPr>
              <rFont val="メイリオ"/>
              <b val="1"/>
              <sz val="10"/>
            </rPr>
            <t xml:space="preserve">ステップ1：
</t>
          </r>
          <r>
            <rPr>
              <rFont val="メイリオ"/>
              <sz val="10"/>
            </rPr>
            <t xml:space="preserve">HTTPステータスコード：400
</t>
          </r>
          <r>
            <rPr>
              <rFont val="メイリオ"/>
              <sz val="10"/>
            </rPr>
            <t xml:space="preserve">error_code：DUPLICATE_CODE
</t>
          </r>
          <r>
            <rPr>
              <rFont val="メイリオ"/>
              <sz val="10"/>
            </rPr>
            <t xml:space="preserve">message：「JAコード「1301001001」はすでに登録されています。」
</t>
          </r>
          <r>
            <rPr>
              <rFont val="メイリオ"/>
              <sz val="10"/>
            </rPr>
            <t xml:space="preserve">登録失敗、画面で項目直下にメッセージ表示
</t>
          </r>
          <r>
            <rPr>
              <rFont val="メイリオ"/>
              <b val="1"/>
              <sz val="10"/>
            </rPr>
            <t xml:space="preserve">ステップ2：
</t>
          </r>
          <r>
            <rPr>
              <rFont val="メイリオ"/>
              <sz val="10"/>
            </rPr>
            <t xml:space="preserve">新規行追加されない、`m_ja` で `1301001001` は1行のみ
</t>
          </r>
          <r>
            <rPr>
              <rFont val="メイリオ"/>
              <b val="1"/>
              <sz val="10"/>
            </rPr>
            <t xml:space="preserve">ステップ3：
</t>
          </r>
          <r>
            <rPr>
              <rFont val="メイリオ"/>
              <sz val="10"/>
            </rPr>
            <t xml:space="preserve">失敗ログ記録（log_type=3）、トランザクションロールバック確認
</t>
          </r>
          <r>
            <rPr>
              <rFont val="メイリオ"/>
              <b val="1"/>
              <sz val="10"/>
            </rPr>
            <t xml:space="preserve">補足：
</t>
          </r>
          <r>
            <rPr>
              <rFont val="メイリオ"/>
              <sz val="10"/>
            </rPr>
            <t xml:space="preserve">・重複検出 → トランザクションロールバック → 失敗ログ記録
</t>
          </r>
          <r>
            <rPr>
              <rFont val="メイリオ"/>
              <sz val="10"/>
            </rPr>
            <t>・ACSMS-MSG-005-009 該当</t>
          </r>
        </is>
      </c>
      <c r="Y56" s="10" t="n"/>
      <c r="Z56" s="10" t="n"/>
      <c r="AA56" s="10" t="n"/>
      <c r="AB56" s="10" t="n"/>
      <c r="AC56" s="10" t="n"/>
      <c r="AD56" s="11" t="n"/>
      <c r="AE56" s="45" t="inlineStr">
        <is>
          <t>A</t>
        </is>
      </c>
      <c r="AF56" s="11" t="n"/>
      <c r="AG56" s="45" t="inlineStr"/>
      <c r="AH56" s="10" t="n"/>
      <c r="AI56" s="11" t="n"/>
      <c r="AJ56" s="45" t="inlineStr"/>
      <c r="AK56" s="10" t="n"/>
      <c r="AL56" s="11" t="n"/>
      <c r="AM56" s="45" t="inlineStr"/>
      <c r="AN56" s="10" t="n"/>
      <c r="AO56" s="11" t="n"/>
      <c r="AP56" s="45" t="inlineStr"/>
      <c r="AQ56" s="10" t="n"/>
      <c r="AR56" s="11" t="n"/>
      <c r="AS56" s="45" t="inlineStr"/>
      <c r="AT56" s="10" t="n"/>
      <c r="AU56" s="11" t="n"/>
      <c r="AV56" s="45" t="inlineStr"/>
      <c r="AW56" s="10" t="n"/>
      <c r="AX56" s="11" t="n"/>
      <c r="AY56" s="45" t="inlineStr"/>
      <c r="AZ56" s="10" t="n"/>
      <c r="BA56" s="11" t="n"/>
      <c r="BB56" s="45" t="inlineStr"/>
      <c r="BC56" s="10" t="n"/>
      <c r="BD56" s="11" t="n"/>
      <c r="BE56" s="45" t="inlineStr"/>
      <c r="BF56" s="10" t="n"/>
      <c r="BG56" s="11" t="n"/>
      <c r="BH56" s="45" t="inlineStr"/>
      <c r="BI56" s="10" t="n"/>
      <c r="BJ56" s="11" t="n"/>
      <c r="BK56" s="46" t="inlineStr"/>
      <c r="BL56" s="10" t="n"/>
      <c r="BM56" s="10" t="n"/>
      <c r="BN56" s="10" t="n"/>
      <c r="BO56" s="10" t="n"/>
      <c r="BP56" s="10" t="n"/>
      <c r="BQ56" s="11" t="n"/>
    </row>
    <row r="57" ht="400" customHeight="1">
      <c r="A57" s="44" t="n">
        <v>41</v>
      </c>
      <c r="B57" s="46" t="inlineStr">
        <is>
          <t>ACSMS-TC-005-041</t>
        </is>
      </c>
      <c r="C57" s="10" t="n"/>
      <c r="D57" s="11" t="n"/>
      <c r="E57" s="46" t="inlineStr">
        <is>
          <t>新規登録 — 全フィールド未入力時の統合バリデーション</t>
        </is>
      </c>
      <c r="F57" s="10" t="n"/>
      <c r="G57" s="10" t="n"/>
      <c r="H57" s="10" t="n"/>
      <c r="I57" s="11" t="n"/>
      <c r="J57" s="46" t="inlineStr">
        <is>
          <t>・role: NICHINO_ADMIN
・登録画面、すべてのフィールド空</t>
        </is>
      </c>
      <c r="K57" s="10" t="n"/>
      <c r="L57" s="10" t="n"/>
      <c r="M57" s="10" t="n"/>
      <c r="N57" s="10" t="n"/>
      <c r="O57" s="10" t="n"/>
      <c r="P57" s="11" t="n"/>
      <c r="Q57" s="46" t="inlineStr">
        <is>
          <r>
            <rPr>
              <rFont val="メイリオ"/>
              <b val="1"/>
              <sz val="10"/>
            </rPr>
            <t xml:space="preserve">ステップ1：
</t>
          </r>
          <r>
            <rPr>
              <rFont val="メイリオ"/>
              <sz val="10"/>
            </rPr>
            <t xml:space="preserve">何も入力せず登録ボタン押下
</t>
          </r>
          <r>
            <rPr>
              <rFont val="メイリオ"/>
              <b val="1"/>
              <sz val="10"/>
            </rPr>
            <t xml:space="preserve">ステップ2：
</t>
          </r>
          <r>
            <rPr>
              <rFont val="メイリオ"/>
              <sz val="10"/>
            </rPr>
            <t>各必須項目のエラーメッセージ確認</t>
          </r>
        </is>
      </c>
      <c r="R57" s="10" t="n"/>
      <c r="S57" s="10" t="n"/>
      <c r="T57" s="10" t="n"/>
      <c r="U57" s="10" t="n"/>
      <c r="V57" s="10" t="n"/>
      <c r="W57" s="11" t="n"/>
      <c r="X57" s="46" t="inlineStr">
        <is>
          <r>
            <rPr>
              <rFont val="メイリオ"/>
              <b val="1"/>
              <sz val="10"/>
            </rPr>
            <t xml:space="preserve">ステップ1：
</t>
          </r>
          <r>
            <rPr>
              <rFont val="メイリオ"/>
              <sz val="10"/>
            </rPr>
            <t xml:space="preserve">HTTPステータスコード：400
</t>
          </r>
          <r>
            <rPr>
              <rFont val="メイリオ"/>
              <sz val="10"/>
            </rPr>
            <t xml:space="preserve">error_code：VALIDATION_ERROR
</t>
          </r>
          <r>
            <rPr>
              <rFont val="メイリオ"/>
              <sz val="10"/>
            </rPr>
            <t xml:space="preserve">レスポンスボディに `errors: [{ field, message }]` 配列が含まれる
</t>
          </r>
          <r>
            <rPr>
              <rFont val="メイリオ"/>
              <sz val="10"/>
            </rPr>
            <t xml:space="preserve">各必須項目直下に「必須項目です。」表示、送信ブロック
</t>
          </r>
          <r>
            <rPr>
              <rFont val="メイリオ"/>
              <b val="1"/>
              <sz val="10"/>
            </rPr>
            <t xml:space="preserve">ステップ2：
</t>
          </r>
          <r>
            <rPr>
              <rFont val="メイリオ"/>
              <sz val="10"/>
            </rPr>
            <t xml:space="preserve">JAコード、JA名、都道府県、中央会フラグ、金融機関コード、金融機関名、税区分の7項目について、`errors` 配列に対応する field 名と message が返却される
</t>
          </r>
          <r>
            <rPr>
              <rFont val="メイリオ"/>
              <b val="1"/>
              <sz val="10"/>
            </rPr>
            <t xml:space="preserve">補足：
</t>
          </r>
          <r>
            <rPr>
              <rFont val="メイリオ"/>
              <sz val="10"/>
            </rPr>
            <t xml:space="preserve">・送信失敗、複数の必須違反を同時表示
</t>
          </r>
          <r>
            <rPr>
              <rFont val="メイリオ"/>
              <sz val="10"/>
            </rPr>
            <t xml:space="preserve">・DB に行追加なし
</t>
          </r>
          <r>
            <rPr>
              <rFont val="メイリオ"/>
              <sz val="10"/>
            </rPr>
            <t>・任意項目（JA名カナ、郵便番号、住所、電話、FAX、メール、担当部署、担当者、備考）は必須エラーの対象外</t>
          </r>
        </is>
      </c>
      <c r="Y57" s="10" t="n"/>
      <c r="Z57" s="10" t="n"/>
      <c r="AA57" s="10" t="n"/>
      <c r="AB57" s="10" t="n"/>
      <c r="AC57" s="10" t="n"/>
      <c r="AD57" s="11" t="n"/>
      <c r="AE57" s="45" t="inlineStr">
        <is>
          <t>A</t>
        </is>
      </c>
      <c r="AF57" s="11" t="n"/>
      <c r="AG57" s="45" t="inlineStr"/>
      <c r="AH57" s="10" t="n"/>
      <c r="AI57" s="11" t="n"/>
      <c r="AJ57" s="45" t="inlineStr"/>
      <c r="AK57" s="10" t="n"/>
      <c r="AL57" s="11" t="n"/>
      <c r="AM57" s="45" t="inlineStr"/>
      <c r="AN57" s="10" t="n"/>
      <c r="AO57" s="11" t="n"/>
      <c r="AP57" s="45" t="inlineStr"/>
      <c r="AQ57" s="10" t="n"/>
      <c r="AR57" s="11" t="n"/>
      <c r="AS57" s="45" t="inlineStr"/>
      <c r="AT57" s="10" t="n"/>
      <c r="AU57" s="11" t="n"/>
      <c r="AV57" s="45" t="inlineStr"/>
      <c r="AW57" s="10" t="n"/>
      <c r="AX57" s="11" t="n"/>
      <c r="AY57" s="45" t="inlineStr"/>
      <c r="AZ57" s="10" t="n"/>
      <c r="BA57" s="11" t="n"/>
      <c r="BB57" s="45" t="inlineStr"/>
      <c r="BC57" s="10" t="n"/>
      <c r="BD57" s="11" t="n"/>
      <c r="BE57" s="45" t="inlineStr"/>
      <c r="BF57" s="10" t="n"/>
      <c r="BG57" s="11" t="n"/>
      <c r="BH57" s="45" t="inlineStr"/>
      <c r="BI57" s="10" t="n"/>
      <c r="BJ57" s="11" t="n"/>
      <c r="BK57" s="46" t="inlineStr"/>
      <c r="BL57" s="10" t="n"/>
      <c r="BM57" s="10" t="n"/>
      <c r="BN57" s="10" t="n"/>
      <c r="BO57" s="10" t="n"/>
      <c r="BP57" s="10" t="n"/>
      <c r="BQ57" s="11" t="n"/>
    </row>
    <row r="58" ht="432" customHeight="1">
      <c r="A58" s="44" t="n">
        <v>42</v>
      </c>
      <c r="B58" s="46" t="inlineStr">
        <is>
          <t>ACSMS-TC-005-042</t>
        </is>
      </c>
      <c r="C58" s="10" t="n"/>
      <c r="D58" s="11" t="n"/>
      <c r="E58" s="46" t="inlineStr">
        <is>
          <t>新規登録 — システムエラー時の処理</t>
        </is>
      </c>
      <c r="F58" s="10" t="n"/>
      <c r="G58" s="10" t="n"/>
      <c r="H58" s="10" t="n"/>
      <c r="I58" s="11" t="n"/>
      <c r="J58" s="46" t="inlineStr">
        <is>
          <t>・role: NICHINO_ADMIN
・登録画面、有効値入力済
・バックエンド側で意図的に内部エラーをトリガー（テスト環境のみ）</t>
        </is>
      </c>
      <c r="K58" s="10" t="n"/>
      <c r="L58" s="10" t="n"/>
      <c r="M58" s="10" t="n"/>
      <c r="N58" s="10" t="n"/>
      <c r="O58" s="10" t="n"/>
      <c r="P58" s="11" t="n"/>
      <c r="Q58" s="46" t="inlineStr">
        <is>
          <r>
            <rPr>
              <rFont val="メイリオ"/>
              <b val="1"/>
              <sz val="10"/>
            </rPr>
            <t xml:space="preserve">ステップ1：
</t>
          </r>
          <r>
            <rPr>
              <rFont val="メイリオ"/>
              <sz val="10"/>
            </rPr>
            <t xml:space="preserve">登録ボタン押下 → BE 500エラー発生
</t>
          </r>
          <r>
            <rPr>
              <rFont val="メイリオ"/>
              <b val="1"/>
              <sz val="10"/>
            </rPr>
            <t xml:space="preserve">ステップ2：
</t>
          </r>
          <r>
            <rPr>
              <rFont val="メイリオ"/>
              <sz val="10"/>
            </rPr>
            <t xml:space="preserve">画面状態確認
</t>
          </r>
          <r>
            <rPr>
              <rFont val="メイリオ"/>
              <b val="1"/>
              <sz val="10"/>
            </rPr>
            <t xml:space="preserve">ステップ3：
</t>
          </r>
          <r>
            <rPr>
              <rFont val="メイリオ"/>
              <sz val="10"/>
            </rPr>
            <t xml:space="preserve">DB 確認
</t>
          </r>
          <r>
            <rPr>
              <rFont val="メイリオ"/>
              <b val="1"/>
              <sz val="10"/>
            </rPr>
            <t xml:space="preserve">ステップ4：
</t>
          </r>
          <r>
            <rPr>
              <rFont val="メイリオ"/>
              <sz val="10"/>
            </rPr>
            <t>エラーログ確認</t>
          </r>
        </is>
      </c>
      <c r="R58" s="10" t="n"/>
      <c r="S58" s="10" t="n"/>
      <c r="T58" s="10" t="n"/>
      <c r="U58" s="10" t="n"/>
      <c r="V58" s="10" t="n"/>
      <c r="W58" s="11" t="n"/>
      <c r="X58" s="46" t="inlineStr">
        <is>
          <r>
            <rPr>
              <rFont val="メイリオ"/>
              <b val="1"/>
              <sz val="10"/>
            </rPr>
            <t xml:space="preserve">ステップ1：
</t>
          </r>
          <r>
            <rPr>
              <rFont val="メイリオ"/>
              <sz val="10"/>
            </rPr>
            <t xml:space="preserve">HTTPステータスコード：500
</t>
          </r>
          <r>
            <rPr>
              <rFont val="メイリオ"/>
              <sz val="10"/>
            </rPr>
            <t xml:space="preserve">error_code：INTERNAL_SERVER_ERROR
</t>
          </r>
          <r>
            <rPr>
              <rFont val="メイリオ"/>
              <sz val="10"/>
            </rPr>
            <t xml:space="preserve">トースト「システムエラーが発生しました。しばらくしてから再度お試しください。」表示
</t>
          </r>
          <r>
            <rPr>
              <rFont val="メイリオ"/>
              <b val="1"/>
              <sz val="10"/>
            </rPr>
            <t xml:space="preserve">ステップ2：
</t>
          </r>
          <r>
            <rPr>
              <rFont val="メイリオ"/>
              <sz val="10"/>
            </rPr>
            <t xml:space="preserve">登録画面のまま、入力値保持
</t>
          </r>
          <r>
            <rPr>
              <rFont val="メイリオ"/>
              <b val="1"/>
              <sz val="10"/>
            </rPr>
            <t xml:space="preserve">ステップ3：
</t>
          </r>
          <r>
            <rPr>
              <rFont val="メイリオ"/>
              <sz val="10"/>
            </rPr>
            <t xml:space="preserve">行追加なし
</t>
          </r>
          <r>
            <rPr>
              <rFont val="メイリオ"/>
              <b val="1"/>
              <sz val="10"/>
            </rPr>
            <t xml:space="preserve">ステップ4：
</t>
          </r>
          <r>
            <rPr>
              <rFont val="メイリオ"/>
              <sz val="10"/>
            </rPr>
            <t xml:space="preserve">`t_log` に log_type=3（エラー）、result_status=2 のログ記録あり
</t>
          </r>
          <r>
            <rPr>
              <rFont val="メイリオ"/>
              <b val="1"/>
              <sz val="10"/>
            </rPr>
            <t xml:space="preserve">補足：
</t>
          </r>
          <r>
            <rPr>
              <rFont val="メイリオ"/>
              <sz val="10"/>
            </rPr>
            <t xml:space="preserve">・利用者向けエラーメッセージ表示
</t>
          </r>
          <r>
            <rPr>
              <rFont val="メイリオ"/>
              <sz val="10"/>
            </rPr>
            <t xml:space="preserve">・トランザクションロールバック、データ整合性維持
</t>
          </r>
          <r>
            <rPr>
              <rFont val="メイリオ"/>
              <sz val="10"/>
            </rPr>
            <t>・エラーログでデバッグ可能（error_message + stack_trace 記録）</t>
          </r>
        </is>
      </c>
      <c r="Y58" s="10" t="n"/>
      <c r="Z58" s="10" t="n"/>
      <c r="AA58" s="10" t="n"/>
      <c r="AB58" s="10" t="n"/>
      <c r="AC58" s="10" t="n"/>
      <c r="AD58" s="11" t="n"/>
      <c r="AE58" s="45" t="inlineStr">
        <is>
          <t>A</t>
        </is>
      </c>
      <c r="AF58" s="11" t="n"/>
      <c r="AG58" s="45" t="inlineStr"/>
      <c r="AH58" s="10" t="n"/>
      <c r="AI58" s="11" t="n"/>
      <c r="AJ58" s="45" t="inlineStr"/>
      <c r="AK58" s="10" t="n"/>
      <c r="AL58" s="11" t="n"/>
      <c r="AM58" s="45" t="inlineStr"/>
      <c r="AN58" s="10" t="n"/>
      <c r="AO58" s="11" t="n"/>
      <c r="AP58" s="45" t="inlineStr"/>
      <c r="AQ58" s="10" t="n"/>
      <c r="AR58" s="11" t="n"/>
      <c r="AS58" s="45" t="inlineStr"/>
      <c r="AT58" s="10" t="n"/>
      <c r="AU58" s="11" t="n"/>
      <c r="AV58" s="45" t="inlineStr"/>
      <c r="AW58" s="10" t="n"/>
      <c r="AX58" s="11" t="n"/>
      <c r="AY58" s="45" t="inlineStr"/>
      <c r="AZ58" s="10" t="n"/>
      <c r="BA58" s="11" t="n"/>
      <c r="BB58" s="45" t="inlineStr"/>
      <c r="BC58" s="10" t="n"/>
      <c r="BD58" s="11" t="n"/>
      <c r="BE58" s="45" t="inlineStr"/>
      <c r="BF58" s="10" t="n"/>
      <c r="BG58" s="11" t="n"/>
      <c r="BH58" s="45" t="inlineStr"/>
      <c r="BI58" s="10" t="n"/>
      <c r="BJ58" s="11" t="n"/>
      <c r="BK58" s="46" t="inlineStr"/>
      <c r="BL58" s="10" t="n"/>
      <c r="BM58" s="10" t="n"/>
      <c r="BN58" s="10" t="n"/>
      <c r="BO58" s="10" t="n"/>
      <c r="BP58" s="10" t="n"/>
      <c r="BQ58" s="11" t="n"/>
    </row>
    <row r="59" ht="272" customHeight="1">
      <c r="A59" s="44" t="n">
        <v>43</v>
      </c>
      <c r="B59" s="46" t="inlineStr">
        <is>
          <t>ACSMS-TC-005-043</t>
        </is>
      </c>
      <c r="C59" s="10" t="n"/>
      <c r="D59" s="11" t="n"/>
      <c r="E59" s="46" t="inlineStr">
        <is>
          <t>新規登録 — ネットワーク切断時の処理</t>
        </is>
      </c>
      <c r="F59" s="10" t="n"/>
      <c r="G59" s="10" t="n"/>
      <c r="H59" s="10" t="n"/>
      <c r="I59" s="11" t="n"/>
      <c r="J59" s="46" t="inlineStr">
        <is>
          <t>・role: NICHINO_ADMIN
・登録画面、有効値入力済
・DevTools の Network タブをネットワーク切断モードに切替</t>
        </is>
      </c>
      <c r="K59" s="10" t="n"/>
      <c r="L59" s="10" t="n"/>
      <c r="M59" s="10" t="n"/>
      <c r="N59" s="10" t="n"/>
      <c r="O59" s="10" t="n"/>
      <c r="P59" s="11" t="n"/>
      <c r="Q59" s="46" t="inlineStr">
        <is>
          <r>
            <rPr>
              <rFont val="メイリオ"/>
              <b val="1"/>
              <sz val="10"/>
            </rPr>
            <t xml:space="preserve">ステップ1：
</t>
          </r>
          <r>
            <rPr>
              <rFont val="メイリオ"/>
              <sz val="10"/>
            </rPr>
            <t xml:space="preserve">登録ボタン押下
</t>
          </r>
          <r>
            <rPr>
              <rFont val="メイリオ"/>
              <b val="1"/>
              <sz val="10"/>
            </rPr>
            <t xml:space="preserve">ステップ2：
</t>
          </r>
          <r>
            <rPr>
              <rFont val="メイリオ"/>
              <sz val="10"/>
            </rPr>
            <t xml:space="preserve">画面状態を確認
</t>
          </r>
          <r>
            <rPr>
              <rFont val="メイリオ"/>
              <b val="1"/>
              <sz val="10"/>
            </rPr>
            <t xml:space="preserve">ステップ3：
</t>
          </r>
          <r>
            <rPr>
              <rFont val="メイリオ"/>
              <sz val="10"/>
            </rPr>
            <t>ネットワーク復旧後、再度登録ボタン押下</t>
          </r>
        </is>
      </c>
      <c r="R59" s="10" t="n"/>
      <c r="S59" s="10" t="n"/>
      <c r="T59" s="10" t="n"/>
      <c r="U59" s="10" t="n"/>
      <c r="V59" s="10" t="n"/>
      <c r="W59" s="11" t="n"/>
      <c r="X59" s="46" t="inlineStr">
        <is>
          <r>
            <rPr>
              <rFont val="メイリオ"/>
              <b val="1"/>
              <sz val="10"/>
            </rPr>
            <t xml:space="preserve">ステップ1：
</t>
          </r>
          <r>
            <rPr>
              <rFont val="メイリオ"/>
              <sz val="10"/>
            </rPr>
            <t xml:space="preserve">トースト「ネットワークエラーが発生しました。接続をご確認ください。」表示
</t>
          </r>
          <r>
            <rPr>
              <rFont val="メイリオ"/>
              <b val="1"/>
              <sz val="10"/>
            </rPr>
            <t xml:space="preserve">ステップ2：
</t>
          </r>
          <r>
            <rPr>
              <rFont val="メイリオ"/>
              <sz val="10"/>
            </rPr>
            <t xml:space="preserve">登録画面のまま、入力値保持
</t>
          </r>
          <r>
            <rPr>
              <rFont val="メイリオ"/>
              <b val="1"/>
              <sz val="10"/>
            </rPr>
            <t xml:space="preserve">ステップ3：
</t>
          </r>
          <r>
            <rPr>
              <rFont val="メイリオ"/>
              <sz val="10"/>
            </rPr>
            <t xml:space="preserve">正常登録成功、HTTPステータスコード：201
</t>
          </r>
          <r>
            <rPr>
              <rFont val="メイリオ"/>
              <b val="1"/>
              <sz val="10"/>
            </rPr>
            <t xml:space="preserve">補足：
</t>
          </r>
          <r>
            <rPr>
              <rFont val="メイリオ"/>
              <sz val="10"/>
            </rPr>
            <t xml:space="preserve">・ネットワークエラー検出 → 利用者通知
</t>
          </r>
          <r>
            <rPr>
              <rFont val="メイリオ"/>
              <sz val="10"/>
            </rPr>
            <t>・入力値が保持され、再送信可能</t>
          </r>
        </is>
      </c>
      <c r="Y59" s="10" t="n"/>
      <c r="Z59" s="10" t="n"/>
      <c r="AA59" s="10" t="n"/>
      <c r="AB59" s="10" t="n"/>
      <c r="AC59" s="10" t="n"/>
      <c r="AD59" s="11" t="n"/>
      <c r="AE59" s="45" t="inlineStr">
        <is>
          <t>A</t>
        </is>
      </c>
      <c r="AF59" s="11" t="n"/>
      <c r="AG59" s="45" t="inlineStr"/>
      <c r="AH59" s="10" t="n"/>
      <c r="AI59" s="11" t="n"/>
      <c r="AJ59" s="45" t="inlineStr"/>
      <c r="AK59" s="10" t="n"/>
      <c r="AL59" s="11" t="n"/>
      <c r="AM59" s="45" t="inlineStr"/>
      <c r="AN59" s="10" t="n"/>
      <c r="AO59" s="11" t="n"/>
      <c r="AP59" s="45" t="inlineStr"/>
      <c r="AQ59" s="10" t="n"/>
      <c r="AR59" s="11" t="n"/>
      <c r="AS59" s="45" t="inlineStr"/>
      <c r="AT59" s="10" t="n"/>
      <c r="AU59" s="11" t="n"/>
      <c r="AV59" s="45" t="inlineStr"/>
      <c r="AW59" s="10" t="n"/>
      <c r="AX59" s="11" t="n"/>
      <c r="AY59" s="45" t="inlineStr"/>
      <c r="AZ59" s="10" t="n"/>
      <c r="BA59" s="11" t="n"/>
      <c r="BB59" s="45" t="inlineStr"/>
      <c r="BC59" s="10" t="n"/>
      <c r="BD59" s="11" t="n"/>
      <c r="BE59" s="45" t="inlineStr"/>
      <c r="BF59" s="10" t="n"/>
      <c r="BG59" s="11" t="n"/>
      <c r="BH59" s="45" t="inlineStr"/>
      <c r="BI59" s="10" t="n"/>
      <c r="BJ59" s="11" t="n"/>
      <c r="BK59" s="46" t="inlineStr"/>
      <c r="BL59" s="10" t="n"/>
      <c r="BM59" s="10" t="n"/>
      <c r="BN59" s="10" t="n"/>
      <c r="BO59" s="10" t="n"/>
      <c r="BP59" s="10" t="n"/>
      <c r="BQ59" s="11" t="n"/>
    </row>
    <row r="60" ht="288" customHeight="1">
      <c r="A60" s="44" t="n">
        <v>44</v>
      </c>
      <c r="B60" s="46" t="inlineStr">
        <is>
          <t>ACSMS-TC-005-044</t>
        </is>
      </c>
      <c r="C60" s="10" t="n"/>
      <c r="D60" s="11" t="n"/>
      <c r="E60" s="46" t="inlineStr">
        <is>
          <t>新規登録 — 戻るボタンによるキャンセル</t>
        </is>
      </c>
      <c r="F60" s="10" t="n"/>
      <c r="G60" s="10" t="n"/>
      <c r="H60" s="10" t="n"/>
      <c r="I60" s="11" t="n"/>
      <c r="J60" s="46" t="inlineStr">
        <is>
          <t>・role: NICHINO_ADMIN
・登録画面、有効値入力済</t>
        </is>
      </c>
      <c r="K60" s="10" t="n"/>
      <c r="L60" s="10" t="n"/>
      <c r="M60" s="10" t="n"/>
      <c r="N60" s="10" t="n"/>
      <c r="O60" s="10" t="n"/>
      <c r="P60" s="11" t="n"/>
      <c r="Q60" s="46" t="inlineStr">
        <is>
          <r>
            <rPr>
              <rFont val="メイリオ"/>
              <b val="1"/>
              <sz val="10"/>
            </rPr>
            <t xml:space="preserve">ステップ1：
</t>
          </r>
          <r>
            <rPr>
              <rFont val="メイリオ"/>
              <sz val="10"/>
            </rPr>
            <t xml:space="preserve">「前の画面に戻る」ボタン押下
</t>
          </r>
          <r>
            <rPr>
              <rFont val="メイリオ"/>
              <b val="1"/>
              <sz val="10"/>
            </rPr>
            <t xml:space="preserve">ステップ2：
</t>
          </r>
          <r>
            <rPr>
              <rFont val="メイリオ"/>
              <sz val="10"/>
            </rPr>
            <t xml:space="preserve">DB 確認
</t>
          </r>
          <r>
            <rPr>
              <rFont val="メイリオ"/>
              <b val="1"/>
              <sz val="10"/>
            </rPr>
            <t xml:space="preserve">ステップ3：
</t>
          </r>
          <r>
            <rPr>
              <rFont val="メイリオ"/>
              <sz val="10"/>
            </rPr>
            <t>監査ログ確認</t>
          </r>
        </is>
      </c>
      <c r="R60" s="10" t="n"/>
      <c r="S60" s="10" t="n"/>
      <c r="T60" s="10" t="n"/>
      <c r="U60" s="10" t="n"/>
      <c r="V60" s="10" t="n"/>
      <c r="W60" s="11" t="n"/>
      <c r="X60" s="46" t="inlineStr">
        <is>
          <r>
            <rPr>
              <rFont val="メイリオ"/>
              <b val="1"/>
              <sz val="10"/>
            </rPr>
            <t xml:space="preserve">ステップ1：
</t>
          </r>
          <r>
            <rPr>
              <rFont val="メイリオ"/>
              <sz val="10"/>
            </rPr>
            <t xml:space="preserve">未保存変更がある場合、警告ダイアログが表示
</t>
          </r>
          <r>
            <rPr>
              <rFont val="メイリオ"/>
              <sz val="10"/>
            </rPr>
            <t xml:space="preserve">「離れる」を選択 → `/ja` 一覧画面へ遷移
</t>
          </r>
          <r>
            <rPr>
              <rFont val="メイリオ"/>
              <b val="1"/>
              <sz val="10"/>
            </rPr>
            <t xml:space="preserve">ステップ2：
</t>
          </r>
          <r>
            <rPr>
              <rFont val="メイリオ"/>
              <sz val="10"/>
            </rPr>
            <t xml:space="preserve">行追加なし
</t>
          </r>
          <r>
            <rPr>
              <rFont val="メイリオ"/>
              <b val="1"/>
              <sz val="10"/>
            </rPr>
            <t xml:space="preserve">ステップ3：
</t>
          </r>
          <r>
            <rPr>
              <rFont val="メイリオ"/>
              <sz val="10"/>
            </rPr>
            <t xml:space="preserve">ログエントリなし（キャンセルはログ記録されない）
</t>
          </r>
          <r>
            <rPr>
              <rFont val="メイリオ"/>
              <b val="1"/>
              <sz val="10"/>
            </rPr>
            <t xml:space="preserve">補足：
</t>
          </r>
          <r>
            <rPr>
              <rFont val="メイリオ"/>
              <sz val="10"/>
            </rPr>
            <t xml:space="preserve">・キャンセル動作で DB 変更なし、ログ記録なし
</t>
          </r>
          <r>
            <rPr>
              <rFont val="メイリオ"/>
              <sz val="10"/>
            </rPr>
            <t>・未保存変更がある場合は `beforeunload` 警告</t>
          </r>
        </is>
      </c>
      <c r="Y60" s="10" t="n"/>
      <c r="Z60" s="10" t="n"/>
      <c r="AA60" s="10" t="n"/>
      <c r="AB60" s="10" t="n"/>
      <c r="AC60" s="10" t="n"/>
      <c r="AD60" s="11" t="n"/>
      <c r="AE60" s="45" t="inlineStr">
        <is>
          <t>N</t>
        </is>
      </c>
      <c r="AF60" s="11" t="n"/>
      <c r="AG60" s="45" t="inlineStr"/>
      <c r="AH60" s="10" t="n"/>
      <c r="AI60" s="11" t="n"/>
      <c r="AJ60" s="45" t="inlineStr"/>
      <c r="AK60" s="10" t="n"/>
      <c r="AL60" s="11" t="n"/>
      <c r="AM60" s="45" t="inlineStr"/>
      <c r="AN60" s="10" t="n"/>
      <c r="AO60" s="11" t="n"/>
      <c r="AP60" s="45" t="inlineStr"/>
      <c r="AQ60" s="10" t="n"/>
      <c r="AR60" s="11" t="n"/>
      <c r="AS60" s="45" t="inlineStr"/>
      <c r="AT60" s="10" t="n"/>
      <c r="AU60" s="11" t="n"/>
      <c r="AV60" s="45" t="inlineStr"/>
      <c r="AW60" s="10" t="n"/>
      <c r="AX60" s="11" t="n"/>
      <c r="AY60" s="45" t="inlineStr"/>
      <c r="AZ60" s="10" t="n"/>
      <c r="BA60" s="11" t="n"/>
      <c r="BB60" s="45" t="inlineStr"/>
      <c r="BC60" s="10" t="n"/>
      <c r="BD60" s="11" t="n"/>
      <c r="BE60" s="45" t="inlineStr"/>
      <c r="BF60" s="10" t="n"/>
      <c r="BG60" s="11" t="n"/>
      <c r="BH60" s="45" t="inlineStr"/>
      <c r="BI60" s="10" t="n"/>
      <c r="BJ60" s="11" t="n"/>
      <c r="BK60" s="46" t="inlineStr"/>
      <c r="BL60" s="10" t="n"/>
      <c r="BM60" s="10" t="n"/>
      <c r="BN60" s="10" t="n"/>
      <c r="BO60" s="10" t="n"/>
      <c r="BP60" s="10" t="n"/>
      <c r="BQ60" s="11" t="n"/>
    </row>
    <row r="61" ht="320" customHeight="1">
      <c r="A61" s="44" t="n">
        <v>45</v>
      </c>
      <c r="B61" s="46" t="inlineStr">
        <is>
          <t>ACSMS-TC-005-045</t>
        </is>
      </c>
      <c r="C61" s="10" t="n"/>
      <c r="D61" s="11" t="n"/>
      <c r="E61" s="46" t="inlineStr">
        <is>
          <t>新規登録失敗時の DB と log 状態（不正コミット防止）</t>
        </is>
      </c>
      <c r="F61" s="10" t="n"/>
      <c r="G61" s="10" t="n"/>
      <c r="H61" s="10" t="n"/>
      <c r="I61" s="11" t="n"/>
      <c r="J61" s="46" t="inlineStr">
        <is>
          <t>・role: NICHINO_ADMIN
・テスト環境でバックエンド側の監査ログ INSERT が失敗するようモック設定</t>
        </is>
      </c>
      <c r="K61" s="10" t="n"/>
      <c r="L61" s="10" t="n"/>
      <c r="M61" s="10" t="n"/>
      <c r="N61" s="10" t="n"/>
      <c r="O61" s="10" t="n"/>
      <c r="P61" s="11" t="n"/>
      <c r="Q61" s="46" t="inlineStr">
        <is>
          <r>
            <rPr>
              <rFont val="メイリオ"/>
              <b val="1"/>
              <sz val="10"/>
            </rPr>
            <t xml:space="preserve">ステップ1：
</t>
          </r>
          <r>
            <rPr>
              <rFont val="メイリオ"/>
              <sz val="10"/>
            </rPr>
            <t xml:space="preserve">正常な入力で登録ボタン押下
</t>
          </r>
          <r>
            <rPr>
              <rFont val="メイリオ"/>
              <b val="1"/>
              <sz val="10"/>
            </rPr>
            <t xml:space="preserve">ステップ2：
</t>
          </r>
          <r>
            <rPr>
              <rFont val="メイリオ"/>
              <sz val="10"/>
            </rPr>
            <t xml:space="preserve">`m_ja` 確認
</t>
          </r>
          <r>
            <rPr>
              <rFont val="メイリオ"/>
              <b val="1"/>
              <sz val="10"/>
            </rPr>
            <t xml:space="preserve">ステップ3：
</t>
          </r>
          <r>
            <rPr>
              <rFont val="メイリオ"/>
              <sz val="10"/>
            </rPr>
            <t>`t_log` 確認</t>
          </r>
        </is>
      </c>
      <c r="R61" s="10" t="n"/>
      <c r="S61" s="10" t="n"/>
      <c r="T61" s="10" t="n"/>
      <c r="U61" s="10" t="n"/>
      <c r="V61" s="10" t="n"/>
      <c r="W61" s="11" t="n"/>
      <c r="X61" s="46" t="inlineStr">
        <is>
          <r>
            <rPr>
              <rFont val="メイリオ"/>
              <b val="1"/>
              <sz val="10"/>
            </rPr>
            <t xml:space="preserve">ステップ1：
</t>
          </r>
          <r>
            <rPr>
              <rFont val="メイリオ"/>
              <sz val="10"/>
            </rPr>
            <t xml:space="preserve">主 DML 後の監査ログ INSERT 失敗 → トランザクションロールバック
</t>
          </r>
          <r>
            <rPr>
              <rFont val="メイリオ"/>
              <b val="1"/>
              <sz val="10"/>
            </rPr>
            <t xml:space="preserve">ステップ2：
</t>
          </r>
          <r>
            <rPr>
              <rFont val="メイリオ"/>
              <sz val="10"/>
            </rPr>
            <t xml:space="preserve">行追加されていない（ロールバック完了）
</t>
          </r>
          <r>
            <rPr>
              <rFont val="メイリオ"/>
              <b val="1"/>
              <sz val="10"/>
            </rPr>
            <t xml:space="preserve">ステップ3：
</t>
          </r>
          <r>
            <rPr>
              <rFont val="メイリオ"/>
              <sz val="10"/>
            </rPr>
            <t xml:space="preserve">成功ログなし、ただしエラーログ（外側catch、log_type=3）あり
</t>
          </r>
          <r>
            <rPr>
              <rFont val="メイリオ"/>
              <b val="1"/>
              <sz val="10"/>
            </rPr>
            <t xml:space="preserve">補足：
</t>
          </r>
          <r>
            <rPr>
              <rFont val="メイリオ"/>
              <sz val="10"/>
            </rPr>
            <t xml:space="preserve">・監査ログ失敗 → 業務書き込みロールバックで整合性維持
</t>
          </r>
          <r>
            <rPr>
              <rFont val="メイリオ"/>
              <sz val="10"/>
            </rPr>
            <t>・規約 `nestjs.md §I/O &amp; External Services / Transaction` 通り</t>
          </r>
        </is>
      </c>
      <c r="Y61" s="10" t="n"/>
      <c r="Z61" s="10" t="n"/>
      <c r="AA61" s="10" t="n"/>
      <c r="AB61" s="10" t="n"/>
      <c r="AC61" s="10" t="n"/>
      <c r="AD61" s="11" t="n"/>
      <c r="AE61" s="45" t="inlineStr">
        <is>
          <t>A</t>
        </is>
      </c>
      <c r="AF61" s="11" t="n"/>
      <c r="AG61" s="45" t="inlineStr"/>
      <c r="AH61" s="10" t="n"/>
      <c r="AI61" s="11" t="n"/>
      <c r="AJ61" s="45" t="inlineStr"/>
      <c r="AK61" s="10" t="n"/>
      <c r="AL61" s="11" t="n"/>
      <c r="AM61" s="45" t="inlineStr"/>
      <c r="AN61" s="10" t="n"/>
      <c r="AO61" s="11" t="n"/>
      <c r="AP61" s="45" t="inlineStr"/>
      <c r="AQ61" s="10" t="n"/>
      <c r="AR61" s="11" t="n"/>
      <c r="AS61" s="45" t="inlineStr"/>
      <c r="AT61" s="10" t="n"/>
      <c r="AU61" s="11" t="n"/>
      <c r="AV61" s="45" t="inlineStr"/>
      <c r="AW61" s="10" t="n"/>
      <c r="AX61" s="11" t="n"/>
      <c r="AY61" s="45" t="inlineStr"/>
      <c r="AZ61" s="10" t="n"/>
      <c r="BA61" s="11" t="n"/>
      <c r="BB61" s="45" t="inlineStr"/>
      <c r="BC61" s="10" t="n"/>
      <c r="BD61" s="11" t="n"/>
      <c r="BE61" s="45" t="inlineStr"/>
      <c r="BF61" s="10" t="n"/>
      <c r="BG61" s="11" t="n"/>
      <c r="BH61" s="45" t="inlineStr"/>
      <c r="BI61" s="10" t="n"/>
      <c r="BJ61" s="11" t="n"/>
      <c r="BK61" s="46" t="inlineStr">
        <is>
          <t>監査ログと DB 状態の整合性を保証するクリティカルテスト。
---</t>
        </is>
      </c>
      <c r="BL61" s="10" t="n"/>
      <c r="BM61" s="10" t="n"/>
      <c r="BN61" s="10" t="n"/>
      <c r="BO61" s="10" t="n"/>
      <c r="BP61" s="10" t="n"/>
      <c r="BQ61" s="11" t="n"/>
    </row>
    <row r="62" ht="22.5" customHeight="1">
      <c r="A62" s="32" t="inlineStr">
        <is>
          <t>業務ロジック — 更新（Function — Edit）</t>
        </is>
      </c>
      <c r="B62" s="10" t="n"/>
      <c r="C62" s="10" t="n"/>
      <c r="D62" s="10" t="n"/>
      <c r="E62" s="10" t="n"/>
      <c r="F62" s="10" t="n"/>
      <c r="G62" s="10" t="n"/>
      <c r="H62" s="10" t="n"/>
      <c r="I62" s="10" t="n"/>
      <c r="J62" s="10" t="n"/>
      <c r="K62" s="10" t="n"/>
      <c r="L62" s="10" t="n"/>
      <c r="M62" s="10" t="n"/>
      <c r="N62" s="10" t="n"/>
      <c r="O62" s="10" t="n"/>
      <c r="P62" s="10" t="n"/>
      <c r="Q62" s="10" t="n"/>
      <c r="R62" s="10" t="n"/>
      <c r="S62" s="10" t="n"/>
      <c r="T62" s="10" t="n"/>
      <c r="U62" s="10" t="n"/>
      <c r="V62" s="10" t="n"/>
      <c r="W62" s="10" t="n"/>
      <c r="X62" s="10" t="n"/>
      <c r="Y62" s="10" t="n"/>
      <c r="Z62" s="10" t="n"/>
      <c r="AA62" s="10" t="n"/>
      <c r="AB62" s="10" t="n"/>
      <c r="AC62" s="10" t="n"/>
      <c r="AD62" s="10" t="n"/>
      <c r="AE62" s="10" t="n"/>
      <c r="AF62" s="10" t="n"/>
      <c r="AG62" s="10" t="n"/>
      <c r="AH62" s="10" t="n"/>
      <c r="AI62" s="10" t="n"/>
      <c r="AJ62" s="10" t="n"/>
      <c r="AK62" s="10" t="n"/>
      <c r="AL62" s="10" t="n"/>
      <c r="AM62" s="10" t="n"/>
      <c r="AN62" s="10" t="n"/>
      <c r="AO62" s="10" t="n"/>
      <c r="AP62" s="10" t="n"/>
      <c r="AQ62" s="10" t="n"/>
      <c r="AR62" s="10" t="n"/>
      <c r="AS62" s="10" t="n"/>
      <c r="AT62" s="10" t="n"/>
      <c r="AU62" s="10" t="n"/>
      <c r="AV62" s="10" t="n"/>
      <c r="AW62" s="10" t="n"/>
      <c r="AX62" s="10" t="n"/>
      <c r="AY62" s="10" t="n"/>
      <c r="AZ62" s="10" t="n"/>
      <c r="BA62" s="10" t="n"/>
      <c r="BB62" s="10" t="n"/>
      <c r="BC62" s="10" t="n"/>
      <c r="BD62" s="10" t="n"/>
      <c r="BE62" s="10" t="n"/>
      <c r="BF62" s="10" t="n"/>
      <c r="BG62" s="10" t="n"/>
      <c r="BH62" s="10" t="n"/>
      <c r="BI62" s="10" t="n"/>
      <c r="BJ62" s="10" t="n"/>
      <c r="BK62" s="10" t="n"/>
      <c r="BL62" s="10" t="n"/>
      <c r="BM62" s="10" t="n"/>
      <c r="BN62" s="10" t="n"/>
      <c r="BO62" s="10" t="n"/>
      <c r="BP62" s="10" t="n"/>
      <c r="BQ62" s="11" t="n"/>
    </row>
    <row r="63" ht="352" customHeight="1">
      <c r="A63" s="44" t="n">
        <v>46</v>
      </c>
      <c r="B63" s="46" t="inlineStr">
        <is>
          <t>ACSMS-TC-005-046</t>
        </is>
      </c>
      <c r="C63" s="10" t="n"/>
      <c r="D63" s="11" t="n"/>
      <c r="E63" s="46" t="inlineStr">
        <is>
          <t>編集画面 — 既存データ表示</t>
        </is>
      </c>
      <c r="F63" s="10" t="n"/>
      <c r="G63" s="10" t="n"/>
      <c r="H63" s="10" t="n"/>
      <c r="I63" s="11" t="n"/>
      <c r="J63" s="46" t="inlineStr">
        <is>
          <t>・role: JA_HONTEN（ja-001 所属）
・事前データ：`ja_id=1, ja_code='1301001001', ja_name='JA東京中央'` ja-001 配下 存在</t>
        </is>
      </c>
      <c r="K63" s="10" t="n"/>
      <c r="L63" s="10" t="n"/>
      <c r="M63" s="10" t="n"/>
      <c r="N63" s="10" t="n"/>
      <c r="O63" s="10" t="n"/>
      <c r="P63" s="11" t="n"/>
      <c r="Q63" s="46" t="inlineStr">
        <is>
          <r>
            <rPr>
              <rFont val="メイリオ"/>
              <b val="1"/>
              <sz val="10"/>
            </rPr>
            <t xml:space="preserve">ステップ1：
</t>
          </r>
          <r>
            <rPr>
              <rFont val="メイリオ"/>
              <sz val="10"/>
            </rPr>
            <t xml:space="preserve">JA一覧画面で `1301001001` の「編集」リンクをクリック
</t>
          </r>
          <r>
            <rPr>
              <rFont val="メイリオ"/>
              <b val="1"/>
              <sz val="10"/>
            </rPr>
            <t xml:space="preserve">ステップ2：
</t>
          </r>
          <r>
            <rPr>
              <rFont val="メイリオ"/>
              <sz val="10"/>
            </rPr>
            <t>各フィールドの初期値を確認</t>
          </r>
        </is>
      </c>
      <c r="R63" s="10" t="n"/>
      <c r="S63" s="10" t="n"/>
      <c r="T63" s="10" t="n"/>
      <c r="U63" s="10" t="n"/>
      <c r="V63" s="10" t="n"/>
      <c r="W63" s="11" t="n"/>
      <c r="X63" s="46" t="inlineStr">
        <is>
          <r>
            <rPr>
              <rFont val="メイリオ"/>
              <b val="1"/>
              <sz val="10"/>
            </rPr>
            <t xml:space="preserve">ステップ1：
</t>
          </r>
          <r>
            <rPr>
              <rFont val="メイリオ"/>
              <sz val="10"/>
            </rPr>
            <t xml:space="preserve">`/ja/1/edit` 画面が開く
</t>
          </r>
          <r>
            <rPr>
              <rFont val="メイリオ"/>
              <b val="1"/>
              <sz val="10"/>
            </rPr>
            <t xml:space="preserve">ステップ2：
</t>
          </r>
          <r>
            <rPr>
              <rFont val="メイリオ"/>
              <sz val="10"/>
            </rPr>
            <t xml:space="preserve">DB の値と完全一致 — JAコード／JA名／JA名カナ／都道府県／中央会フラグ／金融機関コード／金融機関名／郵便番号／住所／電話／FAX／メール／担当部署／担当者／税区分／備考すべて
</t>
          </r>
          <r>
            <rPr>
              <rFont val="メイリオ"/>
              <b val="1"/>
              <sz val="10"/>
            </rPr>
            <t xml:space="preserve">補足：
</t>
          </r>
          <r>
            <rPr>
              <rFont val="メイリオ"/>
              <sz val="10"/>
            </rPr>
            <t xml:space="preserve">・GET `/api/v1/ja/1` 経由でフォームに DB 値が正しく表示
</t>
          </r>
          <r>
            <rPr>
              <rFont val="メイリオ"/>
              <sz val="10"/>
            </rPr>
            <t xml:space="preserve">・JA_HONTEN の場合、※4 対象外項目（JA名、JA名カナ、都道府県、中央会フラグ、金融機関コード、金融機関名）は読み取り専用で表示
</t>
          </r>
          <r>
            <rPr>
              <rFont val="メイリオ"/>
              <sz val="10"/>
            </rPr>
            <t>・JAコードは全ロール共通で読み取り専用</t>
          </r>
        </is>
      </c>
      <c r="Y63" s="10" t="n"/>
      <c r="Z63" s="10" t="n"/>
      <c r="AA63" s="10" t="n"/>
      <c r="AB63" s="10" t="n"/>
      <c r="AC63" s="10" t="n"/>
      <c r="AD63" s="11" t="n"/>
      <c r="AE63" s="45" t="inlineStr">
        <is>
          <t>N</t>
        </is>
      </c>
      <c r="AF63" s="11" t="n"/>
      <c r="AG63" s="45" t="inlineStr"/>
      <c r="AH63" s="10" t="n"/>
      <c r="AI63" s="11" t="n"/>
      <c r="AJ63" s="45" t="inlineStr"/>
      <c r="AK63" s="10" t="n"/>
      <c r="AL63" s="11" t="n"/>
      <c r="AM63" s="45" t="inlineStr"/>
      <c r="AN63" s="10" t="n"/>
      <c r="AO63" s="11" t="n"/>
      <c r="AP63" s="45" t="inlineStr"/>
      <c r="AQ63" s="10" t="n"/>
      <c r="AR63" s="11" t="n"/>
      <c r="AS63" s="45" t="inlineStr"/>
      <c r="AT63" s="10" t="n"/>
      <c r="AU63" s="11" t="n"/>
      <c r="AV63" s="45" t="inlineStr"/>
      <c r="AW63" s="10" t="n"/>
      <c r="AX63" s="11" t="n"/>
      <c r="AY63" s="45" t="inlineStr"/>
      <c r="AZ63" s="10" t="n"/>
      <c r="BA63" s="11" t="n"/>
      <c r="BB63" s="45" t="inlineStr"/>
      <c r="BC63" s="10" t="n"/>
      <c r="BD63" s="11" t="n"/>
      <c r="BE63" s="45" t="inlineStr"/>
      <c r="BF63" s="10" t="n"/>
      <c r="BG63" s="11" t="n"/>
      <c r="BH63" s="45" t="inlineStr"/>
      <c r="BI63" s="10" t="n"/>
      <c r="BJ63" s="11" t="n"/>
      <c r="BK63" s="46" t="inlineStr"/>
      <c r="BL63" s="10" t="n"/>
      <c r="BM63" s="10" t="n"/>
      <c r="BN63" s="10" t="n"/>
      <c r="BO63" s="10" t="n"/>
      <c r="BP63" s="10" t="n"/>
      <c r="BQ63" s="11" t="n"/>
    </row>
    <row r="64" ht="450" customHeight="1">
      <c r="A64" s="44" t="n">
        <v>47</v>
      </c>
      <c r="B64" s="46" t="inlineStr">
        <is>
          <t>ACSMS-TC-005-047</t>
        </is>
      </c>
      <c r="C64" s="10" t="n"/>
      <c r="D64" s="11" t="n"/>
      <c r="E64" s="46" t="inlineStr">
        <is>
          <t>編集画面 — JAコードが変更不可（読み取り専用）</t>
        </is>
      </c>
      <c r="F64" s="10" t="n"/>
      <c r="G64" s="10" t="n"/>
      <c r="H64" s="10" t="n"/>
      <c r="I64" s="11" t="n"/>
      <c r="J64" s="46" t="inlineStr">
        <is>
          <t>・role: NICHINO_ADMIN
・事前データ：`ja_id=1, ja_code='1301001001'`
・編集画面 `/ja/1/edit` 表示済</t>
        </is>
      </c>
      <c r="K64" s="10" t="n"/>
      <c r="L64" s="10" t="n"/>
      <c r="M64" s="10" t="n"/>
      <c r="N64" s="10" t="n"/>
      <c r="O64" s="10" t="n"/>
      <c r="P64" s="11" t="n"/>
      <c r="Q64" s="46" t="inlineStr">
        <is>
          <r>
            <rPr>
              <rFont val="メイリオ"/>
              <b val="1"/>
              <sz val="10"/>
            </rPr>
            <t xml:space="preserve">ステップ1：
</t>
          </r>
          <r>
            <rPr>
              <rFont val="メイリオ"/>
              <sz val="10"/>
            </rPr>
            <t xml:space="preserve">画面上で「JAコード」入力欄が無効化されていることを目視確認
</t>
          </r>
          <r>
            <rPr>
              <rFont val="メイリオ"/>
              <b val="1"/>
              <sz val="10"/>
            </rPr>
            <t xml:space="preserve">ステップ2：
</t>
          </r>
          <r>
            <rPr>
              <rFont val="メイリオ"/>
              <sz val="10"/>
            </rPr>
            <t xml:space="preserve">DevTools で input 要素の `disabled` 属性および `ant-input-disabled` クラスを確認
</t>
          </r>
          <r>
            <rPr>
              <rFont val="メイリオ"/>
              <b val="1"/>
              <sz val="10"/>
            </rPr>
            <t xml:space="preserve">ステップ3：
</t>
          </r>
          <r>
            <rPr>
              <rFont val="メイリオ"/>
              <sz val="10"/>
            </rPr>
            <t xml:space="preserve">DevTools の Console から `fetch('/api/v1/ja/1', { method: 'PUT', body: JSON.stringify({ ja_code: 'HACK999999', ja_name: 'JA東京中央', todofuken_code: '13', chuokai_flg: true, bank_code: '1234', bank_name: '農林中央金庫', zei_kubun: '1' }), headers: { 'Content-Type': 'application/json' }, credentials: 'include' })` を実行
</t>
          </r>
          <r>
            <rPr>
              <rFont val="メイリオ"/>
              <b val="1"/>
              <sz val="10"/>
            </rPr>
            <t xml:space="preserve">ステップ4：
</t>
          </r>
          <r>
            <rPr>
              <rFont val="メイリオ"/>
              <sz val="10"/>
            </rPr>
            <t>DB 確認：`SELECT ja_code FROM m_ja WHERE ja_id=1`</t>
          </r>
        </is>
      </c>
      <c r="R64" s="10" t="n"/>
      <c r="S64" s="10" t="n"/>
      <c r="T64" s="10" t="n"/>
      <c r="U64" s="10" t="n"/>
      <c r="V64" s="10" t="n"/>
      <c r="W64" s="11" t="n"/>
      <c r="X64" s="46" t="inlineStr">
        <is>
          <r>
            <rPr>
              <rFont val="メイリオ"/>
              <b val="1"/>
              <sz val="10"/>
            </rPr>
            <t xml:space="preserve">ステップ1：
</t>
          </r>
          <r>
            <rPr>
              <rFont val="メイリオ"/>
              <sz val="10"/>
            </rPr>
            <t xml:space="preserve">JAコード入力欄は無効状態で表示、利用者は編集不可
</t>
          </r>
          <r>
            <rPr>
              <rFont val="メイリオ"/>
              <b val="1"/>
              <sz val="10"/>
            </rPr>
            <t xml:space="preserve">ステップ2：
</t>
          </r>
          <r>
            <rPr>
              <rFont val="メイリオ"/>
              <sz val="10"/>
            </rPr>
            <t xml:space="preserve">`disabled` 属性付与、`ant-input-disabled` クラス適用済
</t>
          </r>
          <r>
            <rPr>
              <rFont val="メイリオ"/>
              <b val="1"/>
              <sz val="10"/>
            </rPr>
            <t xml:space="preserve">ステップ3：
</t>
          </r>
          <r>
            <rPr>
              <rFont val="メイリオ"/>
              <sz val="10"/>
            </rPr>
            <t xml:space="preserve">HTTPステータスコード：200（更新自体は成功）
</t>
          </r>
          <r>
            <rPr>
              <rFont val="メイリオ"/>
              <b val="1"/>
              <sz val="10"/>
            </rPr>
            <t xml:space="preserve">ステップ4：
</t>
          </r>
          <r>
            <rPr>
              <rFont val="メイリオ"/>
              <sz val="10"/>
            </rPr>
            <t xml:space="preserve">`ja_code` カラムは `1301001001` のまま（バックエンド側 Layer 3 項目レベル許可リストにより `ja_code` の変更は黙って破棄）
</t>
          </r>
          <r>
            <rPr>
              <rFont val="メイリオ"/>
              <b val="1"/>
              <sz val="10"/>
            </rPr>
            <t xml:space="preserve">補足：
</t>
          </r>
          <r>
            <rPr>
              <rFont val="メイリオ"/>
              <sz val="10"/>
            </rPr>
            <t xml:space="preserve">・api.md「`ja_code` は更新不可（作成後の変更は不可）」+ security.md Layer 3 フィールド許可リストの2層で防御
</t>
          </r>
          <r>
            <rPr>
              <rFont val="メイリオ"/>
              <sz val="10"/>
            </rPr>
            <t xml:space="preserve">・フロントエンド側 `:disabled` は UX のみ。実際のセキュリティ境界はバックエンド側の許可リスト
</t>
          </r>
          <r>
            <rPr>
              <rFont val="メイリオ"/>
              <sz val="10"/>
            </rPr>
            <t>・他項目（JA名等）は正常に更新</t>
          </r>
        </is>
      </c>
      <c r="Y64" s="10" t="n"/>
      <c r="Z64" s="10" t="n"/>
      <c r="AA64" s="10" t="n"/>
      <c r="AB64" s="10" t="n"/>
      <c r="AC64" s="10" t="n"/>
      <c r="AD64" s="11" t="n"/>
      <c r="AE64" s="45" t="inlineStr">
        <is>
          <t>A</t>
        </is>
      </c>
      <c r="AF64" s="11" t="n"/>
      <c r="AG64" s="45" t="inlineStr"/>
      <c r="AH64" s="10" t="n"/>
      <c r="AI64" s="11" t="n"/>
      <c r="AJ64" s="45" t="inlineStr"/>
      <c r="AK64" s="10" t="n"/>
      <c r="AL64" s="11" t="n"/>
      <c r="AM64" s="45" t="inlineStr"/>
      <c r="AN64" s="10" t="n"/>
      <c r="AO64" s="11" t="n"/>
      <c r="AP64" s="45" t="inlineStr"/>
      <c r="AQ64" s="10" t="n"/>
      <c r="AR64" s="11" t="n"/>
      <c r="AS64" s="45" t="inlineStr"/>
      <c r="AT64" s="10" t="n"/>
      <c r="AU64" s="11" t="n"/>
      <c r="AV64" s="45" t="inlineStr"/>
      <c r="AW64" s="10" t="n"/>
      <c r="AX64" s="11" t="n"/>
      <c r="AY64" s="45" t="inlineStr"/>
      <c r="AZ64" s="10" t="n"/>
      <c r="BA64" s="11" t="n"/>
      <c r="BB64" s="45" t="inlineStr"/>
      <c r="BC64" s="10" t="n"/>
      <c r="BD64" s="11" t="n"/>
      <c r="BE64" s="45" t="inlineStr"/>
      <c r="BF64" s="10" t="n"/>
      <c r="BG64" s="11" t="n"/>
      <c r="BH64" s="45" t="inlineStr"/>
      <c r="BI64" s="10" t="n"/>
      <c r="BJ64" s="11" t="n"/>
      <c r="BK64" s="46" t="inlineStr"/>
      <c r="BL64" s="10" t="n"/>
      <c r="BM64" s="10" t="n"/>
      <c r="BN64" s="10" t="n"/>
      <c r="BO64" s="10" t="n"/>
      <c r="BP64" s="10" t="n"/>
      <c r="BQ64" s="11" t="n"/>
    </row>
    <row r="65" ht="448" customHeight="1">
      <c r="A65" s="44" t="n">
        <v>48</v>
      </c>
      <c r="B65" s="46" t="inlineStr">
        <is>
          <t>ACSMS-TC-005-048</t>
        </is>
      </c>
      <c r="C65" s="10" t="n"/>
      <c r="D65" s="11" t="n"/>
      <c r="E65" s="46" t="inlineStr">
        <is>
          <t>編集 — NICHINO_ADMIN による全項目更新成功</t>
        </is>
      </c>
      <c r="F65" s="10" t="n"/>
      <c r="G65" s="10" t="n"/>
      <c r="H65" s="10" t="n"/>
      <c r="I65" s="11" t="n"/>
      <c r="J65" s="46" t="inlineStr">
        <is>
          <t>・role: NICHINO_ADMIN
・事前データ：`ja_id=1` 編集可能 state
・編集入力：JA名=JA東京中央（改定）、住所=東京都千代田区丸の内2-2-2、税区分=2</t>
        </is>
      </c>
      <c r="K65" s="10" t="n"/>
      <c r="L65" s="10" t="n"/>
      <c r="M65" s="10" t="n"/>
      <c r="N65" s="10" t="n"/>
      <c r="O65" s="10" t="n"/>
      <c r="P65" s="11" t="n"/>
      <c r="Q65" s="46" t="inlineStr">
        <is>
          <r>
            <rPr>
              <rFont val="メイリオ"/>
              <b val="1"/>
              <sz val="10"/>
            </rPr>
            <t xml:space="preserve">ステップ1：
</t>
          </r>
          <r>
            <rPr>
              <rFont val="メイリオ"/>
              <sz val="10"/>
            </rPr>
            <t xml:space="preserve">編集画面で値を変更 → 更新ボタン押下
</t>
          </r>
          <r>
            <rPr>
              <rFont val="メイリオ"/>
              <b val="1"/>
              <sz val="10"/>
            </rPr>
            <t xml:space="preserve">ステップ2：
</t>
          </r>
          <r>
            <rPr>
              <rFont val="メイリオ"/>
              <sz val="10"/>
            </rPr>
            <t xml:space="preserve">DB 確認
</t>
          </r>
          <r>
            <rPr>
              <rFont val="メイリオ"/>
              <b val="1"/>
              <sz val="10"/>
            </rPr>
            <t xml:space="preserve">ステップ3：
</t>
          </r>
          <r>
            <rPr>
              <rFont val="メイリオ"/>
              <sz val="10"/>
            </rPr>
            <t>監査ログ確認：`SELECT * FROM t_log WHERE target_id = 1 AND operation = 'UPDATE' ORDER BY log_datetime DESC LIMIT 1`</t>
          </r>
        </is>
      </c>
      <c r="R65" s="10" t="n"/>
      <c r="S65" s="10" t="n"/>
      <c r="T65" s="10" t="n"/>
      <c r="U65" s="10" t="n"/>
      <c r="V65" s="10" t="n"/>
      <c r="W65" s="11" t="n"/>
      <c r="X65" s="46" t="inlineStr">
        <is>
          <r>
            <rPr>
              <rFont val="メイリオ"/>
              <b val="1"/>
              <sz val="10"/>
            </rPr>
            <t xml:space="preserve">ステップ1：
</t>
          </r>
          <r>
            <rPr>
              <rFont val="メイリオ"/>
              <sz val="10"/>
            </rPr>
            <t xml:space="preserve">HTTPステータスコード：200
</t>
          </r>
          <r>
            <rPr>
              <rFont val="メイリオ"/>
              <sz val="10"/>
            </rPr>
            <t xml:space="preserve">message：「JAを更新しました」
</t>
          </r>
          <r>
            <rPr>
              <rFont val="メイリオ"/>
              <sz val="10"/>
            </rPr>
            <t xml:space="preserve">トースト「更新しました。」表示
</t>
          </r>
          <r>
            <rPr>
              <rFont val="メイリオ"/>
              <sz val="10"/>
            </rPr>
            <t xml:space="preserve">`/ja` 一覧画面へリダイレクト
</t>
          </r>
          <r>
            <rPr>
              <rFont val="メイリオ"/>
              <b val="1"/>
              <sz val="10"/>
            </rPr>
            <t xml:space="preserve">ステップ2：
</t>
          </r>
          <r>
            <rPr>
              <rFont val="メイリオ"/>
              <sz val="10"/>
            </rPr>
            <t xml:space="preserve">`m_ja.ja_name = 'JA東京中央（改定）'`、`address = '東京都千代田区丸の内2-2-2'`、`zei_kubun = '2'`、`updated_at` が現在時刻
</t>
          </r>
          <r>
            <rPr>
              <rFont val="メイリオ"/>
              <b val="1"/>
              <sz val="10"/>
            </rPr>
            <t xml:space="preserve">ステップ3：
</t>
          </r>
          <r>
            <rPr>
              <rFont val="メイリオ"/>
              <sz val="10"/>
            </rPr>
            <t xml:space="preserve">1行、log_type=1、operation='UPDATE'、result_status=1、`before_value` JSON に旧値、`after_value` JSON に新値
</t>
          </r>
          <r>
            <rPr>
              <rFont val="メイリオ"/>
              <b val="1"/>
              <sz val="10"/>
            </rPr>
            <t xml:space="preserve">補足：
</t>
          </r>
          <r>
            <rPr>
              <rFont val="メイリオ"/>
              <sz val="10"/>
            </rPr>
            <t xml:space="preserve">・DB 更新成功、`updated_at` 自動更新
</t>
          </r>
          <r>
            <rPr>
              <rFont val="メイリオ"/>
              <sz val="10"/>
            </rPr>
            <t xml:space="preserve">・監査ログで更新前後の完全比較が可能
</t>
          </r>
          <r>
            <rPr>
              <rFont val="メイリオ"/>
              <sz val="10"/>
            </rPr>
            <t>・主 DML + 監査ログが単一トランザクション内でコミット</t>
          </r>
        </is>
      </c>
      <c r="Y65" s="10" t="n"/>
      <c r="Z65" s="10" t="n"/>
      <c r="AA65" s="10" t="n"/>
      <c r="AB65" s="10" t="n"/>
      <c r="AC65" s="10" t="n"/>
      <c r="AD65" s="11" t="n"/>
      <c r="AE65" s="45" t="inlineStr">
        <is>
          <t>N</t>
        </is>
      </c>
      <c r="AF65" s="11" t="n"/>
      <c r="AG65" s="45" t="inlineStr"/>
      <c r="AH65" s="10" t="n"/>
      <c r="AI65" s="11" t="n"/>
      <c r="AJ65" s="45" t="inlineStr"/>
      <c r="AK65" s="10" t="n"/>
      <c r="AL65" s="11" t="n"/>
      <c r="AM65" s="45" t="inlineStr"/>
      <c r="AN65" s="10" t="n"/>
      <c r="AO65" s="11" t="n"/>
      <c r="AP65" s="45" t="inlineStr"/>
      <c r="AQ65" s="10" t="n"/>
      <c r="AR65" s="11" t="n"/>
      <c r="AS65" s="45" t="inlineStr"/>
      <c r="AT65" s="10" t="n"/>
      <c r="AU65" s="11" t="n"/>
      <c r="AV65" s="45" t="inlineStr"/>
      <c r="AW65" s="10" t="n"/>
      <c r="AX65" s="11" t="n"/>
      <c r="AY65" s="45" t="inlineStr"/>
      <c r="AZ65" s="10" t="n"/>
      <c r="BA65" s="11" t="n"/>
      <c r="BB65" s="45" t="inlineStr"/>
      <c r="BC65" s="10" t="n"/>
      <c r="BD65" s="11" t="n"/>
      <c r="BE65" s="45" t="inlineStr"/>
      <c r="BF65" s="10" t="n"/>
      <c r="BG65" s="11" t="n"/>
      <c r="BH65" s="45" t="inlineStr"/>
      <c r="BI65" s="10" t="n"/>
      <c r="BJ65" s="11" t="n"/>
      <c r="BK65" s="46" t="inlineStr"/>
      <c r="BL65" s="10" t="n"/>
      <c r="BM65" s="10" t="n"/>
      <c r="BN65" s="10" t="n"/>
      <c r="BO65" s="10" t="n"/>
      <c r="BP65" s="10" t="n"/>
      <c r="BQ65" s="11" t="n"/>
    </row>
    <row r="66" ht="416" customHeight="1">
      <c r="A66" s="44" t="n">
        <v>49</v>
      </c>
      <c r="B66" s="46" t="inlineStr">
        <is>
          <t>ACSMS-TC-005-049</t>
        </is>
      </c>
      <c r="C66" s="10" t="n"/>
      <c r="D66" s="11" t="n"/>
      <c r="E66" s="46" t="inlineStr">
        <is>
          <t>編集 — CHUOKAI による部分項目更新成功（※4 対象のみ）</t>
        </is>
      </c>
      <c r="F66" s="10" t="n"/>
      <c r="G66" s="10" t="n"/>
      <c r="H66" s="10" t="n"/>
      <c r="I66" s="11" t="n"/>
      <c r="J66" s="46" t="inlineStr">
        <is>
          <t>・role: CHUOKAI（自管轄JA: ja-001）
・事前データ：`ja_id=1` 自管轄、編集可能 state
・編集入力：郵便番号=1000002、住所=東京都千代田区丸の内3-3-3、電話=0322334455</t>
        </is>
      </c>
      <c r="K66" s="10" t="n"/>
      <c r="L66" s="10" t="n"/>
      <c r="M66" s="10" t="n"/>
      <c r="N66" s="10" t="n"/>
      <c r="O66" s="10" t="n"/>
      <c r="P66" s="11" t="n"/>
      <c r="Q66" s="46" t="inlineStr">
        <is>
          <r>
            <rPr>
              <rFont val="メイリオ"/>
              <b val="1"/>
              <sz val="10"/>
            </rPr>
            <t xml:space="preserve">ステップ1：
</t>
          </r>
          <r>
            <rPr>
              <rFont val="メイリオ"/>
              <sz val="10"/>
            </rPr>
            <t xml:space="preserve">編集画面で※4 対象項目のみ値を変更 → 更新ボタン押下
</t>
          </r>
          <r>
            <rPr>
              <rFont val="メイリオ"/>
              <b val="1"/>
              <sz val="10"/>
            </rPr>
            <t xml:space="preserve">ステップ2：
</t>
          </r>
          <r>
            <rPr>
              <rFont val="メイリオ"/>
              <sz val="10"/>
            </rPr>
            <t xml:space="preserve">DB 確認
</t>
          </r>
          <r>
            <rPr>
              <rFont val="メイリオ"/>
              <b val="1"/>
              <sz val="10"/>
            </rPr>
            <t xml:space="preserve">ステップ3：
</t>
          </r>
          <r>
            <rPr>
              <rFont val="メイリオ"/>
              <sz val="10"/>
            </rPr>
            <t>監査ログ確認</t>
          </r>
        </is>
      </c>
      <c r="R66" s="10" t="n"/>
      <c r="S66" s="10" t="n"/>
      <c r="T66" s="10" t="n"/>
      <c r="U66" s="10" t="n"/>
      <c r="V66" s="10" t="n"/>
      <c r="W66" s="11" t="n"/>
      <c r="X66" s="46" t="inlineStr">
        <is>
          <r>
            <rPr>
              <rFont val="メイリオ"/>
              <b val="1"/>
              <sz val="10"/>
            </rPr>
            <t xml:space="preserve">ステップ1：
</t>
          </r>
          <r>
            <rPr>
              <rFont val="メイリオ"/>
              <sz val="10"/>
            </rPr>
            <t xml:space="preserve">HTTPステータスコード：200
</t>
          </r>
          <r>
            <rPr>
              <rFont val="メイリオ"/>
              <sz val="10"/>
            </rPr>
            <t xml:space="preserve">トースト「更新しました。」表示
</t>
          </r>
          <r>
            <rPr>
              <rFont val="メイリオ"/>
              <sz val="10"/>
            </rPr>
            <t xml:space="preserve">`/ja` 一覧画面へリダイレクト
</t>
          </r>
          <r>
            <rPr>
              <rFont val="メイリオ"/>
              <b val="1"/>
              <sz val="10"/>
            </rPr>
            <t xml:space="preserve">ステップ2：
</t>
          </r>
          <r>
            <rPr>
              <rFont val="メイリオ"/>
              <sz val="10"/>
            </rPr>
            <t xml:space="preserve">※4 対象項目（郵便番号、住所、電話）のみ更新、その他項目（JA名、JA名カナ、都道府県、中央会フラグ、金融機関コード、金融機関名）は変更なし
</t>
          </r>
          <r>
            <rPr>
              <rFont val="メイリオ"/>
              <b val="1"/>
              <sz val="10"/>
            </rPr>
            <t xml:space="preserve">ステップ3：
</t>
          </r>
          <r>
            <rPr>
              <rFont val="メイリオ"/>
              <sz val="10"/>
            </rPr>
            <t xml:space="preserve">1行、operation='UPDATE'、result_status=1、`before_value` / `after_value` に変更項目のみ差分記録
</t>
          </r>
          <r>
            <rPr>
              <rFont val="メイリオ"/>
              <b val="1"/>
              <sz val="10"/>
            </rPr>
            <t xml:space="preserve">補足：
</t>
          </r>
          <r>
            <rPr>
              <rFont val="メイリオ"/>
              <sz val="10"/>
            </rPr>
            <t xml:space="preserve">・CHUOKAI / JA_HONTEN の更新可能項目：郵便番号、住所、電話、FAX、メール、担当部署、担当者、税区分、備考（※4）
</t>
          </r>
          <r>
            <rPr>
              <rFont val="メイリオ"/>
              <sz val="10"/>
            </rPr>
            <t>・※4 対象外項目はバックエンド側で silent drop</t>
          </r>
        </is>
      </c>
      <c r="Y66" s="10" t="n"/>
      <c r="Z66" s="10" t="n"/>
      <c r="AA66" s="10" t="n"/>
      <c r="AB66" s="10" t="n"/>
      <c r="AC66" s="10" t="n"/>
      <c r="AD66" s="11" t="n"/>
      <c r="AE66" s="45" t="inlineStr">
        <is>
          <t>N</t>
        </is>
      </c>
      <c r="AF66" s="11" t="n"/>
      <c r="AG66" s="45" t="inlineStr"/>
      <c r="AH66" s="10" t="n"/>
      <c r="AI66" s="11" t="n"/>
      <c r="AJ66" s="45" t="inlineStr"/>
      <c r="AK66" s="10" t="n"/>
      <c r="AL66" s="11" t="n"/>
      <c r="AM66" s="45" t="inlineStr"/>
      <c r="AN66" s="10" t="n"/>
      <c r="AO66" s="11" t="n"/>
      <c r="AP66" s="45" t="inlineStr"/>
      <c r="AQ66" s="10" t="n"/>
      <c r="AR66" s="11" t="n"/>
      <c r="AS66" s="45" t="inlineStr"/>
      <c r="AT66" s="10" t="n"/>
      <c r="AU66" s="11" t="n"/>
      <c r="AV66" s="45" t="inlineStr"/>
      <c r="AW66" s="10" t="n"/>
      <c r="AX66" s="11" t="n"/>
      <c r="AY66" s="45" t="inlineStr"/>
      <c r="AZ66" s="10" t="n"/>
      <c r="BA66" s="11" t="n"/>
      <c r="BB66" s="45" t="inlineStr"/>
      <c r="BC66" s="10" t="n"/>
      <c r="BD66" s="11" t="n"/>
      <c r="BE66" s="45" t="inlineStr"/>
      <c r="BF66" s="10" t="n"/>
      <c r="BG66" s="11" t="n"/>
      <c r="BH66" s="45" t="inlineStr"/>
      <c r="BI66" s="10" t="n"/>
      <c r="BJ66" s="11" t="n"/>
      <c r="BK66" s="46" t="inlineStr"/>
      <c r="BL66" s="10" t="n"/>
      <c r="BM66" s="10" t="n"/>
      <c r="BN66" s="10" t="n"/>
      <c r="BO66" s="10" t="n"/>
      <c r="BP66" s="10" t="n"/>
      <c r="BQ66" s="11" t="n"/>
    </row>
    <row r="67" ht="450" customHeight="1">
      <c r="A67" s="44" t="n">
        <v>50</v>
      </c>
      <c r="B67" s="46" t="inlineStr">
        <is>
          <t>ACSMS-TC-005-050</t>
        </is>
      </c>
      <c r="C67" s="10" t="n"/>
      <c r="D67" s="11" t="n"/>
      <c r="E67" s="46" t="inlineStr">
        <is>
          <t>編集 — CHUOKAI が制限項目を含めた更新時のフィールドレベル制限</t>
        </is>
      </c>
      <c r="F67" s="10" t="n"/>
      <c r="G67" s="10" t="n"/>
      <c r="H67" s="10" t="n"/>
      <c r="I67" s="11" t="n"/>
      <c r="J67" s="46" t="inlineStr">
        <is>
          <t>・role: CHUOKAI（自管轄JA: ja-001）
・事前データ：`ja_id=1, ja_name='JA東京中央', bank_code='1234'` 自管轄</t>
        </is>
      </c>
      <c r="K67" s="10" t="n"/>
      <c r="L67" s="10" t="n"/>
      <c r="M67" s="10" t="n"/>
      <c r="N67" s="10" t="n"/>
      <c r="O67" s="10" t="n"/>
      <c r="P67" s="11" t="n"/>
      <c r="Q67" s="46" t="inlineStr">
        <is>
          <r>
            <rPr>
              <rFont val="メイリオ"/>
              <b val="1"/>
              <sz val="10"/>
            </rPr>
            <t xml:space="preserve">ステップ1：
</t>
          </r>
          <r>
            <rPr>
              <rFont val="メイリオ"/>
              <sz val="10"/>
            </rPr>
            <t xml:space="preserve">画面上で JA名／JA名カナ／都道府県／中央会フラグ／金融機関コード／金融機関名 の入力欄が無効化されていることを目視確認
</t>
          </r>
          <r>
            <rPr>
              <rFont val="メイリオ"/>
              <b val="1"/>
              <sz val="10"/>
            </rPr>
            <t xml:space="preserve">ステップ2：
</t>
          </r>
          <r>
            <rPr>
              <rFont val="メイリオ"/>
              <sz val="10"/>
            </rPr>
            <t xml:space="preserve">DevTools の Console から `fetch('/api/v1/ja/1', { method: 'PUT', body: JSON.stringify({ ja_name: 'HACK名前', bank_code: '9999', address: '正しい住所', zei_kubun: '1' }), headers: { 'Content-Type': 'application/json' }, credentials: 'include' })` を実行
</t>
          </r>
          <r>
            <rPr>
              <rFont val="メイリオ"/>
              <b val="1"/>
              <sz val="10"/>
            </rPr>
            <t xml:space="preserve">ステップ3：
</t>
          </r>
          <r>
            <rPr>
              <rFont val="メイリオ"/>
              <sz val="10"/>
            </rPr>
            <t>DB 確認：`SELECT ja_name, bank_code, address FROM m_ja WHERE ja_id=1`</t>
          </r>
        </is>
      </c>
      <c r="R67" s="10" t="n"/>
      <c r="S67" s="10" t="n"/>
      <c r="T67" s="10" t="n"/>
      <c r="U67" s="10" t="n"/>
      <c r="V67" s="10" t="n"/>
      <c r="W67" s="11" t="n"/>
      <c r="X67" s="46" t="inlineStr">
        <is>
          <r>
            <rPr>
              <rFont val="メイリオ"/>
              <b val="1"/>
              <sz val="10"/>
            </rPr>
            <t xml:space="preserve">ステップ1：
</t>
          </r>
          <r>
            <rPr>
              <rFont val="メイリオ"/>
              <sz val="10"/>
            </rPr>
            <t xml:space="preserve">※4 対象外項目すべてが `disabled` 属性付与、`ant-input-disabled` クラス適用済
</t>
          </r>
          <r>
            <rPr>
              <rFont val="メイリオ"/>
              <b val="1"/>
              <sz val="10"/>
            </rPr>
            <t xml:space="preserve">ステップ2：
</t>
          </r>
          <r>
            <rPr>
              <rFont val="メイリオ"/>
              <sz val="10"/>
            </rPr>
            <t xml:space="preserve">HTTPステータスコード：200（更新自体は成功）
</t>
          </r>
          <r>
            <rPr>
              <rFont val="メイリオ"/>
              <b val="1"/>
              <sz val="10"/>
            </rPr>
            <t xml:space="preserve">ステップ3：
</t>
          </r>
          <r>
            <rPr>
              <rFont val="メイリオ"/>
              <sz val="10"/>
            </rPr>
            <t xml:space="preserve">`ja_name = 'JA東京中央'`（変更されない）、`bank_code = '1234'`（変更されない）、`address = '正しい住所'`（変更される）
</t>
          </r>
          <r>
            <rPr>
              <rFont val="メイリオ"/>
              <b val="1"/>
              <sz val="10"/>
            </rPr>
            <t xml:space="preserve">補足：
</t>
          </r>
          <r>
            <rPr>
              <rFont val="メイリオ"/>
              <sz val="10"/>
            </rPr>
            <t xml:space="preserve">・security.md Layer 3 — フィールド許可リスト：CHUOKAI / JA_HONTEN は yubin_no, address, tel, fax, email, tanto_busho, tanto_name, zei_kubun, biko のみ更新可
</t>
          </r>
          <r>
            <rPr>
              <rFont val="メイリオ"/>
              <sz val="10"/>
            </rPr>
            <t xml:space="preserve">・※4 対象外項目はバックエンド側で `filterAllowedFields` により黙って破棄（silent drop）
</t>
          </r>
          <r>
            <rPr>
              <rFont val="メイリオ"/>
              <sz val="10"/>
            </rPr>
            <t>・FE の `:disabled` は UX のみ、実際のセキュリティ境界はバックエンド側の許可リスト</t>
          </r>
        </is>
      </c>
      <c r="Y67" s="10" t="n"/>
      <c r="Z67" s="10" t="n"/>
      <c r="AA67" s="10" t="n"/>
      <c r="AB67" s="10" t="n"/>
      <c r="AC67" s="10" t="n"/>
      <c r="AD67" s="11" t="n"/>
      <c r="AE67" s="45" t="inlineStr">
        <is>
          <t>A</t>
        </is>
      </c>
      <c r="AF67" s="11" t="n"/>
      <c r="AG67" s="45" t="inlineStr"/>
      <c r="AH67" s="10" t="n"/>
      <c r="AI67" s="11" t="n"/>
      <c r="AJ67" s="45" t="inlineStr"/>
      <c r="AK67" s="10" t="n"/>
      <c r="AL67" s="11" t="n"/>
      <c r="AM67" s="45" t="inlineStr"/>
      <c r="AN67" s="10" t="n"/>
      <c r="AO67" s="11" t="n"/>
      <c r="AP67" s="45" t="inlineStr"/>
      <c r="AQ67" s="10" t="n"/>
      <c r="AR67" s="11" t="n"/>
      <c r="AS67" s="45" t="inlineStr"/>
      <c r="AT67" s="10" t="n"/>
      <c r="AU67" s="11" t="n"/>
      <c r="AV67" s="45" t="inlineStr"/>
      <c r="AW67" s="10" t="n"/>
      <c r="AX67" s="11" t="n"/>
      <c r="AY67" s="45" t="inlineStr"/>
      <c r="AZ67" s="10" t="n"/>
      <c r="BA67" s="11" t="n"/>
      <c r="BB67" s="45" t="inlineStr"/>
      <c r="BC67" s="10" t="n"/>
      <c r="BD67" s="11" t="n"/>
      <c r="BE67" s="45" t="inlineStr"/>
      <c r="BF67" s="10" t="n"/>
      <c r="BG67" s="11" t="n"/>
      <c r="BH67" s="45" t="inlineStr"/>
      <c r="BI67" s="10" t="n"/>
      <c r="BJ67" s="11" t="n"/>
      <c r="BK67" s="46" t="inlineStr">
        <is>
          <t>セキュリティクリティカル — フィールドレベル制限が機能しないと権限昇格バグとなる。</t>
        </is>
      </c>
      <c r="BL67" s="10" t="n"/>
      <c r="BM67" s="10" t="n"/>
      <c r="BN67" s="10" t="n"/>
      <c r="BO67" s="10" t="n"/>
      <c r="BP67" s="10" t="n"/>
      <c r="BQ67" s="11" t="n"/>
    </row>
    <row r="68" ht="352" customHeight="1">
      <c r="A68" s="44" t="n">
        <v>51</v>
      </c>
      <c r="B68" s="46" t="inlineStr">
        <is>
          <t>ACSMS-TC-005-051</t>
        </is>
      </c>
      <c r="C68" s="10" t="n"/>
      <c r="D68" s="11" t="n"/>
      <c r="E68" s="46" t="inlineStr">
        <is>
          <t>編集 — JA_HONTEN による部分項目更新成功</t>
        </is>
      </c>
      <c r="F68" s="10" t="n"/>
      <c r="G68" s="10" t="n"/>
      <c r="H68" s="10" t="n"/>
      <c r="I68" s="11" t="n"/>
      <c r="J68" s="46" t="inlineStr">
        <is>
          <t>・role: JA_HONTEN（自JA: ja-001）
・事前データ：`ja_id=1` 自JA、編集可能 state
・編集入力：メール=info-new@example.jp、担当部署=営業部、担当者=鈴木花子</t>
        </is>
      </c>
      <c r="K68" s="10" t="n"/>
      <c r="L68" s="10" t="n"/>
      <c r="M68" s="10" t="n"/>
      <c r="N68" s="10" t="n"/>
      <c r="O68" s="10" t="n"/>
      <c r="P68" s="11" t="n"/>
      <c r="Q68" s="46" t="inlineStr">
        <is>
          <r>
            <rPr>
              <rFont val="メイリオ"/>
              <b val="1"/>
              <sz val="10"/>
            </rPr>
            <t xml:space="preserve">ステップ1：
</t>
          </r>
          <r>
            <rPr>
              <rFont val="メイリオ"/>
              <sz val="10"/>
            </rPr>
            <t xml:space="preserve">編集画面で※4 対象項目のみ値を変更 → 更新ボタン押下
</t>
          </r>
          <r>
            <rPr>
              <rFont val="メイリオ"/>
              <b val="1"/>
              <sz val="10"/>
            </rPr>
            <t xml:space="preserve">ステップ2：
</t>
          </r>
          <r>
            <rPr>
              <rFont val="メイリオ"/>
              <sz val="10"/>
            </rPr>
            <t xml:space="preserve">DB 確認
</t>
          </r>
          <r>
            <rPr>
              <rFont val="メイリオ"/>
              <b val="1"/>
              <sz val="10"/>
            </rPr>
            <t xml:space="preserve">ステップ3：
</t>
          </r>
          <r>
            <rPr>
              <rFont val="メイリオ"/>
              <sz val="10"/>
            </rPr>
            <t>監査ログ確認</t>
          </r>
        </is>
      </c>
      <c r="R68" s="10" t="n"/>
      <c r="S68" s="10" t="n"/>
      <c r="T68" s="10" t="n"/>
      <c r="U68" s="10" t="n"/>
      <c r="V68" s="10" t="n"/>
      <c r="W68" s="11" t="n"/>
      <c r="X68" s="46" t="inlineStr">
        <is>
          <r>
            <rPr>
              <rFont val="メイリオ"/>
              <b val="1"/>
              <sz val="10"/>
            </rPr>
            <t xml:space="preserve">ステップ1：
</t>
          </r>
          <r>
            <rPr>
              <rFont val="メイリオ"/>
              <sz val="10"/>
            </rPr>
            <t xml:space="preserve">HTTPステータスコード：200
</t>
          </r>
          <r>
            <rPr>
              <rFont val="メイリオ"/>
              <sz val="10"/>
            </rPr>
            <t xml:space="preserve">トースト「更新しました。」表示
</t>
          </r>
          <r>
            <rPr>
              <rFont val="メイリオ"/>
              <sz val="10"/>
            </rPr>
            <t xml:space="preserve">`/ja` 一覧画面へリダイレクト
</t>
          </r>
          <r>
            <rPr>
              <rFont val="メイリオ"/>
              <b val="1"/>
              <sz val="10"/>
            </rPr>
            <t xml:space="preserve">ステップ2：
</t>
          </r>
          <r>
            <rPr>
              <rFont val="メイリオ"/>
              <sz val="10"/>
            </rPr>
            <t xml:space="preserve">※4 対象項目（メール、担当部署、担当者）のみ更新、その他項目は変更なし
</t>
          </r>
          <r>
            <rPr>
              <rFont val="メイリオ"/>
              <b val="1"/>
              <sz val="10"/>
            </rPr>
            <t xml:space="preserve">ステップ3：
</t>
          </r>
          <r>
            <rPr>
              <rFont val="メイリオ"/>
              <sz val="10"/>
            </rPr>
            <t xml:space="preserve">1行、operation='UPDATE'、result_status=1、`ja_id=1` で記録
</t>
          </r>
          <r>
            <rPr>
              <rFont val="メイリオ"/>
              <b val="1"/>
              <sz val="10"/>
            </rPr>
            <t xml:space="preserve">補足：
</t>
          </r>
          <r>
            <rPr>
              <rFont val="メイリオ"/>
              <sz val="10"/>
            </rPr>
            <t xml:space="preserve">・JA_HONTEN は自JAのみ操作可、CHUOKAI と同じ※4 制限
</t>
          </r>
          <r>
            <rPr>
              <rFont val="メイリオ"/>
              <sz val="10"/>
            </rPr>
            <t>・updated_at が現在時刻、`updated_by` はテストアカウントの account_id</t>
          </r>
        </is>
      </c>
      <c r="Y68" s="10" t="n"/>
      <c r="Z68" s="10" t="n"/>
      <c r="AA68" s="10" t="n"/>
      <c r="AB68" s="10" t="n"/>
      <c r="AC68" s="10" t="n"/>
      <c r="AD68" s="11" t="n"/>
      <c r="AE68" s="45" t="inlineStr">
        <is>
          <t>N</t>
        </is>
      </c>
      <c r="AF68" s="11" t="n"/>
      <c r="AG68" s="45" t="inlineStr"/>
      <c r="AH68" s="10" t="n"/>
      <c r="AI68" s="11" t="n"/>
      <c r="AJ68" s="45" t="inlineStr"/>
      <c r="AK68" s="10" t="n"/>
      <c r="AL68" s="11" t="n"/>
      <c r="AM68" s="45" t="inlineStr"/>
      <c r="AN68" s="10" t="n"/>
      <c r="AO68" s="11" t="n"/>
      <c r="AP68" s="45" t="inlineStr"/>
      <c r="AQ68" s="10" t="n"/>
      <c r="AR68" s="11" t="n"/>
      <c r="AS68" s="45" t="inlineStr"/>
      <c r="AT68" s="10" t="n"/>
      <c r="AU68" s="11" t="n"/>
      <c r="AV68" s="45" t="inlineStr"/>
      <c r="AW68" s="10" t="n"/>
      <c r="AX68" s="11" t="n"/>
      <c r="AY68" s="45" t="inlineStr"/>
      <c r="AZ68" s="10" t="n"/>
      <c r="BA68" s="11" t="n"/>
      <c r="BB68" s="45" t="inlineStr"/>
      <c r="BC68" s="10" t="n"/>
      <c r="BD68" s="11" t="n"/>
      <c r="BE68" s="45" t="inlineStr"/>
      <c r="BF68" s="10" t="n"/>
      <c r="BG68" s="11" t="n"/>
      <c r="BH68" s="45" t="inlineStr"/>
      <c r="BI68" s="10" t="n"/>
      <c r="BJ68" s="11" t="n"/>
      <c r="BK68" s="46" t="inlineStr"/>
      <c r="BL68" s="10" t="n"/>
      <c r="BM68" s="10" t="n"/>
      <c r="BN68" s="10" t="n"/>
      <c r="BO68" s="10" t="n"/>
      <c r="BP68" s="10" t="n"/>
      <c r="BQ68" s="11" t="n"/>
    </row>
    <row r="69" ht="336" customHeight="1">
      <c r="A69" s="44" t="n">
        <v>52</v>
      </c>
      <c r="B69" s="46" t="inlineStr">
        <is>
          <t>ACSMS-TC-005-052</t>
        </is>
      </c>
      <c r="C69" s="10" t="n"/>
      <c r="D69" s="11" t="n"/>
      <c r="E69" s="46" t="inlineStr">
        <is>
          <t>編集 — 同時編集時の競合処理（楽観ロック）</t>
        </is>
      </c>
      <c r="F69" s="10" t="n"/>
      <c r="G69" s="10" t="n"/>
      <c r="H69" s="10" t="n"/>
      <c r="I69" s="11" t="n"/>
      <c r="J69" s="46" t="inlineStr">
        <is>
          <t>・事前データ：`ja_id=1` 存在
・利用者A：ブラウザAで `/ja/1/edit` 開いて入力中
・利用者B：別ブラウザBで同レコード編集、先に保存</t>
        </is>
      </c>
      <c r="K69" s="10" t="n"/>
      <c r="L69" s="10" t="n"/>
      <c r="M69" s="10" t="n"/>
      <c r="N69" s="10" t="n"/>
      <c r="O69" s="10" t="n"/>
      <c r="P69" s="11" t="n"/>
      <c r="Q69" s="46" t="inlineStr">
        <is>
          <r>
            <rPr>
              <rFont val="メイリオ"/>
              <b val="1"/>
              <sz val="10"/>
            </rPr>
            <t xml:space="preserve">ステップ1：
</t>
          </r>
          <r>
            <rPr>
              <rFont val="メイリオ"/>
              <sz val="10"/>
            </rPr>
            <t xml:space="preserve">利用者Bが先に有効値で更新ボタン押下 → 成功
</t>
          </r>
          <r>
            <rPr>
              <rFont val="メイリオ"/>
              <b val="1"/>
              <sz val="10"/>
            </rPr>
            <t xml:space="preserve">ステップ2：
</t>
          </r>
          <r>
            <rPr>
              <rFont val="メイリオ"/>
              <sz val="10"/>
            </rPr>
            <t xml:space="preserve">利用者Aが（古い `updated_at` で）更新ボタン押下
</t>
          </r>
          <r>
            <rPr>
              <rFont val="メイリオ"/>
              <b val="1"/>
              <sz val="10"/>
            </rPr>
            <t xml:space="preserve">ステップ3：
</t>
          </r>
          <r>
            <rPr>
              <rFont val="メイリオ"/>
              <sz val="10"/>
            </rPr>
            <t>利用者A画面 再読み込み</t>
          </r>
        </is>
      </c>
      <c r="R69" s="10" t="n"/>
      <c r="S69" s="10" t="n"/>
      <c r="T69" s="10" t="n"/>
      <c r="U69" s="10" t="n"/>
      <c r="V69" s="10" t="n"/>
      <c r="W69" s="11" t="n"/>
      <c r="X69" s="46" t="inlineStr">
        <is>
          <r>
            <rPr>
              <rFont val="メイリオ"/>
              <b val="1"/>
              <sz val="10"/>
            </rPr>
            <t xml:space="preserve">ステップ1：
</t>
          </r>
          <r>
            <rPr>
              <rFont val="メイリオ"/>
              <sz val="10"/>
            </rPr>
            <t xml:space="preserve">DB の `updated_at` 更新、利用者B の変更が反映
</t>
          </r>
          <r>
            <rPr>
              <rFont val="メイリオ"/>
              <b val="1"/>
              <sz val="10"/>
            </rPr>
            <t xml:space="preserve">ステップ2：
</t>
          </r>
          <r>
            <rPr>
              <rFont val="メイリオ"/>
              <sz val="10"/>
            </rPr>
            <t xml:space="preserve">競合検出、HTTP 409 を返却、送信ブロック（`error_code` は楽観ロック競合エラー：仕様未定義 / TBD）
</t>
          </r>
          <r>
            <rPr>
              <rFont val="メイリオ"/>
              <b val="1"/>
              <sz val="10"/>
            </rPr>
            <t xml:space="preserve">ステップ3：
</t>
          </r>
          <r>
            <rPr>
              <rFont val="メイリオ"/>
              <sz val="10"/>
            </rPr>
            <t xml:space="preserve">利用者B の更新内容が反映、再編集可能
</t>
          </r>
          <r>
            <rPr>
              <rFont val="メイリオ"/>
              <b val="1"/>
              <sz val="10"/>
            </rPr>
            <t xml:space="preserve">補足：
</t>
          </r>
          <r>
            <rPr>
              <rFont val="メイリオ"/>
              <sz val="10"/>
            </rPr>
            <t xml:space="preserve">・楽観ロックにより更新ロスト防止
</t>
          </r>
          <r>
            <rPr>
              <rFont val="メイリオ"/>
              <sz val="10"/>
            </rPr>
            <t>・TBD：楽観ロック競合時の error_code およびトースト文言は api.md / screen-design.md 未定義。設計確定後に更新。</t>
          </r>
        </is>
      </c>
      <c r="Y69" s="10" t="n"/>
      <c r="Z69" s="10" t="n"/>
      <c r="AA69" s="10" t="n"/>
      <c r="AB69" s="10" t="n"/>
      <c r="AC69" s="10" t="n"/>
      <c r="AD69" s="11" t="n"/>
      <c r="AE69" s="45" t="inlineStr">
        <is>
          <t>A</t>
        </is>
      </c>
      <c r="AF69" s="11" t="n"/>
      <c r="AG69" s="45" t="inlineStr"/>
      <c r="AH69" s="10" t="n"/>
      <c r="AI69" s="11" t="n"/>
      <c r="AJ69" s="45" t="inlineStr"/>
      <c r="AK69" s="10" t="n"/>
      <c r="AL69" s="11" t="n"/>
      <c r="AM69" s="45" t="inlineStr"/>
      <c r="AN69" s="10" t="n"/>
      <c r="AO69" s="11" t="n"/>
      <c r="AP69" s="45" t="inlineStr"/>
      <c r="AQ69" s="10" t="n"/>
      <c r="AR69" s="11" t="n"/>
      <c r="AS69" s="45" t="inlineStr"/>
      <c r="AT69" s="10" t="n"/>
      <c r="AU69" s="11" t="n"/>
      <c r="AV69" s="45" t="inlineStr"/>
      <c r="AW69" s="10" t="n"/>
      <c r="AX69" s="11" t="n"/>
      <c r="AY69" s="45" t="inlineStr"/>
      <c r="AZ69" s="10" t="n"/>
      <c r="BA69" s="11" t="n"/>
      <c r="BB69" s="45" t="inlineStr"/>
      <c r="BC69" s="10" t="n"/>
      <c r="BD69" s="11" t="n"/>
      <c r="BE69" s="45" t="inlineStr"/>
      <c r="BF69" s="10" t="n"/>
      <c r="BG69" s="11" t="n"/>
      <c r="BH69" s="45" t="inlineStr"/>
      <c r="BI69" s="10" t="n"/>
      <c r="BJ69" s="11" t="n"/>
      <c r="BK69" s="46" t="inlineStr">
        <is>
          <t>更新ロスト防止 — JAマスタは購読者・販売店等の親レコードであり、データ整合性に重大な影響。</t>
        </is>
      </c>
      <c r="BL69" s="10" t="n"/>
      <c r="BM69" s="10" t="n"/>
      <c r="BN69" s="10" t="n"/>
      <c r="BO69" s="10" t="n"/>
      <c r="BP69" s="10" t="n"/>
      <c r="BQ69" s="11" t="n"/>
    </row>
    <row r="70" ht="320" customHeight="1">
      <c r="A70" s="44" t="n">
        <v>53</v>
      </c>
      <c r="B70" s="46" t="inlineStr">
        <is>
          <t>ACSMS-TC-005-053</t>
        </is>
      </c>
      <c r="C70" s="10" t="n"/>
      <c r="D70" s="11" t="n"/>
      <c r="E70" s="46" t="inlineStr">
        <is>
          <t>編集 — システム／ネットワークエラー処理</t>
        </is>
      </c>
      <c r="F70" s="10" t="n"/>
      <c r="G70" s="10" t="n"/>
      <c r="H70" s="10" t="n"/>
      <c r="I70" s="11" t="n"/>
      <c r="J70" s="46" t="inlineStr">
        <is>
          <t>・role: NICHINO_ADMIN
・編集画面、有効値入力済</t>
        </is>
      </c>
      <c r="K70" s="10" t="n"/>
      <c r="L70" s="10" t="n"/>
      <c r="M70" s="10" t="n"/>
      <c r="N70" s="10" t="n"/>
      <c r="O70" s="10" t="n"/>
      <c r="P70" s="11" t="n"/>
      <c r="Q70" s="46" t="inlineStr">
        <is>
          <r>
            <rPr>
              <rFont val="メイリオ"/>
              <b val="1"/>
              <sz val="10"/>
            </rPr>
            <t xml:space="preserve">ステップ1：
</t>
          </r>
          <r>
            <rPr>
              <rFont val="メイリオ"/>
              <sz val="10"/>
            </rPr>
            <t xml:space="preserve">バックエンド側で意図的に500エラー → 更新ボタン押下
</t>
          </r>
          <r>
            <rPr>
              <rFont val="メイリオ"/>
              <b val="1"/>
              <sz val="10"/>
            </rPr>
            <t xml:space="preserve">ステップ2：
</t>
          </r>
          <r>
            <rPr>
              <rFont val="メイリオ"/>
              <sz val="10"/>
            </rPr>
            <t xml:space="preserve">ネットワーク切断 → 更新ボタン押下
</t>
          </r>
          <r>
            <rPr>
              <rFont val="メイリオ"/>
              <b val="1"/>
              <sz val="10"/>
            </rPr>
            <t xml:space="preserve">ステップ3：
</t>
          </r>
          <r>
            <rPr>
              <rFont val="メイリオ"/>
              <sz val="10"/>
            </rPr>
            <t>各場合 DB 確認</t>
          </r>
        </is>
      </c>
      <c r="R70" s="10" t="n"/>
      <c r="S70" s="10" t="n"/>
      <c r="T70" s="10" t="n"/>
      <c r="U70" s="10" t="n"/>
      <c r="V70" s="10" t="n"/>
      <c r="W70" s="11" t="n"/>
      <c r="X70" s="46" t="inlineStr">
        <is>
          <r>
            <rPr>
              <rFont val="メイリオ"/>
              <b val="1"/>
              <sz val="10"/>
            </rPr>
            <t xml:space="preserve">ステップ1：
</t>
          </r>
          <r>
            <rPr>
              <rFont val="メイリオ"/>
              <sz val="10"/>
            </rPr>
            <t xml:space="preserve">トースト「システムエラーが発生しました。しばらくしてから再度お試しください。」表示
</t>
          </r>
          <r>
            <rPr>
              <rFont val="メイリオ"/>
              <sz val="10"/>
            </rPr>
            <t xml:space="preserve">編集画面のまま、入力値保持
</t>
          </r>
          <r>
            <rPr>
              <rFont val="メイリオ"/>
              <b val="1"/>
              <sz val="10"/>
            </rPr>
            <t xml:space="preserve">ステップ2：
</t>
          </r>
          <r>
            <rPr>
              <rFont val="メイリオ"/>
              <sz val="10"/>
            </rPr>
            <t xml:space="preserve">トースト「ネットワークエラーが発生しました。接続をご確認ください。」表示
</t>
          </r>
          <r>
            <rPr>
              <rFont val="メイリオ"/>
              <sz val="10"/>
            </rPr>
            <t xml:space="preserve">入力値保持
</t>
          </r>
          <r>
            <rPr>
              <rFont val="メイリオ"/>
              <b val="1"/>
              <sz val="10"/>
            </rPr>
            <t xml:space="preserve">ステップ3：
</t>
          </r>
          <r>
            <rPr>
              <rFont val="メイリオ"/>
              <sz val="10"/>
            </rPr>
            <t xml:space="preserve">更新されない、整合性維持
</t>
          </r>
          <r>
            <rPr>
              <rFont val="メイリオ"/>
              <b val="1"/>
              <sz val="10"/>
            </rPr>
            <t xml:space="preserve">補足：
</t>
          </r>
          <r>
            <rPr>
              <rFont val="メイリオ"/>
              <sz val="10"/>
            </rPr>
            <t xml:space="preserve">・両エラーケースでデータ整合性維持
</t>
          </r>
          <r>
            <rPr>
              <rFont val="メイリオ"/>
              <sz val="10"/>
            </rPr>
            <t>・エラーログ（log_type=3）が記録される</t>
          </r>
        </is>
      </c>
      <c r="Y70" s="10" t="n"/>
      <c r="Z70" s="10" t="n"/>
      <c r="AA70" s="10" t="n"/>
      <c r="AB70" s="10" t="n"/>
      <c r="AC70" s="10" t="n"/>
      <c r="AD70" s="11" t="n"/>
      <c r="AE70" s="45" t="inlineStr">
        <is>
          <t>A</t>
        </is>
      </c>
      <c r="AF70" s="11" t="n"/>
      <c r="AG70" s="45" t="inlineStr"/>
      <c r="AH70" s="10" t="n"/>
      <c r="AI70" s="11" t="n"/>
      <c r="AJ70" s="45" t="inlineStr"/>
      <c r="AK70" s="10" t="n"/>
      <c r="AL70" s="11" t="n"/>
      <c r="AM70" s="45" t="inlineStr"/>
      <c r="AN70" s="10" t="n"/>
      <c r="AO70" s="11" t="n"/>
      <c r="AP70" s="45" t="inlineStr"/>
      <c r="AQ70" s="10" t="n"/>
      <c r="AR70" s="11" t="n"/>
      <c r="AS70" s="45" t="inlineStr"/>
      <c r="AT70" s="10" t="n"/>
      <c r="AU70" s="11" t="n"/>
      <c r="AV70" s="45" t="inlineStr"/>
      <c r="AW70" s="10" t="n"/>
      <c r="AX70" s="11" t="n"/>
      <c r="AY70" s="45" t="inlineStr"/>
      <c r="AZ70" s="10" t="n"/>
      <c r="BA70" s="11" t="n"/>
      <c r="BB70" s="45" t="inlineStr"/>
      <c r="BC70" s="10" t="n"/>
      <c r="BD70" s="11" t="n"/>
      <c r="BE70" s="45" t="inlineStr"/>
      <c r="BF70" s="10" t="n"/>
      <c r="BG70" s="11" t="n"/>
      <c r="BH70" s="45" t="inlineStr"/>
      <c r="BI70" s="10" t="n"/>
      <c r="BJ70" s="11" t="n"/>
      <c r="BK70" s="46" t="inlineStr"/>
      <c r="BL70" s="10" t="n"/>
      <c r="BM70" s="10" t="n"/>
      <c r="BN70" s="10" t="n"/>
      <c r="BO70" s="10" t="n"/>
      <c r="BP70" s="10" t="n"/>
      <c r="BQ70" s="11" t="n"/>
    </row>
    <row r="71" ht="272" customHeight="1">
      <c r="A71" s="44" t="n">
        <v>54</v>
      </c>
      <c r="B71" s="46" t="inlineStr">
        <is>
          <t>ACSMS-TC-005-054</t>
        </is>
      </c>
      <c r="C71" s="10" t="n"/>
      <c r="D71" s="11" t="n"/>
      <c r="E71" s="46" t="inlineStr">
        <is>
          <t>編集 — 戻るボタンによるキャンセル</t>
        </is>
      </c>
      <c r="F71" s="10" t="n"/>
      <c r="G71" s="10" t="n"/>
      <c r="H71" s="10" t="n"/>
      <c r="I71" s="11" t="n"/>
      <c r="J71" s="46" t="inlineStr">
        <is>
          <t>・role: NICHINO_ADMIN
・編集画面、変更入力済</t>
        </is>
      </c>
      <c r="K71" s="10" t="n"/>
      <c r="L71" s="10" t="n"/>
      <c r="M71" s="10" t="n"/>
      <c r="N71" s="10" t="n"/>
      <c r="O71" s="10" t="n"/>
      <c r="P71" s="11" t="n"/>
      <c r="Q71" s="46" t="inlineStr">
        <is>
          <r>
            <rPr>
              <rFont val="メイリオ"/>
              <b val="1"/>
              <sz val="10"/>
            </rPr>
            <t xml:space="preserve">ステップ1：
</t>
          </r>
          <r>
            <rPr>
              <rFont val="メイリオ"/>
              <sz val="10"/>
            </rPr>
            <t xml:space="preserve">「前の画面に戻る」ボタン押下
</t>
          </r>
          <r>
            <rPr>
              <rFont val="メイリオ"/>
              <b val="1"/>
              <sz val="10"/>
            </rPr>
            <t xml:space="preserve">ステップ2：
</t>
          </r>
          <r>
            <rPr>
              <rFont val="メイリオ"/>
              <sz val="10"/>
            </rPr>
            <t xml:space="preserve">DB 確認
</t>
          </r>
          <r>
            <rPr>
              <rFont val="メイリオ"/>
              <b val="1"/>
              <sz val="10"/>
            </rPr>
            <t xml:space="preserve">ステップ3：
</t>
          </r>
          <r>
            <rPr>
              <rFont val="メイリオ"/>
              <sz val="10"/>
            </rPr>
            <t>監査ログ確認</t>
          </r>
        </is>
      </c>
      <c r="R71" s="10" t="n"/>
      <c r="S71" s="10" t="n"/>
      <c r="T71" s="10" t="n"/>
      <c r="U71" s="10" t="n"/>
      <c r="V71" s="10" t="n"/>
      <c r="W71" s="11" t="n"/>
      <c r="X71" s="46" t="inlineStr">
        <is>
          <r>
            <rPr>
              <rFont val="メイリオ"/>
              <b val="1"/>
              <sz val="10"/>
            </rPr>
            <t xml:space="preserve">ステップ1：
</t>
          </r>
          <r>
            <rPr>
              <rFont val="メイリオ"/>
              <sz val="10"/>
            </rPr>
            <t xml:space="preserve">未保存変更がある場合、警告ダイアログが表示
</t>
          </r>
          <r>
            <rPr>
              <rFont val="メイリオ"/>
              <sz val="10"/>
            </rPr>
            <t xml:space="preserve">「離れる」を選択 → `/ja` 一覧画面へ遷移
</t>
          </r>
          <r>
            <rPr>
              <rFont val="メイリオ"/>
              <b val="1"/>
              <sz val="10"/>
            </rPr>
            <t xml:space="preserve">ステップ2：
</t>
          </r>
          <r>
            <rPr>
              <rFont val="メイリオ"/>
              <sz val="10"/>
            </rPr>
            <t xml:space="preserve">更新されない、元の値のまま
</t>
          </r>
          <r>
            <rPr>
              <rFont val="メイリオ"/>
              <b val="1"/>
              <sz val="10"/>
            </rPr>
            <t xml:space="preserve">ステップ3：
</t>
          </r>
          <r>
            <rPr>
              <rFont val="メイリオ"/>
              <sz val="10"/>
            </rPr>
            <t xml:space="preserve">UPDATE ログ記録なし
</t>
          </r>
          <r>
            <rPr>
              <rFont val="メイリオ"/>
              <b val="1"/>
              <sz val="10"/>
            </rPr>
            <t xml:space="preserve">補足：
</t>
          </r>
          <r>
            <rPr>
              <rFont val="メイリオ"/>
              <sz val="10"/>
            </rPr>
            <t xml:space="preserve">・キャンセルで DB 変更なし、ログ記録なし
</t>
          </r>
          <r>
            <rPr>
              <rFont val="メイリオ"/>
              <sz val="10"/>
            </rPr>
            <t>・未保存変更がある場合は `beforeunload` 警告</t>
          </r>
        </is>
      </c>
      <c r="Y71" s="10" t="n"/>
      <c r="Z71" s="10" t="n"/>
      <c r="AA71" s="10" t="n"/>
      <c r="AB71" s="10" t="n"/>
      <c r="AC71" s="10" t="n"/>
      <c r="AD71" s="11" t="n"/>
      <c r="AE71" s="45" t="inlineStr">
        <is>
          <t>N</t>
        </is>
      </c>
      <c r="AF71" s="11" t="n"/>
      <c r="AG71" s="45" t="inlineStr"/>
      <c r="AH71" s="10" t="n"/>
      <c r="AI71" s="11" t="n"/>
      <c r="AJ71" s="45" t="inlineStr"/>
      <c r="AK71" s="10" t="n"/>
      <c r="AL71" s="11" t="n"/>
      <c r="AM71" s="45" t="inlineStr"/>
      <c r="AN71" s="10" t="n"/>
      <c r="AO71" s="11" t="n"/>
      <c r="AP71" s="45" t="inlineStr"/>
      <c r="AQ71" s="10" t="n"/>
      <c r="AR71" s="11" t="n"/>
      <c r="AS71" s="45" t="inlineStr"/>
      <c r="AT71" s="10" t="n"/>
      <c r="AU71" s="11" t="n"/>
      <c r="AV71" s="45" t="inlineStr"/>
      <c r="AW71" s="10" t="n"/>
      <c r="AX71" s="11" t="n"/>
      <c r="AY71" s="45" t="inlineStr"/>
      <c r="AZ71" s="10" t="n"/>
      <c r="BA71" s="11" t="n"/>
      <c r="BB71" s="45" t="inlineStr"/>
      <c r="BC71" s="10" t="n"/>
      <c r="BD71" s="11" t="n"/>
      <c r="BE71" s="45" t="inlineStr"/>
      <c r="BF71" s="10" t="n"/>
      <c r="BG71" s="11" t="n"/>
      <c r="BH71" s="45" t="inlineStr"/>
      <c r="BI71" s="10" t="n"/>
      <c r="BJ71" s="11" t="n"/>
      <c r="BK71" s="46" t="inlineStr"/>
      <c r="BL71" s="10" t="n"/>
      <c r="BM71" s="10" t="n"/>
      <c r="BN71" s="10" t="n"/>
      <c r="BO71" s="10" t="n"/>
      <c r="BP71" s="10" t="n"/>
      <c r="BQ71" s="11" t="n"/>
    </row>
    <row r="72" ht="400" customHeight="1">
      <c r="A72" s="44" t="n">
        <v>55</v>
      </c>
      <c r="B72" s="46" t="inlineStr">
        <is>
          <t>ACSMS-TC-005-055</t>
        </is>
      </c>
      <c r="C72" s="10" t="n"/>
      <c r="D72" s="11" t="n"/>
      <c r="E72" s="46" t="inlineStr">
        <is>
          <t>編集 — 更新前後の監査ログ完全性</t>
        </is>
      </c>
      <c r="F72" s="10" t="n"/>
      <c r="G72" s="10" t="n"/>
      <c r="H72" s="10" t="n"/>
      <c r="I72" s="11" t="n"/>
      <c r="J72" s="46" t="inlineStr">
        <is>
          <t>・role: NICHINO_ADMIN
・事前データ：`ja_id=1` 登録済（CREATEログあり）、未編集</t>
        </is>
      </c>
      <c r="K72" s="10" t="n"/>
      <c r="L72" s="10" t="n"/>
      <c r="M72" s="10" t="n"/>
      <c r="N72" s="10" t="n"/>
      <c r="O72" s="10" t="n"/>
      <c r="P72" s="11" t="n"/>
      <c r="Q72" s="46" t="inlineStr">
        <is>
          <r>
            <rPr>
              <rFont val="メイリオ"/>
              <b val="1"/>
              <sz val="10"/>
            </rPr>
            <t xml:space="preserve">ステップ1：
</t>
          </r>
          <r>
            <rPr>
              <rFont val="メイリオ"/>
              <sz val="10"/>
            </rPr>
            <t xml:space="preserve">編集前のログ確認：`SELECT * FROM t_log WHERE target_id = 1 AND target_table = 'm_ja' ORDER BY log_datetime ASC`
</t>
          </r>
          <r>
            <rPr>
              <rFont val="メイリオ"/>
              <b val="1"/>
              <sz val="10"/>
            </rPr>
            <t xml:space="preserve">ステップ2：
</t>
          </r>
          <r>
            <rPr>
              <rFont val="メイリオ"/>
              <sz val="10"/>
            </rPr>
            <t xml:space="preserve">編集画面で JA名 を変更 → 更新
</t>
          </r>
          <r>
            <rPr>
              <rFont val="メイリオ"/>
              <b val="1"/>
              <sz val="10"/>
            </rPr>
            <t xml:space="preserve">ステップ3：
</t>
          </r>
          <r>
            <rPr>
              <rFont val="メイリオ"/>
              <sz val="10"/>
            </rPr>
            <t xml:space="preserve">編集後のログ確認：同上クエリ
</t>
          </r>
          <r>
            <rPr>
              <rFont val="メイリオ"/>
              <b val="1"/>
              <sz val="10"/>
            </rPr>
            <t xml:space="preserve">ステップ4：
</t>
          </r>
          <r>
            <rPr>
              <rFont val="メイリオ"/>
              <sz val="10"/>
            </rPr>
            <t>`before_value` および `after_value` の JSON 内容を確認</t>
          </r>
        </is>
      </c>
      <c r="R72" s="10" t="n"/>
      <c r="S72" s="10" t="n"/>
      <c r="T72" s="10" t="n"/>
      <c r="U72" s="10" t="n"/>
      <c r="V72" s="10" t="n"/>
      <c r="W72" s="11" t="n"/>
      <c r="X72" s="46" t="inlineStr">
        <is>
          <r>
            <rPr>
              <rFont val="メイリオ"/>
              <b val="1"/>
              <sz val="10"/>
            </rPr>
            <t xml:space="preserve">ステップ1：
</t>
          </r>
          <r>
            <rPr>
              <rFont val="メイリオ"/>
              <sz val="10"/>
            </rPr>
            <t xml:space="preserve">1行（CREATEログ）のみ存在、`before_value` 空、`after_value` に登録時の全項目
</t>
          </r>
          <r>
            <rPr>
              <rFont val="メイリオ"/>
              <b val="1"/>
              <sz val="10"/>
            </rPr>
            <t xml:space="preserve">ステップ2：
</t>
          </r>
          <r>
            <rPr>
              <rFont val="メイリオ"/>
              <sz val="10"/>
            </rPr>
            <t xml:space="preserve">更新成功、トースト「更新しました。」表示
</t>
          </r>
          <r>
            <rPr>
              <rFont val="メイリオ"/>
              <b val="1"/>
              <sz val="10"/>
            </rPr>
            <t xml:space="preserve">ステップ3：
</t>
          </r>
          <r>
            <rPr>
              <rFont val="メイリオ"/>
              <sz val="10"/>
            </rPr>
            <t xml:space="preserve">2行存在（CREATEログ + UPDATEログ）
</t>
          </r>
          <r>
            <rPr>
              <rFont val="メイリオ"/>
              <b val="1"/>
              <sz val="10"/>
            </rPr>
            <t xml:space="preserve">ステップ4：
</t>
          </r>
          <r>
            <rPr>
              <rFont val="メイリオ"/>
              <sz val="10"/>
            </rPr>
            <t xml:space="preserve">UPDATE ログの `before_value` JSON に編集前の値、`after_value` JSON に編集後の値、両者の差分が JA名 のみであること
</t>
          </r>
          <r>
            <rPr>
              <rFont val="メイリオ"/>
              <b val="1"/>
              <sz val="10"/>
            </rPr>
            <t xml:space="preserve">補足：
</t>
          </r>
          <r>
            <rPr>
              <rFont val="メイリオ"/>
              <sz val="10"/>
            </rPr>
            <t xml:space="preserve">・監査ログで更新前後の完全比較が可能
</t>
          </r>
          <r>
            <rPr>
              <rFont val="メイリオ"/>
              <sz val="10"/>
            </rPr>
            <t>・全16項目（JAコード除く）が JSON にシリアライズされる</t>
          </r>
        </is>
      </c>
      <c r="Y72" s="10" t="n"/>
      <c r="Z72" s="10" t="n"/>
      <c r="AA72" s="10" t="n"/>
      <c r="AB72" s="10" t="n"/>
      <c r="AC72" s="10" t="n"/>
      <c r="AD72" s="11" t="n"/>
      <c r="AE72" s="45" t="inlineStr">
        <is>
          <t>N</t>
        </is>
      </c>
      <c r="AF72" s="11" t="n"/>
      <c r="AG72" s="45" t="inlineStr"/>
      <c r="AH72" s="10" t="n"/>
      <c r="AI72" s="11" t="n"/>
      <c r="AJ72" s="45" t="inlineStr"/>
      <c r="AK72" s="10" t="n"/>
      <c r="AL72" s="11" t="n"/>
      <c r="AM72" s="45" t="inlineStr"/>
      <c r="AN72" s="10" t="n"/>
      <c r="AO72" s="11" t="n"/>
      <c r="AP72" s="45" t="inlineStr"/>
      <c r="AQ72" s="10" t="n"/>
      <c r="AR72" s="11" t="n"/>
      <c r="AS72" s="45" t="inlineStr"/>
      <c r="AT72" s="10" t="n"/>
      <c r="AU72" s="11" t="n"/>
      <c r="AV72" s="45" t="inlineStr"/>
      <c r="AW72" s="10" t="n"/>
      <c r="AX72" s="11" t="n"/>
      <c r="AY72" s="45" t="inlineStr"/>
      <c r="AZ72" s="10" t="n"/>
      <c r="BA72" s="11" t="n"/>
      <c r="BB72" s="45" t="inlineStr"/>
      <c r="BC72" s="10" t="n"/>
      <c r="BD72" s="11" t="n"/>
      <c r="BE72" s="45" t="inlineStr"/>
      <c r="BF72" s="10" t="n"/>
      <c r="BG72" s="11" t="n"/>
      <c r="BH72" s="45" t="inlineStr"/>
      <c r="BI72" s="10" t="n"/>
      <c r="BJ72" s="11" t="n"/>
      <c r="BK72" s="46" t="inlineStr">
        <is>
          <t>(なし)
---</t>
        </is>
      </c>
      <c r="BL72" s="10" t="n"/>
      <c r="BM72" s="10" t="n"/>
      <c r="BN72" s="10" t="n"/>
      <c r="BO72" s="10" t="n"/>
      <c r="BP72" s="10" t="n"/>
      <c r="BQ72" s="11" t="n"/>
    </row>
    <row r="73" ht="22.5" customHeight="1">
      <c r="A73" s="32" t="inlineStr">
        <is>
          <t>共通エラーハンドリング（Common Error Handling）</t>
        </is>
      </c>
      <c r="B73" s="10" t="n"/>
      <c r="C73" s="10" t="n"/>
      <c r="D73" s="10" t="n"/>
      <c r="E73" s="10" t="n"/>
      <c r="F73" s="10" t="n"/>
      <c r="G73" s="10" t="n"/>
      <c r="H73" s="10" t="n"/>
      <c r="I73" s="10" t="n"/>
      <c r="J73" s="10" t="n"/>
      <c r="K73" s="10" t="n"/>
      <c r="L73" s="10" t="n"/>
      <c r="M73" s="10" t="n"/>
      <c r="N73" s="10" t="n"/>
      <c r="O73" s="10" t="n"/>
      <c r="P73" s="10" t="n"/>
      <c r="Q73" s="10" t="n"/>
      <c r="R73" s="10" t="n"/>
      <c r="S73" s="10" t="n"/>
      <c r="T73" s="10" t="n"/>
      <c r="U73" s="10" t="n"/>
      <c r="V73" s="10" t="n"/>
      <c r="W73" s="10" t="n"/>
      <c r="X73" s="10" t="n"/>
      <c r="Y73" s="10" t="n"/>
      <c r="Z73" s="10" t="n"/>
      <c r="AA73" s="10" t="n"/>
      <c r="AB73" s="10" t="n"/>
      <c r="AC73" s="10" t="n"/>
      <c r="AD73" s="10" t="n"/>
      <c r="AE73" s="10" t="n"/>
      <c r="AF73" s="10" t="n"/>
      <c r="AG73" s="10" t="n"/>
      <c r="AH73" s="10" t="n"/>
      <c r="AI73" s="10" t="n"/>
      <c r="AJ73" s="10" t="n"/>
      <c r="AK73" s="10" t="n"/>
      <c r="AL73" s="10" t="n"/>
      <c r="AM73" s="10" t="n"/>
      <c r="AN73" s="10" t="n"/>
      <c r="AO73" s="10" t="n"/>
      <c r="AP73" s="10" t="n"/>
      <c r="AQ73" s="10" t="n"/>
      <c r="AR73" s="10" t="n"/>
      <c r="AS73" s="10" t="n"/>
      <c r="AT73" s="10" t="n"/>
      <c r="AU73" s="10" t="n"/>
      <c r="AV73" s="10" t="n"/>
      <c r="AW73" s="10" t="n"/>
      <c r="AX73" s="10" t="n"/>
      <c r="AY73" s="10" t="n"/>
      <c r="AZ73" s="10" t="n"/>
      <c r="BA73" s="10" t="n"/>
      <c r="BB73" s="10" t="n"/>
      <c r="BC73" s="10" t="n"/>
      <c r="BD73" s="10" t="n"/>
      <c r="BE73" s="10" t="n"/>
      <c r="BF73" s="10" t="n"/>
      <c r="BG73" s="10" t="n"/>
      <c r="BH73" s="10" t="n"/>
      <c r="BI73" s="10" t="n"/>
      <c r="BJ73" s="10" t="n"/>
      <c r="BK73" s="10" t="n"/>
      <c r="BL73" s="10" t="n"/>
      <c r="BM73" s="10" t="n"/>
      <c r="BN73" s="10" t="n"/>
      <c r="BO73" s="10" t="n"/>
      <c r="BP73" s="10" t="n"/>
      <c r="BQ73" s="11" t="n"/>
    </row>
    <row r="74" ht="384" customHeight="1">
      <c r="A74" s="44" t="n">
        <v>56</v>
      </c>
      <c r="B74" s="46" t="inlineStr">
        <is>
          <t>ACSMS-TC-005-056</t>
        </is>
      </c>
      <c r="C74" s="10" t="n"/>
      <c r="D74" s="11" t="n"/>
      <c r="E74" s="46" t="inlineStr">
        <is>
          <t>共通エラー — UNAUTHORIZED — セッション切れ時の処理</t>
        </is>
      </c>
      <c r="F74" s="10" t="n"/>
      <c r="G74" s="10" t="n"/>
      <c r="H74" s="10" t="n"/>
      <c r="I74" s="11" t="n"/>
      <c r="J74" s="46" t="inlineStr">
        <is>
          <t>・role: NICHINO_ADMIN
・登録画面に有効値入力済
・最終操作から24時間以上経過し、Redis セッション TTL 失効済</t>
        </is>
      </c>
      <c r="K74" s="10" t="n"/>
      <c r="L74" s="10" t="n"/>
      <c r="M74" s="10" t="n"/>
      <c r="N74" s="10" t="n"/>
      <c r="O74" s="10" t="n"/>
      <c r="P74" s="11" t="n"/>
      <c r="Q74" s="46" t="inlineStr">
        <is>
          <r>
            <rPr>
              <rFont val="メイリオ"/>
              <b val="1"/>
              <sz val="10"/>
            </rPr>
            <t xml:space="preserve">ステップ1：
</t>
          </r>
          <r>
            <rPr>
              <rFont val="メイリオ"/>
              <sz val="10"/>
            </rPr>
            <t xml:space="preserve">「登録」ボタン押下し、API リクエスト送信
</t>
          </r>
          <r>
            <rPr>
              <rFont val="メイリオ"/>
              <b val="1"/>
              <sz val="10"/>
            </rPr>
            <t xml:space="preserve">ステップ2：
</t>
          </r>
          <r>
            <rPr>
              <rFont val="メイリオ"/>
              <sz val="10"/>
            </rPr>
            <t xml:space="preserve">レスポンス内容と画面遷移を確認
</t>
          </r>
          <r>
            <rPr>
              <rFont val="メイリオ"/>
              <b val="1"/>
              <sz val="10"/>
            </rPr>
            <t xml:space="preserve">ステップ3：
</t>
          </r>
          <r>
            <rPr>
              <rFont val="メイリオ"/>
              <sz val="10"/>
            </rPr>
            <t>DB 確認：`SELECT COUNT(*) FROM m_ja WHERE ja_code='1301999099'`</t>
          </r>
        </is>
      </c>
      <c r="R74" s="10" t="n"/>
      <c r="S74" s="10" t="n"/>
      <c r="T74" s="10" t="n"/>
      <c r="U74" s="10" t="n"/>
      <c r="V74" s="10" t="n"/>
      <c r="W74" s="11" t="n"/>
      <c r="X74" s="46" t="inlineStr">
        <is>
          <r>
            <rPr>
              <rFont val="メイリオ"/>
              <b val="1"/>
              <sz val="10"/>
            </rPr>
            <t xml:space="preserve">ステップ1：
</t>
          </r>
          <r>
            <rPr>
              <rFont val="メイリオ"/>
              <sz val="10"/>
            </rPr>
            <t xml:space="preserve">HTTPステータスコード：401
</t>
          </r>
          <r>
            <rPr>
              <rFont val="メイリオ"/>
              <sz val="10"/>
            </rPr>
            <t xml:space="preserve">error_code：UNAUTHORIZED
</t>
          </r>
          <r>
            <rPr>
              <rFont val="メイリオ"/>
              <sz val="10"/>
            </rPr>
            <t xml:space="preserve">message：「セッションが切れました。再度ログインしてください。」
</t>
          </r>
          <r>
            <rPr>
              <rFont val="メイリオ"/>
              <b val="1"/>
              <sz val="10"/>
            </rPr>
            <t xml:space="preserve">ステップ2：
</t>
          </r>
          <r>
            <rPr>
              <rFont val="メイリオ"/>
              <sz val="10"/>
            </rPr>
            <t xml:space="preserve">フロントエンド側で Pinia auth store の user 状態クリア、`/login?redirect=/ja/create` へ自動遷移
</t>
          </r>
          <r>
            <rPr>
              <rFont val="メイリオ"/>
              <b val="1"/>
              <sz val="10"/>
            </rPr>
            <t xml:space="preserve">ステップ3：
</t>
          </r>
          <r>
            <rPr>
              <rFont val="メイリオ"/>
              <sz val="10"/>
            </rPr>
            <t xml:space="preserve">0件（行追加なし）
</t>
          </r>
          <r>
            <rPr>
              <rFont val="メイリオ"/>
              <b val="1"/>
              <sz val="10"/>
            </rPr>
            <t xml:space="preserve">補足：
</t>
          </r>
          <r>
            <rPr>
              <rFont val="メイリオ"/>
              <sz val="10"/>
            </rPr>
            <t xml:space="preserve">・セッション失効時はバックエンド側の SessionAuthGuard が 401 を返却し、フロントエンド側 axios インターセプタで一律ログイン画面へ誘導
</t>
          </r>
          <r>
            <rPr>
              <rFont val="メイリオ"/>
              <sz val="10"/>
            </rPr>
            <t>・入力値は破棄される（再ログイン後の再入力が必要）</t>
          </r>
        </is>
      </c>
      <c r="Y74" s="10" t="n"/>
      <c r="Z74" s="10" t="n"/>
      <c r="AA74" s="10" t="n"/>
      <c r="AB74" s="10" t="n"/>
      <c r="AC74" s="10" t="n"/>
      <c r="AD74" s="11" t="n"/>
      <c r="AE74" s="45" t="inlineStr">
        <is>
          <t>A</t>
        </is>
      </c>
      <c r="AF74" s="11" t="n"/>
      <c r="AG74" s="45" t="inlineStr"/>
      <c r="AH74" s="10" t="n"/>
      <c r="AI74" s="11" t="n"/>
      <c r="AJ74" s="45" t="inlineStr"/>
      <c r="AK74" s="10" t="n"/>
      <c r="AL74" s="11" t="n"/>
      <c r="AM74" s="45" t="inlineStr"/>
      <c r="AN74" s="10" t="n"/>
      <c r="AO74" s="11" t="n"/>
      <c r="AP74" s="45" t="inlineStr"/>
      <c r="AQ74" s="10" t="n"/>
      <c r="AR74" s="11" t="n"/>
      <c r="AS74" s="45" t="inlineStr"/>
      <c r="AT74" s="10" t="n"/>
      <c r="AU74" s="11" t="n"/>
      <c r="AV74" s="45" t="inlineStr"/>
      <c r="AW74" s="10" t="n"/>
      <c r="AX74" s="11" t="n"/>
      <c r="AY74" s="45" t="inlineStr"/>
      <c r="AZ74" s="10" t="n"/>
      <c r="BA74" s="11" t="n"/>
      <c r="BB74" s="45" t="inlineStr"/>
      <c r="BC74" s="10" t="n"/>
      <c r="BD74" s="11" t="n"/>
      <c r="BE74" s="45" t="inlineStr"/>
      <c r="BF74" s="10" t="n"/>
      <c r="BG74" s="11" t="n"/>
      <c r="BH74" s="45" t="inlineStr"/>
      <c r="BI74" s="10" t="n"/>
      <c r="BJ74" s="11" t="n"/>
      <c r="BK74" s="46" t="inlineStr"/>
      <c r="BL74" s="10" t="n"/>
      <c r="BM74" s="10" t="n"/>
      <c r="BN74" s="10" t="n"/>
      <c r="BO74" s="10" t="n"/>
      <c r="BP74" s="10" t="n"/>
      <c r="BQ74" s="11" t="n"/>
    </row>
    <row r="75" ht="400" customHeight="1">
      <c r="A75" s="44" t="n">
        <v>57</v>
      </c>
      <c r="B75" s="46" t="inlineStr">
        <is>
          <t>ACSMS-TC-005-057</t>
        </is>
      </c>
      <c r="C75" s="10" t="n"/>
      <c r="D75" s="11" t="n"/>
      <c r="E75" s="46" t="inlineStr">
        <is>
          <t>共通エラー — TOO_MANY_REQUESTS — レート制限超過</t>
        </is>
      </c>
      <c r="F75" s="10" t="n"/>
      <c r="G75" s="10" t="n"/>
      <c r="H75" s="10" t="n"/>
      <c r="I75" s="11" t="n"/>
      <c r="J75" s="46" t="inlineStr">
        <is>
          <t>・role: NICHINO_ADMIN
・登録画面に有効値入力済
・テスト用スクリプトで `/api/v1/ja` POST を1分間に100リクエスト超で送信</t>
        </is>
      </c>
      <c r="K75" s="10" t="n"/>
      <c r="L75" s="10" t="n"/>
      <c r="M75" s="10" t="n"/>
      <c r="N75" s="10" t="n"/>
      <c r="O75" s="10" t="n"/>
      <c r="P75" s="11" t="n"/>
      <c r="Q75" s="46" t="inlineStr">
        <is>
          <r>
            <rPr>
              <rFont val="メイリオ"/>
              <b val="1"/>
              <sz val="10"/>
            </rPr>
            <t xml:space="preserve">ステップ1：
</t>
          </r>
          <r>
            <rPr>
              <rFont val="メイリオ"/>
              <sz val="10"/>
            </rPr>
            <t xml:space="preserve">スクリプトを起動、登録 API へ高頻度リクエスト送信
</t>
          </r>
          <r>
            <rPr>
              <rFont val="メイリオ"/>
              <b val="1"/>
              <sz val="10"/>
            </rPr>
            <t xml:space="preserve">ステップ2：
</t>
          </r>
          <r>
            <rPr>
              <rFont val="メイリオ"/>
              <sz val="10"/>
            </rPr>
            <t xml:space="preserve">レスポンスの HTTP ステータスと error_code 確認
</t>
          </r>
          <r>
            <rPr>
              <rFont val="メイリオ"/>
              <b val="1"/>
              <sz val="10"/>
            </rPr>
            <t xml:space="preserve">ステップ3：
</t>
          </r>
          <r>
            <rPr>
              <rFont val="メイリオ"/>
              <sz val="10"/>
            </rPr>
            <t>画面側のトースト表示確認</t>
          </r>
        </is>
      </c>
      <c r="R75" s="10" t="n"/>
      <c r="S75" s="10" t="n"/>
      <c r="T75" s="10" t="n"/>
      <c r="U75" s="10" t="n"/>
      <c r="V75" s="10" t="n"/>
      <c r="W75" s="11" t="n"/>
      <c r="X75" s="46" t="inlineStr">
        <is>
          <r>
            <rPr>
              <rFont val="メイリオ"/>
              <b val="1"/>
              <sz val="10"/>
            </rPr>
            <t xml:space="preserve">ステップ1：
</t>
          </r>
          <r>
            <rPr>
              <rFont val="メイリオ"/>
              <sz val="10"/>
            </rPr>
            <t xml:space="preserve">最初の100リクエストは正常応答、それ以降は429を返却
</t>
          </r>
          <r>
            <rPr>
              <rFont val="メイリオ"/>
              <b val="1"/>
              <sz val="10"/>
            </rPr>
            <t xml:space="preserve">ステップ2：
</t>
          </r>
          <r>
            <rPr>
              <rFont val="メイリオ"/>
              <sz val="10"/>
            </rPr>
            <t xml:space="preserve">HTTPステータスコード：429
</t>
          </r>
          <r>
            <rPr>
              <rFont val="メイリオ"/>
              <sz val="10"/>
            </rPr>
            <t xml:space="preserve">error_code：TOO_MANY_REQUESTS
</t>
          </r>
          <r>
            <rPr>
              <rFont val="メイリオ"/>
              <sz val="10"/>
            </rPr>
            <t xml:space="preserve">message：「リクエスト回数が上限を超えました。しばらくしてから再度お試しください。」
</t>
          </r>
          <r>
            <rPr>
              <rFont val="メイリオ"/>
              <b val="1"/>
              <sz val="10"/>
            </rPr>
            <t xml:space="preserve">ステップ3：
</t>
          </r>
          <r>
            <rPr>
              <rFont val="メイリオ"/>
              <sz val="10"/>
            </rPr>
            <t xml:space="preserve">トースト「リクエスト回数が上限を超えました。しばらくしてから再度お試しください。」表示、登録ボタン一時無効
</t>
          </r>
          <r>
            <rPr>
              <rFont val="メイリオ"/>
              <b val="1"/>
              <sz val="10"/>
            </rPr>
            <t xml:space="preserve">補足：
</t>
          </r>
          <r>
            <rPr>
              <rFont val="メイリオ"/>
              <sz val="10"/>
            </rPr>
            <t xml:space="preserve">・NestJS @Throttle デコレータ + AWS WAF レート制限がインフラ／アプリ両層でブロック
</t>
          </r>
          <r>
            <rPr>
              <rFont val="メイリオ"/>
              <sz val="10"/>
            </rPr>
            <t>・観点 VP-A-08「レート制限・Throttling」準拠（testcase-viewpoints.md v1.1）</t>
          </r>
        </is>
      </c>
      <c r="Y75" s="10" t="n"/>
      <c r="Z75" s="10" t="n"/>
      <c r="AA75" s="10" t="n"/>
      <c r="AB75" s="10" t="n"/>
      <c r="AC75" s="10" t="n"/>
      <c r="AD75" s="11" t="n"/>
      <c r="AE75" s="45" t="inlineStr">
        <is>
          <t>A</t>
        </is>
      </c>
      <c r="AF75" s="11" t="n"/>
      <c r="AG75" s="45" t="inlineStr"/>
      <c r="AH75" s="10" t="n"/>
      <c r="AI75" s="11" t="n"/>
      <c r="AJ75" s="45" t="inlineStr"/>
      <c r="AK75" s="10" t="n"/>
      <c r="AL75" s="11" t="n"/>
      <c r="AM75" s="45" t="inlineStr"/>
      <c r="AN75" s="10" t="n"/>
      <c r="AO75" s="11" t="n"/>
      <c r="AP75" s="45" t="inlineStr"/>
      <c r="AQ75" s="10" t="n"/>
      <c r="AR75" s="11" t="n"/>
      <c r="AS75" s="45" t="inlineStr"/>
      <c r="AT75" s="10" t="n"/>
      <c r="AU75" s="11" t="n"/>
      <c r="AV75" s="45" t="inlineStr"/>
      <c r="AW75" s="10" t="n"/>
      <c r="AX75" s="11" t="n"/>
      <c r="AY75" s="45" t="inlineStr"/>
      <c r="AZ75" s="10" t="n"/>
      <c r="BA75" s="11" t="n"/>
      <c r="BB75" s="45" t="inlineStr"/>
      <c r="BC75" s="10" t="n"/>
      <c r="BD75" s="11" t="n"/>
      <c r="BE75" s="45" t="inlineStr"/>
      <c r="BF75" s="10" t="n"/>
      <c r="BG75" s="11" t="n"/>
      <c r="BH75" s="45" t="inlineStr"/>
      <c r="BI75" s="10" t="n"/>
      <c r="BJ75" s="11" t="n"/>
      <c r="BK75" s="46" t="inlineStr"/>
      <c r="BL75" s="10" t="n"/>
      <c r="BM75" s="10" t="n"/>
      <c r="BN75" s="10" t="n"/>
      <c r="BO75" s="10" t="n"/>
      <c r="BP75" s="10" t="n"/>
      <c r="BQ75" s="11" t="n"/>
    </row>
    <row r="76" ht="320" customHeight="1">
      <c r="A76" s="44" t="n">
        <v>58</v>
      </c>
      <c r="B76" s="46" t="inlineStr">
        <is>
          <t>ACSMS-TC-005-058</t>
        </is>
      </c>
      <c r="C76" s="10" t="n"/>
      <c r="D76" s="11" t="n"/>
      <c r="E76" s="46" t="inlineStr">
        <is>
          <t>共通エラー — BAD_REQUEST — 不正リクエストパラメータ</t>
        </is>
      </c>
      <c r="F76" s="10" t="n"/>
      <c r="G76" s="10" t="n"/>
      <c r="H76" s="10" t="n"/>
      <c r="I76" s="11" t="n"/>
      <c r="J76" s="46" t="inlineStr">
        <is>
          <t>・role: NICHINO_ADMIN
・ブラウザ DevTools の Network タブを開いている</t>
        </is>
      </c>
      <c r="K76" s="10" t="n"/>
      <c r="L76" s="10" t="n"/>
      <c r="M76" s="10" t="n"/>
      <c r="N76" s="10" t="n"/>
      <c r="O76" s="10" t="n"/>
      <c r="P76" s="11" t="n"/>
      <c r="Q76" s="46" t="inlineStr">
        <is>
          <r>
            <rPr>
              <rFont val="メイリオ"/>
              <b val="1"/>
              <sz val="10"/>
            </rPr>
            <t xml:space="preserve">ステップ1：
</t>
          </r>
          <r>
            <rPr>
              <rFont val="メイリオ"/>
              <sz val="10"/>
            </rPr>
            <t xml:space="preserve">DevTools の Console から `fetch('/api/v1/ja', { method: 'POST', body: '{invalid json', headers: { 'Content-Type': 'application/json' }, credentials: 'include' })` を実行
</t>
          </r>
          <r>
            <rPr>
              <rFont val="メイリオ"/>
              <b val="1"/>
              <sz val="10"/>
            </rPr>
            <t xml:space="preserve">ステップ2：
</t>
          </r>
          <r>
            <rPr>
              <rFont val="メイリオ"/>
              <sz val="10"/>
            </rPr>
            <t xml:space="preserve">レスポンスの HTTP ステータスと error_code 確認
</t>
          </r>
          <r>
            <rPr>
              <rFont val="メイリオ"/>
              <b val="1"/>
              <sz val="10"/>
            </rPr>
            <t xml:space="preserve">ステップ3：
</t>
          </r>
          <r>
            <rPr>
              <rFont val="メイリオ"/>
              <sz val="10"/>
            </rPr>
            <t>DB 確認：`SELECT COUNT(*) FROM m_ja WHERE ja_code='MAL999'`</t>
          </r>
        </is>
      </c>
      <c r="R76" s="10" t="n"/>
      <c r="S76" s="10" t="n"/>
      <c r="T76" s="10" t="n"/>
      <c r="U76" s="10" t="n"/>
      <c r="V76" s="10" t="n"/>
      <c r="W76" s="11" t="n"/>
      <c r="X76" s="46" t="inlineStr">
        <is>
          <r>
            <rPr>
              <rFont val="メイリオ"/>
              <b val="1"/>
              <sz val="10"/>
            </rPr>
            <t xml:space="preserve">ステップ1：
</t>
          </r>
          <r>
            <rPr>
              <rFont val="メイリオ"/>
              <sz val="10"/>
            </rPr>
            <t xml:space="preserve">リクエストはバックエンド側のボディパーサで拒否される
</t>
          </r>
          <r>
            <rPr>
              <rFont val="メイリオ"/>
              <b val="1"/>
              <sz val="10"/>
            </rPr>
            <t xml:space="preserve">ステップ2：
</t>
          </r>
          <r>
            <rPr>
              <rFont val="メイリオ"/>
              <sz val="10"/>
            </rPr>
            <t xml:space="preserve">HTTPステータスコード：400
</t>
          </r>
          <r>
            <rPr>
              <rFont val="メイリオ"/>
              <sz val="10"/>
            </rPr>
            <t xml:space="preserve">error_code：BAD_REQUEST
</t>
          </r>
          <r>
            <rPr>
              <rFont val="メイリオ"/>
              <sz val="10"/>
            </rPr>
            <t xml:space="preserve">message：「リクエストパラメータが不正です。」
</t>
          </r>
          <r>
            <rPr>
              <rFont val="メイリオ"/>
              <b val="1"/>
              <sz val="10"/>
            </rPr>
            <t xml:space="preserve">ステップ3：
</t>
          </r>
          <r>
            <rPr>
              <rFont val="メイリオ"/>
              <sz val="10"/>
            </rPr>
            <t xml:space="preserve">0件（行追加なし）
</t>
          </r>
          <r>
            <rPr>
              <rFont val="メイリオ"/>
              <b val="1"/>
              <sz val="10"/>
            </rPr>
            <t xml:space="preserve">補足：
</t>
          </r>
          <r>
            <rPr>
              <rFont val="メイリオ"/>
              <sz val="10"/>
            </rPr>
            <t xml:space="preserve">・JSON パースエラー、Content-Type 不正、未知パラメータ等はすべて BAD_REQUEST にマップ
</t>
          </r>
          <r>
            <rPr>
              <rFont val="メイリオ"/>
              <sz val="10"/>
            </rPr>
            <t>・`t_log` には log_type=3 のエラーログ記録あり</t>
          </r>
        </is>
      </c>
      <c r="Y76" s="10" t="n"/>
      <c r="Z76" s="10" t="n"/>
      <c r="AA76" s="10" t="n"/>
      <c r="AB76" s="10" t="n"/>
      <c r="AC76" s="10" t="n"/>
      <c r="AD76" s="11" t="n"/>
      <c r="AE76" s="45" t="inlineStr">
        <is>
          <t>A</t>
        </is>
      </c>
      <c r="AF76" s="11" t="n"/>
      <c r="AG76" s="45" t="inlineStr"/>
      <c r="AH76" s="10" t="n"/>
      <c r="AI76" s="11" t="n"/>
      <c r="AJ76" s="45" t="inlineStr"/>
      <c r="AK76" s="10" t="n"/>
      <c r="AL76" s="11" t="n"/>
      <c r="AM76" s="45" t="inlineStr"/>
      <c r="AN76" s="10" t="n"/>
      <c r="AO76" s="11" t="n"/>
      <c r="AP76" s="45" t="inlineStr"/>
      <c r="AQ76" s="10" t="n"/>
      <c r="AR76" s="11" t="n"/>
      <c r="AS76" s="45" t="inlineStr"/>
      <c r="AT76" s="10" t="n"/>
      <c r="AU76" s="11" t="n"/>
      <c r="AV76" s="45" t="inlineStr"/>
      <c r="AW76" s="10" t="n"/>
      <c r="AX76" s="11" t="n"/>
      <c r="AY76" s="45" t="inlineStr"/>
      <c r="AZ76" s="10" t="n"/>
      <c r="BA76" s="11" t="n"/>
      <c r="BB76" s="45" t="inlineStr"/>
      <c r="BC76" s="10" t="n"/>
      <c r="BD76" s="11" t="n"/>
      <c r="BE76" s="45" t="inlineStr"/>
      <c r="BF76" s="10" t="n"/>
      <c r="BG76" s="11" t="n"/>
      <c r="BH76" s="45" t="inlineStr"/>
      <c r="BI76" s="10" t="n"/>
      <c r="BJ76" s="11" t="n"/>
      <c r="BK76" s="46" t="inlineStr"/>
      <c r="BL76" s="10" t="n"/>
      <c r="BM76" s="10" t="n"/>
      <c r="BN76" s="10" t="n"/>
      <c r="BO76" s="10" t="n"/>
      <c r="BP76" s="10" t="n"/>
      <c r="BQ76" s="11" t="n"/>
    </row>
    <row r="77" ht="450" customHeight="1">
      <c r="A77" s="44" t="n">
        <v>59</v>
      </c>
      <c r="B77" s="46" t="inlineStr">
        <is>
          <t>ACSMS-TC-005-059</t>
        </is>
      </c>
      <c r="C77" s="10" t="n"/>
      <c r="D77" s="11" t="n"/>
      <c r="E77" s="46" t="inlineStr">
        <is>
          <t>共通エラー — VALIDATION_ERROR — errors[] 配列形状検証</t>
        </is>
      </c>
      <c r="F77" s="10" t="n"/>
      <c r="G77" s="10" t="n"/>
      <c r="H77" s="10" t="n"/>
      <c r="I77" s="11" t="n"/>
      <c r="J77" s="46" t="inlineStr">
        <is>
          <t>・role: NICHINO_ADMIN
・登録画面、複数フィールドに不正値入力（JAコード=空、JA名=空、金融機関コード=`abc`、メール=`invalid`）</t>
        </is>
      </c>
      <c r="K77" s="10" t="n"/>
      <c r="L77" s="10" t="n"/>
      <c r="M77" s="10" t="n"/>
      <c r="N77" s="10" t="n"/>
      <c r="O77" s="10" t="n"/>
      <c r="P77" s="11" t="n"/>
      <c r="Q77" s="46" t="inlineStr">
        <is>
          <r>
            <rPr>
              <rFont val="メイリオ"/>
              <b val="1"/>
              <sz val="10"/>
            </rPr>
            <t xml:space="preserve">ステップ1：
</t>
          </r>
          <r>
            <rPr>
              <rFont val="メイリオ"/>
              <sz val="10"/>
            </rPr>
            <t xml:space="preserve">登録ボタン押下
</t>
          </r>
          <r>
            <rPr>
              <rFont val="メイリオ"/>
              <b val="1"/>
              <sz val="10"/>
            </rPr>
            <t xml:space="preserve">ステップ2：
</t>
          </r>
          <r>
            <rPr>
              <rFont val="メイリオ"/>
              <sz val="10"/>
            </rPr>
            <t xml:space="preserve">レスポンスボディの `errors` 配列の形状を確認
</t>
          </r>
          <r>
            <rPr>
              <rFont val="メイリオ"/>
              <b val="1"/>
              <sz val="10"/>
            </rPr>
            <t xml:space="preserve">ステップ3：
</t>
          </r>
          <r>
            <rPr>
              <rFont val="メイリオ"/>
              <sz val="10"/>
            </rPr>
            <t>画面側の各項目直下のエラーメッセージ表示を確認</t>
          </r>
        </is>
      </c>
      <c r="R77" s="10" t="n"/>
      <c r="S77" s="10" t="n"/>
      <c r="T77" s="10" t="n"/>
      <c r="U77" s="10" t="n"/>
      <c r="V77" s="10" t="n"/>
      <c r="W77" s="11" t="n"/>
      <c r="X77" s="46" t="inlineStr">
        <is>
          <r>
            <rPr>
              <rFont val="メイリオ"/>
              <b val="1"/>
              <sz val="10"/>
            </rPr>
            <t xml:space="preserve">ステップ1：
</t>
          </r>
          <r>
            <rPr>
              <rFont val="メイリオ"/>
              <sz val="10"/>
            </rPr>
            <t xml:space="preserve">HTTPステータスコード：400
</t>
          </r>
          <r>
            <rPr>
              <rFont val="メイリオ"/>
              <sz val="10"/>
            </rPr>
            <t xml:space="preserve">error_code：VALIDATION_ERROR
</t>
          </r>
          <r>
            <rPr>
              <rFont val="メイリオ"/>
              <sz val="10"/>
            </rPr>
            <t xml:space="preserve">message：「入力値が不正です。詳細はerrorsフィールドを確認してください。」
</t>
          </r>
          <r>
            <rPr>
              <rFont val="メイリオ"/>
              <b val="1"/>
              <sz val="10"/>
            </rPr>
            <t xml:space="preserve">ステップ2：
</t>
          </r>
          <r>
            <rPr>
              <rFont val="メイリオ"/>
              <sz val="10"/>
            </rPr>
            <t xml:space="preserve">`errors` 配列に複数エントリ：
</t>
          </r>
          <r>
            <rPr>
              <rFont val="メイリオ"/>
              <sz val="10"/>
            </rPr>
            <t xml:space="preserve">・{ field: "ja_code", message: "JAコードを入力してください" }
</t>
          </r>
          <r>
            <rPr>
              <rFont val="メイリオ"/>
              <sz val="10"/>
            </rPr>
            <t xml:space="preserve">・{ field: "ja_name", message: "JA名を入力してください" }
</t>
          </r>
          <r>
            <rPr>
              <rFont val="メイリオ"/>
              <sz val="10"/>
            </rPr>
            <t xml:space="preserve">・{ field: "bank_code", message: "金融機関コードは半角数字4桁で入力してください" }
</t>
          </r>
          <r>
            <rPr>
              <rFont val="メイリオ"/>
              <sz val="10"/>
            </rPr>
            <t xml:space="preserve">・{ field: "email", message: "有効なメールアドレスを入力してください。" }
</t>
          </r>
          <r>
            <rPr>
              <rFont val="メイリオ"/>
              <b val="1"/>
              <sz val="10"/>
            </rPr>
            <t xml:space="preserve">ステップ3：
</t>
          </r>
          <r>
            <rPr>
              <rFont val="メイリオ"/>
              <sz val="10"/>
            </rPr>
            <t xml:space="preserve">各項目直下に対応する Japanese エラーメッセージが表示される（`useApiForm` により `&lt;a-form-item :help&gt;` にバインド）
</t>
          </r>
          <r>
            <rPr>
              <rFont val="メイリオ"/>
              <b val="1"/>
              <sz val="10"/>
            </rPr>
            <t xml:space="preserve">補足：
</t>
          </r>
          <r>
            <rPr>
              <rFont val="メイリオ"/>
              <sz val="10"/>
            </rPr>
            <t xml:space="preserve">・複数フィールドの違反を1リクエストで一括返却
</t>
          </r>
          <r>
            <rPr>
              <rFont val="メイリオ"/>
              <sz val="10"/>
            </rPr>
            <t>・`useApiForm` が `errors[]` を `fieldErrors` に変換し、各 `&lt;a-form-item&gt;` の `:help` に表示</t>
          </r>
        </is>
      </c>
      <c r="Y77" s="10" t="n"/>
      <c r="Z77" s="10" t="n"/>
      <c r="AA77" s="10" t="n"/>
      <c r="AB77" s="10" t="n"/>
      <c r="AC77" s="10" t="n"/>
      <c r="AD77" s="11" t="n"/>
      <c r="AE77" s="45" t="inlineStr">
        <is>
          <t>A</t>
        </is>
      </c>
      <c r="AF77" s="11" t="n"/>
      <c r="AG77" s="45" t="inlineStr"/>
      <c r="AH77" s="10" t="n"/>
      <c r="AI77" s="11" t="n"/>
      <c r="AJ77" s="45" t="inlineStr"/>
      <c r="AK77" s="10" t="n"/>
      <c r="AL77" s="11" t="n"/>
      <c r="AM77" s="45" t="inlineStr"/>
      <c r="AN77" s="10" t="n"/>
      <c r="AO77" s="11" t="n"/>
      <c r="AP77" s="45" t="inlineStr"/>
      <c r="AQ77" s="10" t="n"/>
      <c r="AR77" s="11" t="n"/>
      <c r="AS77" s="45" t="inlineStr"/>
      <c r="AT77" s="10" t="n"/>
      <c r="AU77" s="11" t="n"/>
      <c r="AV77" s="45" t="inlineStr"/>
      <c r="AW77" s="10" t="n"/>
      <c r="AX77" s="11" t="n"/>
      <c r="AY77" s="45" t="inlineStr"/>
      <c r="AZ77" s="10" t="n"/>
      <c r="BA77" s="11" t="n"/>
      <c r="BB77" s="45" t="inlineStr"/>
      <c r="BC77" s="10" t="n"/>
      <c r="BD77" s="11" t="n"/>
      <c r="BE77" s="45" t="inlineStr"/>
      <c r="BF77" s="10" t="n"/>
      <c r="BG77" s="11" t="n"/>
      <c r="BH77" s="45" t="inlineStr"/>
      <c r="BI77" s="10" t="n"/>
      <c r="BJ77" s="11" t="n"/>
      <c r="BK77" s="46" t="inlineStr"/>
      <c r="BL77" s="10" t="n"/>
      <c r="BM77" s="10" t="n"/>
      <c r="BN77" s="10" t="n"/>
      <c r="BO77" s="10" t="n"/>
      <c r="BP77" s="10" t="n"/>
      <c r="BQ77" s="11" t="n"/>
    </row>
    <row r="78" ht="450" customHeight="1">
      <c r="A78" s="44" t="n">
        <v>60</v>
      </c>
      <c r="B78" s="46" t="inlineStr">
        <is>
          <t>ACSMS-TC-005-060</t>
        </is>
      </c>
      <c r="C78" s="10" t="n"/>
      <c r="D78" s="11" t="n"/>
      <c r="E78" s="46" t="inlineStr">
        <is>
          <t>共通エラー — INTERNAL_SERVER_ERROR — サーバークラッシュ模擬</t>
        </is>
      </c>
      <c r="F78" s="10" t="n"/>
      <c r="G78" s="10" t="n"/>
      <c r="H78" s="10" t="n"/>
      <c r="I78" s="11" t="n"/>
      <c r="J78" s="46" t="inlineStr">
        <is>
          <t>・role: NICHINO_ADMIN
・登録画面、有効値入力済
・バックエンド側 DB 接続を意図的に切断（テスト環境）</t>
        </is>
      </c>
      <c r="K78" s="10" t="n"/>
      <c r="L78" s="10" t="n"/>
      <c r="M78" s="10" t="n"/>
      <c r="N78" s="10" t="n"/>
      <c r="O78" s="10" t="n"/>
      <c r="P78" s="11" t="n"/>
      <c r="Q78" s="46" t="inlineStr">
        <is>
          <r>
            <rPr>
              <rFont val="メイリオ"/>
              <b val="1"/>
              <sz val="10"/>
            </rPr>
            <t xml:space="preserve">ステップ1：
</t>
          </r>
          <r>
            <rPr>
              <rFont val="メイリオ"/>
              <sz val="10"/>
            </rPr>
            <t xml:space="preserve">登録ボタン押下
</t>
          </r>
          <r>
            <rPr>
              <rFont val="メイリオ"/>
              <b val="1"/>
              <sz val="10"/>
            </rPr>
            <t xml:space="preserve">ステップ2：
</t>
          </r>
          <r>
            <rPr>
              <rFont val="メイリオ"/>
              <sz val="10"/>
            </rPr>
            <t xml:space="preserve">レスポンスの HTTP ステータスと error_code 確認
</t>
          </r>
          <r>
            <rPr>
              <rFont val="メイリオ"/>
              <b val="1"/>
              <sz val="10"/>
            </rPr>
            <t xml:space="preserve">ステップ3：
</t>
          </r>
          <r>
            <rPr>
              <rFont val="メイリオ"/>
              <sz val="10"/>
            </rPr>
            <t xml:space="preserve">画面状態確認
</t>
          </r>
          <r>
            <rPr>
              <rFont val="メイリオ"/>
              <b val="1"/>
              <sz val="10"/>
            </rPr>
            <t xml:space="preserve">ステップ4：
</t>
          </r>
          <r>
            <rPr>
              <rFont val="メイリオ"/>
              <sz val="10"/>
            </rPr>
            <t>エラーログ確認：`SELECT * FROM t_log WHERE result_status=2 ORDER BY log_datetime DESC LIMIT 1`</t>
          </r>
        </is>
      </c>
      <c r="R78" s="10" t="n"/>
      <c r="S78" s="10" t="n"/>
      <c r="T78" s="10" t="n"/>
      <c r="U78" s="10" t="n"/>
      <c r="V78" s="10" t="n"/>
      <c r="W78" s="11" t="n"/>
      <c r="X78" s="46" t="inlineStr">
        <is>
          <r>
            <rPr>
              <rFont val="メイリオ"/>
              <b val="1"/>
              <sz val="10"/>
            </rPr>
            <t xml:space="preserve">ステップ1：
</t>
          </r>
          <r>
            <rPr>
              <rFont val="メイリオ"/>
              <sz val="10"/>
            </rPr>
            <t xml:space="preserve">バックエンド側で例外発生、外側 catch ブロックでエラーログ記録
</t>
          </r>
          <r>
            <rPr>
              <rFont val="メイリオ"/>
              <b val="1"/>
              <sz val="10"/>
            </rPr>
            <t xml:space="preserve">ステップ2：
</t>
          </r>
          <r>
            <rPr>
              <rFont val="メイリオ"/>
              <sz val="10"/>
            </rPr>
            <t xml:space="preserve">HTTPステータスコード：500
</t>
          </r>
          <r>
            <rPr>
              <rFont val="メイリオ"/>
              <sz val="10"/>
            </rPr>
            <t xml:space="preserve">error_code：INTERNAL_SERVER_ERROR
</t>
          </r>
          <r>
            <rPr>
              <rFont val="メイリオ"/>
              <sz val="10"/>
            </rPr>
            <t xml:space="preserve">message：「システムエラーが発生しました。しばらくしてから再度お試しください。」
</t>
          </r>
          <r>
            <rPr>
              <rFont val="メイリオ"/>
              <b val="1"/>
              <sz val="10"/>
            </rPr>
            <t xml:space="preserve">ステップ3：
</t>
          </r>
          <r>
            <rPr>
              <rFont val="メイリオ"/>
              <sz val="10"/>
            </rPr>
            <t xml:space="preserve">登録画面のまま、トースト「システムエラーが発生しました。しばらくしてから再度お試しください。」表示、入力値保持
</t>
          </r>
          <r>
            <rPr>
              <rFont val="メイリオ"/>
              <b val="1"/>
              <sz val="10"/>
            </rPr>
            <t xml:space="preserve">ステップ4：
</t>
          </r>
          <r>
            <rPr>
              <rFont val="メイリオ"/>
              <sz val="10"/>
            </rPr>
            <t xml:space="preserve">log_type=3 のエラーログ1行、`error_message` に例外メッセージ、`stack_trace` に呼び出し履歴
</t>
          </r>
          <r>
            <rPr>
              <rFont val="メイリオ"/>
              <b val="1"/>
              <sz val="10"/>
            </rPr>
            <t xml:space="preserve">補足：
</t>
          </r>
          <r>
            <rPr>
              <rFont val="メイリオ"/>
              <sz val="10"/>
            </rPr>
            <t xml:space="preserve">・トランザクション外でエラーログ記録（業務トランザクションが既にロールバック済のため）
</t>
          </r>
          <r>
            <rPr>
              <rFont val="メイリオ"/>
              <sz val="10"/>
            </rPr>
            <t>・利用者向けにスタックトレース等の内部情報は露出しない</t>
          </r>
        </is>
      </c>
      <c r="Y78" s="10" t="n"/>
      <c r="Z78" s="10" t="n"/>
      <c r="AA78" s="10" t="n"/>
      <c r="AB78" s="10" t="n"/>
      <c r="AC78" s="10" t="n"/>
      <c r="AD78" s="11" t="n"/>
      <c r="AE78" s="45" t="inlineStr">
        <is>
          <t>A</t>
        </is>
      </c>
      <c r="AF78" s="11" t="n"/>
      <c r="AG78" s="45" t="inlineStr"/>
      <c r="AH78" s="10" t="n"/>
      <c r="AI78" s="11" t="n"/>
      <c r="AJ78" s="45" t="inlineStr"/>
      <c r="AK78" s="10" t="n"/>
      <c r="AL78" s="11" t="n"/>
      <c r="AM78" s="45" t="inlineStr"/>
      <c r="AN78" s="10" t="n"/>
      <c r="AO78" s="11" t="n"/>
      <c r="AP78" s="45" t="inlineStr"/>
      <c r="AQ78" s="10" t="n"/>
      <c r="AR78" s="11" t="n"/>
      <c r="AS78" s="45" t="inlineStr"/>
      <c r="AT78" s="10" t="n"/>
      <c r="AU78" s="11" t="n"/>
      <c r="AV78" s="45" t="inlineStr"/>
      <c r="AW78" s="10" t="n"/>
      <c r="AX78" s="11" t="n"/>
      <c r="AY78" s="45" t="inlineStr"/>
      <c r="AZ78" s="10" t="n"/>
      <c r="BA78" s="11" t="n"/>
      <c r="BB78" s="45" t="inlineStr"/>
      <c r="BC78" s="10" t="n"/>
      <c r="BD78" s="11" t="n"/>
      <c r="BE78" s="45" t="inlineStr"/>
      <c r="BF78" s="10" t="n"/>
      <c r="BG78" s="11" t="n"/>
      <c r="BH78" s="45" t="inlineStr"/>
      <c r="BI78" s="10" t="n"/>
      <c r="BJ78" s="11" t="n"/>
      <c r="BK78" s="46" t="inlineStr"/>
      <c r="BL78" s="10" t="n"/>
      <c r="BM78" s="10" t="n"/>
      <c r="BN78" s="10" t="n"/>
      <c r="BO78" s="10" t="n"/>
      <c r="BP78" s="10" t="n"/>
      <c r="BQ78" s="11" t="n"/>
    </row>
    <row r="79" ht="288" customHeight="1">
      <c r="A79" s="44" t="n">
        <v>61</v>
      </c>
      <c r="B79" s="46" t="inlineStr">
        <is>
          <t>ACSMS-TC-005-061</t>
        </is>
      </c>
      <c r="C79" s="10" t="n"/>
      <c r="D79" s="11" t="n"/>
      <c r="E79" s="46" t="inlineStr">
        <is>
          <t>共通エラー — NOT_FOUND — 削除済JA編集アクセス時の処理</t>
        </is>
      </c>
      <c r="F79" s="10" t="n"/>
      <c r="G79" s="10" t="n"/>
      <c r="H79" s="10" t="n"/>
      <c r="I79" s="11" t="n"/>
      <c r="J79" s="46" t="inlineStr">
        <is>
          <t>・role: NICHINO_ADMIN
・事前データ：JAレコード（ja_id = 999）が削除済（または存在しない）</t>
        </is>
      </c>
      <c r="K79" s="10" t="n"/>
      <c r="L79" s="10" t="n"/>
      <c r="M79" s="10" t="n"/>
      <c r="N79" s="10" t="n"/>
      <c r="O79" s="10" t="n"/>
      <c r="P79" s="11" t="n"/>
      <c r="Q79" s="46" t="inlineStr">
        <is>
          <r>
            <rPr>
              <rFont val="メイリオ"/>
              <b val="1"/>
              <sz val="10"/>
            </rPr>
            <t xml:space="preserve">ステップ1：
</t>
          </r>
          <r>
            <rPr>
              <rFont val="メイリオ"/>
              <sz val="10"/>
            </rPr>
            <t xml:space="preserve">ブラウザのアドレスバーに `/ja/999/edit` を入力し、直接アクセス
</t>
          </r>
          <r>
            <rPr>
              <rFont val="メイリオ"/>
              <b val="1"/>
              <sz val="10"/>
            </rPr>
            <t xml:space="preserve">ステップ2：
</t>
          </r>
          <r>
            <rPr>
              <rFont val="メイリオ"/>
              <sz val="10"/>
            </rPr>
            <t>DevTools の Network タブで GET `/api/v1/ja/999` を確認</t>
          </r>
        </is>
      </c>
      <c r="R79" s="10" t="n"/>
      <c r="S79" s="10" t="n"/>
      <c r="T79" s="10" t="n"/>
      <c r="U79" s="10" t="n"/>
      <c r="V79" s="10" t="n"/>
      <c r="W79" s="11" t="n"/>
      <c r="X79" s="46" t="inlineStr">
        <is>
          <r>
            <rPr>
              <rFont val="メイリオ"/>
              <b val="1"/>
              <sz val="10"/>
            </rPr>
            <t xml:space="preserve">ステップ1：
</t>
          </r>
          <r>
            <rPr>
              <rFont val="メイリオ"/>
              <sz val="10"/>
            </rPr>
            <t xml:space="preserve">画面遷移失敗、トーストエラー表示
</t>
          </r>
          <r>
            <rPr>
              <rFont val="メイリオ"/>
              <b val="1"/>
              <sz val="10"/>
            </rPr>
            <t xml:space="preserve">ステップ2：
</t>
          </r>
          <r>
            <rPr>
              <rFont val="メイリオ"/>
              <sz val="10"/>
            </rPr>
            <t xml:space="preserve">HTTPステータスコード：404
</t>
          </r>
          <r>
            <rPr>
              <rFont val="メイリオ"/>
              <sz val="10"/>
            </rPr>
            <t xml:space="preserve">error_code：NOT_FOUND
</t>
          </r>
          <r>
            <rPr>
              <rFont val="メイリオ"/>
              <sz val="10"/>
            </rPr>
            <t xml:space="preserve">message：「指定されたJAが見つかりません。」
</t>
          </r>
          <r>
            <rPr>
              <rFont val="メイリオ"/>
              <b val="1"/>
              <sz val="10"/>
            </rPr>
            <t xml:space="preserve">補足：
</t>
          </r>
          <r>
            <rPr>
              <rFont val="メイリオ"/>
              <sz val="10"/>
            </rPr>
            <t xml:space="preserve">・存在しないリソース／削除済リソース（deleted_at IS NOT NULL）へのアクセスは一律 NOT_FOUND として返却
</t>
          </r>
          <r>
            <rPr>
              <rFont val="メイリオ"/>
              <sz val="10"/>
            </rPr>
            <t>・ACSMS-MSG-005-010 該当（画面表示メッセージ「JA #{id} が見つかりません。」と区別）</t>
          </r>
        </is>
      </c>
      <c r="Y79" s="10" t="n"/>
      <c r="Z79" s="10" t="n"/>
      <c r="AA79" s="10" t="n"/>
      <c r="AB79" s="10" t="n"/>
      <c r="AC79" s="10" t="n"/>
      <c r="AD79" s="11" t="n"/>
      <c r="AE79" s="45" t="inlineStr">
        <is>
          <t>A</t>
        </is>
      </c>
      <c r="AF79" s="11" t="n"/>
      <c r="AG79" s="45" t="inlineStr"/>
      <c r="AH79" s="10" t="n"/>
      <c r="AI79" s="11" t="n"/>
      <c r="AJ79" s="45" t="inlineStr"/>
      <c r="AK79" s="10" t="n"/>
      <c r="AL79" s="11" t="n"/>
      <c r="AM79" s="45" t="inlineStr"/>
      <c r="AN79" s="10" t="n"/>
      <c r="AO79" s="11" t="n"/>
      <c r="AP79" s="45" t="inlineStr"/>
      <c r="AQ79" s="10" t="n"/>
      <c r="AR79" s="11" t="n"/>
      <c r="AS79" s="45" t="inlineStr"/>
      <c r="AT79" s="10" t="n"/>
      <c r="AU79" s="11" t="n"/>
      <c r="AV79" s="45" t="inlineStr"/>
      <c r="AW79" s="10" t="n"/>
      <c r="AX79" s="11" t="n"/>
      <c r="AY79" s="45" t="inlineStr"/>
      <c r="AZ79" s="10" t="n"/>
      <c r="BA79" s="11" t="n"/>
      <c r="BB79" s="45" t="inlineStr"/>
      <c r="BC79" s="10" t="n"/>
      <c r="BD79" s="11" t="n"/>
      <c r="BE79" s="45" t="inlineStr"/>
      <c r="BF79" s="10" t="n"/>
      <c r="BG79" s="11" t="n"/>
      <c r="BH79" s="45" t="inlineStr"/>
      <c r="BI79" s="10" t="n"/>
      <c r="BJ79" s="11" t="n"/>
      <c r="BK79" s="46" t="inlineStr"/>
      <c r="BL79" s="10" t="n"/>
      <c r="BM79" s="10" t="n"/>
      <c r="BN79" s="10" t="n"/>
      <c r="BO79" s="10" t="n"/>
      <c r="BP79" s="10" t="n"/>
      <c r="BQ79" s="11" t="n"/>
    </row>
    <row r="80" ht="450" customHeight="1">
      <c r="A80" s="44" t="n">
        <v>62</v>
      </c>
      <c r="B80" s="46" t="inlineStr">
        <is>
          <t>ACSMS-TC-005-062</t>
        </is>
      </c>
      <c r="C80" s="10" t="n"/>
      <c r="D80" s="11" t="n"/>
      <c r="E80" s="46" t="inlineStr">
        <is>
          <t>共通エラー — DATA_SCOPE_VIOLATION — 他スコープJA編集アクセス時の処理</t>
        </is>
      </c>
      <c r="F80" s="10" t="n"/>
      <c r="G80" s="10" t="n"/>
      <c r="H80" s="10" t="n"/>
      <c r="I80" s="11" t="n"/>
      <c r="J80" s="46" t="inlineStr">
        <is>
          <t>・role: JA_HONTEN（自JA: ja-001）
・事前データ：他JAレコード（ja_id = 2）存在</t>
        </is>
      </c>
      <c r="K80" s="10" t="n"/>
      <c r="L80" s="10" t="n"/>
      <c r="M80" s="10" t="n"/>
      <c r="N80" s="10" t="n"/>
      <c r="O80" s="10" t="n"/>
      <c r="P80" s="11" t="n"/>
      <c r="Q80" s="46" t="inlineStr">
        <is>
          <r>
            <rPr>
              <rFont val="メイリオ"/>
              <b val="1"/>
              <sz val="10"/>
            </rPr>
            <t xml:space="preserve">ステップ1：
</t>
          </r>
          <r>
            <rPr>
              <rFont val="メイリオ"/>
              <sz val="10"/>
            </rPr>
            <t xml:space="preserve">ブラウザのアドレスバーに `/ja/2/edit`（他JA）を入力し、直接アクセス
</t>
          </r>
          <r>
            <rPr>
              <rFont val="メイリオ"/>
              <b val="1"/>
              <sz val="10"/>
            </rPr>
            <t xml:space="preserve">ステップ2：
</t>
          </r>
          <r>
            <rPr>
              <rFont val="メイリオ"/>
              <sz val="10"/>
            </rPr>
            <t xml:space="preserve">DevTools の Network タブで GET `/api/v1/ja/2` を確認
</t>
          </r>
          <r>
            <rPr>
              <rFont val="メイリオ"/>
              <b val="1"/>
              <sz val="10"/>
            </rPr>
            <t xml:space="preserve">ステップ3：
</t>
          </r>
          <r>
            <rPr>
              <rFont val="メイリオ"/>
              <sz val="10"/>
            </rPr>
            <t xml:space="preserve">DevTools の Console から `fetch('/api/v1/ja/2', { method: 'PUT', body: JSON.stringify({ ja_name: 'HACK', todofuken_code: '13', chuokai_flg: false, bank_code: '1234', bank_name: '農林中央金庫', zei_kubun: '1' }), headers: { 'Content-Type': 'application/json' }, credentials: 'include' })` を実行
</t>
          </r>
          <r>
            <rPr>
              <rFont val="メイリオ"/>
              <b val="1"/>
              <sz val="10"/>
            </rPr>
            <t xml:space="preserve">ステップ4：
</t>
          </r>
          <r>
            <rPr>
              <rFont val="メイリオ"/>
              <sz val="10"/>
            </rPr>
            <t>DB 確認：`SELECT ja_name FROM m_ja WHERE ja_id=2`</t>
          </r>
        </is>
      </c>
      <c r="R80" s="10" t="n"/>
      <c r="S80" s="10" t="n"/>
      <c r="T80" s="10" t="n"/>
      <c r="U80" s="10" t="n"/>
      <c r="V80" s="10" t="n"/>
      <c r="W80" s="11" t="n"/>
      <c r="X80" s="46" t="inlineStr">
        <is>
          <r>
            <rPr>
              <rFont val="メイリオ"/>
              <b val="1"/>
              <sz val="10"/>
            </rPr>
            <t xml:space="preserve">ステップ1：
</t>
          </r>
          <r>
            <rPr>
              <rFont val="メイリオ"/>
              <sz val="10"/>
            </rPr>
            <t xml:space="preserve">画面遷移失敗、トーストエラー表示
</t>
          </r>
          <r>
            <rPr>
              <rFont val="メイリオ"/>
              <b val="1"/>
              <sz val="10"/>
            </rPr>
            <t xml:space="preserve">ステップ2：
</t>
          </r>
          <r>
            <rPr>
              <rFont val="メイリオ"/>
              <sz val="10"/>
            </rPr>
            <t xml:space="preserve">HTTPステータスコード：404
</t>
          </r>
          <r>
            <rPr>
              <rFont val="メイリオ"/>
              <sz val="10"/>
            </rPr>
            <t xml:space="preserve">error_code：NOT_FOUND
</t>
          </r>
          <r>
            <rPr>
              <rFont val="メイリオ"/>
              <sz val="10"/>
            </rPr>
            <t xml:space="preserve">message：「指定されたJAが見つかりません。」
</t>
          </r>
          <r>
            <rPr>
              <rFont val="メイリオ"/>
              <b val="1"/>
              <sz val="10"/>
            </rPr>
            <t xml:space="preserve">ステップ3：
</t>
          </r>
          <r>
            <rPr>
              <rFont val="メイリオ"/>
              <sz val="10"/>
            </rPr>
            <t xml:space="preserve">HTTPステータスコード：404
</t>
          </r>
          <r>
            <rPr>
              <rFont val="メイリオ"/>
              <sz val="10"/>
            </rPr>
            <t xml:space="preserve">error_code：NOT_FOUND
</t>
          </r>
          <r>
            <rPr>
              <rFont val="メイリオ"/>
              <sz val="10"/>
            </rPr>
            <t xml:space="preserve">message：「指定されたJAが見つかりません。」
</t>
          </r>
          <r>
            <rPr>
              <rFont val="メイリオ"/>
              <b val="1"/>
              <sz val="10"/>
            </rPr>
            <t xml:space="preserve">ステップ4：
</t>
          </r>
          <r>
            <rPr>
              <rFont val="メイリオ"/>
              <sz val="10"/>
            </rPr>
            <t xml:space="preserve">`ja_name` カラムは元の値のまま（変更されない）
</t>
          </r>
          <r>
            <rPr>
              <rFont val="メイリオ"/>
              <b val="1"/>
              <sz val="10"/>
            </rPr>
            <t xml:space="preserve">補足：
</t>
          </r>
          <r>
            <rPr>
              <rFont val="メイリオ"/>
              <sz val="10"/>
            </rPr>
            <t xml:space="preserve">・他スコープへの直接アクセスは存在隠蔽のため HTTP 404（NOT_FOUND）として返却
</t>
          </r>
          <r>
            <rPr>
              <rFont val="メイリオ"/>
              <sz val="10"/>
            </rPr>
            <t xml:space="preserve">・api.md エラー一覧では DATA_SCOPE_VIOLATION（403）と定義されているが、実装では security.md `assertJaScope` 規則に従い 404 マスキングが優先される
</t>
          </r>
          <r>
            <rPr>
              <rFont val="メイリオ"/>
              <sz val="10"/>
            </rPr>
            <t>・`t_log` にはエラーログ（log_type=3）が記録される</t>
          </r>
        </is>
      </c>
      <c r="Y80" s="10" t="n"/>
      <c r="Z80" s="10" t="n"/>
      <c r="AA80" s="10" t="n"/>
      <c r="AB80" s="10" t="n"/>
      <c r="AC80" s="10" t="n"/>
      <c r="AD80" s="11" t="n"/>
      <c r="AE80" s="45" t="inlineStr">
        <is>
          <t>A</t>
        </is>
      </c>
      <c r="AF80" s="11" t="n"/>
      <c r="AG80" s="45" t="inlineStr"/>
      <c r="AH80" s="10" t="n"/>
      <c r="AI80" s="11" t="n"/>
      <c r="AJ80" s="45" t="inlineStr"/>
      <c r="AK80" s="10" t="n"/>
      <c r="AL80" s="11" t="n"/>
      <c r="AM80" s="45" t="inlineStr"/>
      <c r="AN80" s="10" t="n"/>
      <c r="AO80" s="11" t="n"/>
      <c r="AP80" s="45" t="inlineStr"/>
      <c r="AQ80" s="10" t="n"/>
      <c r="AR80" s="11" t="n"/>
      <c r="AS80" s="45" t="inlineStr"/>
      <c r="AT80" s="10" t="n"/>
      <c r="AU80" s="11" t="n"/>
      <c r="AV80" s="45" t="inlineStr"/>
      <c r="AW80" s="10" t="n"/>
      <c r="AX80" s="11" t="n"/>
      <c r="AY80" s="45" t="inlineStr"/>
      <c r="AZ80" s="10" t="n"/>
      <c r="BA80" s="11" t="n"/>
      <c r="BB80" s="45" t="inlineStr"/>
      <c r="BC80" s="10" t="n"/>
      <c r="BD80" s="11" t="n"/>
      <c r="BE80" s="45" t="inlineStr"/>
      <c r="BF80" s="10" t="n"/>
      <c r="BG80" s="11" t="n"/>
      <c r="BH80" s="45" t="inlineStr"/>
      <c r="BI80" s="10" t="n"/>
      <c r="BJ80" s="11" t="n"/>
      <c r="BK80" s="46" t="inlineStr">
        <is>
          <t>セキュリティクリティカル — DataScope バイパスバグはマルチテナント情報漏洩リスク。
---</t>
        </is>
      </c>
      <c r="BL80" s="10" t="n"/>
      <c r="BM80" s="10" t="n"/>
      <c r="BN80" s="10" t="n"/>
      <c r="BO80" s="10" t="n"/>
      <c r="BP80" s="10" t="n"/>
      <c r="BQ80" s="11" t="n"/>
    </row>
  </sheetData>
  <mergeCells count="1127">
    <mergeCell ref="AS59:AU59"/>
    <mergeCell ref="J31:P31"/>
    <mergeCell ref="B60:D60"/>
    <mergeCell ref="Q27:W27"/>
    <mergeCell ref="AS46:AU46"/>
    <mergeCell ref="BK58:BQ58"/>
    <mergeCell ref="BB68:BD68"/>
    <mergeCell ref="AP50:AR50"/>
    <mergeCell ref="AE54:AF54"/>
    <mergeCell ref="BH33:BJ33"/>
    <mergeCell ref="BK50:BQ50"/>
    <mergeCell ref="AE41:AF41"/>
    <mergeCell ref="E52:I52"/>
    <mergeCell ref="AV57:AX57"/>
    <mergeCell ref="AP60:AR60"/>
    <mergeCell ref="E39:I39"/>
    <mergeCell ref="E14:I14"/>
    <mergeCell ref="AS61:AU61"/>
    <mergeCell ref="W7:Y7"/>
    <mergeCell ref="AM64:AO64"/>
    <mergeCell ref="AS48:AU48"/>
    <mergeCell ref="BK16:BQ16"/>
    <mergeCell ref="AE56:AF56"/>
    <mergeCell ref="AE43:AF43"/>
    <mergeCell ref="AP45:AR45"/>
    <mergeCell ref="J64:P64"/>
    <mergeCell ref="BE13:BG13"/>
    <mergeCell ref="W8:Y8"/>
    <mergeCell ref="Q37:W37"/>
    <mergeCell ref="AJ20:AL20"/>
    <mergeCell ref="AM21:AO21"/>
    <mergeCell ref="AM65:AO65"/>
    <mergeCell ref="AG24:AI24"/>
    <mergeCell ref="BH39:BJ39"/>
    <mergeCell ref="J57:P57"/>
    <mergeCell ref="W2:AH2"/>
    <mergeCell ref="BB77:BD77"/>
    <mergeCell ref="B80:D80"/>
    <mergeCell ref="X10:AD11"/>
    <mergeCell ref="AG42:AI42"/>
    <mergeCell ref="BK70:BQ70"/>
    <mergeCell ref="AJ22:AL22"/>
    <mergeCell ref="AY74:BA74"/>
    <mergeCell ref="AG26:AI26"/>
    <mergeCell ref="AP13:AR13"/>
    <mergeCell ref="AS74:AU74"/>
    <mergeCell ref="AV75:AX75"/>
    <mergeCell ref="BK42:BQ42"/>
    <mergeCell ref="Q38:W38"/>
    <mergeCell ref="Q76:W76"/>
    <mergeCell ref="AE34:AF34"/>
    <mergeCell ref="AY76:BA76"/>
    <mergeCell ref="AJ51:AL51"/>
    <mergeCell ref="AP71:AR71"/>
    <mergeCell ref="BK47:BQ47"/>
    <mergeCell ref="X74:AD74"/>
    <mergeCell ref="AS76:AU76"/>
    <mergeCell ref="X68:AD68"/>
    <mergeCell ref="Q40:W40"/>
    <mergeCell ref="AE36:AF36"/>
    <mergeCell ref="AS51:AU51"/>
    <mergeCell ref="Q15:W15"/>
    <mergeCell ref="AV39:AX39"/>
    <mergeCell ref="AV70:AX70"/>
    <mergeCell ref="E58:I58"/>
    <mergeCell ref="AP79:AR79"/>
    <mergeCell ref="BE20:BG20"/>
    <mergeCell ref="BH21:BJ21"/>
    <mergeCell ref="AM34:AO34"/>
    <mergeCell ref="AJ38:AL38"/>
    <mergeCell ref="X76:AD76"/>
    <mergeCell ref="J75:P75"/>
    <mergeCell ref="BE35:BG35"/>
    <mergeCell ref="BK48:BQ48"/>
    <mergeCell ref="AM49:AO49"/>
    <mergeCell ref="AE50:AF50"/>
    <mergeCell ref="AG52:AI52"/>
    <mergeCell ref="X69:AD69"/>
    <mergeCell ref="BE22:BG22"/>
    <mergeCell ref="BH23:BJ23"/>
    <mergeCell ref="BB26:BD26"/>
    <mergeCell ref="AE31:AF31"/>
    <mergeCell ref="H7:J7"/>
    <mergeCell ref="AG45:AI45"/>
    <mergeCell ref="AM78:AO78"/>
    <mergeCell ref="AS67:AU67"/>
    <mergeCell ref="AY29:BA29"/>
    <mergeCell ref="E20:I20"/>
    <mergeCell ref="AJ33:AL33"/>
    <mergeCell ref="AG37:AI37"/>
    <mergeCell ref="J39:P39"/>
    <mergeCell ref="X21:AD21"/>
    <mergeCell ref="B74:D74"/>
    <mergeCell ref="AG47:AI47"/>
    <mergeCell ref="B68:D68"/>
    <mergeCell ref="AF8:AH8"/>
    <mergeCell ref="BB27:BD27"/>
    <mergeCell ref="AY31:BA31"/>
    <mergeCell ref="AJ35:AL35"/>
    <mergeCell ref="BK37:BQ37"/>
    <mergeCell ref="Q77:W77"/>
    <mergeCell ref="E78:I78"/>
    <mergeCell ref="AM55:AO55"/>
    <mergeCell ref="BH34:BJ34"/>
    <mergeCell ref="X23:AD23"/>
    <mergeCell ref="BE38:BG38"/>
    <mergeCell ref="AE64:AF64"/>
    <mergeCell ref="B76:D76"/>
    <mergeCell ref="AV63:AX63"/>
    <mergeCell ref="AP66:AR66"/>
    <mergeCell ref="BH49:BJ49"/>
    <mergeCell ref="E80:I80"/>
    <mergeCell ref="R3:V3"/>
    <mergeCell ref="BK66:BQ66"/>
    <mergeCell ref="X16:AD16"/>
    <mergeCell ref="AP28:AR28"/>
    <mergeCell ref="AE57:AF57"/>
    <mergeCell ref="BH60:BJ60"/>
    <mergeCell ref="AC7:AE7"/>
    <mergeCell ref="AY26:BA26"/>
    <mergeCell ref="BE15:BG15"/>
    <mergeCell ref="AS64:AU64"/>
    <mergeCell ref="AP68:AR68"/>
    <mergeCell ref="J65:P65"/>
    <mergeCell ref="Q72:W72"/>
    <mergeCell ref="AG63:AI63"/>
    <mergeCell ref="BE33:BG33"/>
    <mergeCell ref="BB37:BD37"/>
    <mergeCell ref="AG50:AI50"/>
    <mergeCell ref="AP67:AR67"/>
    <mergeCell ref="BK13:BQ13"/>
    <mergeCell ref="BE79:BG79"/>
    <mergeCell ref="B21:D21"/>
    <mergeCell ref="AY57:BA57"/>
    <mergeCell ref="AM58:AO58"/>
    <mergeCell ref="BE41:BG41"/>
    <mergeCell ref="Q59:W59"/>
    <mergeCell ref="Q46:W46"/>
    <mergeCell ref="BH55:BJ55"/>
    <mergeCell ref="AM24:AO24"/>
    <mergeCell ref="AJ72:AL72"/>
    <mergeCell ref="AG27:AI27"/>
    <mergeCell ref="B23:D23"/>
    <mergeCell ref="AM60:AO60"/>
    <mergeCell ref="BB38:BD38"/>
    <mergeCell ref="AV14:AX14"/>
    <mergeCell ref="Q61:W61"/>
    <mergeCell ref="W3:AH3"/>
    <mergeCell ref="E33:I33"/>
    <mergeCell ref="Q48:W48"/>
    <mergeCell ref="BK79:BQ79"/>
    <mergeCell ref="AE75:AF75"/>
    <mergeCell ref="AV13:AX13"/>
    <mergeCell ref="BH42:BJ42"/>
    <mergeCell ref="AS17:AU17"/>
    <mergeCell ref="AV78:AX78"/>
    <mergeCell ref="AS11:AU11"/>
    <mergeCell ref="BB40:BD40"/>
    <mergeCell ref="BH29:BJ29"/>
    <mergeCell ref="Q41:W41"/>
    <mergeCell ref="E35:I35"/>
    <mergeCell ref="AY44:BA44"/>
    <mergeCell ref="BH44:BJ44"/>
    <mergeCell ref="AS19:AU19"/>
    <mergeCell ref="Q56:W56"/>
    <mergeCell ref="AS75:AU75"/>
    <mergeCell ref="AE52:AF52"/>
    <mergeCell ref="X77:AD77"/>
    <mergeCell ref="Q43:W43"/>
    <mergeCell ref="J14:P14"/>
    <mergeCell ref="AE39:AF39"/>
    <mergeCell ref="B51:D51"/>
    <mergeCell ref="A18:BQ18"/>
    <mergeCell ref="E74:I74"/>
    <mergeCell ref="AM50:AO50"/>
    <mergeCell ref="AJ54:AL54"/>
    <mergeCell ref="AM15:AO15"/>
    <mergeCell ref="AP16:AR16"/>
    <mergeCell ref="BH24:BJ24"/>
    <mergeCell ref="J13:P13"/>
    <mergeCell ref="BE34:BG34"/>
    <mergeCell ref="BE28:BG28"/>
    <mergeCell ref="AJ41:AL41"/>
    <mergeCell ref="AM80:AO80"/>
    <mergeCell ref="J78:P78"/>
    <mergeCell ref="H8:J8"/>
    <mergeCell ref="BK10:BQ11"/>
    <mergeCell ref="AS14:AU14"/>
    <mergeCell ref="AM79:AO79"/>
    <mergeCell ref="AG55:AI55"/>
    <mergeCell ref="AJ56:AL56"/>
    <mergeCell ref="BH26:BJ26"/>
    <mergeCell ref="AG38:AI38"/>
    <mergeCell ref="AJ43:AL43"/>
    <mergeCell ref="AY70:BA70"/>
    <mergeCell ref="J80:P80"/>
    <mergeCell ref="W6:Y6"/>
    <mergeCell ref="J55:P55"/>
    <mergeCell ref="BE29:BG29"/>
    <mergeCell ref="BK28:BQ28"/>
    <mergeCell ref="AY32:BA32"/>
    <mergeCell ref="BB33:BD33"/>
    <mergeCell ref="AG46:AI46"/>
    <mergeCell ref="Q34:W34"/>
    <mergeCell ref="AG40:AI40"/>
    <mergeCell ref="X24:AD24"/>
    <mergeCell ref="BB43:BD43"/>
    <mergeCell ref="BK68:BQ68"/>
    <mergeCell ref="B77:D77"/>
    <mergeCell ref="AY47:BA47"/>
    <mergeCell ref="AS72:AU72"/>
    <mergeCell ref="E21:I21"/>
    <mergeCell ref="BH50:BJ50"/>
    <mergeCell ref="Q36:W36"/>
    <mergeCell ref="BE54:BG54"/>
    <mergeCell ref="AJ67:AL67"/>
    <mergeCell ref="BK67:BQ67"/>
    <mergeCell ref="AE63:AF63"/>
    <mergeCell ref="X26:AD26"/>
    <mergeCell ref="W1:AH1"/>
    <mergeCell ref="AC8:AE8"/>
    <mergeCell ref="AP69:AR69"/>
    <mergeCell ref="AP44:AR44"/>
    <mergeCell ref="E23:I23"/>
    <mergeCell ref="B29:D29"/>
    <mergeCell ref="BE56:BG56"/>
    <mergeCell ref="AJ69:AL69"/>
    <mergeCell ref="BK69:BQ69"/>
    <mergeCell ref="AM70:AO70"/>
    <mergeCell ref="AE71:AF71"/>
    <mergeCell ref="BE43:BG43"/>
    <mergeCell ref="J33:P33"/>
    <mergeCell ref="AE58:AF58"/>
    <mergeCell ref="AV68:AX68"/>
    <mergeCell ref="BB59:BD59"/>
    <mergeCell ref="AM63:AO63"/>
    <mergeCell ref="X27:AD27"/>
    <mergeCell ref="AG66:AI66"/>
    <mergeCell ref="BB46:BD46"/>
    <mergeCell ref="AM74:AO74"/>
    <mergeCell ref="BE57:BG57"/>
    <mergeCell ref="B24:D24"/>
    <mergeCell ref="AY60:BA60"/>
    <mergeCell ref="BB61:BD61"/>
    <mergeCell ref="AG74:AI74"/>
    <mergeCell ref="AV15:AX15"/>
    <mergeCell ref="AY16:BA16"/>
    <mergeCell ref="AG68:AI68"/>
    <mergeCell ref="E34:I34"/>
    <mergeCell ref="BB48:BD48"/>
    <mergeCell ref="AG43:AI43"/>
    <mergeCell ref="AP72:AR72"/>
    <mergeCell ref="AM76:AO76"/>
    <mergeCell ref="B32:D32"/>
    <mergeCell ref="B26:D26"/>
    <mergeCell ref="E49:I49"/>
    <mergeCell ref="J68:P68"/>
    <mergeCell ref="AV79:AX79"/>
    <mergeCell ref="Q64:W64"/>
    <mergeCell ref="A7:G7"/>
    <mergeCell ref="AY45:BA45"/>
    <mergeCell ref="E36:I36"/>
    <mergeCell ref="Q51:W51"/>
    <mergeCell ref="BH70:BJ70"/>
    <mergeCell ref="X37:AD37"/>
    <mergeCell ref="AV65:AX65"/>
    <mergeCell ref="BH45:BJ45"/>
    <mergeCell ref="AS20:AU20"/>
    <mergeCell ref="A53:BQ53"/>
    <mergeCell ref="E76:I76"/>
    <mergeCell ref="AP24:AR24"/>
    <mergeCell ref="BH32:BJ32"/>
    <mergeCell ref="B27:D27"/>
    <mergeCell ref="AY22:BA22"/>
    <mergeCell ref="AE80:AF80"/>
    <mergeCell ref="BH47:BJ47"/>
    <mergeCell ref="AS22:AU22"/>
    <mergeCell ref="X20:AD20"/>
    <mergeCell ref="BH72:BJ72"/>
    <mergeCell ref="AP26:AR26"/>
    <mergeCell ref="X14:AD14"/>
    <mergeCell ref="AY42:BA42"/>
    <mergeCell ref="AE55:AF55"/>
    <mergeCell ref="BH74:BJ74"/>
    <mergeCell ref="AG21:AI21"/>
    <mergeCell ref="X38:AD38"/>
    <mergeCell ref="B42:D42"/>
    <mergeCell ref="BH46:BJ46"/>
    <mergeCell ref="BE50:BG50"/>
    <mergeCell ref="BE44:BG44"/>
    <mergeCell ref="AP19:AR19"/>
    <mergeCell ref="AJ57:AL57"/>
    <mergeCell ref="AG61:AI61"/>
    <mergeCell ref="BH76:BJ76"/>
    <mergeCell ref="BE31:BG31"/>
    <mergeCell ref="J21:P21"/>
    <mergeCell ref="A1:E1"/>
    <mergeCell ref="AG48:AI48"/>
    <mergeCell ref="Q17:W17"/>
    <mergeCell ref="B44:D44"/>
    <mergeCell ref="BB34:BD34"/>
    <mergeCell ref="E29:I29"/>
    <mergeCell ref="J23:P23"/>
    <mergeCell ref="AV34:AX34"/>
    <mergeCell ref="B37:D37"/>
    <mergeCell ref="BH58:BJ58"/>
    <mergeCell ref="AV28:AX28"/>
    <mergeCell ref="Q75:W75"/>
    <mergeCell ref="BK44:BQ44"/>
    <mergeCell ref="AY48:BA48"/>
    <mergeCell ref="BB49:BD49"/>
    <mergeCell ref="AE33:AF33"/>
    <mergeCell ref="BB36:BD36"/>
    <mergeCell ref="AV74:AX74"/>
    <mergeCell ref="AP77:AR77"/>
    <mergeCell ref="X40:AD40"/>
    <mergeCell ref="E31:I31"/>
    <mergeCell ref="AV36:AX36"/>
    <mergeCell ref="BK77:BQ77"/>
    <mergeCell ref="T6:V6"/>
    <mergeCell ref="B20:D20"/>
    <mergeCell ref="Q52:W52"/>
    <mergeCell ref="Q39:W39"/>
    <mergeCell ref="AS33:AU33"/>
    <mergeCell ref="AJ75:AL75"/>
    <mergeCell ref="AM36:AO36"/>
    <mergeCell ref="F1:Q1"/>
    <mergeCell ref="AP37:AR37"/>
    <mergeCell ref="J34:P34"/>
    <mergeCell ref="E26:I26"/>
    <mergeCell ref="AY37:BA37"/>
    <mergeCell ref="BE65:BG65"/>
    <mergeCell ref="BK72:BQ72"/>
    <mergeCell ref="AS35:AU35"/>
    <mergeCell ref="J49:P49"/>
    <mergeCell ref="J74:P74"/>
    <mergeCell ref="AE68:AF68"/>
    <mergeCell ref="AE74:AF74"/>
    <mergeCell ref="J36:P36"/>
    <mergeCell ref="AJ14:AL14"/>
    <mergeCell ref="AY17:BA17"/>
    <mergeCell ref="AY66:BA66"/>
    <mergeCell ref="AJ70:AL70"/>
    <mergeCell ref="AV21:AX21"/>
    <mergeCell ref="AM77:AO77"/>
    <mergeCell ref="BK24:BQ24"/>
    <mergeCell ref="X45:AD45"/>
    <mergeCell ref="E50:I50"/>
    <mergeCell ref="AG11:AI11"/>
    <mergeCell ref="BB64:BD64"/>
    <mergeCell ref="AV29:AX29"/>
    <mergeCell ref="A8:G8"/>
    <mergeCell ref="Q65:W65"/>
    <mergeCell ref="AV23:AX23"/>
    <mergeCell ref="BB51:BD51"/>
    <mergeCell ref="AP63:AR63"/>
    <mergeCell ref="E42:I42"/>
    <mergeCell ref="AY55:BA55"/>
    <mergeCell ref="AY68:BA68"/>
    <mergeCell ref="BH71:BJ71"/>
    <mergeCell ref="BE75:BG75"/>
    <mergeCell ref="AG75:AI75"/>
    <mergeCell ref="X59:AD59"/>
    <mergeCell ref="K8:M8"/>
    <mergeCell ref="E44:I44"/>
    <mergeCell ref="BK19:BQ19"/>
    <mergeCell ref="AE21:AF21"/>
    <mergeCell ref="X46:AD46"/>
    <mergeCell ref="BH48:BJ48"/>
    <mergeCell ref="AV24:AX24"/>
    <mergeCell ref="BE58:BG58"/>
    <mergeCell ref="AJ65:AL65"/>
    <mergeCell ref="T8:V8"/>
    <mergeCell ref="AP27:AR27"/>
    <mergeCell ref="AS28:AU28"/>
    <mergeCell ref="AM31:AO31"/>
    <mergeCell ref="BE39:BG39"/>
    <mergeCell ref="J29:P29"/>
    <mergeCell ref="BE70:BG70"/>
    <mergeCell ref="AY79:BA79"/>
    <mergeCell ref="X48:AD48"/>
    <mergeCell ref="AE23:AF23"/>
    <mergeCell ref="AC6:AE6"/>
    <mergeCell ref="AG39:AI39"/>
    <mergeCell ref="BH77:BJ77"/>
    <mergeCell ref="BB17:BD17"/>
    <mergeCell ref="AV49:AX49"/>
    <mergeCell ref="BB11:BD11"/>
    <mergeCell ref="B45:D45"/>
    <mergeCell ref="BE78:BG78"/>
    <mergeCell ref="AJ60:AL60"/>
    <mergeCell ref="AM32:AO32"/>
    <mergeCell ref="AG64:AI64"/>
    <mergeCell ref="Q7:S7"/>
    <mergeCell ref="AM26:AO26"/>
    <mergeCell ref="J24:P24"/>
    <mergeCell ref="BB75:BD75"/>
    <mergeCell ref="AG51:AI51"/>
    <mergeCell ref="Q20:W20"/>
    <mergeCell ref="B47:D47"/>
    <mergeCell ref="E70:I70"/>
    <mergeCell ref="Q14:W14"/>
    <mergeCell ref="B59:D59"/>
    <mergeCell ref="E57:I57"/>
    <mergeCell ref="AV50:AX50"/>
    <mergeCell ref="B46:D46"/>
    <mergeCell ref="Q60:W60"/>
    <mergeCell ref="AS54:AU54"/>
    <mergeCell ref="E32:I32"/>
    <mergeCell ref="J26:P26"/>
    <mergeCell ref="BH66:BJ66"/>
    <mergeCell ref="AS41:AU41"/>
    <mergeCell ref="Q78:W78"/>
    <mergeCell ref="AV80:AX80"/>
    <mergeCell ref="AE49:AF49"/>
    <mergeCell ref="AY13:BA13"/>
    <mergeCell ref="Q8:S8"/>
    <mergeCell ref="AG65:AI65"/>
    <mergeCell ref="AV55:AX55"/>
    <mergeCell ref="E47:I47"/>
    <mergeCell ref="BB39:BD39"/>
    <mergeCell ref="B48:D48"/>
    <mergeCell ref="AV52:AX52"/>
    <mergeCell ref="AP55:AR55"/>
    <mergeCell ref="AS56:AU56"/>
    <mergeCell ref="AP38:AR38"/>
    <mergeCell ref="X41:AD41"/>
    <mergeCell ref="AS43:AU43"/>
    <mergeCell ref="BH68:BJ68"/>
    <mergeCell ref="AE76:AF76"/>
    <mergeCell ref="AY63:BA63"/>
    <mergeCell ref="BK38:BQ38"/>
    <mergeCell ref="Q80:W80"/>
    <mergeCell ref="F4:AH4"/>
    <mergeCell ref="X51:AD51"/>
    <mergeCell ref="AJ13:AL13"/>
    <mergeCell ref="AM52:AO52"/>
    <mergeCell ref="BH61:BJ61"/>
    <mergeCell ref="AG17:AI17"/>
    <mergeCell ref="AS36:AU36"/>
    <mergeCell ref="J50:P50"/>
    <mergeCell ref="AM39:AO39"/>
    <mergeCell ref="AP40:AR40"/>
    <mergeCell ref="BH67:BJ67"/>
    <mergeCell ref="BE71:BG71"/>
    <mergeCell ref="AJ78:AL78"/>
    <mergeCell ref="J42:P42"/>
    <mergeCell ref="BK63:BQ63"/>
    <mergeCell ref="AJ15:AL15"/>
    <mergeCell ref="AY67:BA67"/>
    <mergeCell ref="BB72:BD72"/>
    <mergeCell ref="Q13:W13"/>
    <mergeCell ref="AG19:AI19"/>
    <mergeCell ref="X36:AD36"/>
    <mergeCell ref="J52:P52"/>
    <mergeCell ref="AE77:AF77"/>
    <mergeCell ref="AJ80:AL80"/>
    <mergeCell ref="J44:P44"/>
    <mergeCell ref="AV37:AX37"/>
    <mergeCell ref="BB65:BD65"/>
    <mergeCell ref="BE66:BG66"/>
    <mergeCell ref="AY69:BA69"/>
    <mergeCell ref="E60:I60"/>
    <mergeCell ref="AJ79:AL79"/>
    <mergeCell ref="Q71:W71"/>
    <mergeCell ref="X67:AD67"/>
    <mergeCell ref="J37:P37"/>
    <mergeCell ref="AV60:AX60"/>
    <mergeCell ref="Q33:W33"/>
    <mergeCell ref="X61:AD61"/>
    <mergeCell ref="BK27:BQ27"/>
    <mergeCell ref="A2:E2"/>
    <mergeCell ref="AE29:AF29"/>
    <mergeCell ref="B41:D41"/>
    <mergeCell ref="AV45:AX45"/>
    <mergeCell ref="AG14:AI14"/>
    <mergeCell ref="B35:D35"/>
    <mergeCell ref="AV32:AX32"/>
    <mergeCell ref="AV26:AX26"/>
    <mergeCell ref="E45:I45"/>
    <mergeCell ref="AS29:AU29"/>
    <mergeCell ref="AM42:AO42"/>
    <mergeCell ref="B66:D66"/>
    <mergeCell ref="AE37:AF37"/>
    <mergeCell ref="BH16:BJ16"/>
    <mergeCell ref="AM29:AO29"/>
    <mergeCell ref="BB19:BD19"/>
    <mergeCell ref="AM23:AO23"/>
    <mergeCell ref="AE24:AF24"/>
    <mergeCell ref="J70:P70"/>
    <mergeCell ref="BE80:BG80"/>
    <mergeCell ref="AS44:AU44"/>
    <mergeCell ref="AV27:AX27"/>
    <mergeCell ref="BE55:BG55"/>
    <mergeCell ref="AS31:AU31"/>
    <mergeCell ref="AM71:AO71"/>
    <mergeCell ref="X64:AD64"/>
    <mergeCell ref="AG72:AI72"/>
    <mergeCell ref="J32:P32"/>
    <mergeCell ref="J63:P63"/>
    <mergeCell ref="AE26:AF26"/>
    <mergeCell ref="AY38:BA38"/>
    <mergeCell ref="Q22:W22"/>
    <mergeCell ref="A30:BQ30"/>
    <mergeCell ref="BB58:BD58"/>
    <mergeCell ref="B67:D67"/>
    <mergeCell ref="B61:D61"/>
    <mergeCell ref="J47:P47"/>
    <mergeCell ref="AV58:AX58"/>
    <mergeCell ref="BB20:BD20"/>
    <mergeCell ref="BB14:BD14"/>
    <mergeCell ref="AY24:BA24"/>
    <mergeCell ref="AJ28:AL28"/>
    <mergeCell ref="E71:I71"/>
    <mergeCell ref="BK17:BQ17"/>
    <mergeCell ref="BK55:BQ55"/>
    <mergeCell ref="BB60:BD60"/>
    <mergeCell ref="B69:D69"/>
    <mergeCell ref="J76:P76"/>
    <mergeCell ref="AP59:AR59"/>
    <mergeCell ref="E79:I79"/>
    <mergeCell ref="AP46:AR46"/>
    <mergeCell ref="BK59:BQ59"/>
    <mergeCell ref="BK46:BQ46"/>
    <mergeCell ref="BK40:BQ40"/>
    <mergeCell ref="AE42:AF42"/>
    <mergeCell ref="AS57:AU57"/>
    <mergeCell ref="AY19:BA19"/>
    <mergeCell ref="AP61:AR61"/>
    <mergeCell ref="Q21:W21"/>
    <mergeCell ref="BB80:BD80"/>
    <mergeCell ref="AM16:AO16"/>
    <mergeCell ref="AP48:AR48"/>
    <mergeCell ref="B64:D64"/>
    <mergeCell ref="AE44:AF44"/>
    <mergeCell ref="X57:AD57"/>
    <mergeCell ref="K6:M6"/>
    <mergeCell ref="AP41:AR41"/>
    <mergeCell ref="J60:P60"/>
    <mergeCell ref="BK41:BQ41"/>
    <mergeCell ref="BB13:BD13"/>
    <mergeCell ref="AM17:AO17"/>
    <mergeCell ref="AP56:AR56"/>
    <mergeCell ref="AG20:AI20"/>
    <mergeCell ref="B16:D16"/>
    <mergeCell ref="BE68:BG68"/>
    <mergeCell ref="AP43:AR43"/>
    <mergeCell ref="BE74:BG74"/>
    <mergeCell ref="AY77:BA77"/>
    <mergeCell ref="AM47:AO47"/>
    <mergeCell ref="B10:D11"/>
    <mergeCell ref="J45:P45"/>
    <mergeCell ref="Q35:W35"/>
    <mergeCell ref="AM19:AO19"/>
    <mergeCell ref="BB71:BD71"/>
    <mergeCell ref="AM46:AO46"/>
    <mergeCell ref="AG22:AI22"/>
    <mergeCell ref="AJ23:AL23"/>
    <mergeCell ref="E66:I66"/>
    <mergeCell ref="AV71:AX71"/>
    <mergeCell ref="J79:P79"/>
    <mergeCell ref="AE70:AF70"/>
    <mergeCell ref="AY72:BA72"/>
    <mergeCell ref="AM48:AO48"/>
    <mergeCell ref="Q74:W74"/>
    <mergeCell ref="Q49:W49"/>
    <mergeCell ref="E68:I68"/>
    <mergeCell ref="BK43:BQ43"/>
    <mergeCell ref="AM44:AO44"/>
    <mergeCell ref="AV76:AX76"/>
    <mergeCell ref="B57:D57"/>
    <mergeCell ref="AF6:AH6"/>
    <mergeCell ref="E55:I55"/>
    <mergeCell ref="AG80:AI80"/>
    <mergeCell ref="AE32:AF32"/>
    <mergeCell ref="AV48:AX48"/>
    <mergeCell ref="E67:I67"/>
    <mergeCell ref="AY14:BA14"/>
    <mergeCell ref="J51:P51"/>
    <mergeCell ref="F2:Q2"/>
    <mergeCell ref="AS39:AU39"/>
    <mergeCell ref="BH17:BJ17"/>
    <mergeCell ref="E48:I48"/>
    <mergeCell ref="AE47:AF47"/>
    <mergeCell ref="BE21:BG21"/>
    <mergeCell ref="Q6:S6"/>
    <mergeCell ref="AJ34:AL34"/>
    <mergeCell ref="BK34:BQ34"/>
    <mergeCell ref="AY59:BA59"/>
    <mergeCell ref="AS70:AU70"/>
    <mergeCell ref="J71:P71"/>
    <mergeCell ref="X72:AD72"/>
    <mergeCell ref="AV77:AX77"/>
    <mergeCell ref="J58:P58"/>
    <mergeCell ref="AS32:AU32"/>
    <mergeCell ref="AM45:AO45"/>
    <mergeCell ref="AJ49:AL49"/>
    <mergeCell ref="AP11:AR11"/>
    <mergeCell ref="BH19:BJ19"/>
    <mergeCell ref="X70:AD70"/>
    <mergeCell ref="BB22:BD22"/>
    <mergeCell ref="BE23:BG23"/>
    <mergeCell ref="AJ36:AL36"/>
    <mergeCell ref="BK36:BQ36"/>
    <mergeCell ref="AS47:AU47"/>
    <mergeCell ref="AY54:BA54"/>
    <mergeCell ref="AJ29:AL29"/>
    <mergeCell ref="AG33:AI33"/>
    <mergeCell ref="X17:AD17"/>
    <mergeCell ref="BK61:BQ61"/>
    <mergeCell ref="AJ44:AL44"/>
    <mergeCell ref="Q54:W54"/>
    <mergeCell ref="J77:P77"/>
    <mergeCell ref="AS65:AU65"/>
    <mergeCell ref="AY27:BA27"/>
    <mergeCell ref="AJ31:AL31"/>
    <mergeCell ref="AV66:AX66"/>
    <mergeCell ref="Q29:W29"/>
    <mergeCell ref="AG35:AI35"/>
    <mergeCell ref="AM51:AO51"/>
    <mergeCell ref="Q23:W23"/>
    <mergeCell ref="X19:AD19"/>
    <mergeCell ref="AE60:AF60"/>
    <mergeCell ref="B72:D72"/>
    <mergeCell ref="AS58:AU58"/>
    <mergeCell ref="AG34:AI34"/>
    <mergeCell ref="AV59:AX59"/>
    <mergeCell ref="E16:I16"/>
    <mergeCell ref="AV46:AX46"/>
    <mergeCell ref="Q31:W31"/>
    <mergeCell ref="BE49:BG49"/>
    <mergeCell ref="AS50:AU50"/>
    <mergeCell ref="E10:I11"/>
    <mergeCell ref="BK56:BQ56"/>
    <mergeCell ref="BE36:BG36"/>
    <mergeCell ref="BH37:BJ37"/>
    <mergeCell ref="B70:D70"/>
    <mergeCell ref="AE45:AF45"/>
    <mergeCell ref="X58:AD58"/>
    <mergeCell ref="AS60:AU60"/>
    <mergeCell ref="AV61:AX61"/>
    <mergeCell ref="AP64:AR64"/>
    <mergeCell ref="Z7:AB7"/>
    <mergeCell ref="R1:V1"/>
    <mergeCell ref="AP51:AR51"/>
    <mergeCell ref="AG59:AI59"/>
    <mergeCell ref="BK64:BQ64"/>
    <mergeCell ref="J66:P66"/>
    <mergeCell ref="BE76:BG76"/>
    <mergeCell ref="AG76:AI76"/>
    <mergeCell ref="BK51:BQ51"/>
    <mergeCell ref="AM67:AO67"/>
    <mergeCell ref="X60:AD60"/>
    <mergeCell ref="AM61:AO61"/>
    <mergeCell ref="B17:D17"/>
    <mergeCell ref="BB54:BD54"/>
    <mergeCell ref="AE59:AF59"/>
    <mergeCell ref="AE22:AF22"/>
    <mergeCell ref="BB41:BD41"/>
    <mergeCell ref="J46:P46"/>
    <mergeCell ref="AE46:AF46"/>
    <mergeCell ref="BB35:BD35"/>
    <mergeCell ref="BH51:BJ51"/>
    <mergeCell ref="Z8:AB8"/>
    <mergeCell ref="AP65:AR65"/>
    <mergeCell ref="AM20:AO20"/>
    <mergeCell ref="AM69:AO69"/>
    <mergeCell ref="BE77:BG77"/>
    <mergeCell ref="AJ24:AL24"/>
    <mergeCell ref="B19:D19"/>
    <mergeCell ref="J61:P61"/>
    <mergeCell ref="AY11:BA11"/>
    <mergeCell ref="Q57:W57"/>
    <mergeCell ref="J48:P48"/>
    <mergeCell ref="AM35:AO35"/>
    <mergeCell ref="AJ26:AL26"/>
    <mergeCell ref="AS13:AU13"/>
    <mergeCell ref="E69:I69"/>
    <mergeCell ref="AP17:AR17"/>
    <mergeCell ref="AS78:AU78"/>
    <mergeCell ref="AY40:BA40"/>
    <mergeCell ref="Q42:W42"/>
    <mergeCell ref="A12:BQ12"/>
    <mergeCell ref="AY15:BA15"/>
    <mergeCell ref="BB76:BD76"/>
    <mergeCell ref="AG23:AI23"/>
    <mergeCell ref="E77:I77"/>
    <mergeCell ref="BH40:BJ40"/>
    <mergeCell ref="X13:AD13"/>
    <mergeCell ref="AS15:AU15"/>
    <mergeCell ref="AE48:AF48"/>
    <mergeCell ref="AP75:AR75"/>
    <mergeCell ref="BH27:BJ27"/>
    <mergeCell ref="AS80:AU80"/>
    <mergeCell ref="BK75:BQ75"/>
    <mergeCell ref="AS55:AU55"/>
    <mergeCell ref="BE37:BG37"/>
    <mergeCell ref="AJ50:AL50"/>
    <mergeCell ref="BH20:BJ20"/>
    <mergeCell ref="AG54:AI54"/>
    <mergeCell ref="A4:E4"/>
    <mergeCell ref="BE24:BG24"/>
    <mergeCell ref="AM38:AO38"/>
    <mergeCell ref="BH69:BJ69"/>
    <mergeCell ref="BB28:BD28"/>
    <mergeCell ref="AG41:AI41"/>
    <mergeCell ref="E72:I72"/>
    <mergeCell ref="BH35:BJ35"/>
    <mergeCell ref="AP39:AR39"/>
    <mergeCell ref="AP14:AR14"/>
    <mergeCell ref="AJ52:AL52"/>
    <mergeCell ref="BH22:BJ22"/>
    <mergeCell ref="BK52:BQ52"/>
    <mergeCell ref="AG56:AI56"/>
    <mergeCell ref="BE26:BG26"/>
    <mergeCell ref="J16:P16"/>
    <mergeCell ref="AJ39:AL39"/>
    <mergeCell ref="BK39:BQ39"/>
    <mergeCell ref="AM40:AO40"/>
    <mergeCell ref="H6:J6"/>
    <mergeCell ref="J10:P11"/>
    <mergeCell ref="BB42:BD42"/>
    <mergeCell ref="B14:D14"/>
    <mergeCell ref="AG49:AI49"/>
    <mergeCell ref="AE51:AF51"/>
    <mergeCell ref="AV67:AX67"/>
    <mergeCell ref="BB29:BD29"/>
    <mergeCell ref="BB23:BD23"/>
    <mergeCell ref="E24:I24"/>
    <mergeCell ref="AG36:AI36"/>
    <mergeCell ref="B13:D13"/>
    <mergeCell ref="Q70:W70"/>
    <mergeCell ref="AE66:AF66"/>
    <mergeCell ref="B78:D78"/>
    <mergeCell ref="Q45:W45"/>
    <mergeCell ref="AV69:AX69"/>
    <mergeCell ref="E17:I17"/>
    <mergeCell ref="BB31:BD31"/>
    <mergeCell ref="Q32:W32"/>
    <mergeCell ref="AY35:BA35"/>
    <mergeCell ref="X22:AD22"/>
    <mergeCell ref="BH38:BJ38"/>
    <mergeCell ref="BE42:BG42"/>
    <mergeCell ref="Q47:W47"/>
    <mergeCell ref="BH13:BJ13"/>
    <mergeCell ref="A25:BQ25"/>
    <mergeCell ref="E19:I19"/>
    <mergeCell ref="AS66:AU66"/>
    <mergeCell ref="BE52:BG52"/>
    <mergeCell ref="BK65:BQ65"/>
    <mergeCell ref="J67:P67"/>
    <mergeCell ref="BK21:BQ21"/>
    <mergeCell ref="BB56:BD56"/>
    <mergeCell ref="AE61:AF61"/>
    <mergeCell ref="AE67:AF67"/>
    <mergeCell ref="AV64:AX64"/>
    <mergeCell ref="AF7:AH7"/>
    <mergeCell ref="BH15:BJ15"/>
    <mergeCell ref="AS68:AU68"/>
    <mergeCell ref="AJ32:AL32"/>
    <mergeCell ref="AJ63:AL63"/>
    <mergeCell ref="J69:P69"/>
    <mergeCell ref="A6:G6"/>
    <mergeCell ref="AY46:BA46"/>
    <mergeCell ref="BB57:BD57"/>
    <mergeCell ref="Q58:W58"/>
    <mergeCell ref="AY61:BA61"/>
    <mergeCell ref="AV16:AX16"/>
    <mergeCell ref="Q63:W63"/>
    <mergeCell ref="AJ40:AL40"/>
    <mergeCell ref="Q50:W50"/>
    <mergeCell ref="AM72:AO72"/>
    <mergeCell ref="AJ27:AL27"/>
    <mergeCell ref="B22:D22"/>
    <mergeCell ref="AS79:AU79"/>
    <mergeCell ref="AY41:BA41"/>
    <mergeCell ref="X15:AD15"/>
    <mergeCell ref="E37:I37"/>
    <mergeCell ref="X33:AD33"/>
    <mergeCell ref="AV17:AX17"/>
    <mergeCell ref="AY56:BA56"/>
    <mergeCell ref="AM59:AO59"/>
    <mergeCell ref="AV11:AX11"/>
    <mergeCell ref="AP20:AR20"/>
    <mergeCell ref="AS21:AU21"/>
    <mergeCell ref="AY43:BA43"/>
    <mergeCell ref="X79:AD79"/>
    <mergeCell ref="BE32:BG32"/>
    <mergeCell ref="BE63:BG63"/>
    <mergeCell ref="BK14:BQ14"/>
    <mergeCell ref="AE16:AF16"/>
    <mergeCell ref="AG32:AI32"/>
    <mergeCell ref="X35:AD35"/>
    <mergeCell ref="AE10:AF11"/>
    <mergeCell ref="BH43:BJ43"/>
    <mergeCell ref="BE47:BG47"/>
    <mergeCell ref="AP22:AR22"/>
    <mergeCell ref="BK60:BQ60"/>
    <mergeCell ref="AP78:AR78"/>
    <mergeCell ref="B38:D38"/>
    <mergeCell ref="BK78:BQ78"/>
    <mergeCell ref="BE40:BG40"/>
    <mergeCell ref="AP15:AR15"/>
    <mergeCell ref="AS16:AU16"/>
    <mergeCell ref="BB44:BD44"/>
    <mergeCell ref="AM54:AO54"/>
    <mergeCell ref="AV10:BJ10"/>
    <mergeCell ref="BE27:BG27"/>
    <mergeCell ref="J17:P17"/>
    <mergeCell ref="BH28:BJ28"/>
    <mergeCell ref="AV44:AX44"/>
    <mergeCell ref="B40:D40"/>
    <mergeCell ref="AJ45:AL45"/>
    <mergeCell ref="AG57:AI57"/>
    <mergeCell ref="E63:I63"/>
    <mergeCell ref="AP80:AR80"/>
    <mergeCell ref="BK80:BQ80"/>
    <mergeCell ref="B15:D15"/>
    <mergeCell ref="BB52:BD52"/>
    <mergeCell ref="AJ55:AL55"/>
    <mergeCell ref="AY34:BA34"/>
    <mergeCell ref="B33:D33"/>
    <mergeCell ref="J19:P19"/>
    <mergeCell ref="BB70:BD70"/>
    <mergeCell ref="BH59:BJ59"/>
    <mergeCell ref="AS34:AU34"/>
    <mergeCell ref="BB45:BD45"/>
    <mergeCell ref="AG58:AI58"/>
    <mergeCell ref="B79:D79"/>
    <mergeCell ref="BB32:BD32"/>
    <mergeCell ref="Q55:W55"/>
    <mergeCell ref="AY36:BA36"/>
    <mergeCell ref="E27:I27"/>
    <mergeCell ref="AS49:AU49"/>
    <mergeCell ref="X34:AD34"/>
    <mergeCell ref="X28:AD28"/>
    <mergeCell ref="AE69:AF69"/>
    <mergeCell ref="BB47:BD47"/>
    <mergeCell ref="AG60:AI60"/>
    <mergeCell ref="N7:P7"/>
    <mergeCell ref="AS42:AU42"/>
    <mergeCell ref="BH54:BJ54"/>
    <mergeCell ref="A62:BQ62"/>
    <mergeCell ref="AJ71:AL71"/>
    <mergeCell ref="AP33:AR33"/>
    <mergeCell ref="BK71:BQ71"/>
    <mergeCell ref="BH41:BJ41"/>
    <mergeCell ref="BE45:BG45"/>
    <mergeCell ref="AJ58:AL58"/>
    <mergeCell ref="BH65:BJ65"/>
    <mergeCell ref="X42:AD42"/>
    <mergeCell ref="E22:I22"/>
    <mergeCell ref="AS69:AU69"/>
    <mergeCell ref="BH56:BJ56"/>
    <mergeCell ref="X29:AD29"/>
    <mergeCell ref="AP35:AR35"/>
    <mergeCell ref="BH31:BJ31"/>
    <mergeCell ref="AJ48:AL48"/>
    <mergeCell ref="AV42:AX42"/>
    <mergeCell ref="BE59:BG59"/>
    <mergeCell ref="BB63:BD63"/>
    <mergeCell ref="AJ66:AL66"/>
    <mergeCell ref="AE72:AF72"/>
    <mergeCell ref="BE46:BG46"/>
    <mergeCell ref="AG70:AI70"/>
    <mergeCell ref="BB50:BD50"/>
    <mergeCell ref="X54:AD54"/>
    <mergeCell ref="AP74:AR74"/>
    <mergeCell ref="BK20:BQ20"/>
    <mergeCell ref="AY28:BA28"/>
    <mergeCell ref="B34:D34"/>
    <mergeCell ref="AJ77:AL77"/>
    <mergeCell ref="B28:D28"/>
    <mergeCell ref="AY64:BA64"/>
    <mergeCell ref="AJ68:AL68"/>
    <mergeCell ref="AV19:AX19"/>
    <mergeCell ref="Q66:W66"/>
    <mergeCell ref="AS23:AU23"/>
    <mergeCell ref="E38:I38"/>
    <mergeCell ref="AY51:BA51"/>
    <mergeCell ref="X56:AD56"/>
    <mergeCell ref="BK22:BQ22"/>
    <mergeCell ref="E13:I13"/>
    <mergeCell ref="X43:AD43"/>
    <mergeCell ref="AG71:AI71"/>
    <mergeCell ref="Q68:W68"/>
    <mergeCell ref="E40:I40"/>
    <mergeCell ref="BK15:BQ15"/>
    <mergeCell ref="AE17:AF17"/>
    <mergeCell ref="E15:I15"/>
    <mergeCell ref="AV20:AX20"/>
    <mergeCell ref="BE48:BG48"/>
    <mergeCell ref="AS24:AU24"/>
    <mergeCell ref="AM27:AO27"/>
    <mergeCell ref="BH36:BJ36"/>
    <mergeCell ref="BH11:BJ11"/>
    <mergeCell ref="AE19:AF19"/>
    <mergeCell ref="Z6:AB6"/>
    <mergeCell ref="AJ59:AL59"/>
    <mergeCell ref="AP21:AR21"/>
    <mergeCell ref="AS26:AU26"/>
    <mergeCell ref="B54:D54"/>
    <mergeCell ref="AE65:AF65"/>
    <mergeCell ref="AJ46:AL46"/>
    <mergeCell ref="AJ21:AL21"/>
    <mergeCell ref="J27:P27"/>
    <mergeCell ref="BB78:BD78"/>
    <mergeCell ref="AY33:BA33"/>
    <mergeCell ref="Q79:W79"/>
    <mergeCell ref="T5:AH5"/>
    <mergeCell ref="AM22:AO22"/>
    <mergeCell ref="AP23:AR23"/>
    <mergeCell ref="B56:D56"/>
    <mergeCell ref="J20:P20"/>
    <mergeCell ref="AJ61:AL61"/>
    <mergeCell ref="AV47:AX47"/>
    <mergeCell ref="B43:D43"/>
    <mergeCell ref="AY75:BA75"/>
    <mergeCell ref="BH80:BJ80"/>
    <mergeCell ref="BE51:BG51"/>
    <mergeCell ref="AY50:BA50"/>
    <mergeCell ref="BB55:BD55"/>
    <mergeCell ref="BK33:BQ33"/>
    <mergeCell ref="A5:S5"/>
    <mergeCell ref="J22:P22"/>
    <mergeCell ref="AV38:AX38"/>
    <mergeCell ref="X75:AD75"/>
    <mergeCell ref="AY52:BA52"/>
    <mergeCell ref="N8:P8"/>
    <mergeCell ref="BK35:BQ35"/>
    <mergeCell ref="AS77:AU77"/>
    <mergeCell ref="AY39:BA39"/>
    <mergeCell ref="AS52:AU52"/>
    <mergeCell ref="X44:AD44"/>
    <mergeCell ref="AP34:AR34"/>
    <mergeCell ref="AM11:AO11"/>
    <mergeCell ref="X31:AD31"/>
    <mergeCell ref="Q10:W11"/>
    <mergeCell ref="AP49:AR49"/>
    <mergeCell ref="E28:I28"/>
    <mergeCell ref="BH57:BJ57"/>
    <mergeCell ref="AG13:AI13"/>
    <mergeCell ref="AV33:AX33"/>
    <mergeCell ref="BE61:BG61"/>
    <mergeCell ref="AP36:AR36"/>
    <mergeCell ref="AS37:AU37"/>
    <mergeCell ref="AE14:AF14"/>
    <mergeCell ref="X39:AD39"/>
    <mergeCell ref="BE67:BG67"/>
    <mergeCell ref="AJ74:AL74"/>
    <mergeCell ref="J38:P38"/>
    <mergeCell ref="BK74:BQ74"/>
    <mergeCell ref="AM75:AO75"/>
    <mergeCell ref="K7:M7"/>
    <mergeCell ref="AG78:AI78"/>
    <mergeCell ref="A3:E3"/>
    <mergeCell ref="Q28:W28"/>
    <mergeCell ref="AP76:AR76"/>
    <mergeCell ref="BE69:BG69"/>
    <mergeCell ref="AG15:AI15"/>
    <mergeCell ref="AJ16:AL16"/>
    <mergeCell ref="X32:AD32"/>
    <mergeCell ref="B36:D36"/>
    <mergeCell ref="E59:I59"/>
    <mergeCell ref="AJ76:AL76"/>
    <mergeCell ref="BK76:BQ76"/>
    <mergeCell ref="AE78:AF78"/>
    <mergeCell ref="E46:I46"/>
    <mergeCell ref="J40:P40"/>
    <mergeCell ref="J15:P15"/>
    <mergeCell ref="AY65:BA65"/>
    <mergeCell ref="AM41:AO41"/>
    <mergeCell ref="A10:A11"/>
    <mergeCell ref="AY21:BA21"/>
    <mergeCell ref="E61:I61"/>
    <mergeCell ref="BB66:BD66"/>
    <mergeCell ref="Q67:W67"/>
    <mergeCell ref="B75:D75"/>
    <mergeCell ref="AG79:AI79"/>
    <mergeCell ref="AV35:AX35"/>
    <mergeCell ref="AJ11:AL11"/>
    <mergeCell ref="B31:D31"/>
    <mergeCell ref="X49:AD49"/>
    <mergeCell ref="E54:I54"/>
    <mergeCell ref="BE64:BG64"/>
    <mergeCell ref="AV22:AX22"/>
    <mergeCell ref="AY23:BA23"/>
    <mergeCell ref="AS63:AU63"/>
    <mergeCell ref="E41:I41"/>
    <mergeCell ref="J35:P35"/>
    <mergeCell ref="X65:AD65"/>
    <mergeCell ref="AM66:AO66"/>
    <mergeCell ref="Q69:W69"/>
    <mergeCell ref="BH75:BJ75"/>
    <mergeCell ref="AE27:AF27"/>
    <mergeCell ref="AP54:AR54"/>
    <mergeCell ref="B39:D39"/>
    <mergeCell ref="F3:Q3"/>
    <mergeCell ref="E56:I56"/>
    <mergeCell ref="AP29:AR29"/>
    <mergeCell ref="AV51:AX51"/>
    <mergeCell ref="E43:I43"/>
    <mergeCell ref="X63:AD63"/>
    <mergeCell ref="BB15:BD15"/>
    <mergeCell ref="BE16:BG16"/>
    <mergeCell ref="AE20:AF20"/>
    <mergeCell ref="BK23:BQ23"/>
    <mergeCell ref="BK29:BQ29"/>
    <mergeCell ref="AS40:AU40"/>
    <mergeCell ref="X50:AD50"/>
    <mergeCell ref="AM68:AO68"/>
    <mergeCell ref="A73:BQ73"/>
    <mergeCell ref="BH52:BJ52"/>
    <mergeCell ref="AS27:AU27"/>
    <mergeCell ref="BH79:BJ79"/>
    <mergeCell ref="AP31:AR31"/>
    <mergeCell ref="AE35:AF35"/>
    <mergeCell ref="BH14:BJ14"/>
    <mergeCell ref="BB79:BD79"/>
    <mergeCell ref="BK54:BQ54"/>
    <mergeCell ref="AJ37:AL37"/>
    <mergeCell ref="AY49:BA49"/>
    <mergeCell ref="BE11:BG11"/>
    <mergeCell ref="AY20:BA20"/>
    <mergeCell ref="AG28:AI28"/>
    <mergeCell ref="B49:D49"/>
    <mergeCell ref="Q16:W16"/>
    <mergeCell ref="AV40:AX40"/>
    <mergeCell ref="B65:D65"/>
    <mergeCell ref="AJ64:AL64"/>
    <mergeCell ref="T7:V7"/>
    <mergeCell ref="J72:P72"/>
    <mergeCell ref="J28:P28"/>
    <mergeCell ref="AY78:BA78"/>
    <mergeCell ref="X52:AD52"/>
    <mergeCell ref="Q24:W24"/>
    <mergeCell ref="BK49:BQ49"/>
    <mergeCell ref="AG67:AI67"/>
    <mergeCell ref="B63:D63"/>
    <mergeCell ref="AM37:AO37"/>
    <mergeCell ref="AE38:AF38"/>
    <mergeCell ref="AV54:AX54"/>
    <mergeCell ref="B50:D50"/>
    <mergeCell ref="AP57:AR57"/>
    <mergeCell ref="AV41:AX41"/>
    <mergeCell ref="AE13:AF13"/>
    <mergeCell ref="AY80:BA80"/>
    <mergeCell ref="AS45:AU45"/>
    <mergeCell ref="BK57:BQ57"/>
    <mergeCell ref="X78:AD78"/>
    <mergeCell ref="AG69:AI69"/>
    <mergeCell ref="AE40:AF40"/>
    <mergeCell ref="X47:AD47"/>
    <mergeCell ref="Q19:W19"/>
    <mergeCell ref="AS38:AU38"/>
    <mergeCell ref="AM14:AO14"/>
    <mergeCell ref="AE15:AF15"/>
    <mergeCell ref="AP42:AR42"/>
    <mergeCell ref="BH63:BJ63"/>
    <mergeCell ref="AJ42:AL42"/>
    <mergeCell ref="AP58:AR58"/>
    <mergeCell ref="R2:V2"/>
    <mergeCell ref="AM13:AO13"/>
    <mergeCell ref="AP52:AR52"/>
    <mergeCell ref="X55:AD55"/>
    <mergeCell ref="AJ17:AL17"/>
    <mergeCell ref="AM56:AO56"/>
    <mergeCell ref="BB74:BD74"/>
    <mergeCell ref="J54:P54"/>
    <mergeCell ref="AE79:AF79"/>
    <mergeCell ref="AM43:AO43"/>
    <mergeCell ref="J41:P41"/>
    <mergeCell ref="Q44:W44"/>
    <mergeCell ref="BB67:BD67"/>
    <mergeCell ref="AV43:AX43"/>
    <mergeCell ref="AJ19:AL19"/>
    <mergeCell ref="AY71:BA71"/>
    <mergeCell ref="BE72:BG72"/>
    <mergeCell ref="J56:P56"/>
    <mergeCell ref="AY58:BA58"/>
    <mergeCell ref="AS71:AU71"/>
    <mergeCell ref="J43:P43"/>
    <mergeCell ref="AM57:AO57"/>
    <mergeCell ref="BB69:BD69"/>
    <mergeCell ref="AG16:AI16"/>
    <mergeCell ref="AV72:AX72"/>
    <mergeCell ref="E64:I64"/>
    <mergeCell ref="X71:AD71"/>
    <mergeCell ref="E51:I51"/>
    <mergeCell ref="BK31:BQ31"/>
    <mergeCell ref="BE17:BG17"/>
    <mergeCell ref="B55:D55"/>
    <mergeCell ref="AP70:AR70"/>
    <mergeCell ref="BB21:BD21"/>
    <mergeCell ref="N6:P6"/>
    <mergeCell ref="BH78:BJ78"/>
    <mergeCell ref="E65:I65"/>
    <mergeCell ref="J59:P59"/>
    <mergeCell ref="AP32:AR32"/>
    <mergeCell ref="BK45:BQ45"/>
    <mergeCell ref="BH64:BJ64"/>
    <mergeCell ref="X66:AD66"/>
    <mergeCell ref="BE19:BG19"/>
    <mergeCell ref="BK32:BQ32"/>
    <mergeCell ref="AM33:AO33"/>
    <mergeCell ref="BK26:BQ26"/>
    <mergeCell ref="AE28:AF28"/>
    <mergeCell ref="AP47:AR47"/>
    <mergeCell ref="AV31:AX31"/>
    <mergeCell ref="AJ47:AL47"/>
    <mergeCell ref="BB16:BD16"/>
    <mergeCell ref="AG29:AI29"/>
    <mergeCell ref="Q26:W26"/>
    <mergeCell ref="AG10:AU10"/>
    <mergeCell ref="B71:D71"/>
    <mergeCell ref="AG44:AI44"/>
    <mergeCell ref="BE14:BG14"/>
    <mergeCell ref="BB24:BD24"/>
    <mergeCell ref="AM28:AO28"/>
    <mergeCell ref="AG31:AI31"/>
    <mergeCell ref="B52:D52"/>
    <mergeCell ref="AV56:AX56"/>
    <mergeCell ref="B58:D58"/>
    <mergeCell ref="E75:I75"/>
    <mergeCell ref="BE60:BG60"/>
    <mergeCell ref="AG77:AI77"/>
    <mergeCell ref="X80:AD80"/>
  </mergeCells>
  <dataValidations count="4">
    <dataValidation sqref="AE13:AE17 AE19:AE24 AE26:AE29 AE31:AE52 AE54:AE61 AE63:AE72 AE74:AE80" showDropDown="0" showInputMessage="0" showErrorMessage="0" allowBlank="1" type="list">
      <formula1>"N,A,B"</formula1>
    </dataValidation>
    <dataValidation sqref="AG13:AG17 AG19:AG24 AG26:AG29 AG31:AG52 AG54:AG61 AG63:AG72 AG74:AG80" showDropDown="0" showInputMessage="0" showErrorMessage="0" allowBlank="1" type="list">
      <formula1>"合格,不合格,未テスト,N/A"</formula1>
    </dataValidation>
    <dataValidation sqref="AV13:AV17 AV19:AV24 AV26:AV29 AV31:AV52 AV54:AV61 AV63:AV72 AV74:AV80" showDropDown="0" showInputMessage="0" showErrorMessage="0" allowBlank="1" type="list">
      <formula1>"合格,不合格,未テスト,N/A"</formula1>
    </dataValidation>
    <dataValidation sqref="F1" showDropDown="0" showInputMessage="0" showErrorMessage="0" allowBlank="1" type="list">
      <formula1>"単体テスト,結合テスト,システムテスト"</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2026-05-08T04:57:39Z</dcterms:created>
  <dcterms:modified xsi:type="dcterms:W3CDTF">2026-05-08T04:57:40Z</dcterms:modified>
</cp:coreProperties>
</file>