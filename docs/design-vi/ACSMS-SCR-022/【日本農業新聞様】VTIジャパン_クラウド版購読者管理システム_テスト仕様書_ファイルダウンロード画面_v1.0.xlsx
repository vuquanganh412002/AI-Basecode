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テスト報告書" sheetId="4" state="visible" r:id="rId4"/>
    <sheet name="テスト観点" sheetId="5" state="visible" r:id="rId5"/>
    <sheet name="機能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b val="1"/>
      <color rgb="FF000000"/>
      <sz val="14"/>
    </font>
    <font>
      <name val="游ゴシック"/>
      <i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  <fill>
      <patternFill patternType="solid">
        <fgColor rgb="FFBDD6EE"/>
      </patternFill>
    </fill>
    <fill>
      <patternFill patternType="solid">
        <fgColor rgb="FFDEEAF6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1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49" fontId="6" fillId="0" borderId="15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7" fillId="3" borderId="11" applyAlignment="1" pivotButton="0" quotePrefix="0" xfId="0">
      <alignment horizontal="center" vertical="center" wrapText="1"/>
    </xf>
    <xf numFmtId="0" fontId="5" fillId="5" borderId="11" applyAlignment="1" pivotButton="0" quotePrefix="0" xfId="0">
      <alignment horizontal="left" vertical="center" wrapText="1"/>
    </xf>
    <xf numFmtId="49" fontId="6" fillId="0" borderId="11" applyAlignment="1" pivotButton="0" quotePrefix="0" xfId="0">
      <alignment horizontal="left" vertical="center" wrapText="1"/>
    </xf>
    <xf numFmtId="0" fontId="5" fillId="5" borderId="21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center" vertical="center" wrapText="1"/>
    </xf>
    <xf numFmtId="0" fontId="5" fillId="5" borderId="11" applyAlignment="1" pivotButton="0" quotePrefix="0" xfId="0">
      <alignment horizontal="center" vertical="center" wrapText="1"/>
    </xf>
    <xf numFmtId="0" fontId="0" fillId="0" borderId="22" pivotButton="0" quotePrefix="0" xfId="0"/>
    <xf numFmtId="0" fontId="5" fillId="6" borderId="14" applyAlignment="1" pivotButton="0" quotePrefix="0" xfId="0">
      <alignment horizontal="left" vertical="center" wrapText="1"/>
    </xf>
    <xf numFmtId="164" fontId="6" fillId="0" borderId="11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164" fontId="5" fillId="0" borderId="11" applyAlignment="1" pivotButton="0" quotePrefix="0" xfId="0">
      <alignment horizontal="center" vertical="center" wrapText="1"/>
    </xf>
    <xf numFmtId="0" fontId="5" fillId="6" borderId="14" applyAlignment="1" pivotButton="0" quotePrefix="0" xfId="0">
      <alignment horizontal="center" vertical="center" wrapText="1"/>
    </xf>
    <xf numFmtId="0" fontId="5" fillId="6" borderId="11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left" vertical="top" wrapText="1"/>
    </xf>
    <xf numFmtId="0" fontId="5" fillId="7" borderId="11" applyAlignment="1" pivotButton="0" quotePrefix="0" xfId="0">
      <alignment horizontal="center" vertical="top" wrapText="1"/>
    </xf>
    <xf numFmtId="0" fontId="5" fillId="8" borderId="11" applyAlignment="1" pivotButton="0" quotePrefix="0" xfId="0">
      <alignment horizontal="center" vertical="top" wrapText="1"/>
    </xf>
    <xf numFmtId="0" fontId="5" fillId="9" borderId="11" applyAlignment="1" pivotButton="0" quotePrefix="0" xfId="0">
      <alignment horizontal="center" vertical="top" wrapText="1"/>
    </xf>
    <xf numFmtId="0" fontId="5" fillId="5" borderId="11" applyAlignment="1" pivotButton="0" quotePrefix="0" xfId="0">
      <alignment horizontal="right" vertical="center" wrapText="1"/>
    </xf>
    <xf numFmtId="0" fontId="5" fillId="0" borderId="11" applyAlignment="1" pivotButton="0" quotePrefix="0" xfId="0">
      <alignment horizontal="center" vertical="top" wrapText="1"/>
    </xf>
    <xf numFmtId="0" fontId="8" fillId="0" borderId="11" applyAlignment="1" pivotButton="0" quotePrefix="0" xfId="0">
      <alignment horizontal="left" vertical="top" wrapText="1"/>
    </xf>
    <xf numFmtId="0" fontId="5" fillId="6" borderId="21" applyAlignment="1" pivotButton="0" quotePrefix="0" xfId="0">
      <alignment horizontal="center" vertical="center" wrapText="1"/>
    </xf>
    <xf numFmtId="0" fontId="5" fillId="6" borderId="1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4.5" defaultRowHeight="12.75" customHeight="1"/>
  <cols>
    <col width="3.66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29.2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9" customHeight="1">
      <c r="B12" s="7" t="inlineStr">
        <is>
          <t>ファイルダウンロード画面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2.75" customHeight="1">
      <c r="B15" s="8" t="inlineStr">
        <is>
          <t>版1.0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N18" s="9" t="inlineStr">
        <is>
          <t>フォーマットコード</t>
        </is>
      </c>
      <c r="O18" s="10" t="n"/>
      <c r="P18" s="10" t="n"/>
      <c r="Q18" s="10" t="n"/>
      <c r="R18" s="11" t="n"/>
      <c r="S18" s="9" t="inlineStr">
        <is>
          <t>16-BM/PM/VTI</t>
        </is>
      </c>
      <c r="T18" s="10" t="n"/>
      <c r="U18" s="10" t="n"/>
      <c r="V18" s="10" t="n"/>
      <c r="W18" s="11" t="n"/>
      <c r="AK18" s="5" t="n"/>
    </row>
    <row r="19" ht="12.75" customHeight="1">
      <c r="B19" s="4" t="n"/>
      <c r="N19" s="9" t="inlineStr">
        <is>
          <t>フォーマットバージョン</t>
        </is>
      </c>
      <c r="O19" s="10" t="n"/>
      <c r="P19" s="10" t="n"/>
      <c r="Q19" s="10" t="n"/>
      <c r="R19" s="11" t="n"/>
      <c r="S19" s="9" t="inlineStr">
        <is>
          <t>1.0</t>
        </is>
      </c>
      <c r="T19" s="10" t="n"/>
      <c r="U19" s="10" t="n"/>
      <c r="V19" s="10" t="n"/>
      <c r="W19" s="11" t="n"/>
      <c r="AK19" s="5" t="n"/>
    </row>
    <row r="20" ht="12.75" customHeight="1">
      <c r="B20" s="4" t="n"/>
      <c r="N20" s="9" t="inlineStr">
        <is>
          <t>発行日</t>
        </is>
      </c>
      <c r="O20" s="10" t="n"/>
      <c r="P20" s="10" t="n"/>
      <c r="Q20" s="10" t="n"/>
      <c r="R20" s="11" t="n"/>
      <c r="S20" s="12" t="inlineStr">
        <is>
          <t>2026/05/27</t>
        </is>
      </c>
      <c r="T20" s="10" t="n"/>
      <c r="U20" s="10" t="n"/>
      <c r="V20" s="10" t="n"/>
      <c r="W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</sheetData>
  <mergeCells count="9">
    <mergeCell ref="N20:R20"/>
    <mergeCell ref="S20:W20"/>
    <mergeCell ref="B12:AK12"/>
    <mergeCell ref="B15:AK15"/>
    <mergeCell ref="B10:AK10"/>
    <mergeCell ref="S19:W19"/>
    <mergeCell ref="N18:R18"/>
    <mergeCell ref="N19:R19"/>
    <mergeCell ref="S18:W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"/>
  <sheetViews>
    <sheetView showGridLines="0" workbookViewId="0">
      <selection activeCell="A1" sqref="A1"/>
    </sheetView>
  </sheetViews>
  <sheetFormatPr baseColWidth="8" defaultColWidth="3.33" defaultRowHeight="15"/>
  <cols>
    <col width="8" customWidth="1" min="1" max="1"/>
    <col width="3.33" customWidth="1" min="2" max="2"/>
    <col width="3.33" customWidth="1" min="3" max="3"/>
    <col width="3.33" customWidth="1" min="4" max="4"/>
    <col width="3.33" customWidth="1" min="5" max="5"/>
    <col width="3.33" customWidth="1" min="6" max="6"/>
    <col width="3.33" customWidth="1" min="7" max="7"/>
    <col width="3.33" customWidth="1" min="8" max="8"/>
    <col width="3.33" customWidth="1" min="9" max="9"/>
    <col width="3.33" customWidth="1" min="10" max="10"/>
    <col width="3.33" customWidth="1" min="11" max="11"/>
    <col width="3.33" customWidth="1" min="12" max="12"/>
    <col width="3.33" customWidth="1" min="13" max="13"/>
    <col width="3.33" customWidth="1" min="14" max="14"/>
    <col width="3.33" customWidth="1" min="15" max="15"/>
    <col width="3.33" customWidth="1" min="16" max="16"/>
    <col width="3.33" customWidth="1" min="17" max="17"/>
    <col width="3.33" customWidth="1" min="18" max="18"/>
    <col width="3.33" customWidth="1" min="19" max="19"/>
    <col width="3.33" customWidth="1" min="20" max="20"/>
    <col width="3.33" customWidth="1" min="21" max="21"/>
    <col width="3.33" customWidth="1" min="22" max="22"/>
    <col width="3.33" customWidth="1" min="23" max="23"/>
    <col width="3.33" customWidth="1" min="24" max="24"/>
    <col width="3.33" customWidth="1" min="25" max="25"/>
    <col width="3.33" customWidth="1" min="26" max="26"/>
    <col width="3.33" customWidth="1" min="27" max="27"/>
    <col width="3.33" customWidth="1" min="28" max="28"/>
    <col width="3.33" customWidth="1" min="29" max="29"/>
    <col width="3.33" customWidth="1" min="30" max="30"/>
    <col width="3.33" customWidth="1" min="31" max="31"/>
    <col width="3.33" customWidth="1" min="32" max="32"/>
    <col width="3.33" customWidth="1" min="33" max="33"/>
    <col width="3.33" customWidth="1" min="34" max="34"/>
  </cols>
  <sheetData>
    <row r="1" ht="22.5" customHeight="1">
      <c r="A1" s="16" t="inlineStr">
        <is>
          <t>項番</t>
        </is>
      </c>
      <c r="B1" s="17" t="inlineStr">
        <is>
          <t>発行日</t>
        </is>
      </c>
      <c r="C1" s="10" t="n"/>
      <c r="D1" s="10" t="n"/>
      <c r="E1" s="11" t="n"/>
      <c r="F1" s="17" t="inlineStr">
        <is>
          <t>バージョン</t>
        </is>
      </c>
      <c r="G1" s="10" t="n"/>
      <c r="H1" s="11" t="n"/>
      <c r="I1" s="17" t="inlineStr">
        <is>
          <t>担当者</t>
        </is>
      </c>
      <c r="J1" s="10" t="n"/>
      <c r="K1" s="10" t="n"/>
      <c r="L1" s="10" t="n"/>
      <c r="M1" s="10" t="n"/>
      <c r="N1" s="11" t="n"/>
      <c r="O1" s="17" t="inlineStr">
        <is>
          <t>変更内容</t>
        </is>
      </c>
      <c r="P1" s="10" t="n"/>
      <c r="Q1" s="10" t="n"/>
      <c r="R1" s="10" t="n"/>
      <c r="S1" s="10" t="n"/>
      <c r="T1" s="10" t="n"/>
      <c r="U1" s="10" t="n"/>
      <c r="V1" s="11" t="n"/>
      <c r="W1" s="17" t="inlineStr">
        <is>
          <t>確認者</t>
        </is>
      </c>
      <c r="X1" s="10" t="n"/>
      <c r="Y1" s="10" t="n"/>
      <c r="Z1" s="10" t="n"/>
      <c r="AA1" s="10" t="n"/>
      <c r="AB1" s="11" t="n"/>
      <c r="AC1" s="17" t="inlineStr">
        <is>
          <t>承認者</t>
        </is>
      </c>
      <c r="AD1" s="10" t="n"/>
      <c r="AE1" s="10" t="n"/>
      <c r="AF1" s="10" t="n"/>
      <c r="AG1" s="10" t="n"/>
      <c r="AH1" s="11" t="n"/>
    </row>
    <row r="2" ht="22.5" customHeight="1">
      <c r="A2" s="18" t="n">
        <v>1</v>
      </c>
      <c r="B2" s="19" t="inlineStr">
        <is>
          <t>2026-05-27</t>
        </is>
      </c>
      <c r="C2" s="10" t="n"/>
      <c r="D2" s="10" t="n"/>
      <c r="E2" s="11" t="n"/>
      <c r="F2" s="19" t="inlineStr">
        <is>
          <t>1.0</t>
        </is>
      </c>
      <c r="G2" s="10" t="n"/>
      <c r="H2" s="11" t="n"/>
      <c r="I2" s="19" t="inlineStr">
        <is>
          <t>Kieu Thi Diem</t>
        </is>
      </c>
      <c r="J2" s="10" t="n"/>
      <c r="K2" s="10" t="n"/>
      <c r="L2" s="10" t="n"/>
      <c r="M2" s="10" t="n"/>
      <c r="N2" s="11" t="n"/>
      <c r="O2" s="20" t="inlineStr">
        <is>
          <t>Tạo mới</t>
        </is>
      </c>
      <c r="P2" s="10" t="n"/>
      <c r="Q2" s="10" t="n"/>
      <c r="R2" s="10" t="n"/>
      <c r="S2" s="10" t="n"/>
      <c r="T2" s="10" t="n"/>
      <c r="U2" s="10" t="n"/>
      <c r="V2" s="11" t="n"/>
      <c r="W2" s="19" t="inlineStr">
        <is>
          <t>Nguyen Huy Dat</t>
        </is>
      </c>
      <c r="X2" s="10" t="n"/>
      <c r="Y2" s="10" t="n"/>
      <c r="Z2" s="10" t="n"/>
      <c r="AA2" s="10" t="n"/>
      <c r="AB2" s="11" t="n"/>
      <c r="AC2" s="19" t="inlineStr"/>
      <c r="AD2" s="10" t="n"/>
      <c r="AE2" s="10" t="n"/>
      <c r="AF2" s="10" t="n"/>
      <c r="AG2" s="10" t="n"/>
      <c r="AH2" s="11" t="n"/>
    </row>
  </sheetData>
  <mergeCells count="12">
    <mergeCell ref="B1:E1"/>
    <mergeCell ref="AC2:AH2"/>
    <mergeCell ref="AC1:AH1"/>
    <mergeCell ref="I2:N2"/>
    <mergeCell ref="O2:V2"/>
    <mergeCell ref="W1:AB1"/>
    <mergeCell ref="F1:H1"/>
    <mergeCell ref="O1:V1"/>
    <mergeCell ref="I1:N1"/>
    <mergeCell ref="F2:H2"/>
    <mergeCell ref="B2:E2"/>
    <mergeCell ref="W2:AB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6"/>
  <sheetViews>
    <sheetView showGridLines="0" workbookViewId="0">
      <selection activeCell="A1" sqref="A1"/>
    </sheetView>
  </sheetViews>
  <sheetFormatPr baseColWidth="8" defaultColWidth="12.63" defaultRowHeight="15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1" t="n"/>
      <c r="V1" s="17" t="inlineStr">
        <is>
          <t>作成日</t>
        </is>
      </c>
      <c r="W1" s="10" t="n"/>
      <c r="X1" s="10" t="n"/>
      <c r="Y1" s="11" t="n"/>
      <c r="Z1" s="17" t="inlineStr">
        <is>
          <t>作成者</t>
        </is>
      </c>
      <c r="AA1" s="10" t="n"/>
      <c r="AB1" s="10" t="n"/>
      <c r="AC1" s="11" t="n"/>
      <c r="AD1" s="17" t="inlineStr">
        <is>
          <t>更新日</t>
        </is>
      </c>
      <c r="AE1" s="10" t="n"/>
      <c r="AF1" s="10" t="n"/>
      <c r="AG1" s="11" t="n"/>
      <c r="AH1" s="17" t="inlineStr">
        <is>
          <t>更新者</t>
        </is>
      </c>
      <c r="AI1" s="10" t="n"/>
      <c r="AJ1" s="10" t="n"/>
      <c r="AK1" s="11" t="n"/>
    </row>
    <row r="2" ht="19.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テスト仕様書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概要</t>
        </is>
      </c>
      <c r="R2" s="22" t="n"/>
      <c r="S2" s="22" t="n"/>
      <c r="T2" s="22" t="n"/>
      <c r="U2" s="23" t="n"/>
      <c r="V2" s="24" t="inlineStr">
        <is>
          <t>2026/05/27</t>
        </is>
      </c>
      <c r="W2" s="22" t="n"/>
      <c r="X2" s="22" t="n"/>
      <c r="Y2" s="23" t="n"/>
      <c r="Z2" s="21" t="inlineStr">
        <is>
          <t>Kieu Thi Diem</t>
        </is>
      </c>
      <c r="AA2" s="22" t="n"/>
      <c r="AB2" s="22" t="n"/>
      <c r="AC2" s="23" t="n"/>
      <c r="AD2" s="24" t="inlineStr">
        <is>
          <t>2026/05/27</t>
        </is>
      </c>
      <c r="AE2" s="22" t="n"/>
      <c r="AF2" s="22" t="n"/>
      <c r="AG2" s="23" t="n"/>
      <c r="AH2" s="21" t="inlineStr">
        <is>
          <t>Kieu Thi Diem</t>
        </is>
      </c>
      <c r="AI2" s="22" t="n"/>
      <c r="AJ2" s="22" t="n"/>
      <c r="AK2" s="23" t="n"/>
    </row>
    <row r="3" ht="19.5" customHeight="1">
      <c r="A3" s="25" t="n"/>
      <c r="B3" s="26" t="n"/>
      <c r="C3" s="26" t="n"/>
      <c r="D3" s="26" t="n"/>
      <c r="E3" s="26" t="n"/>
      <c r="F3" s="26" t="n"/>
      <c r="G3" s="26" t="n"/>
      <c r="H3" s="26" t="n"/>
      <c r="I3" s="27" t="n"/>
      <c r="J3" s="25" t="n"/>
      <c r="K3" s="26" t="n"/>
      <c r="L3" s="26" t="n"/>
      <c r="M3" s="26" t="n"/>
      <c r="N3" s="26" t="n"/>
      <c r="O3" s="26" t="n"/>
      <c r="P3" s="27" t="n"/>
      <c r="Q3" s="25" t="n"/>
      <c r="R3" s="26" t="n"/>
      <c r="S3" s="26" t="n"/>
      <c r="T3" s="26" t="n"/>
      <c r="U3" s="27" t="n"/>
      <c r="V3" s="25" t="n"/>
      <c r="W3" s="26" t="n"/>
      <c r="X3" s="26" t="n"/>
      <c r="Y3" s="27" t="n"/>
      <c r="Z3" s="25" t="n"/>
      <c r="AA3" s="26" t="n"/>
      <c r="AB3" s="26" t="n"/>
      <c r="AC3" s="27" t="n"/>
      <c r="AD3" s="25" t="n"/>
      <c r="AE3" s="26" t="n"/>
      <c r="AF3" s="26" t="n"/>
      <c r="AG3" s="27" t="n"/>
      <c r="AH3" s="25" t="n"/>
      <c r="AI3" s="26" t="n"/>
      <c r="AJ3" s="26" t="n"/>
      <c r="AK3" s="27" t="n"/>
    </row>
    <row r="4" ht="15" customHeight="1"/>
    <row r="5" ht="19.5" customHeight="1">
      <c r="B5" s="28" t="inlineStr">
        <is>
          <t>1.システム概要</t>
        </is>
      </c>
    </row>
    <row r="6" ht="19.5" customHeight="1">
      <c r="C6" s="29" t="inlineStr">
        <is>
          <t>本システムは、JA向けのクラウド型読者管理システムであり、</t>
        </is>
      </c>
    </row>
    <row r="7" ht="19.5" customHeight="1">
      <c r="C7" s="29" t="inlineStr">
        <is>
          <t>購読者情報の管理、購読履歴の管理、口座振替データの管理などの機能を提供する。</t>
        </is>
      </c>
    </row>
    <row r="8" ht="19.5" customHeight="1">
      <c r="C8" s="29" t="inlineStr">
        <is>
          <t>主な機能として、購読者情報の登録・更新・検索、</t>
        </is>
      </c>
    </row>
    <row r="9" ht="19.5" customHeight="1">
      <c r="C9" s="29" t="inlineStr">
        <is>
          <t>購読内容の変更履歴管理、口座振替データの作成および管理、</t>
        </is>
      </c>
    </row>
    <row r="10" ht="19.5" customHeight="1">
      <c r="C10" s="29" t="inlineStr">
        <is>
          <t>ファイルのアップロード・ダウンロード機能、システムのお知らせ管理などを提供する。</t>
        </is>
      </c>
    </row>
    <row r="11" ht="19.5" customHeight="1">
      <c r="C11" s="29" t="inlineStr">
        <is>
          <t>また、ユーザーのログイン管理、ログイン履歴の記録、</t>
        </is>
      </c>
    </row>
    <row r="12" ht="19.5" customHeight="1">
      <c r="C12" s="29" t="inlineStr">
        <is>
          <t>ユーザー操作ログの記録などのセキュリティ・監査機能をサポートする。</t>
        </is>
      </c>
    </row>
    <row r="13" ht="15" customHeight="1"/>
    <row r="14" ht="19.5" customHeight="1">
      <c r="B14" s="28" t="inlineStr">
        <is>
          <t>2.資料目的</t>
        </is>
      </c>
    </row>
    <row r="15" ht="19.5" customHeight="1">
      <c r="C15" s="30" t="inlineStr">
        <is>
          <t>Tài liệu này mô tả chi tiết test specification cho "Màn hình File Download (ACSMS-SCR-022)" được tạo mới trên hệ thống.</t>
        </is>
      </c>
    </row>
    <row r="16" ht="19.5" customHeight="1">
      <c r="C16" s="30" t="inlineStr">
        <is>
          <t>Tài liệu tham khảo ISTQB và IEEE 829, đáp ứng các tiêu chuẩn chất lượng sau:</t>
        </is>
      </c>
    </row>
    <row r="17" ht="19.5" customHeight="1">
      <c r="C17" s="30" t="inlineStr">
        <is>
          <t>- Mỗi test case được thiết kế theo một kịch bản duy nhất (single responsibility).</t>
        </is>
      </c>
    </row>
    <row r="18" ht="19.5" customHeight="1">
      <c r="C18" s="30" t="inlineStr">
        <is>
          <t>- Các bước được mô tả ở mức độ có thể tái hiện được, dữ liệu test được nêu rõ.</t>
        </is>
      </c>
    </row>
    <row r="19" ht="19.5" customHeight="1">
      <c r="C19" s="30" t="inlineStr">
        <is>
          <t>- Kết quả mong đợi có thể đo lường được (nội dung message, kết quả query DB, HTTP status code, v.v.).</t>
        </is>
      </c>
    </row>
    <row r="20" ht="15" customHeight="1"/>
    <row r="21" ht="19.5" customHeight="1">
      <c r="B21" s="28" t="inlineStr">
        <is>
          <t>3.関連資料</t>
        </is>
      </c>
    </row>
    <row r="22" ht="15" customHeight="1"/>
    <row r="23" ht="22.5" customHeight="1">
      <c r="C23" s="16" t="inlineStr">
        <is>
          <t>No</t>
        </is>
      </c>
      <c r="D23" s="17" t="inlineStr">
        <is>
          <t>資料コード</t>
        </is>
      </c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1" t="n"/>
      <c r="O23" s="17" t="inlineStr">
        <is>
          <t>資料名</t>
        </is>
      </c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1" t="n"/>
    </row>
    <row r="24" ht="22.5" customHeight="1">
      <c r="C24" s="18" t="n">
        <v>1</v>
      </c>
      <c r="D24" s="20" t="inlineStr">
        <is>
          <t>ACSMS-SCR-022</t>
        </is>
      </c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1" t="n"/>
      <c r="O24" s="20" t="inlineStr">
        <is>
          <t>Tài liệu thiết kế Màn hình File Download</t>
        </is>
      </c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1" t="n"/>
    </row>
    <row r="25" ht="22.5" customHeight="1">
      <c r="C25" s="18" t="n">
        <v>2</v>
      </c>
      <c r="D25" s="20" t="inlineStr">
        <is>
          <t>ACSMS-SCR-022-api</t>
        </is>
      </c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1" t="n"/>
      <c r="O25" s="20" t="inlineStr">
        <is>
          <t>Tài liệu thiết kế API File Download</t>
        </is>
      </c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1" t="n"/>
    </row>
    <row r="26" ht="22.5" customHeight="1">
      <c r="C26" s="18" t="n">
        <v>3</v>
      </c>
      <c r="D26" s="20" t="inlineStr">
        <is>
          <t>testcase-viewpoints</t>
        </is>
      </c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1" t="n"/>
      <c r="O26" s="20" t="inlineStr">
        <is>
          <t>Danh sách quan điểm test chung toàn hệ thống</t>
        </is>
      </c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1" t="n"/>
    </row>
  </sheetData>
  <mergeCells count="37">
    <mergeCell ref="C19:AK19"/>
    <mergeCell ref="B21:AK21"/>
    <mergeCell ref="C18:AK18"/>
    <mergeCell ref="Z1:AC1"/>
    <mergeCell ref="C6:AK6"/>
    <mergeCell ref="C15:AK15"/>
    <mergeCell ref="B14:AK14"/>
    <mergeCell ref="O23:AG23"/>
    <mergeCell ref="Q2:U3"/>
    <mergeCell ref="Z2:AC3"/>
    <mergeCell ref="AD2:AG3"/>
    <mergeCell ref="C16:AK16"/>
    <mergeCell ref="J1:P1"/>
    <mergeCell ref="AH2:AK3"/>
    <mergeCell ref="C10:AK10"/>
    <mergeCell ref="O24:AG24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D25:N25"/>
    <mergeCell ref="O26:AG26"/>
    <mergeCell ref="A1:I1"/>
    <mergeCell ref="C17:AK17"/>
    <mergeCell ref="D24:N24"/>
    <mergeCell ref="V2:Y3"/>
    <mergeCell ref="C8:AK8"/>
    <mergeCell ref="D23:N23"/>
    <mergeCell ref="C7:AK7"/>
    <mergeCell ref="O25:AG25"/>
    <mergeCell ref="D26:N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5"/>
  <sheetViews>
    <sheetView showGridLines="0" workbookViewId="0">
      <selection activeCell="A1" sqref="A1"/>
    </sheetView>
  </sheetViews>
  <sheetFormatPr baseColWidth="8" defaultColWidth="5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</cols>
  <sheetData>
    <row r="1" ht="28.5" customHeight="1">
      <c r="A1" s="31" t="inlineStr">
        <is>
          <t>&lt;単体/結合/システム&gt; テスト報告書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1" t="n"/>
    </row>
    <row r="3" ht="22.5" customHeight="1">
      <c r="A3" s="32" t="inlineStr">
        <is>
          <t>プロジェクト名</t>
        </is>
      </c>
      <c r="B3" s="10" t="n"/>
      <c r="C3" s="10" t="n"/>
      <c r="D3" s="10" t="n"/>
      <c r="E3" s="10" t="n"/>
      <c r="F3" s="11" t="n"/>
      <c r="G3" s="20" t="inlineStr">
        <is>
          <t>クラウド版購読者管理システム</t>
        </is>
      </c>
      <c r="H3" s="10" t="n"/>
      <c r="I3" s="10" t="n"/>
      <c r="J3" s="10" t="n"/>
      <c r="K3" s="10" t="n"/>
      <c r="L3" s="10" t="n"/>
      <c r="M3" s="10" t="n"/>
      <c r="N3" s="10" t="n"/>
      <c r="O3" s="11" t="n"/>
      <c r="P3" s="32" t="inlineStr">
        <is>
          <t>プロジェクトマネージャ</t>
        </is>
      </c>
      <c r="Q3" s="10" t="n"/>
      <c r="R3" s="10" t="n"/>
      <c r="S3" s="10" t="n"/>
      <c r="T3" s="10" t="n"/>
      <c r="U3" s="10" t="n"/>
      <c r="V3" s="10" t="n"/>
      <c r="W3" s="11" t="n"/>
      <c r="X3" s="20" t="inlineStr">
        <is>
          <t>Nguyen Huy Dat</t>
        </is>
      </c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1" t="n"/>
    </row>
    <row r="4" ht="22.5" customHeight="1">
      <c r="A4" s="32" t="inlineStr">
        <is>
          <t>担当者</t>
        </is>
      </c>
      <c r="B4" s="10" t="n"/>
      <c r="C4" s="10" t="n"/>
      <c r="D4" s="10" t="n"/>
      <c r="E4" s="10" t="n"/>
      <c r="F4" s="11" t="n"/>
      <c r="G4" s="20" t="inlineStr">
        <is>
          <t>Kieu Thi Diem</t>
        </is>
      </c>
      <c r="H4" s="10" t="n"/>
      <c r="I4" s="10" t="n"/>
      <c r="J4" s="10" t="n"/>
      <c r="K4" s="10" t="n"/>
      <c r="L4" s="10" t="n"/>
      <c r="M4" s="10" t="n"/>
      <c r="N4" s="10" t="n"/>
      <c r="O4" s="11" t="n"/>
      <c r="P4" s="32" t="inlineStr">
        <is>
          <t>作成日</t>
        </is>
      </c>
      <c r="Q4" s="10" t="n"/>
      <c r="R4" s="10" t="n"/>
      <c r="S4" s="10" t="n"/>
      <c r="T4" s="10" t="n"/>
      <c r="U4" s="10" t="n"/>
      <c r="V4" s="10" t="n"/>
      <c r="W4" s="11" t="n"/>
      <c r="X4" s="33" t="inlineStr">
        <is>
          <t>2026/05/27</t>
        </is>
      </c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1" t="n"/>
    </row>
    <row r="6" ht="22.5" customHeight="1">
      <c r="A6" s="34" t="inlineStr">
        <is>
          <t>#</t>
        </is>
      </c>
      <c r="B6" s="35" t="inlineStr">
        <is>
          <t>機能名</t>
        </is>
      </c>
      <c r="C6" s="22" t="n"/>
      <c r="D6" s="22" t="n"/>
      <c r="E6" s="22" t="n"/>
      <c r="F6" s="22" t="n"/>
      <c r="G6" s="23" t="n"/>
      <c r="H6" s="36" t="inlineStr">
        <is>
          <t>テストケース分類</t>
        </is>
      </c>
      <c r="I6" s="10" t="n"/>
      <c r="J6" s="10" t="n"/>
      <c r="K6" s="10" t="n"/>
      <c r="L6" s="10" t="n"/>
      <c r="M6" s="10" t="n"/>
      <c r="N6" s="10" t="n"/>
      <c r="O6" s="10" t="n"/>
      <c r="P6" s="11" t="n"/>
      <c r="Q6" s="35" t="inlineStr">
        <is>
          <t>合計</t>
        </is>
      </c>
      <c r="R6" s="22" t="n"/>
      <c r="S6" s="23" t="n"/>
      <c r="T6" s="36" t="inlineStr">
        <is>
          <t>テスト結果</t>
        </is>
      </c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1" t="n"/>
    </row>
    <row r="7" ht="22.5" customHeight="1">
      <c r="A7" s="37" t="n"/>
      <c r="B7" s="25" t="n"/>
      <c r="C7" s="26" t="n"/>
      <c r="D7" s="26" t="n"/>
      <c r="E7" s="26" t="n"/>
      <c r="F7" s="26" t="n"/>
      <c r="G7" s="27" t="n"/>
      <c r="H7" s="36" t="inlineStr">
        <is>
          <t>正常</t>
        </is>
      </c>
      <c r="I7" s="10" t="n"/>
      <c r="J7" s="11" t="n"/>
      <c r="K7" s="36" t="inlineStr">
        <is>
          <t>異常</t>
        </is>
      </c>
      <c r="L7" s="10" t="n"/>
      <c r="M7" s="11" t="n"/>
      <c r="N7" s="36" t="inlineStr">
        <is>
          <t>境界</t>
        </is>
      </c>
      <c r="O7" s="10" t="n"/>
      <c r="P7" s="11" t="n"/>
      <c r="Q7" s="25" t="n"/>
      <c r="R7" s="26" t="n"/>
      <c r="S7" s="27" t="n"/>
      <c r="T7" s="36" t="inlineStr">
        <is>
          <t>合格</t>
        </is>
      </c>
      <c r="U7" s="10" t="n"/>
      <c r="V7" s="11" t="n"/>
      <c r="W7" s="36" t="inlineStr">
        <is>
          <t>不合格</t>
        </is>
      </c>
      <c r="X7" s="10" t="n"/>
      <c r="Y7" s="11" t="n"/>
      <c r="Z7" s="36" t="inlineStr">
        <is>
          <t>未テスト</t>
        </is>
      </c>
      <c r="AA7" s="10" t="n"/>
      <c r="AB7" s="11" t="n"/>
      <c r="AC7" s="36" t="inlineStr">
        <is>
          <t>N/A</t>
        </is>
      </c>
      <c r="AD7" s="10" t="n"/>
      <c r="AE7" s="11" t="n"/>
      <c r="AF7" s="36" t="inlineStr">
        <is>
          <t>進捗（%）</t>
        </is>
      </c>
      <c r="AG7" s="10" t="n"/>
      <c r="AH7" s="11" t="n"/>
    </row>
    <row r="8" ht="22.5" customHeight="1">
      <c r="A8" s="38" t="inlineStr">
        <is>
          <t>テスト1回目</t>
        </is>
      </c>
    </row>
    <row r="9" ht="22.5" customHeight="1">
      <c r="A9" s="18" t="n">
        <v>1</v>
      </c>
      <c r="B9" s="20" t="inlineStr">
        <is>
          <t>機能</t>
        </is>
      </c>
      <c r="C9" s="10" t="n"/>
      <c r="D9" s="10" t="n"/>
      <c r="E9" s="10" t="n"/>
      <c r="F9" s="10" t="n"/>
      <c r="G9" s="11" t="n"/>
      <c r="H9" s="19">
        <f>INDIRECT("'"&amp;$B9&amp;"'!H7",TRUE)</f>
        <v/>
      </c>
      <c r="I9" s="10" t="n"/>
      <c r="J9" s="11" t="n"/>
      <c r="K9" s="19">
        <f>INDIRECT("'"&amp;$B9&amp;"'!K7",TRUE)</f>
        <v/>
      </c>
      <c r="L9" s="10" t="n"/>
      <c r="M9" s="11" t="n"/>
      <c r="N9" s="19">
        <f>INDIRECT("'"&amp;$B9&amp;"'!N7",TRUE)</f>
        <v/>
      </c>
      <c r="O9" s="10" t="n"/>
      <c r="P9" s="11" t="n"/>
      <c r="Q9" s="19">
        <f>INDIRECT("'"&amp;$B9&amp;"'!Q7",TRUE)</f>
        <v/>
      </c>
      <c r="R9" s="10" t="n"/>
      <c r="S9" s="11" t="n"/>
      <c r="T9" s="19">
        <f>INDIRECT("'"&amp;$B9&amp;"'!T7",TRUE)</f>
        <v/>
      </c>
      <c r="U9" s="10" t="n"/>
      <c r="V9" s="11" t="n"/>
      <c r="W9" s="19">
        <f>INDIRECT("'"&amp;$B9&amp;"'!W7",TRUE)</f>
        <v/>
      </c>
      <c r="X9" s="10" t="n"/>
      <c r="Y9" s="11" t="n"/>
      <c r="Z9" s="19">
        <f>INDIRECT("'"&amp;$B9&amp;"'!Z7",TRUE)</f>
        <v/>
      </c>
      <c r="AA9" s="10" t="n"/>
      <c r="AB9" s="11" t="n"/>
      <c r="AC9" s="19">
        <f>INDIRECT("'"&amp;$B9&amp;"'!AC7",TRUE)</f>
        <v/>
      </c>
      <c r="AD9" s="10" t="n"/>
      <c r="AE9" s="11" t="n"/>
      <c r="AF9" s="39">
        <f>IFERROR((T9+W9+AC9)/Q9,0)</f>
        <v/>
      </c>
      <c r="AG9" s="10" t="n"/>
      <c r="AH9" s="11" t="n"/>
    </row>
    <row r="10" ht="22.5" customHeight="1">
      <c r="A10" s="18" t="n">
        <v>2</v>
      </c>
      <c r="B10" s="20" t="inlineStr"/>
      <c r="C10" s="10" t="n"/>
      <c r="D10" s="10" t="n"/>
      <c r="E10" s="10" t="n"/>
      <c r="F10" s="10" t="n"/>
      <c r="G10" s="11" t="n"/>
      <c r="H10" s="19" t="inlineStr"/>
      <c r="I10" s="10" t="n"/>
      <c r="J10" s="11" t="n"/>
      <c r="K10" s="19" t="inlineStr"/>
      <c r="L10" s="10" t="n"/>
      <c r="M10" s="11" t="n"/>
      <c r="N10" s="19" t="inlineStr"/>
      <c r="O10" s="10" t="n"/>
      <c r="P10" s="11" t="n"/>
      <c r="Q10" s="19" t="inlineStr"/>
      <c r="R10" s="10" t="n"/>
      <c r="S10" s="11" t="n"/>
      <c r="T10" s="19" t="inlineStr"/>
      <c r="U10" s="10" t="n"/>
      <c r="V10" s="11" t="n"/>
      <c r="W10" s="19" t="inlineStr"/>
      <c r="X10" s="10" t="n"/>
      <c r="Y10" s="11" t="n"/>
      <c r="Z10" s="19" t="inlineStr"/>
      <c r="AA10" s="10" t="n"/>
      <c r="AB10" s="11" t="n"/>
      <c r="AC10" s="19" t="inlineStr"/>
      <c r="AD10" s="10" t="n"/>
      <c r="AE10" s="11" t="n"/>
      <c r="AF10" s="39" t="inlineStr"/>
      <c r="AG10" s="10" t="n"/>
      <c r="AH10" s="11" t="n"/>
    </row>
    <row r="11" ht="22.5" customHeight="1">
      <c r="A11" s="18" t="inlineStr"/>
      <c r="B11" s="36" t="inlineStr">
        <is>
          <t>合計</t>
        </is>
      </c>
      <c r="C11" s="10" t="n"/>
      <c r="D11" s="10" t="n"/>
      <c r="E11" s="10" t="n"/>
      <c r="F11" s="10" t="n"/>
      <c r="G11" s="11" t="n"/>
      <c r="H11" s="40">
        <f>SUM(H9:J10)</f>
        <v/>
      </c>
      <c r="I11" s="10" t="n"/>
      <c r="J11" s="11" t="n"/>
      <c r="K11" s="40">
        <f>SUM(K9:M10)</f>
        <v/>
      </c>
      <c r="L11" s="10" t="n"/>
      <c r="M11" s="11" t="n"/>
      <c r="N11" s="40">
        <f>SUM(N9:P10)</f>
        <v/>
      </c>
      <c r="O11" s="10" t="n"/>
      <c r="P11" s="11" t="n"/>
      <c r="Q11" s="40">
        <f>SUM(Q9:S10)</f>
        <v/>
      </c>
      <c r="R11" s="10" t="n"/>
      <c r="S11" s="11" t="n"/>
      <c r="T11" s="40">
        <f>SUM(T9:V10)</f>
        <v/>
      </c>
      <c r="U11" s="10" t="n"/>
      <c r="V11" s="11" t="n"/>
      <c r="W11" s="40">
        <f>SUM(W9:Y10)</f>
        <v/>
      </c>
      <c r="X11" s="10" t="n"/>
      <c r="Y11" s="11" t="n"/>
      <c r="Z11" s="40">
        <f>SUM(Z9:AB10)</f>
        <v/>
      </c>
      <c r="AA11" s="10" t="n"/>
      <c r="AB11" s="11" t="n"/>
      <c r="AC11" s="40">
        <f>SUM(AC9:AE10)</f>
        <v/>
      </c>
      <c r="AD11" s="10" t="n"/>
      <c r="AE11" s="11" t="n"/>
      <c r="AF11" s="41">
        <f>IFERROR((T11+W11+AC11)/Q11,0)</f>
        <v/>
      </c>
      <c r="AG11" s="10" t="n"/>
      <c r="AH11" s="11" t="n"/>
    </row>
    <row r="12" ht="22.5" customHeight="1">
      <c r="A12" s="38" t="inlineStr">
        <is>
          <t>テスト2回目</t>
        </is>
      </c>
    </row>
    <row r="13" ht="22.5" customHeight="1">
      <c r="A13" s="18" t="n">
        <v>1</v>
      </c>
      <c r="B13" s="20" t="inlineStr">
        <is>
          <t>機能</t>
        </is>
      </c>
      <c r="C13" s="10" t="n"/>
      <c r="D13" s="10" t="n"/>
      <c r="E13" s="10" t="n"/>
      <c r="F13" s="10" t="n"/>
      <c r="G13" s="11" t="n"/>
      <c r="H13" s="19">
        <f>INDIRECT("'"&amp;$B13&amp;"'!H8",TRUE)</f>
        <v/>
      </c>
      <c r="I13" s="10" t="n"/>
      <c r="J13" s="11" t="n"/>
      <c r="K13" s="19">
        <f>INDIRECT("'"&amp;$B13&amp;"'!K8",TRUE)</f>
        <v/>
      </c>
      <c r="L13" s="10" t="n"/>
      <c r="M13" s="11" t="n"/>
      <c r="N13" s="19">
        <f>INDIRECT("'"&amp;$B13&amp;"'!N8",TRUE)</f>
        <v/>
      </c>
      <c r="O13" s="10" t="n"/>
      <c r="P13" s="11" t="n"/>
      <c r="Q13" s="19">
        <f>INDIRECT("'"&amp;$B13&amp;"'!Q8",TRUE)</f>
        <v/>
      </c>
      <c r="R13" s="10" t="n"/>
      <c r="S13" s="11" t="n"/>
      <c r="T13" s="19">
        <f>INDIRECT("'"&amp;$B13&amp;"'!T8",TRUE)</f>
        <v/>
      </c>
      <c r="U13" s="10" t="n"/>
      <c r="V13" s="11" t="n"/>
      <c r="W13" s="19">
        <f>INDIRECT("'"&amp;$B13&amp;"'!W8",TRUE)</f>
        <v/>
      </c>
      <c r="X13" s="10" t="n"/>
      <c r="Y13" s="11" t="n"/>
      <c r="Z13" s="19">
        <f>INDIRECT("'"&amp;$B13&amp;"'!Z8",TRUE)</f>
        <v/>
      </c>
      <c r="AA13" s="10" t="n"/>
      <c r="AB13" s="11" t="n"/>
      <c r="AC13" s="19">
        <f>INDIRECT("'"&amp;$B13&amp;"'!AC8",TRUE)</f>
        <v/>
      </c>
      <c r="AD13" s="10" t="n"/>
      <c r="AE13" s="11" t="n"/>
      <c r="AF13" s="39">
        <f>IFERROR((T13+W13+AC13)/Q13,0)</f>
        <v/>
      </c>
      <c r="AG13" s="10" t="n"/>
      <c r="AH13" s="11" t="n"/>
    </row>
    <row r="14" ht="22.5" customHeight="1">
      <c r="A14" s="18" t="n">
        <v>2</v>
      </c>
      <c r="B14" s="20" t="inlineStr"/>
      <c r="C14" s="10" t="n"/>
      <c r="D14" s="10" t="n"/>
      <c r="E14" s="10" t="n"/>
      <c r="F14" s="10" t="n"/>
      <c r="G14" s="11" t="n"/>
      <c r="H14" s="19" t="inlineStr"/>
      <c r="I14" s="10" t="n"/>
      <c r="J14" s="11" t="n"/>
      <c r="K14" s="19" t="inlineStr"/>
      <c r="L14" s="10" t="n"/>
      <c r="M14" s="11" t="n"/>
      <c r="N14" s="19" t="inlineStr"/>
      <c r="O14" s="10" t="n"/>
      <c r="P14" s="11" t="n"/>
      <c r="Q14" s="19" t="inlineStr"/>
      <c r="R14" s="10" t="n"/>
      <c r="S14" s="11" t="n"/>
      <c r="T14" s="19" t="inlineStr"/>
      <c r="U14" s="10" t="n"/>
      <c r="V14" s="11" t="n"/>
      <c r="W14" s="19" t="inlineStr"/>
      <c r="X14" s="10" t="n"/>
      <c r="Y14" s="11" t="n"/>
      <c r="Z14" s="19" t="inlineStr"/>
      <c r="AA14" s="10" t="n"/>
      <c r="AB14" s="11" t="n"/>
      <c r="AC14" s="19" t="inlineStr"/>
      <c r="AD14" s="10" t="n"/>
      <c r="AE14" s="11" t="n"/>
      <c r="AF14" s="39" t="inlineStr"/>
      <c r="AG14" s="10" t="n"/>
      <c r="AH14" s="11" t="n"/>
    </row>
    <row r="15" ht="22.5" customHeight="1">
      <c r="A15" s="18" t="inlineStr"/>
      <c r="B15" s="36" t="inlineStr">
        <is>
          <t>合計</t>
        </is>
      </c>
      <c r="C15" s="10" t="n"/>
      <c r="D15" s="10" t="n"/>
      <c r="E15" s="10" t="n"/>
      <c r="F15" s="10" t="n"/>
      <c r="G15" s="11" t="n"/>
      <c r="H15" s="40">
        <f>SUM(H13:J14)</f>
        <v/>
      </c>
      <c r="I15" s="10" t="n"/>
      <c r="J15" s="11" t="n"/>
      <c r="K15" s="40">
        <f>SUM(K13:M14)</f>
        <v/>
      </c>
      <c r="L15" s="10" t="n"/>
      <c r="M15" s="11" t="n"/>
      <c r="N15" s="40">
        <f>SUM(N13:P14)</f>
        <v/>
      </c>
      <c r="O15" s="10" t="n"/>
      <c r="P15" s="11" t="n"/>
      <c r="Q15" s="40">
        <f>SUM(Q13:S14)</f>
        <v/>
      </c>
      <c r="R15" s="10" t="n"/>
      <c r="S15" s="11" t="n"/>
      <c r="T15" s="40">
        <f>SUM(T13:V14)</f>
        <v/>
      </c>
      <c r="U15" s="10" t="n"/>
      <c r="V15" s="11" t="n"/>
      <c r="W15" s="40">
        <f>SUM(W13:Y14)</f>
        <v/>
      </c>
      <c r="X15" s="10" t="n"/>
      <c r="Y15" s="11" t="n"/>
      <c r="Z15" s="40">
        <f>SUM(Z13:AB14)</f>
        <v/>
      </c>
      <c r="AA15" s="10" t="n"/>
      <c r="AB15" s="11" t="n"/>
      <c r="AC15" s="40">
        <f>SUM(AC13:AE14)</f>
        <v/>
      </c>
      <c r="AD15" s="10" t="n"/>
      <c r="AE15" s="11" t="n"/>
      <c r="AF15" s="41">
        <f>IFERROR((T15+W15+AC15)/Q15,0)</f>
        <v/>
      </c>
      <c r="AG15" s="10" t="n"/>
      <c r="AH15" s="11" t="n"/>
    </row>
  </sheetData>
  <mergeCells count="82">
    <mergeCell ref="Q14:S14"/>
    <mergeCell ref="P4:W4"/>
    <mergeCell ref="AC14:AE14"/>
    <mergeCell ref="A3:F3"/>
    <mergeCell ref="W7:Y7"/>
    <mergeCell ref="H11:J11"/>
    <mergeCell ref="Q15:S15"/>
    <mergeCell ref="B10:G10"/>
    <mergeCell ref="AF14:AH14"/>
    <mergeCell ref="N9:P9"/>
    <mergeCell ref="K10:M10"/>
    <mergeCell ref="T14:V14"/>
    <mergeCell ref="K9:M9"/>
    <mergeCell ref="K11:M11"/>
    <mergeCell ref="Z7:AB7"/>
    <mergeCell ref="AF10:AH10"/>
    <mergeCell ref="B14:G14"/>
    <mergeCell ref="B13:G13"/>
    <mergeCell ref="H7:J7"/>
    <mergeCell ref="N10:P10"/>
    <mergeCell ref="K14:M14"/>
    <mergeCell ref="W9:Y9"/>
    <mergeCell ref="K7:M7"/>
    <mergeCell ref="X3:AH3"/>
    <mergeCell ref="Z9:AB9"/>
    <mergeCell ref="Q13:S13"/>
    <mergeCell ref="A1:AH1"/>
    <mergeCell ref="AC7:AE7"/>
    <mergeCell ref="W10:Y10"/>
    <mergeCell ref="Z11:AB11"/>
    <mergeCell ref="X4:AH4"/>
    <mergeCell ref="B11:G11"/>
    <mergeCell ref="Q10:S10"/>
    <mergeCell ref="N14:P14"/>
    <mergeCell ref="A6:A7"/>
    <mergeCell ref="H13:J13"/>
    <mergeCell ref="AC9:AE9"/>
    <mergeCell ref="T13:V13"/>
    <mergeCell ref="T7:V7"/>
    <mergeCell ref="B15:G15"/>
    <mergeCell ref="H15:J15"/>
    <mergeCell ref="AF7:AH7"/>
    <mergeCell ref="Z10:AB10"/>
    <mergeCell ref="AC11:AE11"/>
    <mergeCell ref="W14:Y14"/>
    <mergeCell ref="K13:M13"/>
    <mergeCell ref="W13:Y13"/>
    <mergeCell ref="K15:M15"/>
    <mergeCell ref="N11:P11"/>
    <mergeCell ref="Q6:S7"/>
    <mergeCell ref="H10:J10"/>
    <mergeCell ref="W15:Y15"/>
    <mergeCell ref="AC13:AE13"/>
    <mergeCell ref="H9:J9"/>
    <mergeCell ref="H6:P6"/>
    <mergeCell ref="AC15:AE15"/>
    <mergeCell ref="T9:V9"/>
    <mergeCell ref="AF9:AH9"/>
    <mergeCell ref="G3:O3"/>
    <mergeCell ref="T11:V11"/>
    <mergeCell ref="AF15:AH15"/>
    <mergeCell ref="AC10:AE10"/>
    <mergeCell ref="AF11:AH11"/>
    <mergeCell ref="Z14:AB14"/>
    <mergeCell ref="N13:P13"/>
    <mergeCell ref="B9:G9"/>
    <mergeCell ref="Q9:S9"/>
    <mergeCell ref="A4:F4"/>
    <mergeCell ref="Z13:AB13"/>
    <mergeCell ref="G4:O4"/>
    <mergeCell ref="W11:Y11"/>
    <mergeCell ref="N15:P15"/>
    <mergeCell ref="Q11:S11"/>
    <mergeCell ref="T6:AH6"/>
    <mergeCell ref="H14:J14"/>
    <mergeCell ref="Z15:AB15"/>
    <mergeCell ref="AF13:AH13"/>
    <mergeCell ref="T15:V15"/>
    <mergeCell ref="N7:P7"/>
    <mergeCell ref="P3:W3"/>
    <mergeCell ref="B6:G7"/>
    <mergeCell ref="T10:V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64"/>
  <sheetViews>
    <sheetView showGridLines="0" workbookViewId="0">
      <selection activeCell="A1" sqref="A1"/>
    </sheetView>
  </sheetViews>
  <sheetFormatPr baseColWidth="8" defaultColWidth="12.63" defaultRowHeight="15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1" t="n"/>
      <c r="V1" s="17" t="inlineStr">
        <is>
          <t>作成日</t>
        </is>
      </c>
      <c r="W1" s="10" t="n"/>
      <c r="X1" s="10" t="n"/>
      <c r="Y1" s="11" t="n"/>
      <c r="Z1" s="17" t="inlineStr">
        <is>
          <t>作成者</t>
        </is>
      </c>
      <c r="AA1" s="10" t="n"/>
      <c r="AB1" s="10" t="n"/>
      <c r="AC1" s="11" t="n"/>
      <c r="AD1" s="17" t="inlineStr">
        <is>
          <t>更新日</t>
        </is>
      </c>
      <c r="AE1" s="10" t="n"/>
      <c r="AF1" s="10" t="n"/>
      <c r="AG1" s="11" t="n"/>
      <c r="AH1" s="17" t="inlineStr">
        <is>
          <t>更新者</t>
        </is>
      </c>
      <c r="AI1" s="10" t="n"/>
      <c r="AJ1" s="10" t="n"/>
      <c r="AK1" s="11" t="n"/>
    </row>
    <row r="2" ht="19.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テスト仕様書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テスト観点</t>
        </is>
      </c>
      <c r="R2" s="22" t="n"/>
      <c r="S2" s="22" t="n"/>
      <c r="T2" s="22" t="n"/>
      <c r="U2" s="23" t="n"/>
      <c r="V2" s="24" t="inlineStr">
        <is>
          <t>2026/05/27</t>
        </is>
      </c>
      <c r="W2" s="22" t="n"/>
      <c r="X2" s="22" t="n"/>
      <c r="Y2" s="23" t="n"/>
      <c r="Z2" s="21" t="inlineStr">
        <is>
          <t>Kieu Thi Diem</t>
        </is>
      </c>
      <c r="AA2" s="22" t="n"/>
      <c r="AB2" s="22" t="n"/>
      <c r="AC2" s="23" t="n"/>
      <c r="AD2" s="24" t="inlineStr">
        <is>
          <t>2026/05/27</t>
        </is>
      </c>
      <c r="AE2" s="22" t="n"/>
      <c r="AF2" s="22" t="n"/>
      <c r="AG2" s="23" t="n"/>
      <c r="AH2" s="21" t="inlineStr">
        <is>
          <t>Kieu Thi Diem</t>
        </is>
      </c>
      <c r="AI2" s="22" t="n"/>
      <c r="AJ2" s="22" t="n"/>
      <c r="AK2" s="23" t="n"/>
    </row>
    <row r="3" ht="19.5" customHeight="1">
      <c r="A3" s="25" t="n"/>
      <c r="B3" s="26" t="n"/>
      <c r="C3" s="26" t="n"/>
      <c r="D3" s="26" t="n"/>
      <c r="E3" s="26" t="n"/>
      <c r="F3" s="26" t="n"/>
      <c r="G3" s="26" t="n"/>
      <c r="H3" s="26" t="n"/>
      <c r="I3" s="27" t="n"/>
      <c r="J3" s="25" t="n"/>
      <c r="K3" s="26" t="n"/>
      <c r="L3" s="26" t="n"/>
      <c r="M3" s="26" t="n"/>
      <c r="N3" s="26" t="n"/>
      <c r="O3" s="26" t="n"/>
      <c r="P3" s="27" t="n"/>
      <c r="Q3" s="25" t="n"/>
      <c r="R3" s="26" t="n"/>
      <c r="S3" s="26" t="n"/>
      <c r="T3" s="26" t="n"/>
      <c r="U3" s="27" t="n"/>
      <c r="V3" s="25" t="n"/>
      <c r="W3" s="26" t="n"/>
      <c r="X3" s="26" t="n"/>
      <c r="Y3" s="27" t="n"/>
      <c r="Z3" s="25" t="n"/>
      <c r="AA3" s="26" t="n"/>
      <c r="AB3" s="26" t="n"/>
      <c r="AC3" s="27" t="n"/>
      <c r="AD3" s="25" t="n"/>
      <c r="AE3" s="26" t="n"/>
      <c r="AF3" s="26" t="n"/>
      <c r="AG3" s="27" t="n"/>
      <c r="AH3" s="25" t="n"/>
      <c r="AI3" s="26" t="n"/>
      <c r="AJ3" s="26" t="n"/>
      <c r="AK3" s="27" t="n"/>
    </row>
    <row r="5" ht="19.5" customHeight="1">
      <c r="B5" s="28" t="inlineStr">
        <is>
          <t>1. テスト観点一覧</t>
        </is>
      </c>
    </row>
    <row r="7" ht="28.5" customHeight="1">
      <c r="B7" s="42" t="inlineStr">
        <is>
          <t>#</t>
        </is>
      </c>
      <c r="C7" s="43" t="inlineStr">
        <is>
          <t>観点ID</t>
        </is>
      </c>
      <c r="D7" s="10" t="n"/>
      <c r="E7" s="11" t="n"/>
      <c r="F7" s="43" t="inlineStr">
        <is>
          <t>大分類</t>
        </is>
      </c>
      <c r="G7" s="10" t="n"/>
      <c r="H7" s="10" t="n"/>
      <c r="I7" s="10" t="n"/>
      <c r="J7" s="10" t="n"/>
      <c r="K7" s="10" t="n"/>
      <c r="L7" s="11" t="n"/>
      <c r="M7" s="43" t="inlineStr">
        <is>
          <t>観点名</t>
        </is>
      </c>
      <c r="N7" s="10" t="n"/>
      <c r="O7" s="10" t="n"/>
      <c r="P7" s="10" t="n"/>
      <c r="Q7" s="10" t="n"/>
      <c r="R7" s="10" t="n"/>
      <c r="S7" s="10" t="n"/>
      <c r="T7" s="11" t="n"/>
      <c r="U7" s="43" t="inlineStr">
        <is>
          <t>リスク</t>
        </is>
      </c>
      <c r="V7" s="11" t="n"/>
      <c r="W7" s="43" t="inlineStr">
        <is>
          <t>対象画面範囲</t>
        </is>
      </c>
      <c r="X7" s="10" t="n"/>
      <c r="Y7" s="10" t="n"/>
      <c r="Z7" s="10" t="n"/>
      <c r="AA7" s="10" t="n"/>
      <c r="AB7" s="10" t="n"/>
      <c r="AC7" s="11" t="n"/>
      <c r="AD7" s="43" t="inlineStr">
        <is>
          <t>TC見積</t>
        </is>
      </c>
      <c r="AE7" s="10" t="n"/>
      <c r="AF7" s="11" t="n"/>
    </row>
    <row r="8" ht="30" customHeight="1">
      <c r="B8" s="44" t="n">
        <v>1</v>
      </c>
      <c r="C8" s="45" t="inlineStr">
        <is>
          <t>VP-A-01</t>
        </is>
      </c>
      <c r="D8" s="10" t="n"/>
      <c r="E8" s="11" t="n"/>
      <c r="F8" s="46" t="inlineStr">
        <is>
          <t>A. セキュリティ・権限</t>
        </is>
      </c>
      <c r="G8" s="10" t="n"/>
      <c r="H8" s="10" t="n"/>
      <c r="I8" s="10" t="n"/>
      <c r="J8" s="10" t="n"/>
      <c r="K8" s="10" t="n"/>
      <c r="L8" s="11" t="n"/>
      <c r="M8" s="46" t="inlineStr">
        <is>
          <t>ロール別権限制御（RBAC gate）</t>
        </is>
      </c>
      <c r="N8" s="10" t="n"/>
      <c r="O8" s="10" t="n"/>
      <c r="P8" s="10" t="n"/>
      <c r="Q8" s="10" t="n"/>
      <c r="R8" s="10" t="n"/>
      <c r="S8" s="10" t="n"/>
      <c r="T8" s="11" t="n"/>
      <c r="U8" s="47" t="inlineStr">
        <is>
          <t>高</t>
        </is>
      </c>
      <c r="V8" s="11" t="n"/>
      <c r="W8" s="46" t="inlineStr">
        <is>
          <t>約25保護画面</t>
        </is>
      </c>
      <c r="X8" s="10" t="n"/>
      <c r="Y8" s="10" t="n"/>
      <c r="Z8" s="10" t="n"/>
      <c r="AA8" s="10" t="n"/>
      <c r="AB8" s="10" t="n"/>
      <c r="AC8" s="11" t="n"/>
      <c r="AD8" s="45" t="n">
        <v>265</v>
      </c>
      <c r="AE8" s="10" t="n"/>
      <c r="AF8" s="11" t="n"/>
    </row>
    <row r="9" ht="30" customHeight="1">
      <c r="B9" s="44" t="n">
        <v>2</v>
      </c>
      <c r="C9" s="45" t="inlineStr">
        <is>
          <t>VP-A-02</t>
        </is>
      </c>
      <c r="D9" s="10" t="n"/>
      <c r="E9" s="11" t="n"/>
      <c r="F9" s="46" t="inlineStr">
        <is>
          <t>A. セキュリティ・権限</t>
        </is>
      </c>
      <c r="G9" s="10" t="n"/>
      <c r="H9" s="10" t="n"/>
      <c r="I9" s="10" t="n"/>
      <c r="J9" s="10" t="n"/>
      <c r="K9" s="10" t="n"/>
      <c r="L9" s="11" t="n"/>
      <c r="M9" s="46" t="inlineStr">
        <is>
          <t>データ範囲（DataScope）</t>
        </is>
      </c>
      <c r="N9" s="10" t="n"/>
      <c r="O9" s="10" t="n"/>
      <c r="P9" s="10" t="n"/>
      <c r="Q9" s="10" t="n"/>
      <c r="R9" s="10" t="n"/>
      <c r="S9" s="10" t="n"/>
      <c r="T9" s="11" t="n"/>
      <c r="U9" s="47" t="inlineStr">
        <is>
          <t>高</t>
        </is>
      </c>
      <c r="V9" s="11" t="n"/>
      <c r="W9" s="46" t="inlineStr">
        <is>
          <t>約20一覧／詳細画面</t>
        </is>
      </c>
      <c r="X9" s="10" t="n"/>
      <c r="Y9" s="10" t="n"/>
      <c r="Z9" s="10" t="n"/>
      <c r="AA9" s="10" t="n"/>
      <c r="AB9" s="10" t="n"/>
      <c r="AC9" s="11" t="n"/>
      <c r="AD9" s="45" t="n">
        <v>200</v>
      </c>
      <c r="AE9" s="10" t="n"/>
      <c r="AF9" s="11" t="n"/>
    </row>
    <row r="10" ht="36" customHeight="1">
      <c r="B10" s="44" t="n">
        <v>3</v>
      </c>
      <c r="C10" s="45" t="inlineStr">
        <is>
          <t>VP-A-03</t>
        </is>
      </c>
      <c r="D10" s="10" t="n"/>
      <c r="E10" s="11" t="n"/>
      <c r="F10" s="46" t="inlineStr">
        <is>
          <t>A. セキュリティ・権限</t>
        </is>
      </c>
      <c r="G10" s="10" t="n"/>
      <c r="H10" s="10" t="n"/>
      <c r="I10" s="10" t="n"/>
      <c r="J10" s="10" t="n"/>
      <c r="K10" s="10" t="n"/>
      <c r="L10" s="11" t="n"/>
      <c r="M10" s="46" t="inlineStr">
        <is>
          <t>項目レベル制限（Field-level restriction）</t>
        </is>
      </c>
      <c r="N10" s="10" t="n"/>
      <c r="O10" s="10" t="n"/>
      <c r="P10" s="10" t="n"/>
      <c r="Q10" s="10" t="n"/>
      <c r="R10" s="10" t="n"/>
      <c r="S10" s="10" t="n"/>
      <c r="T10" s="11" t="n"/>
      <c r="U10" s="47" t="inlineStr">
        <is>
          <t>高</t>
        </is>
      </c>
      <c r="V10" s="11" t="n"/>
      <c r="W10" s="46" t="inlineStr">
        <is>
          <t>5マスタ</t>
        </is>
      </c>
      <c r="X10" s="10" t="n"/>
      <c r="Y10" s="10" t="n"/>
      <c r="Z10" s="10" t="n"/>
      <c r="AA10" s="10" t="n"/>
      <c r="AB10" s="10" t="n"/>
      <c r="AC10" s="11" t="n"/>
      <c r="AD10" s="45" t="n">
        <v>50</v>
      </c>
      <c r="AE10" s="10" t="n"/>
      <c r="AF10" s="11" t="n"/>
    </row>
    <row r="11" ht="30" customHeight="1">
      <c r="B11" s="44" t="n">
        <v>4</v>
      </c>
      <c r="C11" s="45" t="inlineStr">
        <is>
          <t>VP-A-04</t>
        </is>
      </c>
      <c r="D11" s="10" t="n"/>
      <c r="E11" s="11" t="n"/>
      <c r="F11" s="46" t="inlineStr">
        <is>
          <t>A. セキュリティ・権限</t>
        </is>
      </c>
      <c r="G11" s="10" t="n"/>
      <c r="H11" s="10" t="n"/>
      <c r="I11" s="10" t="n"/>
      <c r="J11" s="10" t="n"/>
      <c r="K11" s="10" t="n"/>
      <c r="L11" s="11" t="n"/>
      <c r="M11" s="46" t="inlineStr">
        <is>
          <t>URL直接アクセス攻撃</t>
        </is>
      </c>
      <c r="N11" s="10" t="n"/>
      <c r="O11" s="10" t="n"/>
      <c r="P11" s="10" t="n"/>
      <c r="Q11" s="10" t="n"/>
      <c r="R11" s="10" t="n"/>
      <c r="S11" s="10" t="n"/>
      <c r="T11" s="11" t="n"/>
      <c r="U11" s="47" t="inlineStr">
        <is>
          <t>高</t>
        </is>
      </c>
      <c r="V11" s="11" t="n"/>
      <c r="W11" s="46" t="inlineStr">
        <is>
          <t>約25保護画面</t>
        </is>
      </c>
      <c r="X11" s="10" t="n"/>
      <c r="Y11" s="10" t="n"/>
      <c r="Z11" s="10" t="n"/>
      <c r="AA11" s="10" t="n"/>
      <c r="AB11" s="10" t="n"/>
      <c r="AC11" s="11" t="n"/>
      <c r="AD11" s="45" t="n">
        <v>75</v>
      </c>
      <c r="AE11" s="10" t="n"/>
      <c r="AF11" s="11" t="n"/>
    </row>
    <row r="12" ht="30" customHeight="1">
      <c r="B12" s="44" t="n">
        <v>5</v>
      </c>
      <c r="C12" s="45" t="inlineStr">
        <is>
          <t>VP-A-05</t>
        </is>
      </c>
      <c r="D12" s="10" t="n"/>
      <c r="E12" s="11" t="n"/>
      <c r="F12" s="46" t="inlineStr">
        <is>
          <t>A. セキュリティ・権限</t>
        </is>
      </c>
      <c r="G12" s="10" t="n"/>
      <c r="H12" s="10" t="n"/>
      <c r="I12" s="10" t="n"/>
      <c r="J12" s="10" t="n"/>
      <c r="K12" s="10" t="n"/>
      <c r="L12" s="11" t="n"/>
      <c r="M12" s="46" t="inlineStr">
        <is>
          <t>セッション失効／401 ハンドリング</t>
        </is>
      </c>
      <c r="N12" s="10" t="n"/>
      <c r="O12" s="10" t="n"/>
      <c r="P12" s="10" t="n"/>
      <c r="Q12" s="10" t="n"/>
      <c r="R12" s="10" t="n"/>
      <c r="S12" s="10" t="n"/>
      <c r="T12" s="11" t="n"/>
      <c r="U12" s="47" t="inlineStr">
        <is>
          <t>高</t>
        </is>
      </c>
      <c r="V12" s="11" t="n"/>
      <c r="W12" s="46" t="inlineStr">
        <is>
          <t>全システム</t>
        </is>
      </c>
      <c r="X12" s="10" t="n"/>
      <c r="Y12" s="10" t="n"/>
      <c r="Z12" s="10" t="n"/>
      <c r="AA12" s="10" t="n"/>
      <c r="AB12" s="10" t="n"/>
      <c r="AC12" s="11" t="n"/>
      <c r="AD12" s="45" t="n">
        <v>30</v>
      </c>
      <c r="AE12" s="10" t="n"/>
      <c r="AF12" s="11" t="n"/>
    </row>
    <row r="13" ht="30" customHeight="1">
      <c r="B13" s="44" t="n">
        <v>6</v>
      </c>
      <c r="C13" s="45" t="inlineStr">
        <is>
          <t>VP-A-06</t>
        </is>
      </c>
      <c r="D13" s="10" t="n"/>
      <c r="E13" s="11" t="n"/>
      <c r="F13" s="46" t="inlineStr">
        <is>
          <t>A. セキュリティ・権限</t>
        </is>
      </c>
      <c r="G13" s="10" t="n"/>
      <c r="H13" s="10" t="n"/>
      <c r="I13" s="10" t="n"/>
      <c r="J13" s="10" t="n"/>
      <c r="K13" s="10" t="n"/>
      <c r="L13" s="11" t="n"/>
      <c r="M13" s="46" t="inlineStr">
        <is>
          <t>XSS／HTML 描画安全性</t>
        </is>
      </c>
      <c r="N13" s="10" t="n"/>
      <c r="O13" s="10" t="n"/>
      <c r="P13" s="10" t="n"/>
      <c r="Q13" s="10" t="n"/>
      <c r="R13" s="10" t="n"/>
      <c r="S13" s="10" t="n"/>
      <c r="T13" s="11" t="n"/>
      <c r="U13" s="47" t="inlineStr">
        <is>
          <t>高</t>
        </is>
      </c>
      <c r="V13" s="11" t="n"/>
      <c r="W13" s="46" t="inlineStr">
        <is>
          <t>約20フォーム</t>
        </is>
      </c>
      <c r="X13" s="10" t="n"/>
      <c r="Y13" s="10" t="n"/>
      <c r="Z13" s="10" t="n"/>
      <c r="AA13" s="10" t="n"/>
      <c r="AB13" s="10" t="n"/>
      <c r="AC13" s="11" t="n"/>
      <c r="AD13" s="45" t="n">
        <v>50</v>
      </c>
      <c r="AE13" s="10" t="n"/>
      <c r="AF13" s="11" t="n"/>
    </row>
    <row r="14" ht="30" customHeight="1">
      <c r="B14" s="44" t="n">
        <v>7</v>
      </c>
      <c r="C14" s="45" t="inlineStr">
        <is>
          <t>VP-A-07</t>
        </is>
      </c>
      <c r="D14" s="10" t="n"/>
      <c r="E14" s="11" t="n"/>
      <c r="F14" s="46" t="inlineStr">
        <is>
          <t>A. セキュリティ・権限</t>
        </is>
      </c>
      <c r="G14" s="10" t="n"/>
      <c r="H14" s="10" t="n"/>
      <c r="I14" s="10" t="n"/>
      <c r="J14" s="10" t="n"/>
      <c r="K14" s="10" t="n"/>
      <c r="L14" s="11" t="n"/>
      <c r="M14" s="46" t="inlineStr">
        <is>
          <t>CSRF／Cookie セキュリティフラグ</t>
        </is>
      </c>
      <c r="N14" s="10" t="n"/>
      <c r="O14" s="10" t="n"/>
      <c r="P14" s="10" t="n"/>
      <c r="Q14" s="10" t="n"/>
      <c r="R14" s="10" t="n"/>
      <c r="S14" s="10" t="n"/>
      <c r="T14" s="11" t="n"/>
      <c r="U14" s="47" t="inlineStr">
        <is>
          <t>高</t>
        </is>
      </c>
      <c r="V14" s="11" t="n"/>
      <c r="W14" s="46" t="inlineStr">
        <is>
          <t>全システム</t>
        </is>
      </c>
      <c r="X14" s="10" t="n"/>
      <c r="Y14" s="10" t="n"/>
      <c r="Z14" s="10" t="n"/>
      <c r="AA14" s="10" t="n"/>
      <c r="AB14" s="10" t="n"/>
      <c r="AC14" s="11" t="n"/>
      <c r="AD14" s="45" t="n">
        <v>10</v>
      </c>
      <c r="AE14" s="10" t="n"/>
      <c r="AF14" s="11" t="n"/>
    </row>
    <row r="15" ht="30" customHeight="1">
      <c r="B15" s="44" t="n">
        <v>8</v>
      </c>
      <c r="C15" s="45" t="inlineStr">
        <is>
          <t>VP-A-08</t>
        </is>
      </c>
      <c r="D15" s="10" t="n"/>
      <c r="E15" s="11" t="n"/>
      <c r="F15" s="46" t="inlineStr">
        <is>
          <t>A. セキュリティ・権限</t>
        </is>
      </c>
      <c r="G15" s="10" t="n"/>
      <c r="H15" s="10" t="n"/>
      <c r="I15" s="10" t="n"/>
      <c r="J15" s="10" t="n"/>
      <c r="K15" s="10" t="n"/>
      <c r="L15" s="11" t="n"/>
      <c r="M15" s="46" t="inlineStr">
        <is>
          <t>レート制限・Throttling</t>
        </is>
      </c>
      <c r="N15" s="10" t="n"/>
      <c r="O15" s="10" t="n"/>
      <c r="P15" s="10" t="n"/>
      <c r="Q15" s="10" t="n"/>
      <c r="R15" s="10" t="n"/>
      <c r="S15" s="10" t="n"/>
      <c r="T15" s="11" t="n"/>
      <c r="U15" s="48" t="inlineStr">
        <is>
          <t>中</t>
        </is>
      </c>
      <c r="V15" s="11" t="n"/>
      <c r="W15" s="46" t="inlineStr">
        <is>
          <t>全公開API＋認証エンドポイント</t>
        </is>
      </c>
      <c r="X15" s="10" t="n"/>
      <c r="Y15" s="10" t="n"/>
      <c r="Z15" s="10" t="n"/>
      <c r="AA15" s="10" t="n"/>
      <c r="AB15" s="10" t="n"/>
      <c r="AC15" s="11" t="n"/>
      <c r="AD15" s="45" t="n">
        <v>20</v>
      </c>
      <c r="AE15" s="10" t="n"/>
      <c r="AF15" s="11" t="n"/>
    </row>
    <row r="16" ht="30" customHeight="1">
      <c r="B16" s="44" t="n">
        <v>9</v>
      </c>
      <c r="C16" s="45" t="inlineStr">
        <is>
          <t>VP-A-09</t>
        </is>
      </c>
      <c r="D16" s="10" t="n"/>
      <c r="E16" s="11" t="n"/>
      <c r="F16" s="46" t="inlineStr">
        <is>
          <t>A. セキュリティ・権限</t>
        </is>
      </c>
      <c r="G16" s="10" t="n"/>
      <c r="H16" s="10" t="n"/>
      <c r="I16" s="10" t="n"/>
      <c r="J16" s="10" t="n"/>
      <c r="K16" s="10" t="n"/>
      <c r="L16" s="11" t="n"/>
      <c r="M16" s="46" t="inlineStr">
        <is>
          <t>アカウントロック・解除運用</t>
        </is>
      </c>
      <c r="N16" s="10" t="n"/>
      <c r="O16" s="10" t="n"/>
      <c r="P16" s="10" t="n"/>
      <c r="Q16" s="10" t="n"/>
      <c r="R16" s="10" t="n"/>
      <c r="S16" s="10" t="n"/>
      <c r="T16" s="11" t="n"/>
      <c r="U16" s="47" t="inlineStr">
        <is>
          <t>高</t>
        </is>
      </c>
      <c r="V16" s="11" t="n"/>
      <c r="W16" s="46" t="inlineStr">
        <is>
          <t>SCR-001／002＋管理機能</t>
        </is>
      </c>
      <c r="X16" s="10" t="n"/>
      <c r="Y16" s="10" t="n"/>
      <c r="Z16" s="10" t="n"/>
      <c r="AA16" s="10" t="n"/>
      <c r="AB16" s="10" t="n"/>
      <c r="AC16" s="11" t="n"/>
      <c r="AD16" s="45" t="n">
        <v>8</v>
      </c>
      <c r="AE16" s="10" t="n"/>
      <c r="AF16" s="11" t="n"/>
    </row>
    <row r="17" ht="30" customHeight="1">
      <c r="B17" s="44" t="n">
        <v>10</v>
      </c>
      <c r="C17" s="45" t="inlineStr">
        <is>
          <t>VP-A-10</t>
        </is>
      </c>
      <c r="D17" s="10" t="n"/>
      <c r="E17" s="11" t="n"/>
      <c r="F17" s="46" t="inlineStr">
        <is>
          <t>A. セキュリティ・権限</t>
        </is>
      </c>
      <c r="G17" s="10" t="n"/>
      <c r="H17" s="10" t="n"/>
      <c r="I17" s="10" t="n"/>
      <c r="J17" s="10" t="n"/>
      <c r="K17" s="10" t="n"/>
      <c r="L17" s="11" t="n"/>
      <c r="M17" s="46" t="inlineStr">
        <is>
          <t>SQL インジェクション</t>
        </is>
      </c>
      <c r="N17" s="10" t="n"/>
      <c r="O17" s="10" t="n"/>
      <c r="P17" s="10" t="n"/>
      <c r="Q17" s="10" t="n"/>
      <c r="R17" s="10" t="n"/>
      <c r="S17" s="10" t="n"/>
      <c r="T17" s="11" t="n"/>
      <c r="U17" s="47" t="inlineStr">
        <is>
          <t>高</t>
        </is>
      </c>
      <c r="V17" s="11" t="n"/>
      <c r="W17" s="46" t="inlineStr">
        <is>
          <t>約20フォーム＋検索</t>
        </is>
      </c>
      <c r="X17" s="10" t="n"/>
      <c r="Y17" s="10" t="n"/>
      <c r="Z17" s="10" t="n"/>
      <c r="AA17" s="10" t="n"/>
      <c r="AB17" s="10" t="n"/>
      <c r="AC17" s="11" t="n"/>
      <c r="AD17" s="45" t="n">
        <v>30</v>
      </c>
      <c r="AE17" s="10" t="n"/>
      <c r="AF17" s="11" t="n"/>
    </row>
    <row r="18" ht="30" customHeight="1">
      <c r="B18" s="44" t="n">
        <v>11</v>
      </c>
      <c r="C18" s="45" t="inlineStr">
        <is>
          <t>VP-B-01</t>
        </is>
      </c>
      <c r="D18" s="10" t="n"/>
      <c r="E18" s="11" t="n"/>
      <c r="F18" s="46" t="inlineStr">
        <is>
          <t>B. データバリデーション</t>
        </is>
      </c>
      <c r="G18" s="10" t="n"/>
      <c r="H18" s="10" t="n"/>
      <c r="I18" s="10" t="n"/>
      <c r="J18" s="10" t="n"/>
      <c r="K18" s="10" t="n"/>
      <c r="L18" s="11" t="n"/>
      <c r="M18" s="46" t="inlineStr">
        <is>
          <t>必須項目チェック</t>
        </is>
      </c>
      <c r="N18" s="10" t="n"/>
      <c r="O18" s="10" t="n"/>
      <c r="P18" s="10" t="n"/>
      <c r="Q18" s="10" t="n"/>
      <c r="R18" s="10" t="n"/>
      <c r="S18" s="10" t="n"/>
      <c r="T18" s="11" t="n"/>
      <c r="U18" s="48" t="inlineStr">
        <is>
          <t>中</t>
        </is>
      </c>
      <c r="V18" s="11" t="n"/>
      <c r="W18" s="46" t="inlineStr">
        <is>
          <t>約25フォーム</t>
        </is>
      </c>
      <c r="X18" s="10" t="n"/>
      <c r="Y18" s="10" t="n"/>
      <c r="Z18" s="10" t="n"/>
      <c r="AA18" s="10" t="n"/>
      <c r="AB18" s="10" t="n"/>
      <c r="AC18" s="11" t="n"/>
      <c r="AD18" s="45" t="n">
        <v>100</v>
      </c>
      <c r="AE18" s="10" t="n"/>
      <c r="AF18" s="11" t="n"/>
    </row>
    <row r="19" ht="30" customHeight="1">
      <c r="B19" s="44" t="n">
        <v>12</v>
      </c>
      <c r="C19" s="45" t="inlineStr">
        <is>
          <t>VP-B-02</t>
        </is>
      </c>
      <c r="D19" s="10" t="n"/>
      <c r="E19" s="11" t="n"/>
      <c r="F19" s="46" t="inlineStr">
        <is>
          <t>B. データバリデーション</t>
        </is>
      </c>
      <c r="G19" s="10" t="n"/>
      <c r="H19" s="10" t="n"/>
      <c r="I19" s="10" t="n"/>
      <c r="J19" s="10" t="n"/>
      <c r="K19" s="10" t="n"/>
      <c r="L19" s="11" t="n"/>
      <c r="M19" s="46" t="inlineStr">
        <is>
          <t>最小／最大長境界</t>
        </is>
      </c>
      <c r="N19" s="10" t="n"/>
      <c r="O19" s="10" t="n"/>
      <c r="P19" s="10" t="n"/>
      <c r="Q19" s="10" t="n"/>
      <c r="R19" s="10" t="n"/>
      <c r="S19" s="10" t="n"/>
      <c r="T19" s="11" t="n"/>
      <c r="U19" s="48" t="inlineStr">
        <is>
          <t>中</t>
        </is>
      </c>
      <c r="V19" s="11" t="n"/>
      <c r="W19" s="46" t="inlineStr">
        <is>
          <t>約25フォーム</t>
        </is>
      </c>
      <c r="X19" s="10" t="n"/>
      <c r="Y19" s="10" t="n"/>
      <c r="Z19" s="10" t="n"/>
      <c r="AA19" s="10" t="n"/>
      <c r="AB19" s="10" t="n"/>
      <c r="AC19" s="11" t="n"/>
      <c r="AD19" s="45" t="n">
        <v>80</v>
      </c>
      <c r="AE19" s="10" t="n"/>
      <c r="AF19" s="11" t="n"/>
    </row>
    <row r="20" ht="30" customHeight="1">
      <c r="B20" s="44" t="n">
        <v>13</v>
      </c>
      <c r="C20" s="45" t="inlineStr">
        <is>
          <t>VP-B-03</t>
        </is>
      </c>
      <c r="D20" s="10" t="n"/>
      <c r="E20" s="11" t="n"/>
      <c r="F20" s="46" t="inlineStr">
        <is>
          <t>B. データバリデーション</t>
        </is>
      </c>
      <c r="G20" s="10" t="n"/>
      <c r="H20" s="10" t="n"/>
      <c r="I20" s="10" t="n"/>
      <c r="J20" s="10" t="n"/>
      <c r="K20" s="10" t="n"/>
      <c r="L20" s="11" t="n"/>
      <c r="M20" s="46" t="inlineStr">
        <is>
          <t>形式正規表現（郵便／電話／コード）</t>
        </is>
      </c>
      <c r="N20" s="10" t="n"/>
      <c r="O20" s="10" t="n"/>
      <c r="P20" s="10" t="n"/>
      <c r="Q20" s="10" t="n"/>
      <c r="R20" s="10" t="n"/>
      <c r="S20" s="10" t="n"/>
      <c r="T20" s="11" t="n"/>
      <c r="U20" s="48" t="inlineStr">
        <is>
          <t>中</t>
        </is>
      </c>
      <c r="V20" s="11" t="n"/>
      <c r="W20" s="46" t="inlineStr">
        <is>
          <t>約20フォーム</t>
        </is>
      </c>
      <c r="X20" s="10" t="n"/>
      <c r="Y20" s="10" t="n"/>
      <c r="Z20" s="10" t="n"/>
      <c r="AA20" s="10" t="n"/>
      <c r="AB20" s="10" t="n"/>
      <c r="AC20" s="11" t="n"/>
      <c r="AD20" s="45" t="n">
        <v>60</v>
      </c>
      <c r="AE20" s="10" t="n"/>
      <c r="AF20" s="11" t="n"/>
    </row>
    <row r="21" ht="30" customHeight="1">
      <c r="B21" s="44" t="n">
        <v>14</v>
      </c>
      <c r="C21" s="45" t="inlineStr">
        <is>
          <t>VP-B-04</t>
        </is>
      </c>
      <c r="D21" s="10" t="n"/>
      <c r="E21" s="11" t="n"/>
      <c r="F21" s="46" t="inlineStr">
        <is>
          <t>B. データバリデーション</t>
        </is>
      </c>
      <c r="G21" s="10" t="n"/>
      <c r="H21" s="10" t="n"/>
      <c r="I21" s="10" t="n"/>
      <c r="J21" s="10" t="n"/>
      <c r="K21" s="10" t="n"/>
      <c r="L21" s="11" t="n"/>
      <c r="M21" s="46" t="inlineStr">
        <is>
          <t>半角／全角ハンドリング</t>
        </is>
      </c>
      <c r="N21" s="10" t="n"/>
      <c r="O21" s="10" t="n"/>
      <c r="P21" s="10" t="n"/>
      <c r="Q21" s="10" t="n"/>
      <c r="R21" s="10" t="n"/>
      <c r="S21" s="10" t="n"/>
      <c r="T21" s="11" t="n"/>
      <c r="U21" s="48" t="inlineStr">
        <is>
          <t>中</t>
        </is>
      </c>
      <c r="V21" s="11" t="n"/>
      <c r="W21" s="46" t="inlineStr">
        <is>
          <t>約25フォーム</t>
        </is>
      </c>
      <c r="X21" s="10" t="n"/>
      <c r="Y21" s="10" t="n"/>
      <c r="Z21" s="10" t="n"/>
      <c r="AA21" s="10" t="n"/>
      <c r="AB21" s="10" t="n"/>
      <c r="AC21" s="11" t="n"/>
      <c r="AD21" s="45" t="n">
        <v>50</v>
      </c>
      <c r="AE21" s="10" t="n"/>
      <c r="AF21" s="11" t="n"/>
    </row>
    <row r="22" ht="30" customHeight="1">
      <c r="B22" s="44" t="n">
        <v>15</v>
      </c>
      <c r="C22" s="45" t="inlineStr">
        <is>
          <t>VP-B-05</t>
        </is>
      </c>
      <c r="D22" s="10" t="n"/>
      <c r="E22" s="11" t="n"/>
      <c r="F22" s="46" t="inlineStr">
        <is>
          <t>B. データバリデーション</t>
        </is>
      </c>
      <c r="G22" s="10" t="n"/>
      <c r="H22" s="10" t="n"/>
      <c r="I22" s="10" t="n"/>
      <c r="J22" s="10" t="n"/>
      <c r="K22" s="10" t="n"/>
      <c r="L22" s="11" t="n"/>
      <c r="M22" s="46" t="inlineStr">
        <is>
          <t>日付ロジック</t>
        </is>
      </c>
      <c r="N22" s="10" t="n"/>
      <c r="O22" s="10" t="n"/>
      <c r="P22" s="10" t="n"/>
      <c r="Q22" s="10" t="n"/>
      <c r="R22" s="10" t="n"/>
      <c r="S22" s="10" t="n"/>
      <c r="T22" s="11" t="n"/>
      <c r="U22" s="48" t="inlineStr">
        <is>
          <t>中</t>
        </is>
      </c>
      <c r="V22" s="11" t="n"/>
      <c r="W22" s="46" t="inlineStr">
        <is>
          <t>約10日付付きフォーム</t>
        </is>
      </c>
      <c r="X22" s="10" t="n"/>
      <c r="Y22" s="10" t="n"/>
      <c r="Z22" s="10" t="n"/>
      <c r="AA22" s="10" t="n"/>
      <c r="AB22" s="10" t="n"/>
      <c r="AC22" s="11" t="n"/>
      <c r="AD22" s="45" t="n">
        <v>30</v>
      </c>
      <c r="AE22" s="10" t="n"/>
      <c r="AF22" s="11" t="n"/>
    </row>
    <row r="23" ht="30" customHeight="1">
      <c r="B23" s="44" t="n">
        <v>16</v>
      </c>
      <c r="C23" s="45" t="inlineStr">
        <is>
          <t>VP-B-06</t>
        </is>
      </c>
      <c r="D23" s="10" t="n"/>
      <c r="E23" s="11" t="n"/>
      <c r="F23" s="46" t="inlineStr">
        <is>
          <t>B. データバリデーション</t>
        </is>
      </c>
      <c r="G23" s="10" t="n"/>
      <c r="H23" s="10" t="n"/>
      <c r="I23" s="10" t="n"/>
      <c r="J23" s="10" t="n"/>
      <c r="K23" s="10" t="n"/>
      <c r="L23" s="11" t="n"/>
      <c r="M23" s="46" t="inlineStr">
        <is>
          <t>通貨／パーセント形式</t>
        </is>
      </c>
      <c r="N23" s="10" t="n"/>
      <c r="O23" s="10" t="n"/>
      <c r="P23" s="10" t="n"/>
      <c r="Q23" s="10" t="n"/>
      <c r="R23" s="10" t="n"/>
      <c r="S23" s="10" t="n"/>
      <c r="T23" s="11" t="n"/>
      <c r="U23" s="47" t="inlineStr">
        <is>
          <t>高</t>
        </is>
      </c>
      <c r="V23" s="11" t="n"/>
      <c r="W23" s="46" t="inlineStr">
        <is>
          <t>2-3フォーム（単価）</t>
        </is>
      </c>
      <c r="X23" s="10" t="n"/>
      <c r="Y23" s="10" t="n"/>
      <c r="Z23" s="10" t="n"/>
      <c r="AA23" s="10" t="n"/>
      <c r="AB23" s="10" t="n"/>
      <c r="AC23" s="11" t="n"/>
      <c r="AD23" s="45" t="n">
        <v>15</v>
      </c>
      <c r="AE23" s="10" t="n"/>
      <c r="AF23" s="11" t="n"/>
    </row>
    <row r="24" ht="36" customHeight="1">
      <c r="B24" s="44" t="n">
        <v>17</v>
      </c>
      <c r="C24" s="45" t="inlineStr">
        <is>
          <t>VP-B-07</t>
        </is>
      </c>
      <c r="D24" s="10" t="n"/>
      <c r="E24" s="11" t="n"/>
      <c r="F24" s="46" t="inlineStr">
        <is>
          <t>B. データバリデーション</t>
        </is>
      </c>
      <c r="G24" s="10" t="n"/>
      <c r="H24" s="10" t="n"/>
      <c r="I24" s="10" t="n"/>
      <c r="J24" s="10" t="n"/>
      <c r="K24" s="10" t="n"/>
      <c r="L24" s="11" t="n"/>
      <c r="M24" s="46" t="inlineStr">
        <is>
          <t>マスタコード（m_code）参照</t>
        </is>
      </c>
      <c r="N24" s="10" t="n"/>
      <c r="O24" s="10" t="n"/>
      <c r="P24" s="10" t="n"/>
      <c r="Q24" s="10" t="n"/>
      <c r="R24" s="10" t="n"/>
      <c r="S24" s="10" t="n"/>
      <c r="T24" s="11" t="n"/>
      <c r="U24" s="48" t="inlineStr">
        <is>
          <t>中</t>
        </is>
      </c>
      <c r="V24" s="11" t="n"/>
      <c r="W24" s="46" t="inlineStr">
        <is>
          <t>約15ドロップダウン付きフォーム</t>
        </is>
      </c>
      <c r="X24" s="10" t="n"/>
      <c r="Y24" s="10" t="n"/>
      <c r="Z24" s="10" t="n"/>
      <c r="AA24" s="10" t="n"/>
      <c r="AB24" s="10" t="n"/>
      <c r="AC24" s="11" t="n"/>
      <c r="AD24" s="45" t="n">
        <v>45</v>
      </c>
      <c r="AE24" s="10" t="n"/>
      <c r="AF24" s="11" t="n"/>
    </row>
    <row r="25" ht="30" customHeight="1">
      <c r="B25" s="44" t="n">
        <v>18</v>
      </c>
      <c r="C25" s="45" t="inlineStr">
        <is>
          <t>VP-B-08</t>
        </is>
      </c>
      <c r="D25" s="10" t="n"/>
      <c r="E25" s="11" t="n"/>
      <c r="F25" s="46" t="inlineStr">
        <is>
          <t>B. データバリデーション</t>
        </is>
      </c>
      <c r="G25" s="10" t="n"/>
      <c r="H25" s="10" t="n"/>
      <c r="I25" s="10" t="n"/>
      <c r="J25" s="10" t="n"/>
      <c r="K25" s="10" t="n"/>
      <c r="L25" s="11" t="n"/>
      <c r="M25" s="46" t="inlineStr">
        <is>
          <t>キー重複（duplicate code）</t>
        </is>
      </c>
      <c r="N25" s="10" t="n"/>
      <c r="O25" s="10" t="n"/>
      <c r="P25" s="10" t="n"/>
      <c r="Q25" s="10" t="n"/>
      <c r="R25" s="10" t="n"/>
      <c r="S25" s="10" t="n"/>
      <c r="T25" s="11" t="n"/>
      <c r="U25" s="48" t="inlineStr">
        <is>
          <t>中</t>
        </is>
      </c>
      <c r="V25" s="11" t="n"/>
      <c r="W25" s="46" t="inlineStr">
        <is>
          <t>約10マスタ</t>
        </is>
      </c>
      <c r="X25" s="10" t="n"/>
      <c r="Y25" s="10" t="n"/>
      <c r="Z25" s="10" t="n"/>
      <c r="AA25" s="10" t="n"/>
      <c r="AB25" s="10" t="n"/>
      <c r="AC25" s="11" t="n"/>
      <c r="AD25" s="45" t="n">
        <v>30</v>
      </c>
      <c r="AE25" s="10" t="n"/>
      <c r="AF25" s="11" t="n"/>
    </row>
    <row r="26" ht="36" customHeight="1">
      <c r="B26" s="44" t="n">
        <v>19</v>
      </c>
      <c r="C26" s="45" t="inlineStr">
        <is>
          <t>VP-B-09</t>
        </is>
      </c>
      <c r="D26" s="10" t="n"/>
      <c r="E26" s="11" t="n"/>
      <c r="F26" s="46" t="inlineStr">
        <is>
          <t>B. データバリデーション</t>
        </is>
      </c>
      <c r="G26" s="10" t="n"/>
      <c r="H26" s="10" t="n"/>
      <c r="I26" s="10" t="n"/>
      <c r="J26" s="10" t="n"/>
      <c r="K26" s="10" t="n"/>
      <c r="L26" s="11" t="n"/>
      <c r="M26" s="46" t="inlineStr">
        <is>
          <t>IME・全角入力・貼付ハンドリング</t>
        </is>
      </c>
      <c r="N26" s="10" t="n"/>
      <c r="O26" s="10" t="n"/>
      <c r="P26" s="10" t="n"/>
      <c r="Q26" s="10" t="n"/>
      <c r="R26" s="10" t="n"/>
      <c r="S26" s="10" t="n"/>
      <c r="T26" s="11" t="n"/>
      <c r="U26" s="48" t="inlineStr">
        <is>
          <t>中</t>
        </is>
      </c>
      <c r="V26" s="11" t="n"/>
      <c r="W26" s="46" t="inlineStr">
        <is>
          <t>全テキスト入力フォーム＋検索画面</t>
        </is>
      </c>
      <c r="X26" s="10" t="n"/>
      <c r="Y26" s="10" t="n"/>
      <c r="Z26" s="10" t="n"/>
      <c r="AA26" s="10" t="n"/>
      <c r="AB26" s="10" t="n"/>
      <c r="AC26" s="11" t="n"/>
      <c r="AD26" s="45" t="n">
        <v>25</v>
      </c>
      <c r="AE26" s="10" t="n"/>
      <c r="AF26" s="11" t="n"/>
    </row>
    <row r="27" ht="30" customHeight="1">
      <c r="B27" s="44" t="n">
        <v>20</v>
      </c>
      <c r="C27" s="45" t="inlineStr">
        <is>
          <t>VP-C-01</t>
        </is>
      </c>
      <c r="D27" s="10" t="n"/>
      <c r="E27" s="11" t="n"/>
      <c r="F27" s="46" t="inlineStr">
        <is>
          <t>C. 業務ロジック</t>
        </is>
      </c>
      <c r="G27" s="10" t="n"/>
      <c r="H27" s="10" t="n"/>
      <c r="I27" s="10" t="n"/>
      <c r="J27" s="10" t="n"/>
      <c r="K27" s="10" t="n"/>
      <c r="L27" s="11" t="n"/>
      <c r="M27" s="46" t="inlineStr">
        <is>
          <t>CRUD 正常系 + DB 永続化</t>
        </is>
      </c>
      <c r="N27" s="10" t="n"/>
      <c r="O27" s="10" t="n"/>
      <c r="P27" s="10" t="n"/>
      <c r="Q27" s="10" t="n"/>
      <c r="R27" s="10" t="n"/>
      <c r="S27" s="10" t="n"/>
      <c r="T27" s="11" t="n"/>
      <c r="U27" s="47" t="inlineStr">
        <is>
          <t>高</t>
        </is>
      </c>
      <c r="V27" s="11" t="n"/>
      <c r="W27" s="46" t="inlineStr">
        <is>
          <t>約10マスタ</t>
        </is>
      </c>
      <c r="X27" s="10" t="n"/>
      <c r="Y27" s="10" t="n"/>
      <c r="Z27" s="10" t="n"/>
      <c r="AA27" s="10" t="n"/>
      <c r="AB27" s="10" t="n"/>
      <c r="AC27" s="11" t="n"/>
      <c r="AD27" s="45" t="n">
        <v>60</v>
      </c>
      <c r="AE27" s="10" t="n"/>
      <c r="AF27" s="11" t="n"/>
    </row>
    <row r="28" ht="30" customHeight="1">
      <c r="B28" s="44" t="n">
        <v>21</v>
      </c>
      <c r="C28" s="45" t="inlineStr">
        <is>
          <t>VP-C-02</t>
        </is>
      </c>
      <c r="D28" s="10" t="n"/>
      <c r="E28" s="11" t="n"/>
      <c r="F28" s="46" t="inlineStr">
        <is>
          <t>C. 業務ロジック</t>
        </is>
      </c>
      <c r="G28" s="10" t="n"/>
      <c r="H28" s="10" t="n"/>
      <c r="I28" s="10" t="n"/>
      <c r="J28" s="10" t="n"/>
      <c r="K28" s="10" t="n"/>
      <c r="L28" s="11" t="n"/>
      <c r="M28" s="46" t="inlineStr">
        <is>
          <t>同時編集競合</t>
        </is>
      </c>
      <c r="N28" s="10" t="n"/>
      <c r="O28" s="10" t="n"/>
      <c r="P28" s="10" t="n"/>
      <c r="Q28" s="10" t="n"/>
      <c r="R28" s="10" t="n"/>
      <c r="S28" s="10" t="n"/>
      <c r="T28" s="11" t="n"/>
      <c r="U28" s="48" t="inlineStr">
        <is>
          <t>中</t>
        </is>
      </c>
      <c r="V28" s="11" t="n"/>
      <c r="W28" s="46" t="inlineStr">
        <is>
          <t>約8編集画面</t>
        </is>
      </c>
      <c r="X28" s="10" t="n"/>
      <c r="Y28" s="10" t="n"/>
      <c r="Z28" s="10" t="n"/>
      <c r="AA28" s="10" t="n"/>
      <c r="AB28" s="10" t="n"/>
      <c r="AC28" s="11" t="n"/>
      <c r="AD28" s="45" t="n">
        <v>16</v>
      </c>
      <c r="AE28" s="10" t="n"/>
      <c r="AF28" s="11" t="n"/>
    </row>
    <row r="29" ht="30" customHeight="1">
      <c r="B29" s="44" t="n">
        <v>22</v>
      </c>
      <c r="C29" s="45" t="inlineStr">
        <is>
          <t>VP-C-03</t>
        </is>
      </c>
      <c r="D29" s="10" t="n"/>
      <c r="E29" s="11" t="n"/>
      <c r="F29" s="46" t="inlineStr">
        <is>
          <t>C. 業務ロジック</t>
        </is>
      </c>
      <c r="G29" s="10" t="n"/>
      <c r="H29" s="10" t="n"/>
      <c r="I29" s="10" t="n"/>
      <c r="J29" s="10" t="n"/>
      <c r="K29" s="10" t="n"/>
      <c r="L29" s="11" t="n"/>
      <c r="M29" s="46" t="inlineStr">
        <is>
          <t>論理削除 + FK 関連</t>
        </is>
      </c>
      <c r="N29" s="10" t="n"/>
      <c r="O29" s="10" t="n"/>
      <c r="P29" s="10" t="n"/>
      <c r="Q29" s="10" t="n"/>
      <c r="R29" s="10" t="n"/>
      <c r="S29" s="10" t="n"/>
      <c r="T29" s="11" t="n"/>
      <c r="U29" s="47" t="inlineStr">
        <is>
          <t>高</t>
        </is>
      </c>
      <c r="V29" s="11" t="n"/>
      <c r="W29" s="46" t="inlineStr">
        <is>
          <t>約6関連付きマスタ</t>
        </is>
      </c>
      <c r="X29" s="10" t="n"/>
      <c r="Y29" s="10" t="n"/>
      <c r="Z29" s="10" t="n"/>
      <c r="AA29" s="10" t="n"/>
      <c r="AB29" s="10" t="n"/>
      <c r="AC29" s="11" t="n"/>
      <c r="AD29" s="45" t="n">
        <v>18</v>
      </c>
      <c r="AE29" s="10" t="n"/>
      <c r="AF29" s="11" t="n"/>
    </row>
    <row r="30" ht="30" customHeight="1">
      <c r="B30" s="44" t="n">
        <v>23</v>
      </c>
      <c r="C30" s="45" t="inlineStr">
        <is>
          <t>VP-C-04</t>
        </is>
      </c>
      <c r="D30" s="10" t="n"/>
      <c r="E30" s="11" t="n"/>
      <c r="F30" s="46" t="inlineStr">
        <is>
          <t>C. 業務ロジック</t>
        </is>
      </c>
      <c r="G30" s="10" t="n"/>
      <c r="H30" s="10" t="n"/>
      <c r="I30" s="10" t="n"/>
      <c r="J30" s="10" t="n"/>
      <c r="K30" s="10" t="n"/>
      <c r="L30" s="11" t="n"/>
      <c r="M30" s="46" t="inlineStr">
        <is>
          <t>税込／税抜計算</t>
        </is>
      </c>
      <c r="N30" s="10" t="n"/>
      <c r="O30" s="10" t="n"/>
      <c r="P30" s="10" t="n"/>
      <c r="Q30" s="10" t="n"/>
      <c r="R30" s="10" t="n"/>
      <c r="S30" s="10" t="n"/>
      <c r="T30" s="11" t="n"/>
      <c r="U30" s="48" t="inlineStr">
        <is>
          <t>中</t>
        </is>
      </c>
      <c r="V30" s="11" t="n"/>
      <c r="W30" s="46" t="inlineStr">
        <is>
          <t>単価マスタ</t>
        </is>
      </c>
      <c r="X30" s="10" t="n"/>
      <c r="Y30" s="10" t="n"/>
      <c r="Z30" s="10" t="n"/>
      <c r="AA30" s="10" t="n"/>
      <c r="AB30" s="10" t="n"/>
      <c r="AC30" s="11" t="n"/>
      <c r="AD30" s="45" t="n">
        <v>8</v>
      </c>
      <c r="AE30" s="10" t="n"/>
      <c r="AF30" s="11" t="n"/>
    </row>
    <row r="31" ht="30" customHeight="1">
      <c r="B31" s="44" t="n">
        <v>24</v>
      </c>
      <c r="C31" s="45" t="inlineStr">
        <is>
          <t>VP-C-05</t>
        </is>
      </c>
      <c r="D31" s="10" t="n"/>
      <c r="E31" s="11" t="n"/>
      <c r="F31" s="46" t="inlineStr">
        <is>
          <t>C. 業務ロジック</t>
        </is>
      </c>
      <c r="G31" s="10" t="n"/>
      <c r="H31" s="10" t="n"/>
      <c r="I31" s="10" t="n"/>
      <c r="J31" s="10" t="n"/>
      <c r="K31" s="10" t="n"/>
      <c r="L31" s="11" t="n"/>
      <c r="M31" s="46" t="inlineStr">
        <is>
          <t>購読者種別ルール（読み取り専用）</t>
        </is>
      </c>
      <c r="N31" s="10" t="n"/>
      <c r="O31" s="10" t="n"/>
      <c r="P31" s="10" t="n"/>
      <c r="Q31" s="10" t="n"/>
      <c r="R31" s="10" t="n"/>
      <c r="S31" s="10" t="n"/>
      <c r="T31" s="11" t="n"/>
      <c r="U31" s="47" t="inlineStr">
        <is>
          <t>高</t>
        </is>
      </c>
      <c r="V31" s="11" t="n"/>
      <c r="W31" s="46" t="inlineStr">
        <is>
          <t>購読者マスタ</t>
        </is>
      </c>
      <c r="X31" s="10" t="n"/>
      <c r="Y31" s="10" t="n"/>
      <c r="Z31" s="10" t="n"/>
      <c r="AA31" s="10" t="n"/>
      <c r="AB31" s="10" t="n"/>
      <c r="AC31" s="11" t="n"/>
      <c r="AD31" s="45" t="n">
        <v>10</v>
      </c>
      <c r="AE31" s="10" t="n"/>
      <c r="AF31" s="11" t="n"/>
    </row>
    <row r="32" ht="30" customHeight="1">
      <c r="B32" s="44" t="n">
        <v>25</v>
      </c>
      <c r="C32" s="45" t="inlineStr">
        <is>
          <t>VP-C-06</t>
        </is>
      </c>
      <c r="D32" s="10" t="n"/>
      <c r="E32" s="11" t="n"/>
      <c r="F32" s="46" t="inlineStr">
        <is>
          <t>C. 業務ロジック</t>
        </is>
      </c>
      <c r="G32" s="10" t="n"/>
      <c r="H32" s="10" t="n"/>
      <c r="I32" s="10" t="n"/>
      <c r="J32" s="10" t="n"/>
      <c r="K32" s="10" t="n"/>
      <c r="L32" s="11" t="n"/>
      <c r="M32" s="46" t="inlineStr">
        <is>
          <t>Excel取込 部分成功</t>
        </is>
      </c>
      <c r="N32" s="10" t="n"/>
      <c r="O32" s="10" t="n"/>
      <c r="P32" s="10" t="n"/>
      <c r="Q32" s="10" t="n"/>
      <c r="R32" s="10" t="n"/>
      <c r="S32" s="10" t="n"/>
      <c r="T32" s="11" t="n"/>
      <c r="U32" s="48" t="inlineStr">
        <is>
          <t>中</t>
        </is>
      </c>
      <c r="V32" s="11" t="n"/>
      <c r="W32" s="46" t="inlineStr">
        <is>
          <t>2取込画面</t>
        </is>
      </c>
      <c r="X32" s="10" t="n"/>
      <c r="Y32" s="10" t="n"/>
      <c r="Z32" s="10" t="n"/>
      <c r="AA32" s="10" t="n"/>
      <c r="AB32" s="10" t="n"/>
      <c r="AC32" s="11" t="n"/>
      <c r="AD32" s="45" t="n">
        <v>30</v>
      </c>
      <c r="AE32" s="10" t="n"/>
      <c r="AF32" s="11" t="n"/>
    </row>
    <row r="33" ht="30" customHeight="1">
      <c r="B33" s="44" t="n">
        <v>26</v>
      </c>
      <c r="C33" s="45" t="inlineStr">
        <is>
          <t>VP-C-07</t>
        </is>
      </c>
      <c r="D33" s="10" t="n"/>
      <c r="E33" s="11" t="n"/>
      <c r="F33" s="46" t="inlineStr">
        <is>
          <t>C. 業務ロジック</t>
        </is>
      </c>
      <c r="G33" s="10" t="n"/>
      <c r="H33" s="10" t="n"/>
      <c r="I33" s="10" t="n"/>
      <c r="J33" s="10" t="n"/>
      <c r="K33" s="10" t="n"/>
      <c r="L33" s="11" t="n"/>
      <c r="M33" s="46" t="inlineStr">
        <is>
          <t>販売店一括置換</t>
        </is>
      </c>
      <c r="N33" s="10" t="n"/>
      <c r="O33" s="10" t="n"/>
      <c r="P33" s="10" t="n"/>
      <c r="Q33" s="10" t="n"/>
      <c r="R33" s="10" t="n"/>
      <c r="S33" s="10" t="n"/>
      <c r="T33" s="11" t="n"/>
      <c r="U33" s="47" t="inlineStr">
        <is>
          <t>高</t>
        </is>
      </c>
      <c r="V33" s="11" t="n"/>
      <c r="W33" s="46" t="inlineStr">
        <is>
          <t>一括置換</t>
        </is>
      </c>
      <c r="X33" s="10" t="n"/>
      <c r="Y33" s="10" t="n"/>
      <c r="Z33" s="10" t="n"/>
      <c r="AA33" s="10" t="n"/>
      <c r="AB33" s="10" t="n"/>
      <c r="AC33" s="11" t="n"/>
      <c r="AD33" s="45" t="n">
        <v>15</v>
      </c>
      <c r="AE33" s="10" t="n"/>
      <c r="AF33" s="11" t="n"/>
    </row>
    <row r="34" ht="30" customHeight="1">
      <c r="B34" s="44" t="n">
        <v>27</v>
      </c>
      <c r="C34" s="45" t="inlineStr">
        <is>
          <t>VP-C-08</t>
        </is>
      </c>
      <c r="D34" s="10" t="n"/>
      <c r="E34" s="11" t="n"/>
      <c r="F34" s="46" t="inlineStr">
        <is>
          <t>C. 業務ロジック</t>
        </is>
      </c>
      <c r="G34" s="10" t="n"/>
      <c r="H34" s="10" t="n"/>
      <c r="I34" s="10" t="n"/>
      <c r="J34" s="10" t="n"/>
      <c r="K34" s="10" t="n"/>
      <c r="L34" s="11" t="n"/>
      <c r="M34" s="46" t="inlineStr">
        <is>
          <t>レポート集計の正確性</t>
        </is>
      </c>
      <c r="N34" s="10" t="n"/>
      <c r="O34" s="10" t="n"/>
      <c r="P34" s="10" t="n"/>
      <c r="Q34" s="10" t="n"/>
      <c r="R34" s="10" t="n"/>
      <c r="S34" s="10" t="n"/>
      <c r="T34" s="11" t="n"/>
      <c r="U34" s="47" t="inlineStr">
        <is>
          <t>高</t>
        </is>
      </c>
      <c r="V34" s="11" t="n"/>
      <c r="W34" s="46" t="inlineStr">
        <is>
          <t>3レポート</t>
        </is>
      </c>
      <c r="X34" s="10" t="n"/>
      <c r="Y34" s="10" t="n"/>
      <c r="Z34" s="10" t="n"/>
      <c r="AA34" s="10" t="n"/>
      <c r="AB34" s="10" t="n"/>
      <c r="AC34" s="11" t="n"/>
      <c r="AD34" s="45" t="n">
        <v>18</v>
      </c>
      <c r="AE34" s="10" t="n"/>
      <c r="AF34" s="11" t="n"/>
    </row>
    <row r="35" ht="30" customHeight="1">
      <c r="B35" s="44" t="n">
        <v>28</v>
      </c>
      <c r="C35" s="45" t="inlineStr">
        <is>
          <t>VP-D-01</t>
        </is>
      </c>
      <c r="D35" s="10" t="n"/>
      <c r="E35" s="11" t="n"/>
      <c r="F35" s="46" t="inlineStr">
        <is>
          <t>D. 統合・システム</t>
        </is>
      </c>
      <c r="G35" s="10" t="n"/>
      <c r="H35" s="10" t="n"/>
      <c r="I35" s="10" t="n"/>
      <c r="J35" s="10" t="n"/>
      <c r="K35" s="10" t="n"/>
      <c r="L35" s="11" t="n"/>
      <c r="M35" s="46" t="inlineStr">
        <is>
          <t>ログイン + MFA フロー</t>
        </is>
      </c>
      <c r="N35" s="10" t="n"/>
      <c r="O35" s="10" t="n"/>
      <c r="P35" s="10" t="n"/>
      <c r="Q35" s="10" t="n"/>
      <c r="R35" s="10" t="n"/>
      <c r="S35" s="10" t="n"/>
      <c r="T35" s="11" t="n"/>
      <c r="U35" s="47" t="inlineStr">
        <is>
          <t>高</t>
        </is>
      </c>
      <c r="V35" s="11" t="n"/>
      <c r="W35" s="46" t="inlineStr">
        <is>
          <t>SCR-001／002</t>
        </is>
      </c>
      <c r="X35" s="10" t="n"/>
      <c r="Y35" s="10" t="n"/>
      <c r="Z35" s="10" t="n"/>
      <c r="AA35" s="10" t="n"/>
      <c r="AB35" s="10" t="n"/>
      <c r="AC35" s="11" t="n"/>
      <c r="AD35" s="45" t="n">
        <v>25</v>
      </c>
      <c r="AE35" s="10" t="n"/>
      <c r="AF35" s="11" t="n"/>
    </row>
    <row r="36" ht="30" customHeight="1">
      <c r="B36" s="44" t="n">
        <v>29</v>
      </c>
      <c r="C36" s="45" t="inlineStr">
        <is>
          <t>VP-D-02</t>
        </is>
      </c>
      <c r="D36" s="10" t="n"/>
      <c r="E36" s="11" t="n"/>
      <c r="F36" s="46" t="inlineStr">
        <is>
          <t>D. 統合・システム</t>
        </is>
      </c>
      <c r="G36" s="10" t="n"/>
      <c r="H36" s="10" t="n"/>
      <c r="I36" s="10" t="n"/>
      <c r="J36" s="10" t="n"/>
      <c r="K36" s="10" t="n"/>
      <c r="L36" s="11" t="n"/>
      <c r="M36" s="46" t="inlineStr">
        <is>
          <t>セッションスライディング 24h</t>
        </is>
      </c>
      <c r="N36" s="10" t="n"/>
      <c r="O36" s="10" t="n"/>
      <c r="P36" s="10" t="n"/>
      <c r="Q36" s="10" t="n"/>
      <c r="R36" s="10" t="n"/>
      <c r="S36" s="10" t="n"/>
      <c r="T36" s="11" t="n"/>
      <c r="U36" s="47" t="inlineStr">
        <is>
          <t>高</t>
        </is>
      </c>
      <c r="V36" s="11" t="n"/>
      <c r="W36" s="46" t="inlineStr">
        <is>
          <t>全システム</t>
        </is>
      </c>
      <c r="X36" s="10" t="n"/>
      <c r="Y36" s="10" t="n"/>
      <c r="Z36" s="10" t="n"/>
      <c r="AA36" s="10" t="n"/>
      <c r="AB36" s="10" t="n"/>
      <c r="AC36" s="11" t="n"/>
      <c r="AD36" s="45" t="n">
        <v>8</v>
      </c>
      <c r="AE36" s="10" t="n"/>
      <c r="AF36" s="11" t="n"/>
    </row>
    <row r="37" ht="30" customHeight="1">
      <c r="B37" s="44" t="n">
        <v>30</v>
      </c>
      <c r="C37" s="45" t="inlineStr">
        <is>
          <t>VP-D-03</t>
        </is>
      </c>
      <c r="D37" s="10" t="n"/>
      <c r="E37" s="11" t="n"/>
      <c r="F37" s="46" t="inlineStr">
        <is>
          <t>D. 統合・システム</t>
        </is>
      </c>
      <c r="G37" s="10" t="n"/>
      <c r="H37" s="10" t="n"/>
      <c r="I37" s="10" t="n"/>
      <c r="J37" s="10" t="n"/>
      <c r="K37" s="10" t="n"/>
      <c r="L37" s="11" t="n"/>
      <c r="M37" s="46" t="inlineStr">
        <is>
          <t>パスワード再発行フロー</t>
        </is>
      </c>
      <c r="N37" s="10" t="n"/>
      <c r="O37" s="10" t="n"/>
      <c r="P37" s="10" t="n"/>
      <c r="Q37" s="10" t="n"/>
      <c r="R37" s="10" t="n"/>
      <c r="S37" s="10" t="n"/>
      <c r="T37" s="11" t="n"/>
      <c r="U37" s="47" t="inlineStr">
        <is>
          <t>高</t>
        </is>
      </c>
      <c r="V37" s="11" t="n"/>
      <c r="W37" s="46" t="inlineStr">
        <is>
          <t>SCR-007</t>
        </is>
      </c>
      <c r="X37" s="10" t="n"/>
      <c r="Y37" s="10" t="n"/>
      <c r="Z37" s="10" t="n"/>
      <c r="AA37" s="10" t="n"/>
      <c r="AB37" s="10" t="n"/>
      <c r="AC37" s="11" t="n"/>
      <c r="AD37" s="45" t="n">
        <v>15</v>
      </c>
      <c r="AE37" s="10" t="n"/>
      <c r="AF37" s="11" t="n"/>
    </row>
    <row r="38" ht="30" customHeight="1">
      <c r="B38" s="44" t="n">
        <v>31</v>
      </c>
      <c r="C38" s="45" t="inlineStr">
        <is>
          <t>VP-D-04</t>
        </is>
      </c>
      <c r="D38" s="10" t="n"/>
      <c r="E38" s="11" t="n"/>
      <c r="F38" s="46" t="inlineStr">
        <is>
          <t>D. 統合・システム</t>
        </is>
      </c>
      <c r="G38" s="10" t="n"/>
      <c r="H38" s="10" t="n"/>
      <c r="I38" s="10" t="n"/>
      <c r="J38" s="10" t="n"/>
      <c r="K38" s="10" t="n"/>
      <c r="L38" s="11" t="n"/>
      <c r="M38" s="46" t="inlineStr">
        <is>
          <t>監査ログの完全性</t>
        </is>
      </c>
      <c r="N38" s="10" t="n"/>
      <c r="O38" s="10" t="n"/>
      <c r="P38" s="10" t="n"/>
      <c r="Q38" s="10" t="n"/>
      <c r="R38" s="10" t="n"/>
      <c r="S38" s="10" t="n"/>
      <c r="T38" s="11" t="n"/>
      <c r="U38" s="47" t="inlineStr">
        <is>
          <t>高</t>
        </is>
      </c>
      <c r="V38" s="11" t="n"/>
      <c r="W38" s="46" t="inlineStr">
        <is>
          <t>全システム</t>
        </is>
      </c>
      <c r="X38" s="10" t="n"/>
      <c r="Y38" s="10" t="n"/>
      <c r="Z38" s="10" t="n"/>
      <c r="AA38" s="10" t="n"/>
      <c r="AB38" s="10" t="n"/>
      <c r="AC38" s="11" t="n"/>
      <c r="AD38" s="45" t="n">
        <v>40</v>
      </c>
      <c r="AE38" s="10" t="n"/>
      <c r="AF38" s="11" t="n"/>
    </row>
    <row r="39" ht="30" customHeight="1">
      <c r="B39" s="44" t="n">
        <v>32</v>
      </c>
      <c r="C39" s="45" t="inlineStr">
        <is>
          <t>VP-D-05</t>
        </is>
      </c>
      <c r="D39" s="10" t="n"/>
      <c r="E39" s="11" t="n"/>
      <c r="F39" s="46" t="inlineStr">
        <is>
          <t>D. 統合・システム</t>
        </is>
      </c>
      <c r="G39" s="10" t="n"/>
      <c r="H39" s="10" t="n"/>
      <c r="I39" s="10" t="n"/>
      <c r="J39" s="10" t="n"/>
      <c r="K39" s="10" t="n"/>
      <c r="L39" s="11" t="n"/>
      <c r="M39" s="46" t="inlineStr">
        <is>
          <t>ファイルアップロード S3</t>
        </is>
      </c>
      <c r="N39" s="10" t="n"/>
      <c r="O39" s="10" t="n"/>
      <c r="P39" s="10" t="n"/>
      <c r="Q39" s="10" t="n"/>
      <c r="R39" s="10" t="n"/>
      <c r="S39" s="10" t="n"/>
      <c r="T39" s="11" t="n"/>
      <c r="U39" s="48" t="inlineStr">
        <is>
          <t>中</t>
        </is>
      </c>
      <c r="V39" s="11" t="n"/>
      <c r="W39" s="46" t="inlineStr">
        <is>
          <t>SCR-022</t>
        </is>
      </c>
      <c r="X39" s="10" t="n"/>
      <c r="Y39" s="10" t="n"/>
      <c r="Z39" s="10" t="n"/>
      <c r="AA39" s="10" t="n"/>
      <c r="AB39" s="10" t="n"/>
      <c r="AC39" s="11" t="n"/>
      <c r="AD39" s="45" t="n">
        <v>20</v>
      </c>
      <c r="AE39" s="10" t="n"/>
      <c r="AF39" s="11" t="n"/>
    </row>
    <row r="40" ht="30" customHeight="1">
      <c r="B40" s="44" t="n">
        <v>33</v>
      </c>
      <c r="C40" s="45" t="inlineStr">
        <is>
          <t>VP-D-06</t>
        </is>
      </c>
      <c r="D40" s="10" t="n"/>
      <c r="E40" s="11" t="n"/>
      <c r="F40" s="46" t="inlineStr">
        <is>
          <t>D. 統合・システム</t>
        </is>
      </c>
      <c r="G40" s="10" t="n"/>
      <c r="H40" s="10" t="n"/>
      <c r="I40" s="10" t="n"/>
      <c r="J40" s="10" t="n"/>
      <c r="K40" s="10" t="n"/>
      <c r="L40" s="11" t="n"/>
      <c r="M40" s="46" t="inlineStr">
        <is>
          <t>メール通知</t>
        </is>
      </c>
      <c r="N40" s="10" t="n"/>
      <c r="O40" s="10" t="n"/>
      <c r="P40" s="10" t="n"/>
      <c r="Q40" s="10" t="n"/>
      <c r="R40" s="10" t="n"/>
      <c r="S40" s="10" t="n"/>
      <c r="T40" s="11" t="n"/>
      <c r="U40" s="48" t="inlineStr">
        <is>
          <t>中</t>
        </is>
      </c>
      <c r="V40" s="11" t="n"/>
      <c r="W40" s="46" t="inlineStr">
        <is>
          <t>SCR-001／007／お知らせ</t>
        </is>
      </c>
      <c r="X40" s="10" t="n"/>
      <c r="Y40" s="10" t="n"/>
      <c r="Z40" s="10" t="n"/>
      <c r="AA40" s="10" t="n"/>
      <c r="AB40" s="10" t="n"/>
      <c r="AC40" s="11" t="n"/>
      <c r="AD40" s="45" t="n">
        <v>12</v>
      </c>
      <c r="AE40" s="10" t="n"/>
      <c r="AF40" s="11" t="n"/>
    </row>
    <row r="41" ht="30" customHeight="1">
      <c r="B41" s="44" t="n">
        <v>34</v>
      </c>
      <c r="C41" s="45" t="inlineStr">
        <is>
          <t>VP-D-07</t>
        </is>
      </c>
      <c r="D41" s="10" t="n"/>
      <c r="E41" s="11" t="n"/>
      <c r="F41" s="46" t="inlineStr">
        <is>
          <t>D. 統合・システム</t>
        </is>
      </c>
      <c r="G41" s="10" t="n"/>
      <c r="H41" s="10" t="n"/>
      <c r="I41" s="10" t="n"/>
      <c r="J41" s="10" t="n"/>
      <c r="K41" s="10" t="n"/>
      <c r="L41" s="11" t="n"/>
      <c r="M41" s="46" t="inlineStr">
        <is>
          <t>外部 CSV 形式準拠</t>
        </is>
      </c>
      <c r="N41" s="10" t="n"/>
      <c r="O41" s="10" t="n"/>
      <c r="P41" s="10" t="n"/>
      <c r="Q41" s="10" t="n"/>
      <c r="R41" s="10" t="n"/>
      <c r="S41" s="10" t="n"/>
      <c r="T41" s="11" t="n"/>
      <c r="U41" s="47" t="inlineStr">
        <is>
          <t>高</t>
        </is>
      </c>
      <c r="V41" s="11" t="n"/>
      <c r="W41" s="46" t="inlineStr">
        <is>
          <t>SCR-008／009</t>
        </is>
      </c>
      <c r="X41" s="10" t="n"/>
      <c r="Y41" s="10" t="n"/>
      <c r="Z41" s="10" t="n"/>
      <c r="AA41" s="10" t="n"/>
      <c r="AB41" s="10" t="n"/>
      <c r="AC41" s="11" t="n"/>
      <c r="AD41" s="45" t="n">
        <v>15</v>
      </c>
      <c r="AE41" s="10" t="n"/>
      <c r="AF41" s="11" t="n"/>
    </row>
    <row r="42" ht="30" customHeight="1">
      <c r="B42" s="44" t="n">
        <v>35</v>
      </c>
      <c r="C42" s="45" t="inlineStr">
        <is>
          <t>VP-D-08</t>
        </is>
      </c>
      <c r="D42" s="10" t="n"/>
      <c r="E42" s="11" t="n"/>
      <c r="F42" s="46" t="inlineStr">
        <is>
          <t>D. 統合・システム</t>
        </is>
      </c>
      <c r="G42" s="10" t="n"/>
      <c r="H42" s="10" t="n"/>
      <c r="I42" s="10" t="n"/>
      <c r="J42" s="10" t="n"/>
      <c r="K42" s="10" t="n"/>
      <c r="L42" s="11" t="n"/>
      <c r="M42" s="46" t="inlineStr">
        <is>
          <t>ネットワーク／500／タイムアウト</t>
        </is>
      </c>
      <c r="N42" s="10" t="n"/>
      <c r="O42" s="10" t="n"/>
      <c r="P42" s="10" t="n"/>
      <c r="Q42" s="10" t="n"/>
      <c r="R42" s="10" t="n"/>
      <c r="S42" s="10" t="n"/>
      <c r="T42" s="11" t="n"/>
      <c r="U42" s="48" t="inlineStr">
        <is>
          <t>中</t>
        </is>
      </c>
      <c r="V42" s="11" t="n"/>
      <c r="W42" s="46" t="inlineStr">
        <is>
          <t>全システム</t>
        </is>
      </c>
      <c r="X42" s="10" t="n"/>
      <c r="Y42" s="10" t="n"/>
      <c r="Z42" s="10" t="n"/>
      <c r="AA42" s="10" t="n"/>
      <c r="AB42" s="10" t="n"/>
      <c r="AC42" s="11" t="n"/>
      <c r="AD42" s="45" t="n">
        <v>30</v>
      </c>
      <c r="AE42" s="10" t="n"/>
      <c r="AF42" s="11" t="n"/>
    </row>
    <row r="43" ht="36" customHeight="1">
      <c r="B43" s="44" t="n">
        <v>36</v>
      </c>
      <c r="C43" s="45" t="inlineStr">
        <is>
          <t>VP-D-09</t>
        </is>
      </c>
      <c r="D43" s="10" t="n"/>
      <c r="E43" s="11" t="n"/>
      <c r="F43" s="46" t="inlineStr">
        <is>
          <t>D. 統合・システム</t>
        </is>
      </c>
      <c r="G43" s="10" t="n"/>
      <c r="H43" s="10" t="n"/>
      <c r="I43" s="10" t="n"/>
      <c r="J43" s="10" t="n"/>
      <c r="K43" s="10" t="n"/>
      <c r="L43" s="11" t="n"/>
      <c r="M43" s="46" t="inlineStr">
        <is>
          <t>パスワード再発行 旧token無効化＋クールダウン</t>
        </is>
      </c>
      <c r="N43" s="10" t="n"/>
      <c r="O43" s="10" t="n"/>
      <c r="P43" s="10" t="n"/>
      <c r="Q43" s="10" t="n"/>
      <c r="R43" s="10" t="n"/>
      <c r="S43" s="10" t="n"/>
      <c r="T43" s="11" t="n"/>
      <c r="U43" s="47" t="inlineStr">
        <is>
          <t>高</t>
        </is>
      </c>
      <c r="V43" s="11" t="n"/>
      <c r="W43" s="46" t="inlineStr">
        <is>
          <t>SCR-007</t>
        </is>
      </c>
      <c r="X43" s="10" t="n"/>
      <c r="Y43" s="10" t="n"/>
      <c r="Z43" s="10" t="n"/>
      <c r="AA43" s="10" t="n"/>
      <c r="AB43" s="10" t="n"/>
      <c r="AC43" s="11" t="n"/>
      <c r="AD43" s="45" t="n">
        <v>6</v>
      </c>
      <c r="AE43" s="10" t="n"/>
      <c r="AF43" s="11" t="n"/>
    </row>
    <row r="44" ht="30" customHeight="1">
      <c r="B44" s="44" t="n">
        <v>37</v>
      </c>
      <c r="C44" s="45" t="inlineStr">
        <is>
          <t>VP-E-01</t>
        </is>
      </c>
      <c r="D44" s="10" t="n"/>
      <c r="E44" s="11" t="n"/>
      <c r="F44" s="46" t="inlineStr">
        <is>
          <t>E. 非機能・ユーザビリティ</t>
        </is>
      </c>
      <c r="G44" s="10" t="n"/>
      <c r="H44" s="10" t="n"/>
      <c r="I44" s="10" t="n"/>
      <c r="J44" s="10" t="n"/>
      <c r="K44" s="10" t="n"/>
      <c r="L44" s="11" t="n"/>
      <c r="M44" s="46" t="inlineStr">
        <is>
          <t>レイアウト／デザイントークン</t>
        </is>
      </c>
      <c r="N44" s="10" t="n"/>
      <c r="O44" s="10" t="n"/>
      <c r="P44" s="10" t="n"/>
      <c r="Q44" s="10" t="n"/>
      <c r="R44" s="10" t="n"/>
      <c r="S44" s="10" t="n"/>
      <c r="T44" s="11" t="n"/>
      <c r="U44" s="49" t="inlineStr">
        <is>
          <t>低</t>
        </is>
      </c>
      <c r="V44" s="11" t="n"/>
      <c r="W44" s="46" t="inlineStr">
        <is>
          <t>全画面</t>
        </is>
      </c>
      <c r="X44" s="10" t="n"/>
      <c r="Y44" s="10" t="n"/>
      <c r="Z44" s="10" t="n"/>
      <c r="AA44" s="10" t="n"/>
      <c r="AB44" s="10" t="n"/>
      <c r="AC44" s="11" t="n"/>
      <c r="AD44" s="45" t="n">
        <v>60</v>
      </c>
      <c r="AE44" s="10" t="n"/>
      <c r="AF44" s="11" t="n"/>
    </row>
    <row r="45" ht="36" customHeight="1">
      <c r="B45" s="44" t="n">
        <v>38</v>
      </c>
      <c r="C45" s="45" t="inlineStr">
        <is>
          <t>VP-E-02</t>
        </is>
      </c>
      <c r="D45" s="10" t="n"/>
      <c r="E45" s="11" t="n"/>
      <c r="F45" s="46" t="inlineStr">
        <is>
          <t>E. 非機能・ユーザビリティ</t>
        </is>
      </c>
      <c r="G45" s="10" t="n"/>
      <c r="H45" s="10" t="n"/>
      <c r="I45" s="10" t="n"/>
      <c r="J45" s="10" t="n"/>
      <c r="K45" s="10" t="n"/>
      <c r="L45" s="11" t="n"/>
      <c r="M45" s="46" t="inlineStr">
        <is>
          <t>レスポンシブ（モバイル／タブレット）</t>
        </is>
      </c>
      <c r="N45" s="10" t="n"/>
      <c r="O45" s="10" t="n"/>
      <c r="P45" s="10" t="n"/>
      <c r="Q45" s="10" t="n"/>
      <c r="R45" s="10" t="n"/>
      <c r="S45" s="10" t="n"/>
      <c r="T45" s="11" t="n"/>
      <c r="U45" s="49" t="inlineStr">
        <is>
          <t>低</t>
        </is>
      </c>
      <c r="V45" s="11" t="n"/>
      <c r="W45" s="46" t="inlineStr">
        <is>
          <t>全画面</t>
        </is>
      </c>
      <c r="X45" s="10" t="n"/>
      <c r="Y45" s="10" t="n"/>
      <c r="Z45" s="10" t="n"/>
      <c r="AA45" s="10" t="n"/>
      <c r="AB45" s="10" t="n"/>
      <c r="AC45" s="11" t="n"/>
      <c r="AD45" s="45" t="n">
        <v>40</v>
      </c>
      <c r="AE45" s="10" t="n"/>
      <c r="AF45" s="11" t="n"/>
    </row>
    <row r="46" ht="30" customHeight="1">
      <c r="B46" s="44" t="n">
        <v>39</v>
      </c>
      <c r="C46" s="45" t="inlineStr">
        <is>
          <t>VP-E-03</t>
        </is>
      </c>
      <c r="D46" s="10" t="n"/>
      <c r="E46" s="11" t="n"/>
      <c r="F46" s="46" t="inlineStr">
        <is>
          <t>E. 非機能・ユーザビリティ</t>
        </is>
      </c>
      <c r="G46" s="10" t="n"/>
      <c r="H46" s="10" t="n"/>
      <c r="I46" s="10" t="n"/>
      <c r="J46" s="10" t="n"/>
      <c r="K46" s="10" t="n"/>
      <c r="L46" s="11" t="n"/>
      <c r="M46" s="46" t="inlineStr">
        <is>
          <t>キーボード操作</t>
        </is>
      </c>
      <c r="N46" s="10" t="n"/>
      <c r="O46" s="10" t="n"/>
      <c r="P46" s="10" t="n"/>
      <c r="Q46" s="10" t="n"/>
      <c r="R46" s="10" t="n"/>
      <c r="S46" s="10" t="n"/>
      <c r="T46" s="11" t="n"/>
      <c r="U46" s="49" t="inlineStr">
        <is>
          <t>低</t>
        </is>
      </c>
      <c r="V46" s="11" t="n"/>
      <c r="W46" s="46" t="inlineStr">
        <is>
          <t>約25フォーム</t>
        </is>
      </c>
      <c r="X46" s="10" t="n"/>
      <c r="Y46" s="10" t="n"/>
      <c r="Z46" s="10" t="n"/>
      <c r="AA46" s="10" t="n"/>
      <c r="AB46" s="10" t="n"/>
      <c r="AC46" s="11" t="n"/>
      <c r="AD46" s="45" t="n">
        <v>25</v>
      </c>
      <c r="AE46" s="10" t="n"/>
      <c r="AF46" s="11" t="n"/>
    </row>
    <row r="47" ht="30" customHeight="1">
      <c r="B47" s="44" t="n">
        <v>40</v>
      </c>
      <c r="C47" s="45" t="inlineStr">
        <is>
          <t>VP-E-04</t>
        </is>
      </c>
      <c r="D47" s="10" t="n"/>
      <c r="E47" s="11" t="n"/>
      <c r="F47" s="46" t="inlineStr">
        <is>
          <t>E. 非機能・ユーザビリティ</t>
        </is>
      </c>
      <c r="G47" s="10" t="n"/>
      <c r="H47" s="10" t="n"/>
      <c r="I47" s="10" t="n"/>
      <c r="J47" s="10" t="n"/>
      <c r="K47" s="10" t="n"/>
      <c r="L47" s="11" t="n"/>
      <c r="M47" s="46" t="inlineStr">
        <is>
          <t>ブラウザ互換性</t>
        </is>
      </c>
      <c r="N47" s="10" t="n"/>
      <c r="O47" s="10" t="n"/>
      <c r="P47" s="10" t="n"/>
      <c r="Q47" s="10" t="n"/>
      <c r="R47" s="10" t="n"/>
      <c r="S47" s="10" t="n"/>
      <c r="T47" s="11" t="n"/>
      <c r="U47" s="49" t="inlineStr">
        <is>
          <t>低</t>
        </is>
      </c>
      <c r="V47" s="11" t="n"/>
      <c r="W47" s="46" t="inlineStr">
        <is>
          <t>全システム</t>
        </is>
      </c>
      <c r="X47" s="10" t="n"/>
      <c r="Y47" s="10" t="n"/>
      <c r="Z47" s="10" t="n"/>
      <c r="AA47" s="10" t="n"/>
      <c r="AB47" s="10" t="n"/>
      <c r="AC47" s="11" t="n"/>
      <c r="AD47" s="45" t="n">
        <v>5</v>
      </c>
      <c r="AE47" s="10" t="n"/>
      <c r="AF47" s="11" t="n"/>
    </row>
    <row r="48" ht="30" customHeight="1">
      <c r="B48" s="44" t="n">
        <v>41</v>
      </c>
      <c r="C48" s="45" t="inlineStr">
        <is>
          <t>VP-E-05</t>
        </is>
      </c>
      <c r="D48" s="10" t="n"/>
      <c r="E48" s="11" t="n"/>
      <c r="F48" s="46" t="inlineStr">
        <is>
          <t>E. 非機能・ユーザビリティ</t>
        </is>
      </c>
      <c r="G48" s="10" t="n"/>
      <c r="H48" s="10" t="n"/>
      <c r="I48" s="10" t="n"/>
      <c r="J48" s="10" t="n"/>
      <c r="K48" s="10" t="n"/>
      <c r="L48" s="11" t="n"/>
      <c r="M48" s="46" t="inlineStr">
        <is>
          <t>マルチタブセッション同期</t>
        </is>
      </c>
      <c r="N48" s="10" t="n"/>
      <c r="O48" s="10" t="n"/>
      <c r="P48" s="10" t="n"/>
      <c r="Q48" s="10" t="n"/>
      <c r="R48" s="10" t="n"/>
      <c r="S48" s="10" t="n"/>
      <c r="T48" s="11" t="n"/>
      <c r="U48" s="47" t="inlineStr">
        <is>
          <t>高</t>
        </is>
      </c>
      <c r="V48" s="11" t="n"/>
      <c r="W48" s="46" t="inlineStr">
        <is>
          <t>全システム</t>
        </is>
      </c>
      <c r="X48" s="10" t="n"/>
      <c r="Y48" s="10" t="n"/>
      <c r="Z48" s="10" t="n"/>
      <c r="AA48" s="10" t="n"/>
      <c r="AB48" s="10" t="n"/>
      <c r="AC48" s="11" t="n"/>
      <c r="AD48" s="45" t="n">
        <v>5</v>
      </c>
      <c r="AE48" s="10" t="n"/>
      <c r="AF48" s="11" t="n"/>
    </row>
    <row r="49" ht="30" customHeight="1">
      <c r="B49" s="44" t="n">
        <v>42</v>
      </c>
      <c r="C49" s="45" t="inlineStr">
        <is>
          <t>VP-E-07</t>
        </is>
      </c>
      <c r="D49" s="10" t="n"/>
      <c r="E49" s="11" t="n"/>
      <c r="F49" s="46" t="inlineStr">
        <is>
          <t>E. 非機能・ユーザビリティ</t>
        </is>
      </c>
      <c r="G49" s="10" t="n"/>
      <c r="H49" s="10" t="n"/>
      <c r="I49" s="10" t="n"/>
      <c r="J49" s="10" t="n"/>
      <c r="K49" s="10" t="n"/>
      <c r="L49" s="11" t="n"/>
      <c r="M49" s="46" t="inlineStr">
        <is>
          <t>未保存変更ガード・ブラウザ離脱</t>
        </is>
      </c>
      <c r="N49" s="10" t="n"/>
      <c r="O49" s="10" t="n"/>
      <c r="P49" s="10" t="n"/>
      <c r="Q49" s="10" t="n"/>
      <c r="R49" s="10" t="n"/>
      <c r="S49" s="10" t="n"/>
      <c r="T49" s="11" t="n"/>
      <c r="U49" s="48" t="inlineStr">
        <is>
          <t>中</t>
        </is>
      </c>
      <c r="V49" s="11" t="n"/>
      <c r="W49" s="46" t="inlineStr">
        <is>
          <t>全 CRUD 編集フォーム</t>
        </is>
      </c>
      <c r="X49" s="10" t="n"/>
      <c r="Y49" s="10" t="n"/>
      <c r="Z49" s="10" t="n"/>
      <c r="AA49" s="10" t="n"/>
      <c r="AB49" s="10" t="n"/>
      <c r="AC49" s="11" t="n"/>
      <c r="AD49" s="45" t="n">
        <v>8</v>
      </c>
      <c r="AE49" s="10" t="n"/>
      <c r="AF49" s="11" t="n"/>
    </row>
    <row r="50" ht="30" customHeight="1">
      <c r="B50" s="44" t="n">
        <v>43</v>
      </c>
      <c r="C50" s="45" t="inlineStr">
        <is>
          <t>VP-F-01</t>
        </is>
      </c>
      <c r="D50" s="10" t="n"/>
      <c r="E50" s="11" t="n"/>
      <c r="F50" s="46" t="inlineStr">
        <is>
          <t>F. 性能</t>
        </is>
      </c>
      <c r="G50" s="10" t="n"/>
      <c r="H50" s="10" t="n"/>
      <c r="I50" s="10" t="n"/>
      <c r="J50" s="10" t="n"/>
      <c r="K50" s="10" t="n"/>
      <c r="L50" s="11" t="n"/>
      <c r="M50" s="46" t="inlineStr">
        <is>
          <t>性能ベンチマーク</t>
        </is>
      </c>
      <c r="N50" s="10" t="n"/>
      <c r="O50" s="10" t="n"/>
      <c r="P50" s="10" t="n"/>
      <c r="Q50" s="10" t="n"/>
      <c r="R50" s="10" t="n"/>
      <c r="S50" s="10" t="n"/>
      <c r="T50" s="11" t="n"/>
      <c r="U50" s="48" t="inlineStr">
        <is>
          <t>中</t>
        </is>
      </c>
      <c r="V50" s="11" t="n"/>
      <c r="W50" s="46" t="inlineStr">
        <is>
          <t>全画面パフォーマンス計測対象</t>
        </is>
      </c>
      <c r="X50" s="10" t="n"/>
      <c r="Y50" s="10" t="n"/>
      <c r="Z50" s="10" t="n"/>
      <c r="AA50" s="10" t="n"/>
      <c r="AB50" s="10" t="n"/>
      <c r="AC50" s="11" t="n"/>
      <c r="AD50" s="45" t="n">
        <v>12</v>
      </c>
      <c r="AE50" s="10" t="n"/>
      <c r="AF50" s="11" t="n"/>
    </row>
    <row r="51" ht="30" customHeight="1">
      <c r="B51" s="44" t="n">
        <v>44</v>
      </c>
      <c r="C51" s="45" t="inlineStr">
        <is>
          <t>VP-F-02</t>
        </is>
      </c>
      <c r="D51" s="10" t="n"/>
      <c r="E51" s="11" t="n"/>
      <c r="F51" s="46" t="inlineStr">
        <is>
          <t>F. 性能</t>
        </is>
      </c>
      <c r="G51" s="10" t="n"/>
      <c r="H51" s="10" t="n"/>
      <c r="I51" s="10" t="n"/>
      <c r="J51" s="10" t="n"/>
      <c r="K51" s="10" t="n"/>
      <c r="L51" s="11" t="n"/>
      <c r="M51" s="46" t="inlineStr">
        <is>
          <t>大量データ表示性能</t>
        </is>
      </c>
      <c r="N51" s="10" t="n"/>
      <c r="O51" s="10" t="n"/>
      <c r="P51" s="10" t="n"/>
      <c r="Q51" s="10" t="n"/>
      <c r="R51" s="10" t="n"/>
      <c r="S51" s="10" t="n"/>
      <c r="T51" s="11" t="n"/>
      <c r="U51" s="48" t="inlineStr">
        <is>
          <t>中</t>
        </is>
      </c>
      <c r="V51" s="11" t="n"/>
      <c r="W51" s="46" t="inlineStr">
        <is>
          <t>一覧／レポート画面</t>
        </is>
      </c>
      <c r="X51" s="10" t="n"/>
      <c r="Y51" s="10" t="n"/>
      <c r="Z51" s="10" t="n"/>
      <c r="AA51" s="10" t="n"/>
      <c r="AB51" s="10" t="n"/>
      <c r="AC51" s="11" t="n"/>
      <c r="AD51" s="45" t="n">
        <v>8</v>
      </c>
      <c r="AE51" s="10" t="n"/>
      <c r="AF51" s="11" t="n"/>
    </row>
    <row r="52" ht="22.5" customHeight="1">
      <c r="B52" s="50" t="inlineStr">
        <is>
          <t>合計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1" t="n"/>
      <c r="U52" s="36" t="inlineStr"/>
      <c r="V52" s="11" t="n"/>
      <c r="W52" s="36" t="inlineStr"/>
      <c r="X52" s="10" t="n"/>
      <c r="Y52" s="10" t="n"/>
      <c r="Z52" s="10" t="n"/>
      <c r="AA52" s="10" t="n"/>
      <c r="AB52" s="10" t="n"/>
      <c r="AC52" s="11" t="n"/>
      <c r="AD52" s="36">
        <f>SUM(AD8:AD51)</f>
        <v/>
      </c>
      <c r="AE52" s="10" t="n"/>
      <c r="AF52" s="11" t="n"/>
    </row>
    <row r="54" ht="19.5" customHeight="1">
      <c r="B54" s="28" t="inlineStr">
        <is>
          <t>2. 観点ID 命名規約・グループ凡例</t>
        </is>
      </c>
    </row>
    <row r="56" ht="28.5" customHeight="1">
      <c r="B56" s="43" t="inlineStr">
        <is>
          <t>グループ</t>
        </is>
      </c>
      <c r="C56" s="11" t="n"/>
      <c r="D56" s="43" t="inlineStr">
        <is>
          <t>接頭辞</t>
        </is>
      </c>
      <c r="E56" s="10" t="n"/>
      <c r="F56" s="11" t="n"/>
      <c r="G56" s="43" t="inlineStr">
        <is>
          <t>名称</t>
        </is>
      </c>
      <c r="H56" s="10" t="n"/>
      <c r="I56" s="10" t="n"/>
      <c r="J56" s="10" t="n"/>
      <c r="K56" s="10" t="n"/>
      <c r="L56" s="11" t="n"/>
      <c r="M56" s="43" t="inlineStr">
        <is>
          <t>観点数</t>
        </is>
      </c>
      <c r="N56" s="11" t="n"/>
      <c r="O56" s="43" t="inlineStr">
        <is>
          <t>リスク傾向</t>
        </is>
      </c>
      <c r="P56" s="10" t="n"/>
      <c r="Q56" s="11" t="n"/>
      <c r="R56" s="43" t="inlineStr">
        <is>
          <t>代表的なテスト観点</t>
        </is>
      </c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1" t="n"/>
    </row>
    <row r="57" ht="36" customHeight="1">
      <c r="B57" s="51" t="inlineStr">
        <is>
          <t>A</t>
        </is>
      </c>
      <c r="C57" s="11" t="n"/>
      <c r="D57" s="45" t="inlineStr">
        <is>
          <t>VP-A-NN</t>
        </is>
      </c>
      <c r="E57" s="10" t="n"/>
      <c r="F57" s="11" t="n"/>
      <c r="G57" s="46" t="inlineStr">
        <is>
          <t>セキュリティ・権限</t>
        </is>
      </c>
      <c r="H57" s="10" t="n"/>
      <c r="I57" s="10" t="n"/>
      <c r="J57" s="10" t="n"/>
      <c r="K57" s="10" t="n"/>
      <c r="L57" s="11" t="n"/>
      <c r="M57" s="45" t="n">
        <v>10</v>
      </c>
      <c r="N57" s="11" t="n"/>
      <c r="O57" s="45" t="inlineStr">
        <is>
          <t>高</t>
        </is>
      </c>
      <c r="P57" s="10" t="n"/>
      <c r="Q57" s="11" t="n"/>
      <c r="R57" s="46" t="inlineStr">
        <is>
          <t>RBAC、DataScope、項目レベル制限、URL直接攻撃、セッション失効、XSS、CSRF、レート制限、アカウントロック、SQL注入</t>
        </is>
      </c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1" t="n"/>
    </row>
    <row r="58" ht="30" customHeight="1">
      <c r="B58" s="51" t="inlineStr">
        <is>
          <t>B</t>
        </is>
      </c>
      <c r="C58" s="11" t="n"/>
      <c r="D58" s="45" t="inlineStr">
        <is>
          <t>VP-B-NN</t>
        </is>
      </c>
      <c r="E58" s="10" t="n"/>
      <c r="F58" s="11" t="n"/>
      <c r="G58" s="46" t="inlineStr">
        <is>
          <t>データバリデーション</t>
        </is>
      </c>
      <c r="H58" s="10" t="n"/>
      <c r="I58" s="10" t="n"/>
      <c r="J58" s="10" t="n"/>
      <c r="K58" s="10" t="n"/>
      <c r="L58" s="11" t="n"/>
      <c r="M58" s="45" t="n">
        <v>9</v>
      </c>
      <c r="N58" s="11" t="n"/>
      <c r="O58" s="45" t="inlineStr">
        <is>
          <t>中</t>
        </is>
      </c>
      <c r="P58" s="10" t="n"/>
      <c r="Q58" s="11" t="n"/>
      <c r="R58" s="46" t="inlineStr">
        <is>
          <t>必須／長さ／形式／半角全角／日付／通貨／m_code／重複キー／IME・貼付ハンドリング</t>
        </is>
      </c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1" t="n"/>
    </row>
    <row r="59" ht="36" customHeight="1">
      <c r="B59" s="51" t="inlineStr">
        <is>
          <t>C</t>
        </is>
      </c>
      <c r="C59" s="11" t="n"/>
      <c r="D59" s="45" t="inlineStr">
        <is>
          <t>VP-C-NN</t>
        </is>
      </c>
      <c r="E59" s="10" t="n"/>
      <c r="F59" s="11" t="n"/>
      <c r="G59" s="46" t="inlineStr">
        <is>
          <t>業務ロジック</t>
        </is>
      </c>
      <c r="H59" s="10" t="n"/>
      <c r="I59" s="10" t="n"/>
      <c r="J59" s="10" t="n"/>
      <c r="K59" s="10" t="n"/>
      <c r="L59" s="11" t="n"/>
      <c r="M59" s="45" t="n">
        <v>8</v>
      </c>
      <c r="N59" s="11" t="n"/>
      <c r="O59" s="45" t="inlineStr">
        <is>
          <t>高</t>
        </is>
      </c>
      <c r="P59" s="10" t="n"/>
      <c r="Q59" s="11" t="n"/>
      <c r="R59" s="46" t="inlineStr">
        <is>
          <t>CRUD 永続化、同時編集競合、論理削除＋FK、税計算、購読者ルール、Excel 取込、レポート集計</t>
        </is>
      </c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1" t="n"/>
    </row>
    <row r="60" ht="36" customHeight="1">
      <c r="B60" s="51" t="inlineStr">
        <is>
          <t>D</t>
        </is>
      </c>
      <c r="C60" s="11" t="n"/>
      <c r="D60" s="45" t="inlineStr">
        <is>
          <t>VP-D-NN</t>
        </is>
      </c>
      <c r="E60" s="10" t="n"/>
      <c r="F60" s="11" t="n"/>
      <c r="G60" s="46" t="inlineStr">
        <is>
          <t>統合・システム</t>
        </is>
      </c>
      <c r="H60" s="10" t="n"/>
      <c r="I60" s="10" t="n"/>
      <c r="J60" s="10" t="n"/>
      <c r="K60" s="10" t="n"/>
      <c r="L60" s="11" t="n"/>
      <c r="M60" s="45" t="n">
        <v>9</v>
      </c>
      <c r="N60" s="11" t="n"/>
      <c r="O60" s="45" t="inlineStr">
        <is>
          <t>高</t>
        </is>
      </c>
      <c r="P60" s="10" t="n"/>
      <c r="Q60" s="11" t="n"/>
      <c r="R60" s="46" t="inlineStr">
        <is>
          <t>ログイン＋MFA、セッション管理、パスワード再発行、監査ログ、S3、メール、CSV 準拠、ネットワーク／500</t>
        </is>
      </c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1" t="n"/>
    </row>
    <row r="61" ht="36" customHeight="1">
      <c r="B61" s="51" t="inlineStr">
        <is>
          <t>E</t>
        </is>
      </c>
      <c r="C61" s="11" t="n"/>
      <c r="D61" s="45" t="inlineStr">
        <is>
          <t>VP-E-NN</t>
        </is>
      </c>
      <c r="E61" s="10" t="n"/>
      <c r="F61" s="11" t="n"/>
      <c r="G61" s="46" t="inlineStr">
        <is>
          <t>非機能・ユーザビリティ</t>
        </is>
      </c>
      <c r="H61" s="10" t="n"/>
      <c r="I61" s="10" t="n"/>
      <c r="J61" s="10" t="n"/>
      <c r="K61" s="10" t="n"/>
      <c r="L61" s="11" t="n"/>
      <c r="M61" s="45" t="n">
        <v>6</v>
      </c>
      <c r="N61" s="11" t="n"/>
      <c r="O61" s="45" t="inlineStr">
        <is>
          <t>低〜中</t>
        </is>
      </c>
      <c r="P61" s="10" t="n"/>
      <c r="Q61" s="11" t="n"/>
      <c r="R61" s="46" t="inlineStr">
        <is>
          <t>レイアウト、レスポンシブ、キーボード操作、ブラウザ互換、マルチタブ同期、未保存変更ガード</t>
        </is>
      </c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1" t="n"/>
    </row>
    <row r="62" ht="30" customHeight="1">
      <c r="B62" s="51" t="inlineStr">
        <is>
          <t>F</t>
        </is>
      </c>
      <c r="C62" s="11" t="n"/>
      <c r="D62" s="45" t="inlineStr">
        <is>
          <t>VP-F-NN</t>
        </is>
      </c>
      <c r="E62" s="10" t="n"/>
      <c r="F62" s="11" t="n"/>
      <c r="G62" s="46" t="inlineStr">
        <is>
          <t>性能</t>
        </is>
      </c>
      <c r="H62" s="10" t="n"/>
      <c r="I62" s="10" t="n"/>
      <c r="J62" s="10" t="n"/>
      <c r="K62" s="10" t="n"/>
      <c r="L62" s="11" t="n"/>
      <c r="M62" s="45" t="n">
        <v>2</v>
      </c>
      <c r="N62" s="11" t="n"/>
      <c r="O62" s="45" t="inlineStr">
        <is>
          <t>中</t>
        </is>
      </c>
      <c r="P62" s="10" t="n"/>
      <c r="Q62" s="11" t="n"/>
      <c r="R62" s="46" t="inlineStr">
        <is>
          <t>性能ベンチマーク、大量データ表示性能</t>
        </is>
      </c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1" t="n"/>
    </row>
    <row r="64" ht="30" customHeight="1">
      <c r="B64" s="52" t="inlineStr">
        <is>
          <t>命名規約：VP-{グループ記号}-{NN} 形式（NN はグループ内の2桁連番）。新規観点は同グループの末尾に追加する（例：VP-A-11）。グループ記号はリスク軸による分類で、JSTQB FL の品質特性区分に準拠する。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1" t="n"/>
    </row>
  </sheetData>
  <mergeCells count="333">
    <mergeCell ref="AD34:AF34"/>
    <mergeCell ref="AD28:AF28"/>
    <mergeCell ref="C21:E21"/>
    <mergeCell ref="AD36:AF36"/>
    <mergeCell ref="AD30:AF30"/>
    <mergeCell ref="M60:N60"/>
    <mergeCell ref="C23:E23"/>
    <mergeCell ref="J1:P1"/>
    <mergeCell ref="AH2:AK3"/>
    <mergeCell ref="M31:T31"/>
    <mergeCell ref="C18:E18"/>
    <mergeCell ref="C34:E34"/>
    <mergeCell ref="F18:L18"/>
    <mergeCell ref="F45:L45"/>
    <mergeCell ref="AD29:AF29"/>
    <mergeCell ref="F17:L17"/>
    <mergeCell ref="U20:V20"/>
    <mergeCell ref="W7:AC7"/>
    <mergeCell ref="U14:V14"/>
    <mergeCell ref="F47:L47"/>
    <mergeCell ref="F46:L46"/>
    <mergeCell ref="U22:V22"/>
    <mergeCell ref="W8:AC8"/>
    <mergeCell ref="F48:L48"/>
    <mergeCell ref="Z1:AC1"/>
    <mergeCell ref="O59:Q59"/>
    <mergeCell ref="AD49:AF49"/>
    <mergeCell ref="O61:Q61"/>
    <mergeCell ref="U13:V13"/>
    <mergeCell ref="U7:V7"/>
    <mergeCell ref="AD50:AF50"/>
    <mergeCell ref="AD42:AF42"/>
    <mergeCell ref="AD52:AF52"/>
    <mergeCell ref="C24:E24"/>
    <mergeCell ref="U8:V8"/>
    <mergeCell ref="C26:E26"/>
    <mergeCell ref="U10:V10"/>
    <mergeCell ref="M32:T32"/>
    <mergeCell ref="W21:AC21"/>
    <mergeCell ref="G62:L62"/>
    <mergeCell ref="AD32:AF32"/>
    <mergeCell ref="AD26:AF26"/>
    <mergeCell ref="W10:AC10"/>
    <mergeCell ref="M16:T16"/>
    <mergeCell ref="C37:E37"/>
    <mergeCell ref="U21:V21"/>
    <mergeCell ref="M27:T27"/>
    <mergeCell ref="M18:T18"/>
    <mergeCell ref="F51:L51"/>
    <mergeCell ref="M45:T45"/>
    <mergeCell ref="AH1:AK1"/>
    <mergeCell ref="C14:E14"/>
    <mergeCell ref="F38:L38"/>
    <mergeCell ref="U35:V35"/>
    <mergeCell ref="AD45:AF45"/>
    <mergeCell ref="W29:AC29"/>
    <mergeCell ref="W23:AC23"/>
    <mergeCell ref="C27:E27"/>
    <mergeCell ref="M40:T40"/>
    <mergeCell ref="AD7:AF7"/>
    <mergeCell ref="W24:AC24"/>
    <mergeCell ref="M12:T12"/>
    <mergeCell ref="O57:Q57"/>
    <mergeCell ref="W51:AC51"/>
    <mergeCell ref="W26:AC26"/>
    <mergeCell ref="M41:T41"/>
    <mergeCell ref="M57:N57"/>
    <mergeCell ref="M24:T24"/>
    <mergeCell ref="C45:E45"/>
    <mergeCell ref="U29:V29"/>
    <mergeCell ref="U23:V23"/>
    <mergeCell ref="C47:E47"/>
    <mergeCell ref="U31:V31"/>
    <mergeCell ref="W42:AC42"/>
    <mergeCell ref="C40:E40"/>
    <mergeCell ref="C51:E51"/>
    <mergeCell ref="W19:AC19"/>
    <mergeCell ref="W37:AC37"/>
    <mergeCell ref="F19:L19"/>
    <mergeCell ref="M37:T37"/>
    <mergeCell ref="U42:V42"/>
    <mergeCell ref="AD48:AF48"/>
    <mergeCell ref="W32:AC32"/>
    <mergeCell ref="R56:AK56"/>
    <mergeCell ref="M14:T14"/>
    <mergeCell ref="M43:T43"/>
    <mergeCell ref="AD10:AF10"/>
    <mergeCell ref="W27:AC27"/>
    <mergeCell ref="F9:L9"/>
    <mergeCell ref="C46:E46"/>
    <mergeCell ref="R59:AK59"/>
    <mergeCell ref="W44:AC44"/>
    <mergeCell ref="C48:E48"/>
    <mergeCell ref="U32:V32"/>
    <mergeCell ref="U47:V47"/>
    <mergeCell ref="M25:T25"/>
    <mergeCell ref="W45:AC45"/>
    <mergeCell ref="M33:T33"/>
    <mergeCell ref="W20:AC20"/>
    <mergeCell ref="B64:AK64"/>
    <mergeCell ref="AD21:AF21"/>
    <mergeCell ref="W47:AC47"/>
    <mergeCell ref="W22:AC22"/>
    <mergeCell ref="AD23:AF23"/>
    <mergeCell ref="U50:V50"/>
    <mergeCell ref="U44:V44"/>
    <mergeCell ref="C16:E16"/>
    <mergeCell ref="F22:L22"/>
    <mergeCell ref="C9:E9"/>
    <mergeCell ref="U45:V45"/>
    <mergeCell ref="B58:C58"/>
    <mergeCell ref="R57:AK57"/>
    <mergeCell ref="C36:E36"/>
    <mergeCell ref="C11:E11"/>
    <mergeCell ref="M51:T51"/>
    <mergeCell ref="F11:L11"/>
    <mergeCell ref="B60:C60"/>
    <mergeCell ref="AD16:AF16"/>
    <mergeCell ref="W33:AC33"/>
    <mergeCell ref="F40:L40"/>
    <mergeCell ref="AD18:AF18"/>
    <mergeCell ref="F12:L12"/>
    <mergeCell ref="W35:AC35"/>
    <mergeCell ref="D59:F59"/>
    <mergeCell ref="V1:Y1"/>
    <mergeCell ref="AD17:AF17"/>
    <mergeCell ref="G59:L59"/>
    <mergeCell ref="F41:L41"/>
    <mergeCell ref="R62:AK62"/>
    <mergeCell ref="F35:L35"/>
    <mergeCell ref="G61:L61"/>
    <mergeCell ref="W46:AC46"/>
    <mergeCell ref="M34:T34"/>
    <mergeCell ref="B59:C59"/>
    <mergeCell ref="D61:F61"/>
    <mergeCell ref="AD31:AF31"/>
    <mergeCell ref="W48:AC48"/>
    <mergeCell ref="M49:T49"/>
    <mergeCell ref="D62:F62"/>
    <mergeCell ref="D56:F56"/>
    <mergeCell ref="C17:E17"/>
    <mergeCell ref="F34:L34"/>
    <mergeCell ref="O60:Q60"/>
    <mergeCell ref="F25:L25"/>
    <mergeCell ref="C19:E19"/>
    <mergeCell ref="F30:L30"/>
    <mergeCell ref="B52:T52"/>
    <mergeCell ref="G56:L56"/>
    <mergeCell ref="W41:AC41"/>
    <mergeCell ref="W43:AC43"/>
    <mergeCell ref="AD44:AF44"/>
    <mergeCell ref="AD19:AF19"/>
    <mergeCell ref="F13:L13"/>
    <mergeCell ref="M59:N59"/>
    <mergeCell ref="F43:L43"/>
    <mergeCell ref="AD27:AF27"/>
    <mergeCell ref="M9:T9"/>
    <mergeCell ref="M20:T20"/>
    <mergeCell ref="O62:Q62"/>
    <mergeCell ref="M11:T11"/>
    <mergeCell ref="O56:Q56"/>
    <mergeCell ref="U16:V16"/>
    <mergeCell ref="B61:C61"/>
    <mergeCell ref="C7:E7"/>
    <mergeCell ref="AD22:AF22"/>
    <mergeCell ref="M22:T22"/>
    <mergeCell ref="AD37:AF37"/>
    <mergeCell ref="M15:T15"/>
    <mergeCell ref="U28:V28"/>
    <mergeCell ref="AD9:AF9"/>
    <mergeCell ref="AD47:AF47"/>
    <mergeCell ref="J2:P3"/>
    <mergeCell ref="F33:L33"/>
    <mergeCell ref="F8:L8"/>
    <mergeCell ref="AD38:AF38"/>
    <mergeCell ref="W16:AC16"/>
    <mergeCell ref="C20:E20"/>
    <mergeCell ref="C25:E25"/>
    <mergeCell ref="D57:F57"/>
    <mergeCell ref="F31:L31"/>
    <mergeCell ref="F28:L28"/>
    <mergeCell ref="G57:L57"/>
    <mergeCell ref="W18:AC18"/>
    <mergeCell ref="C22:E22"/>
    <mergeCell ref="F39:L39"/>
    <mergeCell ref="W17:AC17"/>
    <mergeCell ref="W11:AC11"/>
    <mergeCell ref="M35:T35"/>
    <mergeCell ref="G58:L58"/>
    <mergeCell ref="Z2:AC3"/>
    <mergeCell ref="AD2:AG3"/>
    <mergeCell ref="C38:E38"/>
    <mergeCell ref="C13:E13"/>
    <mergeCell ref="M30:T30"/>
    <mergeCell ref="F21:L21"/>
    <mergeCell ref="U24:V24"/>
    <mergeCell ref="M46:T46"/>
    <mergeCell ref="D60:F60"/>
    <mergeCell ref="U18:V18"/>
    <mergeCell ref="C15:E15"/>
    <mergeCell ref="C33:E33"/>
    <mergeCell ref="F50:L50"/>
    <mergeCell ref="A1:I1"/>
    <mergeCell ref="W12:AC12"/>
    <mergeCell ref="U19:V19"/>
    <mergeCell ref="C35:E35"/>
    <mergeCell ref="C10:E10"/>
    <mergeCell ref="AD46:AF46"/>
    <mergeCell ref="AD40:AF40"/>
    <mergeCell ref="F49:L49"/>
    <mergeCell ref="F14:L14"/>
    <mergeCell ref="Q2:U3"/>
    <mergeCell ref="AD41:AF41"/>
    <mergeCell ref="D58:F58"/>
    <mergeCell ref="U37:V37"/>
    <mergeCell ref="M13:T13"/>
    <mergeCell ref="M7:T7"/>
    <mergeCell ref="C28:E28"/>
    <mergeCell ref="U12:V12"/>
    <mergeCell ref="AD43:AF43"/>
    <mergeCell ref="G60:L60"/>
    <mergeCell ref="C30:E30"/>
    <mergeCell ref="M36:T36"/>
    <mergeCell ref="M8:T8"/>
    <mergeCell ref="B54:AK54"/>
    <mergeCell ref="U26:V26"/>
    <mergeCell ref="AD25:AF25"/>
    <mergeCell ref="C41:E41"/>
    <mergeCell ref="W9:AC9"/>
    <mergeCell ref="F37:L37"/>
    <mergeCell ref="C43:E43"/>
    <mergeCell ref="U27:V27"/>
    <mergeCell ref="W14:AC14"/>
    <mergeCell ref="W38:AC38"/>
    <mergeCell ref="W13:AC13"/>
    <mergeCell ref="U25:V25"/>
    <mergeCell ref="O58:Q58"/>
    <mergeCell ref="W40:AC40"/>
    <mergeCell ref="W15:AC15"/>
    <mergeCell ref="M21:T21"/>
    <mergeCell ref="F15:L15"/>
    <mergeCell ref="M61:N61"/>
    <mergeCell ref="AD1:AG1"/>
    <mergeCell ref="F42:L42"/>
    <mergeCell ref="M26:T26"/>
    <mergeCell ref="AD51:AF51"/>
    <mergeCell ref="U38:V38"/>
    <mergeCell ref="C29:E29"/>
    <mergeCell ref="M56:N56"/>
    <mergeCell ref="U40:V40"/>
    <mergeCell ref="C44:E44"/>
    <mergeCell ref="C31:E31"/>
    <mergeCell ref="U15:V15"/>
    <mergeCell ref="M39:T39"/>
    <mergeCell ref="AD11:AF11"/>
    <mergeCell ref="W28:AC28"/>
    <mergeCell ref="F10:L10"/>
    <mergeCell ref="Q1:U1"/>
    <mergeCell ref="M28:T28"/>
    <mergeCell ref="C49:E49"/>
    <mergeCell ref="U33:V33"/>
    <mergeCell ref="AD39:AF39"/>
    <mergeCell ref="C42:E42"/>
    <mergeCell ref="AD24:AF24"/>
    <mergeCell ref="M62:N62"/>
    <mergeCell ref="M29:T29"/>
    <mergeCell ref="M23:T23"/>
    <mergeCell ref="U46:V46"/>
    <mergeCell ref="C12:E12"/>
    <mergeCell ref="U48:V48"/>
    <mergeCell ref="C39:E39"/>
    <mergeCell ref="W34:AC34"/>
    <mergeCell ref="U41:V41"/>
    <mergeCell ref="W25:AC25"/>
    <mergeCell ref="C32:E32"/>
    <mergeCell ref="W36:AC36"/>
    <mergeCell ref="U43:V43"/>
    <mergeCell ref="F7:L7"/>
    <mergeCell ref="W30:AC30"/>
    <mergeCell ref="AD12:AF12"/>
    <mergeCell ref="M42:T42"/>
    <mergeCell ref="A2:I3"/>
    <mergeCell ref="M17:T17"/>
    <mergeCell ref="F36:L36"/>
    <mergeCell ref="AD20:AF20"/>
    <mergeCell ref="M47:T47"/>
    <mergeCell ref="AD14:AF14"/>
    <mergeCell ref="W31:AC31"/>
    <mergeCell ref="M19:T19"/>
    <mergeCell ref="AD13:AF13"/>
    <mergeCell ref="C50:E50"/>
    <mergeCell ref="U34:V34"/>
    <mergeCell ref="U9:V9"/>
    <mergeCell ref="R58:AK58"/>
    <mergeCell ref="AD15:AF15"/>
    <mergeCell ref="M44:T44"/>
    <mergeCell ref="U49:V49"/>
    <mergeCell ref="U36:V36"/>
    <mergeCell ref="B56:C56"/>
    <mergeCell ref="R60:AK60"/>
    <mergeCell ref="U30:V30"/>
    <mergeCell ref="F29:L29"/>
    <mergeCell ref="W49:AC49"/>
    <mergeCell ref="M10:T10"/>
    <mergeCell ref="B57:C57"/>
    <mergeCell ref="F24:L24"/>
    <mergeCell ref="AD8:AF8"/>
    <mergeCell ref="F32:L32"/>
    <mergeCell ref="F26:L26"/>
    <mergeCell ref="U51:V51"/>
    <mergeCell ref="V2:Y3"/>
    <mergeCell ref="M50:T50"/>
    <mergeCell ref="M58:N58"/>
    <mergeCell ref="B62:C62"/>
    <mergeCell ref="R61:AK61"/>
    <mergeCell ref="F27:L27"/>
    <mergeCell ref="W52:AC52"/>
    <mergeCell ref="W39:AC39"/>
    <mergeCell ref="M48:T48"/>
    <mergeCell ref="U17:V17"/>
    <mergeCell ref="U11:V11"/>
    <mergeCell ref="F44:L44"/>
    <mergeCell ref="C8:E8"/>
    <mergeCell ref="F16:L16"/>
    <mergeCell ref="F20:L20"/>
    <mergeCell ref="U52:V52"/>
    <mergeCell ref="B5:AK5"/>
    <mergeCell ref="U39:V39"/>
    <mergeCell ref="AD33:AF33"/>
    <mergeCell ref="W50:AC50"/>
    <mergeCell ref="M38:T38"/>
    <mergeCell ref="AD35:AF35"/>
    <mergeCell ref="F23:L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Q68"/>
  <sheetViews>
    <sheetView showGridLines="0" workbookViewId="0">
      <selection activeCell="A1" sqref="A1"/>
    </sheetView>
  </sheetViews>
  <sheetFormatPr baseColWidth="8" defaultColWidth="12.63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</cols>
  <sheetData>
    <row r="1" ht="22.5" customHeight="1">
      <c r="A1" s="43" t="inlineStr">
        <is>
          <t>テストレベル</t>
        </is>
      </c>
      <c r="B1" s="10" t="n"/>
      <c r="C1" s="10" t="n"/>
      <c r="D1" s="10" t="n"/>
      <c r="E1" s="11" t="n"/>
      <c r="F1" s="20" t="inlineStr">
        <is>
          <t>結合テスト</t>
        </is>
      </c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1" t="n"/>
      <c r="R1" s="43" t="inlineStr">
        <is>
          <t>機能／モジュール</t>
        </is>
      </c>
      <c r="S1" s="10" t="n"/>
      <c r="T1" s="10" t="n"/>
      <c r="U1" s="10" t="n"/>
      <c r="V1" s="11" t="n"/>
      <c r="W1" s="20" t="inlineStr">
        <is>
          <t>ACSMS-SCR-022_ファイルダウンロード画面</t>
        </is>
      </c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1" t="n"/>
    </row>
    <row r="2" ht="22.5" customHeight="1">
      <c r="A2" s="43" t="inlineStr">
        <is>
          <t>作成者</t>
        </is>
      </c>
      <c r="B2" s="10" t="n"/>
      <c r="C2" s="10" t="n"/>
      <c r="D2" s="10" t="n"/>
      <c r="E2" s="11" t="n"/>
      <c r="F2" s="20" t="inlineStr">
        <is>
          <t>Kieu Thi Diem</t>
        </is>
      </c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1" t="n"/>
      <c r="R2" s="43" t="inlineStr">
        <is>
          <t>作成日</t>
        </is>
      </c>
      <c r="S2" s="10" t="n"/>
      <c r="T2" s="10" t="n"/>
      <c r="U2" s="10" t="n"/>
      <c r="V2" s="11" t="n"/>
      <c r="W2" s="33" t="inlineStr">
        <is>
          <t>2026/05/27</t>
        </is>
      </c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1" t="n"/>
    </row>
    <row r="3" ht="22.5" customHeight="1">
      <c r="A3" s="43" t="inlineStr">
        <is>
          <t>確認者</t>
        </is>
      </c>
      <c r="B3" s="10" t="n"/>
      <c r="C3" s="10" t="n"/>
      <c r="D3" s="10" t="n"/>
      <c r="E3" s="11" t="n"/>
      <c r="F3" s="20" t="inlineStr">
        <is>
          <t>Nguyen Huy Dat</t>
        </is>
      </c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1" t="n"/>
      <c r="R3" s="43" t="inlineStr">
        <is>
          <t>確認日</t>
        </is>
      </c>
      <c r="S3" s="10" t="n"/>
      <c r="T3" s="10" t="n"/>
      <c r="U3" s="10" t="n"/>
      <c r="V3" s="11" t="n"/>
      <c r="W3" s="33" t="inlineStr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1" t="n"/>
    </row>
    <row r="4" ht="22.5" customHeight="1">
      <c r="A4" s="43" t="inlineStr">
        <is>
          <t>テスト環境</t>
        </is>
      </c>
      <c r="B4" s="10" t="n"/>
      <c r="C4" s="10" t="n"/>
      <c r="D4" s="10" t="n"/>
      <c r="E4" s="11" t="n"/>
      <c r="F4" s="20" t="inlineStr">
        <is>
          <t>Windows 10/11, Chrome, Edge</t>
        </is>
      </c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1" t="n"/>
    </row>
    <row r="5" ht="22.5" customHeight="1">
      <c r="A5" s="43" t="inlineStr">
        <is>
          <t>分類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1" t="n"/>
      <c r="T5" s="43" t="inlineStr">
        <is>
          <t>テスト結果</t>
        </is>
      </c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1" t="n"/>
    </row>
    <row r="6" ht="22.5" customHeight="1">
      <c r="A6" s="43" t="inlineStr">
        <is>
          <t>回目</t>
        </is>
      </c>
      <c r="B6" s="10" t="n"/>
      <c r="C6" s="10" t="n"/>
      <c r="D6" s="10" t="n"/>
      <c r="E6" s="10" t="n"/>
      <c r="F6" s="10" t="n"/>
      <c r="G6" s="11" t="n"/>
      <c r="H6" s="43" t="inlineStr">
        <is>
          <t>正常</t>
        </is>
      </c>
      <c r="I6" s="10" t="n"/>
      <c r="J6" s="11" t="n"/>
      <c r="K6" s="43" t="inlineStr">
        <is>
          <t>異常</t>
        </is>
      </c>
      <c r="L6" s="10" t="n"/>
      <c r="M6" s="11" t="n"/>
      <c r="N6" s="43" t="inlineStr">
        <is>
          <t>境界値</t>
        </is>
      </c>
      <c r="O6" s="10" t="n"/>
      <c r="P6" s="11" t="n"/>
      <c r="Q6" s="43" t="inlineStr">
        <is>
          <t>合計</t>
        </is>
      </c>
      <c r="R6" s="10" t="n"/>
      <c r="S6" s="11" t="n"/>
      <c r="T6" s="43" t="inlineStr">
        <is>
          <t>合格</t>
        </is>
      </c>
      <c r="U6" s="10" t="n"/>
      <c r="V6" s="11" t="n"/>
      <c r="W6" s="43" t="inlineStr">
        <is>
          <t>不合格</t>
        </is>
      </c>
      <c r="X6" s="10" t="n"/>
      <c r="Y6" s="11" t="n"/>
      <c r="Z6" s="43" t="inlineStr">
        <is>
          <t>未テスト</t>
        </is>
      </c>
      <c r="AA6" s="10" t="n"/>
      <c r="AB6" s="11" t="n"/>
      <c r="AC6" s="43" t="inlineStr">
        <is>
          <t>N/A</t>
        </is>
      </c>
      <c r="AD6" s="10" t="n"/>
      <c r="AE6" s="11" t="n"/>
      <c r="AF6" s="43" t="inlineStr">
        <is>
          <t>合計</t>
        </is>
      </c>
      <c r="AG6" s="10" t="n"/>
      <c r="AH6" s="11" t="n"/>
    </row>
    <row r="7" ht="22.5" customHeight="1">
      <c r="A7" s="43" t="inlineStr">
        <is>
          <t>1回目</t>
        </is>
      </c>
      <c r="B7" s="10" t="n"/>
      <c r="C7" s="10" t="n"/>
      <c r="D7" s="10" t="n"/>
      <c r="E7" s="10" t="n"/>
      <c r="F7" s="10" t="n"/>
      <c r="G7" s="11" t="n"/>
      <c r="H7" s="19">
        <f>COUNTIF($AE$12:$AF$1049,"N")</f>
        <v/>
      </c>
      <c r="I7" s="10" t="n"/>
      <c r="J7" s="11" t="n"/>
      <c r="K7" s="19">
        <f>COUNTIF($AE$12:$AF$1049,"A")</f>
        <v/>
      </c>
      <c r="L7" s="10" t="n"/>
      <c r="M7" s="11" t="n"/>
      <c r="N7" s="19">
        <f>COUNTIF($AE$12:$AF$1049,"B")</f>
        <v/>
      </c>
      <c r="O7" s="10" t="n"/>
      <c r="P7" s="11" t="n"/>
      <c r="Q7" s="40">
        <f>SUM(H7:P7)</f>
        <v/>
      </c>
      <c r="R7" s="10" t="n"/>
      <c r="S7" s="11" t="n"/>
      <c r="T7" s="19">
        <f>COUNTIF($AG$12:$AI$1049,T$6)</f>
        <v/>
      </c>
      <c r="U7" s="10" t="n"/>
      <c r="V7" s="11" t="n"/>
      <c r="W7" s="19">
        <f>COUNTIF($AG$12:$AI$1049,W$6)</f>
        <v/>
      </c>
      <c r="X7" s="10" t="n"/>
      <c r="Y7" s="11" t="n"/>
      <c r="Z7" s="19">
        <f>COUNTIF($AG$12:$AI$1049,Z$6)</f>
        <v/>
      </c>
      <c r="AA7" s="10" t="n"/>
      <c r="AB7" s="11" t="n"/>
      <c r="AC7" s="19">
        <f>COUNTIF($AG$12:$AI$1049,AC$6)</f>
        <v/>
      </c>
      <c r="AD7" s="10" t="n"/>
      <c r="AE7" s="11" t="n"/>
      <c r="AF7" s="40">
        <f>SUM(T7:AE7)</f>
        <v/>
      </c>
      <c r="AG7" s="10" t="n"/>
      <c r="AH7" s="11" t="n"/>
    </row>
    <row r="8" ht="22.5" customHeight="1">
      <c r="A8" s="43" t="inlineStr">
        <is>
          <t>2回目</t>
        </is>
      </c>
      <c r="B8" s="10" t="n"/>
      <c r="C8" s="10" t="n"/>
      <c r="D8" s="10" t="n"/>
      <c r="E8" s="10" t="n"/>
      <c r="F8" s="10" t="n"/>
      <c r="G8" s="11" t="n"/>
      <c r="H8" s="19">
        <f>COUNTIF($AE$12:$AF$1049,"N")</f>
        <v/>
      </c>
      <c r="I8" s="10" t="n"/>
      <c r="J8" s="11" t="n"/>
      <c r="K8" s="19">
        <f>COUNTIF($AE$12:$AF$1049,"A")</f>
        <v/>
      </c>
      <c r="L8" s="10" t="n"/>
      <c r="M8" s="11" t="n"/>
      <c r="N8" s="19">
        <f>COUNTIF($AE$12:$AF$1049,"B")</f>
        <v/>
      </c>
      <c r="O8" s="10" t="n"/>
      <c r="P8" s="11" t="n"/>
      <c r="Q8" s="40">
        <f>SUM(H8:P8)</f>
        <v/>
      </c>
      <c r="R8" s="10" t="n"/>
      <c r="S8" s="11" t="n"/>
      <c r="T8" s="19">
        <f>COUNTIF($AV$12:$AX$1049,T$6)</f>
        <v/>
      </c>
      <c r="U8" s="10" t="n"/>
      <c r="V8" s="11" t="n"/>
      <c r="W8" s="19">
        <f>COUNTIF($AV$12:$AX$1049,W$6)</f>
        <v/>
      </c>
      <c r="X8" s="10" t="n"/>
      <c r="Y8" s="11" t="n"/>
      <c r="Z8" s="19">
        <f>COUNTIF($AV$12:$AX$1049,Z$6)</f>
        <v/>
      </c>
      <c r="AA8" s="10" t="n"/>
      <c r="AB8" s="11" t="n"/>
      <c r="AC8" s="19">
        <f>COUNTIF($AV$12:$AX$1049,AC$6)</f>
        <v/>
      </c>
      <c r="AD8" s="10" t="n"/>
      <c r="AE8" s="11" t="n"/>
      <c r="AF8" s="40">
        <f>SUM(T8:AE8)</f>
        <v/>
      </c>
      <c r="AG8" s="10" t="n"/>
      <c r="AH8" s="11" t="n"/>
    </row>
    <row r="9" ht="12.75" customHeight="1"/>
    <row r="10" ht="36" customHeight="1">
      <c r="A10" s="53" t="inlineStr">
        <is>
          <t>#</t>
        </is>
      </c>
      <c r="B10" s="54" t="inlineStr">
        <is>
          <t>要件ID</t>
        </is>
      </c>
      <c r="C10" s="22" t="n"/>
      <c r="D10" s="23" t="n"/>
      <c r="E10" s="54" t="inlineStr">
        <is>
          <t>説明</t>
        </is>
      </c>
      <c r="F10" s="22" t="n"/>
      <c r="G10" s="22" t="n"/>
      <c r="H10" s="22" t="n"/>
      <c r="I10" s="23" t="n"/>
      <c r="J10" s="54" t="inlineStr">
        <is>
          <t>前提条件</t>
        </is>
      </c>
      <c r="K10" s="22" t="n"/>
      <c r="L10" s="22" t="n"/>
      <c r="M10" s="22" t="n"/>
      <c r="N10" s="22" t="n"/>
      <c r="O10" s="22" t="n"/>
      <c r="P10" s="23" t="n"/>
      <c r="Q10" s="54" t="inlineStr">
        <is>
          <t>ステップ／手順</t>
        </is>
      </c>
      <c r="R10" s="22" t="n"/>
      <c r="S10" s="22" t="n"/>
      <c r="T10" s="22" t="n"/>
      <c r="U10" s="22" t="n"/>
      <c r="V10" s="22" t="n"/>
      <c r="W10" s="23" t="n"/>
      <c r="X10" s="54" t="inlineStr">
        <is>
          <t>期待結果／アウトプット</t>
        </is>
      </c>
      <c r="Y10" s="22" t="n"/>
      <c r="Z10" s="22" t="n"/>
      <c r="AA10" s="22" t="n"/>
      <c r="AB10" s="22" t="n"/>
      <c r="AC10" s="22" t="n"/>
      <c r="AD10" s="23" t="n"/>
      <c r="AE10" s="54" t="inlineStr">
        <is>
          <t>種類</t>
        </is>
      </c>
      <c r="AF10" s="23" t="n"/>
      <c r="AG10" s="43" t="inlineStr">
        <is>
          <t>テスト1回目の結果</t>
        </is>
      </c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1" t="n"/>
      <c r="AV10" s="43" t="inlineStr">
        <is>
          <t>テスト2回目の結果</t>
        </is>
      </c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1" t="n"/>
      <c r="BK10" s="54" t="inlineStr">
        <is>
          <t>備考</t>
        </is>
      </c>
      <c r="BL10" s="22" t="n"/>
      <c r="BM10" s="22" t="n"/>
      <c r="BN10" s="22" t="n"/>
      <c r="BO10" s="22" t="n"/>
      <c r="BP10" s="22" t="n"/>
      <c r="BQ10" s="23" t="n"/>
    </row>
    <row r="11" ht="36" customHeight="1">
      <c r="A11" s="37" t="n"/>
      <c r="B11" s="25" t="n"/>
      <c r="C11" s="26" t="n"/>
      <c r="D11" s="27" t="n"/>
      <c r="E11" s="25" t="n"/>
      <c r="F11" s="26" t="n"/>
      <c r="G11" s="26" t="n"/>
      <c r="H11" s="26" t="n"/>
      <c r="I11" s="27" t="n"/>
      <c r="J11" s="25" t="n"/>
      <c r="K11" s="26" t="n"/>
      <c r="L11" s="26" t="n"/>
      <c r="M11" s="26" t="n"/>
      <c r="N11" s="26" t="n"/>
      <c r="O11" s="26" t="n"/>
      <c r="P11" s="27" t="n"/>
      <c r="Q11" s="25" t="n"/>
      <c r="R11" s="26" t="n"/>
      <c r="S11" s="26" t="n"/>
      <c r="T11" s="26" t="n"/>
      <c r="U11" s="26" t="n"/>
      <c r="V11" s="26" t="n"/>
      <c r="W11" s="27" t="n"/>
      <c r="X11" s="25" t="n"/>
      <c r="Y11" s="26" t="n"/>
      <c r="Z11" s="26" t="n"/>
      <c r="AA11" s="26" t="n"/>
      <c r="AB11" s="26" t="n"/>
      <c r="AC11" s="26" t="n"/>
      <c r="AD11" s="27" t="n"/>
      <c r="AE11" s="25" t="n"/>
      <c r="AF11" s="27" t="n"/>
      <c r="AG11" s="43" t="inlineStr">
        <is>
          <t>結果</t>
        </is>
      </c>
      <c r="AH11" s="10" t="n"/>
      <c r="AI11" s="11" t="n"/>
      <c r="AJ11" s="43" t="inlineStr">
        <is>
          <t>実績／
アウトプット</t>
        </is>
      </c>
      <c r="AK11" s="10" t="n"/>
      <c r="AL11" s="11" t="n"/>
      <c r="AM11" s="43" t="inlineStr">
        <is>
          <t>担当者</t>
        </is>
      </c>
      <c r="AN11" s="10" t="n"/>
      <c r="AO11" s="11" t="n"/>
      <c r="AP11" s="43" t="inlineStr">
        <is>
          <t>確認日付
（MM/DD）</t>
        </is>
      </c>
      <c r="AQ11" s="10" t="n"/>
      <c r="AR11" s="11" t="n"/>
      <c r="AS11" s="43" t="inlineStr">
        <is>
          <t>バグID</t>
        </is>
      </c>
      <c r="AT11" s="10" t="n"/>
      <c r="AU11" s="11" t="n"/>
      <c r="AV11" s="43" t="inlineStr">
        <is>
          <t>結果</t>
        </is>
      </c>
      <c r="AW11" s="10" t="n"/>
      <c r="AX11" s="11" t="n"/>
      <c r="AY11" s="43" t="inlineStr">
        <is>
          <t>実績／
アウトプット</t>
        </is>
      </c>
      <c r="AZ11" s="10" t="n"/>
      <c r="BA11" s="11" t="n"/>
      <c r="BB11" s="43" t="inlineStr">
        <is>
          <t>担当者</t>
        </is>
      </c>
      <c r="BC11" s="10" t="n"/>
      <c r="BD11" s="11" t="n"/>
      <c r="BE11" s="43" t="inlineStr">
        <is>
          <t>確認日付
（MM/DD）</t>
        </is>
      </c>
      <c r="BF11" s="10" t="n"/>
      <c r="BG11" s="11" t="n"/>
      <c r="BH11" s="43" t="inlineStr">
        <is>
          <t>バグID</t>
        </is>
      </c>
      <c r="BI11" s="10" t="n"/>
      <c r="BJ11" s="11" t="n"/>
      <c r="BK11" s="25" t="n"/>
      <c r="BL11" s="26" t="n"/>
      <c r="BM11" s="26" t="n"/>
      <c r="BN11" s="26" t="n"/>
      <c r="BO11" s="26" t="n"/>
      <c r="BP11" s="26" t="n"/>
      <c r="BQ11" s="27" t="n"/>
    </row>
    <row r="12" ht="22.5" customHeight="1">
      <c r="A12" s="32" t="inlineStr">
        <is>
          <t>Kiểm soát quyền truy cập (Access Control)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1" t="n"/>
    </row>
    <row r="13" ht="450" customHeight="1">
      <c r="A13" s="44" t="n">
        <v>1</v>
      </c>
      <c r="B13" s="46" t="inlineStr">
        <is>
          <t>ACSMS-TC-022-001</t>
        </is>
      </c>
      <c r="C13" s="10" t="n"/>
      <c r="D13" s="11" t="n"/>
      <c r="E13" s="46" t="inlineStr">
        <is>
          <t>NICHINO_ADMIN truy cập màn hình File Download + tham chiếu toàn bộ</t>
        </is>
      </c>
      <c r="F13" s="10" t="n"/>
      <c r="G13" s="10" t="n"/>
      <c r="H13" s="10" t="n"/>
      <c r="I13" s="11" t="n"/>
      <c r="J13" s="46" t="inlineStr">
        <is>
          <t>・role: NICHINO_ADMIN
・Đã login + đã xác thực MFA
・Có quyền `file.download`</t>
        </is>
      </c>
      <c r="K13" s="10" t="n"/>
      <c r="L13" s="10" t="n"/>
      <c r="M13" s="10" t="n"/>
      <c r="N13" s="10" t="n"/>
      <c r="O13" s="10" t="n"/>
      <c r="P13" s="11" t="n"/>
      <c r="Q1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dashboard, từ sidebar hoặc menu chuyển đến "ファイルダウンロード"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Truy cập trực tiếp URL `/file-upload`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Trên tab Network của DevTools, kiểm tra response của GET `/api/v1/file-upload`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Trên DB, thực thi `SELECT COUNT(*) FROM t_file_upload WHERE deleted_at IS NULL` và kiểm tra số dòng trả về có khớp không</t>
          </r>
        </is>
      </c>
      <c r="R13" s="10" t="n"/>
      <c r="S13" s="10" t="n"/>
      <c r="T13" s="10" t="n"/>
      <c r="U13" s="10" t="n"/>
      <c r="V13" s="10" t="n"/>
      <c r="W13" s="11" t="n"/>
      <c r="X1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Chuyển đến màn hình File Download, tiêu đề màn hình `ファイルダウンロード画面`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Màn hình được render bình thường, không hiển thị toast từ chối truy cập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200, array `data` chứa file thuộc nhiều JA khác nhau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Tổng số dòng trên DB khớp với `meta.total` của response (NICHINO_ADMIN có thể tham chiếu toàn bộ, không có DataScope filter)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・NICHINO_ADMIN là role có thể tham chiếu toàn bộ dòng trong `t_file_upload`, kể cả file `ja_id IS NULL` (gửi tới toàn bộ JA) và file của JA khác
</t>
          </r>
          <r>
            <rPr>
              <rFont val="メイリオ"/>
              <sz val="10"/>
            </rPr>
            <t>・Item menu được hiển thị trên sidebar, không bị ẩn nhầm</t>
          </r>
        </is>
      </c>
      <c r="Y13" s="10" t="n"/>
      <c r="Z13" s="10" t="n"/>
      <c r="AA13" s="10" t="n"/>
      <c r="AB13" s="10" t="n"/>
      <c r="AC13" s="10" t="n"/>
      <c r="AD13" s="11" t="n"/>
      <c r="AE13" s="45" t="inlineStr">
        <is>
          <t>N</t>
        </is>
      </c>
      <c r="AF13" s="11" t="n"/>
      <c r="AG13" s="45" t="inlineStr"/>
      <c r="AH13" s="10" t="n"/>
      <c r="AI13" s="11" t="n"/>
      <c r="AJ13" s="45" t="inlineStr"/>
      <c r="AK13" s="10" t="n"/>
      <c r="AL13" s="11" t="n"/>
      <c r="AM13" s="45" t="inlineStr"/>
      <c r="AN13" s="10" t="n"/>
      <c r="AO13" s="11" t="n"/>
      <c r="AP13" s="45" t="inlineStr"/>
      <c r="AQ13" s="10" t="n"/>
      <c r="AR13" s="11" t="n"/>
      <c r="AS13" s="45" t="inlineStr"/>
      <c r="AT13" s="10" t="n"/>
      <c r="AU13" s="11" t="n"/>
      <c r="AV13" s="45" t="inlineStr"/>
      <c r="AW13" s="10" t="n"/>
      <c r="AX13" s="11" t="n"/>
      <c r="AY13" s="45" t="inlineStr"/>
      <c r="AZ13" s="10" t="n"/>
      <c r="BA13" s="11" t="n"/>
      <c r="BB13" s="45" t="inlineStr"/>
      <c r="BC13" s="10" t="n"/>
      <c r="BD13" s="11" t="n"/>
      <c r="BE13" s="45" t="inlineStr"/>
      <c r="BF13" s="10" t="n"/>
      <c r="BG13" s="11" t="n"/>
      <c r="BH13" s="45" t="inlineStr"/>
      <c r="BI13" s="10" t="n"/>
      <c r="BJ13" s="11" t="n"/>
      <c r="BK13" s="46" t="inlineStr"/>
      <c r="BL13" s="10" t="n"/>
      <c r="BM13" s="10" t="n"/>
      <c r="BN13" s="10" t="n"/>
      <c r="BO13" s="10" t="n"/>
      <c r="BP13" s="10" t="n"/>
      <c r="BQ13" s="11" t="n"/>
    </row>
    <row r="14" ht="240" customHeight="1">
      <c r="A14" s="44" t="n">
        <v>2</v>
      </c>
      <c r="B14" s="46" t="inlineStr">
        <is>
          <t>ACSMS-TC-022-002</t>
        </is>
      </c>
      <c r="C14" s="10" t="n"/>
      <c r="D14" s="11" t="n"/>
      <c r="E14" s="46" t="inlineStr">
        <is>
          <t>NICHINO_STAFF truy cập màn hình File Download + tham chiếu toàn bộ</t>
        </is>
      </c>
      <c r="F14" s="10" t="n"/>
      <c r="G14" s="10" t="n"/>
      <c r="H14" s="10" t="n"/>
      <c r="I14" s="11" t="n"/>
      <c r="J14" s="46" t="inlineStr">
        <is>
          <t>・role: NICHINO_STAFF
・Đã login + đã xác thực MFA
・Có quyền `file.download`</t>
        </is>
      </c>
      <c r="K14" s="10" t="n"/>
      <c r="L14" s="10" t="n"/>
      <c r="M14" s="10" t="n"/>
      <c r="N14" s="10" t="n"/>
      <c r="O14" s="10" t="n"/>
      <c r="P14" s="11" t="n"/>
      <c r="Q1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Truy cập URL `/file-upload`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Gọi GET `/api/v1/file-upload`, kiểm tra phân bố `data[].ja_id` trong response</t>
          </r>
        </is>
      </c>
      <c r="R14" s="10" t="n"/>
      <c r="S14" s="10" t="n"/>
      <c r="T14" s="10" t="n"/>
      <c r="U14" s="10" t="n"/>
      <c r="V14" s="10" t="n"/>
      <c r="W14" s="11" t="n"/>
      <c r="X1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được hiển thị bình thường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200, response chứa file của nhiều JA và file `ja_id IS NULL` (NICHINO_STAFF cũng tham chiếu được toàn bộ, không có DataScope filter)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・Có phạm vi tham chiếu tương đương NICHINO_ADMIN</t>
          </r>
        </is>
      </c>
      <c r="Y14" s="10" t="n"/>
      <c r="Z14" s="10" t="n"/>
      <c r="AA14" s="10" t="n"/>
      <c r="AB14" s="10" t="n"/>
      <c r="AC14" s="10" t="n"/>
      <c r="AD14" s="11" t="n"/>
      <c r="AE14" s="45" t="inlineStr">
        <is>
          <t>N</t>
        </is>
      </c>
      <c r="AF14" s="11" t="n"/>
      <c r="AG14" s="45" t="inlineStr"/>
      <c r="AH14" s="10" t="n"/>
      <c r="AI14" s="11" t="n"/>
      <c r="AJ14" s="45" t="inlineStr"/>
      <c r="AK14" s="10" t="n"/>
      <c r="AL14" s="11" t="n"/>
      <c r="AM14" s="45" t="inlineStr"/>
      <c r="AN14" s="10" t="n"/>
      <c r="AO14" s="11" t="n"/>
      <c r="AP14" s="45" t="inlineStr"/>
      <c r="AQ14" s="10" t="n"/>
      <c r="AR14" s="11" t="n"/>
      <c r="AS14" s="45" t="inlineStr"/>
      <c r="AT14" s="10" t="n"/>
      <c r="AU14" s="11" t="n"/>
      <c r="AV14" s="45" t="inlineStr"/>
      <c r="AW14" s="10" t="n"/>
      <c r="AX14" s="11" t="n"/>
      <c r="AY14" s="45" t="inlineStr"/>
      <c r="AZ14" s="10" t="n"/>
      <c r="BA14" s="11" t="n"/>
      <c r="BB14" s="45" t="inlineStr"/>
      <c r="BC14" s="10" t="n"/>
      <c r="BD14" s="11" t="n"/>
      <c r="BE14" s="45" t="inlineStr"/>
      <c r="BF14" s="10" t="n"/>
      <c r="BG14" s="11" t="n"/>
      <c r="BH14" s="45" t="inlineStr"/>
      <c r="BI14" s="10" t="n"/>
      <c r="BJ14" s="11" t="n"/>
      <c r="BK14" s="46" t="inlineStr"/>
      <c r="BL14" s="10" t="n"/>
      <c r="BM14" s="10" t="n"/>
      <c r="BN14" s="10" t="n"/>
      <c r="BO14" s="10" t="n"/>
      <c r="BP14" s="10" t="n"/>
      <c r="BQ14" s="11" t="n"/>
    </row>
    <row r="15" ht="432" customHeight="1">
      <c r="A15" s="44" t="n">
        <v>3</v>
      </c>
      <c r="B15" s="46" t="inlineStr">
        <is>
          <t>ACSMS-TC-022-003</t>
        </is>
      </c>
      <c r="C15" s="10" t="n"/>
      <c r="D15" s="11" t="n"/>
      <c r="E15" s="46" t="inlineStr">
        <is>
          <t>Kiểm tra phạm vi tham chiếu DataScope với role CHUOKAI</t>
        </is>
      </c>
      <c r="F15" s="10" t="n"/>
      <c r="G15" s="10" t="n"/>
      <c r="H15" s="10" t="n"/>
      <c r="I15" s="11" t="n"/>
      <c r="J15" s="46" t="inlineStr">
        <is>
          <t>・role: CHUOKAI
・Đã login + đã xác thực MFA
・Chuokai của user và các JA quản hạt đã được đăng ký sẵn trên DB
・Test data: file của chuokai mình 2 dòng, file của JA quản hạt 2 dòng, file của JA ngoài quản hạt 2 dòng, file gửi toàn bộ JA (`ja_id IS NULL`) 1 dòng</t>
        </is>
      </c>
      <c r="K15" s="10" t="n"/>
      <c r="L15" s="10" t="n"/>
      <c r="M15" s="10" t="n"/>
      <c r="N15" s="10" t="n"/>
      <c r="O15" s="10" t="n"/>
      <c r="P15" s="11" t="n"/>
      <c r="Q1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Truy cập URL `/file-upload`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Gọi GET `/api/v1/file-upload?per_page=100`, kiểm tra giá trị `data[].ja_id`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Gọi trực tiếp API download GET `/api/v1/file-upload/{file_upload_id}/download` với file của JA ngoài quản hạt (`ja_id` ngoài scope)</t>
          </r>
        </is>
      </c>
      <c r="R15" s="10" t="n"/>
      <c r="S15" s="10" t="n"/>
      <c r="T15" s="10" t="n"/>
      <c r="U15" s="10" t="n"/>
      <c r="V15" s="10" t="n"/>
      <c r="W15" s="11" t="n"/>
      <c r="X1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được hiển thị bình thường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Chỉ trả về file của chuokai mình + file của JA quản hạt + file gửi toàn bộ JA (tổng 5 dòng), KHÔNG chứa file của JA ngoài quản hạt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404 (`error_code: NOT_FOUND`, message `指定されたファイルが見つかりません。`) — khi vi phạm DataScope, trả về 404 theo policy ẩn sự tồn tại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・Điều kiện tham chiếu: `fu.ja_id IN (:managed_ja_ids) OR fu.ja_id IS NULL`
</t>
          </r>
          <r>
            <rPr>
              <rFont val="メイリオ"/>
              <sz val="10"/>
            </rPr>
            <t>・Thiết kế trả về 404 thay vì 403 cho truy cập ngoài scope nhằm không tiết lộ sự tồn tại của file ID</t>
          </r>
        </is>
      </c>
      <c r="Y15" s="10" t="n"/>
      <c r="Z15" s="10" t="n"/>
      <c r="AA15" s="10" t="n"/>
      <c r="AB15" s="10" t="n"/>
      <c r="AC15" s="10" t="n"/>
      <c r="AD15" s="11" t="n"/>
      <c r="AE15" s="45" t="inlineStr">
        <is>
          <t>N</t>
        </is>
      </c>
      <c r="AF15" s="11" t="n"/>
      <c r="AG15" s="45" t="inlineStr"/>
      <c r="AH15" s="10" t="n"/>
      <c r="AI15" s="11" t="n"/>
      <c r="AJ15" s="45" t="inlineStr"/>
      <c r="AK15" s="10" t="n"/>
      <c r="AL15" s="11" t="n"/>
      <c r="AM15" s="45" t="inlineStr"/>
      <c r="AN15" s="10" t="n"/>
      <c r="AO15" s="11" t="n"/>
      <c r="AP15" s="45" t="inlineStr"/>
      <c r="AQ15" s="10" t="n"/>
      <c r="AR15" s="11" t="n"/>
      <c r="AS15" s="45" t="inlineStr"/>
      <c r="AT15" s="10" t="n"/>
      <c r="AU15" s="11" t="n"/>
      <c r="AV15" s="45" t="inlineStr"/>
      <c r="AW15" s="10" t="n"/>
      <c r="AX15" s="11" t="n"/>
      <c r="AY15" s="45" t="inlineStr"/>
      <c r="AZ15" s="10" t="n"/>
      <c r="BA15" s="11" t="n"/>
      <c r="BB15" s="45" t="inlineStr"/>
      <c r="BC15" s="10" t="n"/>
      <c r="BD15" s="11" t="n"/>
      <c r="BE15" s="45" t="inlineStr"/>
      <c r="BF15" s="10" t="n"/>
      <c r="BG15" s="11" t="n"/>
      <c r="BH15" s="45" t="inlineStr"/>
      <c r="BI15" s="10" t="n"/>
      <c r="BJ15" s="11" t="n"/>
      <c r="BK15" s="46" t="inlineStr"/>
      <c r="BL15" s="10" t="n"/>
      <c r="BM15" s="10" t="n"/>
      <c r="BN15" s="10" t="n"/>
      <c r="BO15" s="10" t="n"/>
      <c r="BP15" s="10" t="n"/>
      <c r="BQ15" s="11" t="n"/>
    </row>
    <row r="16" ht="224" customHeight="1">
      <c r="A16" s="44" t="n">
        <v>4</v>
      </c>
      <c r="B16" s="46" t="inlineStr">
        <is>
          <t>ACSMS-TC-022-004</t>
        </is>
      </c>
      <c r="C16" s="10" t="n"/>
      <c r="D16" s="11" t="n"/>
      <c r="E16" s="46" t="inlineStr">
        <is>
          <t>Kiểm tra phạm vi tham chiếu DataScope với role JA_HONTEN</t>
        </is>
      </c>
      <c r="F16" s="10" t="n"/>
      <c r="G16" s="10" t="n"/>
      <c r="H16" s="10" t="n"/>
      <c r="I16" s="11" t="n"/>
      <c r="J16" s="46" t="inlineStr">
        <is>
          <t>・role: JA_HONTEN
・Đã login + đã xác thực MFA
・Test data: file của JA mình 3 dòng, file của JA khác 2 dòng, file gửi toàn bộ JA 1 dòng</t>
        </is>
      </c>
      <c r="K16" s="10" t="n"/>
      <c r="L16" s="10" t="n"/>
      <c r="M16" s="10" t="n"/>
      <c r="N16" s="10" t="n"/>
      <c r="O16" s="10" t="n"/>
      <c r="P16" s="11" t="n"/>
      <c r="Q1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Truy cập URL `/file-upload`, kiểm tra danh sách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Lấy file ID của JA khác từ DevTools, truyền vào GET `/api/v1/file-upload/{file_upload_id}/preview` và gọi trực tiếp</t>
          </r>
        </is>
      </c>
      <c r="R16" s="10" t="n"/>
      <c r="S16" s="10" t="n"/>
      <c r="T16" s="10" t="n"/>
      <c r="U16" s="10" t="n"/>
      <c r="V16" s="10" t="n"/>
      <c r="W16" s="11" t="n"/>
      <c r="X1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Chỉ hiển thị file của JA mình + file gửi toàn bộ JA (tổng 4 dòng), file của JA khác KHÔNG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404 (`error_code: NOT_FOUND`)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・Điều kiện tham chiếu: `fu.ja_id = :user_ja_id OR fu.ja_id IS NULL`</t>
          </r>
        </is>
      </c>
      <c r="Y16" s="10" t="n"/>
      <c r="Z16" s="10" t="n"/>
      <c r="AA16" s="10" t="n"/>
      <c r="AB16" s="10" t="n"/>
      <c r="AC16" s="10" t="n"/>
      <c r="AD16" s="11" t="n"/>
      <c r="AE16" s="45" t="inlineStr">
        <is>
          <t>N</t>
        </is>
      </c>
      <c r="AF16" s="11" t="n"/>
      <c r="AG16" s="45" t="inlineStr"/>
      <c r="AH16" s="10" t="n"/>
      <c r="AI16" s="11" t="n"/>
      <c r="AJ16" s="45" t="inlineStr"/>
      <c r="AK16" s="10" t="n"/>
      <c r="AL16" s="11" t="n"/>
      <c r="AM16" s="45" t="inlineStr"/>
      <c r="AN16" s="10" t="n"/>
      <c r="AO16" s="11" t="n"/>
      <c r="AP16" s="45" t="inlineStr"/>
      <c r="AQ16" s="10" t="n"/>
      <c r="AR16" s="11" t="n"/>
      <c r="AS16" s="45" t="inlineStr"/>
      <c r="AT16" s="10" t="n"/>
      <c r="AU16" s="11" t="n"/>
      <c r="AV16" s="45" t="inlineStr"/>
      <c r="AW16" s="10" t="n"/>
      <c r="AX16" s="11" t="n"/>
      <c r="AY16" s="45" t="inlineStr"/>
      <c r="AZ16" s="10" t="n"/>
      <c r="BA16" s="11" t="n"/>
      <c r="BB16" s="45" t="inlineStr"/>
      <c r="BC16" s="10" t="n"/>
      <c r="BD16" s="11" t="n"/>
      <c r="BE16" s="45" t="inlineStr"/>
      <c r="BF16" s="10" t="n"/>
      <c r="BG16" s="11" t="n"/>
      <c r="BH16" s="45" t="inlineStr"/>
      <c r="BI16" s="10" t="n"/>
      <c r="BJ16" s="11" t="n"/>
      <c r="BK16" s="46" t="inlineStr"/>
      <c r="BL16" s="10" t="n"/>
      <c r="BM16" s="10" t="n"/>
      <c r="BN16" s="10" t="n"/>
      <c r="BO16" s="10" t="n"/>
      <c r="BP16" s="10" t="n"/>
      <c r="BQ16" s="11" t="n"/>
    </row>
    <row r="17" ht="304" customHeight="1">
      <c r="A17" s="44" t="n">
        <v>5</v>
      </c>
      <c r="B17" s="46" t="inlineStr">
        <is>
          <t>ACSMS-TC-022-005</t>
        </is>
      </c>
      <c r="C17" s="10" t="n"/>
      <c r="D17" s="11" t="n"/>
      <c r="E17" s="46" t="inlineStr">
        <is>
          <t>Kiểm tra phạm vi tham chiếu DataScope với role JA_KANRI_SHITEN</t>
        </is>
      </c>
      <c r="F17" s="10" t="n"/>
      <c r="G17" s="10" t="n"/>
      <c r="H17" s="10" t="n"/>
      <c r="I17" s="11" t="n"/>
      <c r="J17" s="46" t="inlineStr">
        <is>
          <t>・role: JA_KANRI_SHITEN
・Đã login + đã xác thực MFA
・Test data: file thuộc kanri-shiten của mình trong JA mình 2 dòng, file thuộc kanri-shiten khác trong JA mình 2 dòng, file của JA khác 2 dòng, file gửi toàn bộ JA 1 dòng</t>
        </is>
      </c>
      <c r="K17" s="10" t="n"/>
      <c r="L17" s="10" t="n"/>
      <c r="M17" s="10" t="n"/>
      <c r="N17" s="10" t="n"/>
      <c r="O17" s="10" t="n"/>
      <c r="P17" s="11" t="n"/>
      <c r="Q1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Truy cập URL `/file-upload`, kiểm tra danh sách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Truyền trực tiếp file ID của JA khác vào GET `/api/v1/file-upload/{file_upload_id}/download` và gọi</t>
          </r>
        </is>
      </c>
      <c r="R17" s="10" t="n"/>
      <c r="S17" s="10" t="n"/>
      <c r="T17" s="10" t="n"/>
      <c r="U17" s="10" t="n"/>
      <c r="V17" s="10" t="n"/>
      <c r="W17" s="11" t="n"/>
      <c r="X1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file của JA mình (kanri-shiten mình + kanri-shiten khác, tổng 4 dòng) + file gửi toàn bộ JA 1 dòng, tổng 5 dòng, file của JA khác KHÔNG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404 (`error_code: NOT_FOUND`)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・Lọc theo đơn vị JA, KHÔNG lọc theo đơn vị kanri-shiten (theo spec)
</t>
          </r>
          <r>
            <rPr>
              <rFont val="メイリオ"/>
              <sz val="10"/>
            </rPr>
            <t>・Có thể tham chiếu toàn bộ file của các kanri-shiten thuộc JA mình</t>
          </r>
        </is>
      </c>
      <c r="Y17" s="10" t="n"/>
      <c r="Z17" s="10" t="n"/>
      <c r="AA17" s="10" t="n"/>
      <c r="AB17" s="10" t="n"/>
      <c r="AC17" s="10" t="n"/>
      <c r="AD17" s="11" t="n"/>
      <c r="AE17" s="45" t="inlineStr">
        <is>
          <t>N</t>
        </is>
      </c>
      <c r="AF17" s="11" t="n"/>
      <c r="AG17" s="45" t="inlineStr"/>
      <c r="AH17" s="10" t="n"/>
      <c r="AI17" s="11" t="n"/>
      <c r="AJ17" s="45" t="inlineStr"/>
      <c r="AK17" s="10" t="n"/>
      <c r="AL17" s="11" t="n"/>
      <c r="AM17" s="45" t="inlineStr"/>
      <c r="AN17" s="10" t="n"/>
      <c r="AO17" s="11" t="n"/>
      <c r="AP17" s="45" t="inlineStr"/>
      <c r="AQ17" s="10" t="n"/>
      <c r="AR17" s="11" t="n"/>
      <c r="AS17" s="45" t="inlineStr"/>
      <c r="AT17" s="10" t="n"/>
      <c r="AU17" s="11" t="n"/>
      <c r="AV17" s="45" t="inlineStr"/>
      <c r="AW17" s="10" t="n"/>
      <c r="AX17" s="11" t="n"/>
      <c r="AY17" s="45" t="inlineStr"/>
      <c r="AZ17" s="10" t="n"/>
      <c r="BA17" s="11" t="n"/>
      <c r="BB17" s="45" t="inlineStr"/>
      <c r="BC17" s="10" t="n"/>
      <c r="BD17" s="11" t="n"/>
      <c r="BE17" s="45" t="inlineStr"/>
      <c r="BF17" s="10" t="n"/>
      <c r="BG17" s="11" t="n"/>
      <c r="BH17" s="45" t="inlineStr"/>
      <c r="BI17" s="10" t="n"/>
      <c r="BJ17" s="11" t="n"/>
      <c r="BK17" s="46" t="inlineStr"/>
      <c r="BL17" s="10" t="n"/>
      <c r="BM17" s="10" t="n"/>
      <c r="BN17" s="10" t="n"/>
      <c r="BO17" s="10" t="n"/>
      <c r="BP17" s="10" t="n"/>
      <c r="BQ17" s="11" t="n"/>
    </row>
    <row r="18" ht="272" customHeight="1">
      <c r="A18" s="44" t="n">
        <v>6</v>
      </c>
      <c r="B18" s="46" t="inlineStr">
        <is>
          <t>ACSMS-TC-022-006</t>
        </is>
      </c>
      <c r="C18" s="10" t="n"/>
      <c r="D18" s="11" t="n"/>
      <c r="E18" s="46" t="inlineStr">
        <is>
          <t>Cấm user chưa xác thực truy cập trực tiếp URL</t>
        </is>
      </c>
      <c r="F18" s="10" t="n"/>
      <c r="G18" s="10" t="n"/>
      <c r="H18" s="10" t="n"/>
      <c r="I18" s="11" t="n"/>
      <c r="J18" s="46" t="inlineStr">
        <is>
          <t>・Không giữ session (private mode của browser, v.v.)</t>
        </is>
      </c>
      <c r="K18" s="10" t="n"/>
      <c r="L18" s="10" t="n"/>
      <c r="M18" s="10" t="n"/>
      <c r="N18" s="10" t="n"/>
      <c r="O18" s="10" t="n"/>
      <c r="P18" s="11" t="n"/>
      <c r="Q1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trực tiếp `/file-upload` vào address bar của browser và truy cập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Từ DevTools gọi GET `/api/v1/file-upload`</t>
          </r>
        </is>
      </c>
      <c r="R18" s="10" t="n"/>
      <c r="S18" s="10" t="n"/>
      <c r="T18" s="10" t="n"/>
      <c r="U18" s="10" t="n"/>
      <c r="V18" s="10" t="n"/>
      <c r="W18" s="11" t="n"/>
      <c r="X1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Chuyển về màn login `/login`, query parameter `redirect=/file-upload` được gắn vào URL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401 (`error_code: UNAUTHORIZED`, message `セッションが切れました。再度ログインしてください。`)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・Router guard phát hiện không có session và giữ trang đích sau khi login trên URL query</t>
          </r>
        </is>
      </c>
      <c r="Y18" s="10" t="n"/>
      <c r="Z18" s="10" t="n"/>
      <c r="AA18" s="10" t="n"/>
      <c r="AB18" s="10" t="n"/>
      <c r="AC18" s="10" t="n"/>
      <c r="AD18" s="11" t="n"/>
      <c r="AE18" s="45" t="inlineStr">
        <is>
          <t>A</t>
        </is>
      </c>
      <c r="AF18" s="11" t="n"/>
      <c r="AG18" s="45" t="inlineStr"/>
      <c r="AH18" s="10" t="n"/>
      <c r="AI18" s="11" t="n"/>
      <c r="AJ18" s="45" t="inlineStr"/>
      <c r="AK18" s="10" t="n"/>
      <c r="AL18" s="11" t="n"/>
      <c r="AM18" s="45" t="inlineStr"/>
      <c r="AN18" s="10" t="n"/>
      <c r="AO18" s="11" t="n"/>
      <c r="AP18" s="45" t="inlineStr"/>
      <c r="AQ18" s="10" t="n"/>
      <c r="AR18" s="11" t="n"/>
      <c r="AS18" s="45" t="inlineStr"/>
      <c r="AT18" s="10" t="n"/>
      <c r="AU18" s="11" t="n"/>
      <c r="AV18" s="45" t="inlineStr"/>
      <c r="AW18" s="10" t="n"/>
      <c r="AX18" s="11" t="n"/>
      <c r="AY18" s="45" t="inlineStr"/>
      <c r="AZ18" s="10" t="n"/>
      <c r="BA18" s="11" t="n"/>
      <c r="BB18" s="45" t="inlineStr"/>
      <c r="BC18" s="10" t="n"/>
      <c r="BD18" s="11" t="n"/>
      <c r="BE18" s="45" t="inlineStr"/>
      <c r="BF18" s="10" t="n"/>
      <c r="BG18" s="11" t="n"/>
      <c r="BH18" s="45" t="inlineStr"/>
      <c r="BI18" s="10" t="n"/>
      <c r="BJ18" s="11" t="n"/>
      <c r="BK18" s="46" t="inlineStr">
        <is>
          <t>(なし)
---</t>
        </is>
      </c>
      <c r="BL18" s="10" t="n"/>
      <c r="BM18" s="10" t="n"/>
      <c r="BN18" s="10" t="n"/>
      <c r="BO18" s="10" t="n"/>
      <c r="BP18" s="10" t="n"/>
      <c r="BQ18" s="11" t="n"/>
    </row>
    <row r="19" ht="22.5" customHeight="1">
      <c r="A19" s="32" t="inlineStr">
        <is>
          <t>Hiển thị màn hình・Responsive (Layout &amp; Responsive)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1" t="n"/>
    </row>
    <row r="20" ht="320" customHeight="1">
      <c r="A20" s="44" t="n">
        <v>7</v>
      </c>
      <c r="B20" s="46" t="inlineStr">
        <is>
          <t>ACSMS-TC-022-007</t>
        </is>
      </c>
      <c r="C20" s="10" t="n"/>
      <c r="D20" s="11" t="n"/>
      <c r="E20" s="46" t="inlineStr">
        <is>
          <t>Hiển thị tiêu đề màn hình và layout trang ban đầu</t>
        </is>
      </c>
      <c r="F20" s="10" t="n"/>
      <c r="G20" s="10" t="n"/>
      <c r="H20" s="10" t="n"/>
      <c r="I20" s="11" t="n"/>
      <c r="J20" s="46" t="inlineStr">
        <is>
          <t>・role: NICHINO_ADMIN
・Đã login + đã xác thực MFA</t>
        </is>
      </c>
      <c r="K20" s="10" t="n"/>
      <c r="L20" s="10" t="n"/>
      <c r="M20" s="10" t="n"/>
      <c r="N20" s="10" t="n"/>
      <c r="O20" s="10" t="n"/>
      <c r="P20" s="11" t="n"/>
      <c r="Q2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Truy cập URL `/file-upload`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trực quan cấu trúc màn hình (tiêu đề, vùng search, danh sách kết quả, pagination)</t>
          </r>
        </is>
      </c>
      <c r="R20" s="10" t="n"/>
      <c r="S20" s="10" t="n"/>
      <c r="T20" s="10" t="n"/>
      <c r="U20" s="10" t="n"/>
      <c r="V20" s="10" t="n"/>
      <c r="W20" s="11" t="n"/>
      <c r="X2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・Tiêu đề màn hình `ファイルダウンロード画面` được hiển thị ở góc trên bên trái
</t>
          </r>
          <r>
            <rPr>
              <rFont val="メイリオ"/>
              <sz val="10"/>
            </rPr>
            <t xml:space="preserve">・Vùng search (ファイル名・都道府県) được hiển thị ở phía trên
</t>
          </r>
          <r>
            <rPr>
              <rFont val="メイリオ"/>
              <sz val="10"/>
            </rPr>
            <t xml:space="preserve">・Bảng danh sách kết quả được hiển thị ở giữa
</t>
          </r>
          <r>
            <rPr>
              <rFont val="メイリオ"/>
              <sz val="10"/>
            </rPr>
            <t xml:space="preserve">・Pagination được hiển thị ở phía dưới bảng
</t>
          </r>
          <r>
            <rPr>
              <rFont val="メイリオ"/>
              <sz val="10"/>
            </rPr>
            <t xml:space="preserve">・Không vỡ layout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・Layout tuân theo design token (màu sắc, khoảng cách, font)</t>
          </r>
        </is>
      </c>
      <c r="Y20" s="10" t="n"/>
      <c r="Z20" s="10" t="n"/>
      <c r="AA20" s="10" t="n"/>
      <c r="AB20" s="10" t="n"/>
      <c r="AC20" s="10" t="n"/>
      <c r="AD20" s="11" t="n"/>
      <c r="AE20" s="45" t="inlineStr">
        <is>
          <t>N</t>
        </is>
      </c>
      <c r="AF20" s="11" t="n"/>
      <c r="AG20" s="45" t="inlineStr"/>
      <c r="AH20" s="10" t="n"/>
      <c r="AI20" s="11" t="n"/>
      <c r="AJ20" s="45" t="inlineStr"/>
      <c r="AK20" s="10" t="n"/>
      <c r="AL20" s="11" t="n"/>
      <c r="AM20" s="45" t="inlineStr"/>
      <c r="AN20" s="10" t="n"/>
      <c r="AO20" s="11" t="n"/>
      <c r="AP20" s="45" t="inlineStr"/>
      <c r="AQ20" s="10" t="n"/>
      <c r="AR20" s="11" t="n"/>
      <c r="AS20" s="45" t="inlineStr"/>
      <c r="AT20" s="10" t="n"/>
      <c r="AU20" s="11" t="n"/>
      <c r="AV20" s="45" t="inlineStr"/>
      <c r="AW20" s="10" t="n"/>
      <c r="AX20" s="11" t="n"/>
      <c r="AY20" s="45" t="inlineStr"/>
      <c r="AZ20" s="10" t="n"/>
      <c r="BA20" s="11" t="n"/>
      <c r="BB20" s="45" t="inlineStr"/>
      <c r="BC20" s="10" t="n"/>
      <c r="BD20" s="11" t="n"/>
      <c r="BE20" s="45" t="inlineStr"/>
      <c r="BF20" s="10" t="n"/>
      <c r="BG20" s="11" t="n"/>
      <c r="BH20" s="45" t="inlineStr"/>
      <c r="BI20" s="10" t="n"/>
      <c r="BJ20" s="11" t="n"/>
      <c r="BK20" s="46" t="inlineStr"/>
      <c r="BL20" s="10" t="n"/>
      <c r="BM20" s="10" t="n"/>
      <c r="BN20" s="10" t="n"/>
      <c r="BO20" s="10" t="n"/>
      <c r="BP20" s="10" t="n"/>
      <c r="BQ20" s="11" t="n"/>
    </row>
    <row r="21" ht="352" customHeight="1">
      <c r="A21" s="44" t="n">
        <v>8</v>
      </c>
      <c r="B21" s="46" t="inlineStr">
        <is>
          <t>ACSMS-TC-022-008</t>
        </is>
      </c>
      <c r="C21" s="10" t="n"/>
      <c r="D21" s="11" t="n"/>
      <c r="E21" s="46" t="inlineStr">
        <is>
          <t>Hiển thị item của vùng search và button chính</t>
        </is>
      </c>
      <c r="F21" s="10" t="n"/>
      <c r="G21" s="10" t="n"/>
      <c r="H21" s="10" t="n"/>
      <c r="I21" s="11" t="n"/>
      <c r="J21" s="46" t="inlineStr">
        <is>
          <t>・role: NICHINO_ADMIN
・Đã login + đã xác thực MFA</t>
        </is>
      </c>
      <c r="K21" s="10" t="n"/>
      <c r="L21" s="10" t="n"/>
      <c r="M21" s="10" t="n"/>
      <c r="N21" s="10" t="n"/>
      <c r="O21" s="10" t="n"/>
      <c r="P21" s="11" t="n"/>
      <c r="Q2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màn hình, kiểm tra các thành phần của vùng search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label và vị trí của từng button</t>
          </r>
        </is>
      </c>
      <c r="R21" s="10" t="n"/>
      <c r="S21" s="10" t="n"/>
      <c r="T21" s="10" t="n"/>
      <c r="U21" s="10" t="n"/>
      <c r="V21" s="10" t="n"/>
      <c r="W21" s="11" t="n"/>
      <c r="X2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・Textbox ファイル名 được hiển thị (placeholder: tùy ý)
</t>
          </r>
          <r>
            <rPr>
              <rFont val="メイリオ"/>
              <sz val="10"/>
            </rPr>
            <t xml:space="preserve">・Dropdown 都道府県 được hiển thị (giữ tất cả 47 lựa chọn tỉnh thành)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・Button chính `検索` được hiển thị
</t>
          </r>
          <r>
            <rPr>
              <rFont val="メイリオ"/>
              <sz val="10"/>
            </rPr>
            <t xml:space="preserve">・Button phụ `検索クリア` được hiển thị
</t>
          </r>
          <r>
            <rPr>
              <rFont val="メイリオ"/>
              <sz val="10"/>
            </rPr>
            <t xml:space="preserve">・Button phụ `プレビュー` được hiển thị
</t>
          </r>
          <r>
            <rPr>
              <rFont val="メイリオ"/>
              <sz val="10"/>
            </rPr>
            <t xml:space="preserve">・Button chính `ダウンロード実行` được hiển thị trên header của danh sách kết quả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・Button chính có màu nhấn fill, button phụ chỉ có viền — phân biệt bằng phối màu</t>
          </r>
        </is>
      </c>
      <c r="Y21" s="10" t="n"/>
      <c r="Z21" s="10" t="n"/>
      <c r="AA21" s="10" t="n"/>
      <c r="AB21" s="10" t="n"/>
      <c r="AC21" s="10" t="n"/>
      <c r="AD21" s="11" t="n"/>
      <c r="AE21" s="45" t="inlineStr">
        <is>
          <t>N</t>
        </is>
      </c>
      <c r="AF21" s="11" t="n"/>
      <c r="AG21" s="45" t="inlineStr"/>
      <c r="AH21" s="10" t="n"/>
      <c r="AI21" s="11" t="n"/>
      <c r="AJ21" s="45" t="inlineStr"/>
      <c r="AK21" s="10" t="n"/>
      <c r="AL21" s="11" t="n"/>
      <c r="AM21" s="45" t="inlineStr"/>
      <c r="AN21" s="10" t="n"/>
      <c r="AO21" s="11" t="n"/>
      <c r="AP21" s="45" t="inlineStr"/>
      <c r="AQ21" s="10" t="n"/>
      <c r="AR21" s="11" t="n"/>
      <c r="AS21" s="45" t="inlineStr"/>
      <c r="AT21" s="10" t="n"/>
      <c r="AU21" s="11" t="n"/>
      <c r="AV21" s="45" t="inlineStr"/>
      <c r="AW21" s="10" t="n"/>
      <c r="AX21" s="11" t="n"/>
      <c r="AY21" s="45" t="inlineStr"/>
      <c r="AZ21" s="10" t="n"/>
      <c r="BA21" s="11" t="n"/>
      <c r="BB21" s="45" t="inlineStr"/>
      <c r="BC21" s="10" t="n"/>
      <c r="BD21" s="11" t="n"/>
      <c r="BE21" s="45" t="inlineStr"/>
      <c r="BF21" s="10" t="n"/>
      <c r="BG21" s="11" t="n"/>
      <c r="BH21" s="45" t="inlineStr"/>
      <c r="BI21" s="10" t="n"/>
      <c r="BJ21" s="11" t="n"/>
      <c r="BK21" s="46" t="inlineStr"/>
      <c r="BL21" s="10" t="n"/>
      <c r="BM21" s="10" t="n"/>
      <c r="BN21" s="10" t="n"/>
      <c r="BO21" s="10" t="n"/>
      <c r="BP21" s="10" t="n"/>
      <c r="BQ21" s="11" t="n"/>
    </row>
    <row r="22" ht="384" customHeight="1">
      <c r="A22" s="44" t="n">
        <v>9</v>
      </c>
      <c r="B22" s="46" t="inlineStr">
        <is>
          <t>ACSMS-TC-022-009</t>
        </is>
      </c>
      <c r="C22" s="10" t="n"/>
      <c r="D22" s="11" t="n"/>
      <c r="E22" s="46" t="inlineStr">
        <is>
          <t>Thứ tự hiển thị column của bảng danh sách kết quả</t>
        </is>
      </c>
      <c r="F22" s="10" t="n"/>
      <c r="G22" s="10" t="n"/>
      <c r="H22" s="10" t="n"/>
      <c r="I22" s="11" t="n"/>
      <c r="J22" s="46" t="inlineStr">
        <is>
          <t>・role: NICHINO_ADMIN
・Đã login + đã xác thực MFA
・Test data: `t_file_upload` tồn tại ≥ 5 file</t>
        </is>
      </c>
      <c r="K22" s="10" t="n"/>
      <c r="L22" s="10" t="n"/>
      <c r="M22" s="10" t="n"/>
      <c r="N22" s="10" t="n"/>
      <c r="O22" s="10" t="n"/>
      <c r="P22" s="11" t="n"/>
      <c r="Q2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màn hình, kiểm tra header của bảng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1 row data được hiển thị với giá trị tương ứng cho từng column</t>
          </r>
        </is>
      </c>
      <c r="R22" s="10" t="n"/>
      <c r="S22" s="10" t="n"/>
      <c r="T22" s="10" t="n"/>
      <c r="U22" s="10" t="n"/>
      <c r="V22" s="10" t="n"/>
      <c r="W22" s="11" t="n"/>
      <c r="X2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Các column được hiển thị từ trái sang phải theo thứ tự `選択（チェックボックス） / アップロード日時 / 作成者 / ファイル名 / サイズ`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・Column アップロード日時 hiển thị giá trị định dạng `YYYY/MM/DD HH:mm:ss`
</t>
          </r>
          <r>
            <rPr>
              <rFont val="メイリオ"/>
              <sz val="10"/>
            </rPr>
            <t xml:space="preserve">・Column 作成者 hiển thị kết quả JOIN từ `m_account.account_name`
</t>
          </r>
          <r>
            <rPr>
              <rFont val="メイリオ"/>
              <sz val="10"/>
            </rPr>
            <t xml:space="preserve">・Column ファイル名 hiển thị dạng link với màu nhấn
</t>
          </r>
          <r>
            <rPr>
              <rFont val="メイリオ"/>
              <sz val="10"/>
            </rPr>
            <t xml:space="preserve">・Column サイズ hiển thị kích thước dạng human-readable (ví dụ: `1.2 MB`)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・Khi data nguồn JOIN không tồn tại, 作成者 hiển thị trống</t>
          </r>
        </is>
      </c>
      <c r="Y22" s="10" t="n"/>
      <c r="Z22" s="10" t="n"/>
      <c r="AA22" s="10" t="n"/>
      <c r="AB22" s="10" t="n"/>
      <c r="AC22" s="10" t="n"/>
      <c r="AD22" s="11" t="n"/>
      <c r="AE22" s="45" t="inlineStr">
        <is>
          <t>N</t>
        </is>
      </c>
      <c r="AF22" s="11" t="n"/>
      <c r="AG22" s="45" t="inlineStr"/>
      <c r="AH22" s="10" t="n"/>
      <c r="AI22" s="11" t="n"/>
      <c r="AJ22" s="45" t="inlineStr"/>
      <c r="AK22" s="10" t="n"/>
      <c r="AL22" s="11" t="n"/>
      <c r="AM22" s="45" t="inlineStr"/>
      <c r="AN22" s="10" t="n"/>
      <c r="AO22" s="11" t="n"/>
      <c r="AP22" s="45" t="inlineStr"/>
      <c r="AQ22" s="10" t="n"/>
      <c r="AR22" s="11" t="n"/>
      <c r="AS22" s="45" t="inlineStr"/>
      <c r="AT22" s="10" t="n"/>
      <c r="AU22" s="11" t="n"/>
      <c r="AV22" s="45" t="inlineStr"/>
      <c r="AW22" s="10" t="n"/>
      <c r="AX22" s="11" t="n"/>
      <c r="AY22" s="45" t="inlineStr"/>
      <c r="AZ22" s="10" t="n"/>
      <c r="BA22" s="11" t="n"/>
      <c r="BB22" s="45" t="inlineStr"/>
      <c r="BC22" s="10" t="n"/>
      <c r="BD22" s="11" t="n"/>
      <c r="BE22" s="45" t="inlineStr"/>
      <c r="BF22" s="10" t="n"/>
      <c r="BG22" s="11" t="n"/>
      <c r="BH22" s="45" t="inlineStr"/>
      <c r="BI22" s="10" t="n"/>
      <c r="BJ22" s="11" t="n"/>
      <c r="BK22" s="46" t="inlineStr"/>
      <c r="BL22" s="10" t="n"/>
      <c r="BM22" s="10" t="n"/>
      <c r="BN22" s="10" t="n"/>
      <c r="BO22" s="10" t="n"/>
      <c r="BP22" s="10" t="n"/>
      <c r="BQ22" s="11" t="n"/>
    </row>
    <row r="23" ht="368" customHeight="1">
      <c r="A23" s="44" t="n">
        <v>10</v>
      </c>
      <c r="B23" s="46" t="inlineStr">
        <is>
          <t>ACSMS-TC-022-010</t>
        </is>
      </c>
      <c r="C23" s="10" t="n"/>
      <c r="D23" s="11" t="n"/>
      <c r="E23" s="46" t="inlineStr">
        <is>
          <t>Hiển thị pagination và dropdown chọn số dòng</t>
        </is>
      </c>
      <c r="F23" s="10" t="n"/>
      <c r="G23" s="10" t="n"/>
      <c r="H23" s="10" t="n"/>
      <c r="I23" s="11" t="n"/>
      <c r="J23" s="46" t="inlineStr">
        <is>
          <t>・role: NICHINO_ADMIN
・Đã login + đã xác thực MFA
・Test data: `t_file_upload` tồn tại ≥ 100 file</t>
        </is>
      </c>
      <c r="K23" s="10" t="n"/>
      <c r="L23" s="10" t="n"/>
      <c r="M23" s="10" t="n"/>
      <c r="N23" s="10" t="n"/>
      <c r="O23" s="10" t="n"/>
      <c r="P23" s="11" t="n"/>
      <c r="Q2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màn hình, kiểm tra các thành phần pagination ở phía dưới bảng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Lần lượt kiểm tra button số trang và button "次へ" / "前へ"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các lựa chọn của dropdown chọn số dòng</t>
          </r>
        </is>
      </c>
      <c r="R23" s="10" t="n"/>
      <c r="S23" s="10" t="n"/>
      <c r="T23" s="10" t="n"/>
      <c r="U23" s="10" t="n"/>
      <c r="V23" s="10" t="n"/>
      <c r="W23" s="11" t="n"/>
      <c r="X2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・Có hiển thị "全 N 件"
</t>
          </r>
          <r>
            <rPr>
              <rFont val="メイリオ"/>
              <sz val="10"/>
            </rPr>
            <t xml:space="preserve">・Button số trang (1, 2, 3, ..., cuối) được hiển thị
</t>
          </r>
          <r>
            <rPr>
              <rFont val="メイリオ"/>
              <sz val="10"/>
            </rPr>
            <t xml:space="preserve">・Icon button "前へ" / "次へ"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Trạng thái focus của button đúng (trang hiện tại được fill bằng màu nhấn)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Dropdown chọn số dòng hiển thị 4 lựa chọn `10 / 頁`, `20 / 頁`, `50 / 頁`, `100 / 頁`, giá trị mặc định là `20 / 頁`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・Số dòng hiển thị mặc định là 20 dòng/trang (screen-design.md §機能 7)</t>
          </r>
        </is>
      </c>
      <c r="Y23" s="10" t="n"/>
      <c r="Z23" s="10" t="n"/>
      <c r="AA23" s="10" t="n"/>
      <c r="AB23" s="10" t="n"/>
      <c r="AC23" s="10" t="n"/>
      <c r="AD23" s="11" t="n"/>
      <c r="AE23" s="45" t="inlineStr">
        <is>
          <t>N</t>
        </is>
      </c>
      <c r="AF23" s="11" t="n"/>
      <c r="AG23" s="45" t="inlineStr"/>
      <c r="AH23" s="10" t="n"/>
      <c r="AI23" s="11" t="n"/>
      <c r="AJ23" s="45" t="inlineStr"/>
      <c r="AK23" s="10" t="n"/>
      <c r="AL23" s="11" t="n"/>
      <c r="AM23" s="45" t="inlineStr"/>
      <c r="AN23" s="10" t="n"/>
      <c r="AO23" s="11" t="n"/>
      <c r="AP23" s="45" t="inlineStr"/>
      <c r="AQ23" s="10" t="n"/>
      <c r="AR23" s="11" t="n"/>
      <c r="AS23" s="45" t="inlineStr"/>
      <c r="AT23" s="10" t="n"/>
      <c r="AU23" s="11" t="n"/>
      <c r="AV23" s="45" t="inlineStr"/>
      <c r="AW23" s="10" t="n"/>
      <c r="AX23" s="11" t="n"/>
      <c r="AY23" s="45" t="inlineStr"/>
      <c r="AZ23" s="10" t="n"/>
      <c r="BA23" s="11" t="n"/>
      <c r="BB23" s="45" t="inlineStr"/>
      <c r="BC23" s="10" t="n"/>
      <c r="BD23" s="11" t="n"/>
      <c r="BE23" s="45" t="inlineStr"/>
      <c r="BF23" s="10" t="n"/>
      <c r="BG23" s="11" t="n"/>
      <c r="BH23" s="45" t="inlineStr"/>
      <c r="BI23" s="10" t="n"/>
      <c r="BJ23" s="11" t="n"/>
      <c r="BK23" s="46" t="inlineStr"/>
      <c r="BL23" s="10" t="n"/>
      <c r="BM23" s="10" t="n"/>
      <c r="BN23" s="10" t="n"/>
      <c r="BO23" s="10" t="n"/>
      <c r="BP23" s="10" t="n"/>
      <c r="BQ23" s="11" t="n"/>
    </row>
    <row r="24" ht="288" customHeight="1">
      <c r="A24" s="44" t="n">
        <v>11</v>
      </c>
      <c r="B24" s="46" t="inlineStr">
        <is>
          <t>ACSMS-TC-022-011</t>
        </is>
      </c>
      <c r="C24" s="10" t="n"/>
      <c r="D24" s="11" t="n"/>
      <c r="E24" s="46" t="inlineStr">
        <is>
          <t>Layout responsive (độ rộng tablet)</t>
        </is>
      </c>
      <c r="F24" s="10" t="n"/>
      <c r="G24" s="10" t="n"/>
      <c r="H24" s="10" t="n"/>
      <c r="I24" s="11" t="n"/>
      <c r="J24" s="46" t="inlineStr">
        <is>
          <t>・role: NICHINO_ADMIN
・Đã login + đã xác thực MFA</t>
        </is>
      </c>
      <c r="K24" s="10" t="n"/>
      <c r="L24" s="10" t="n"/>
      <c r="M24" s="10" t="n"/>
      <c r="N24" s="10" t="n"/>
      <c r="O24" s="10" t="n"/>
      <c r="P24" s="11" t="n"/>
      <c r="Q2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Đổi window size của browser sang độ rộng 768px (tương đương tablet)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layout toàn bộ màn hình và hiển thị bảng danh sách kết quả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Đổi độ rộng browser sang 375px (tương đương mobile) và kiểm tra tương tự</t>
          </r>
        </is>
      </c>
      <c r="R24" s="10" t="n"/>
      <c r="S24" s="10" t="n"/>
      <c r="T24" s="10" t="n"/>
      <c r="U24" s="10" t="n"/>
      <c r="V24" s="10" t="n"/>
      <c r="W24" s="11" t="n"/>
      <c r="X2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Không vỡ layout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Bảng cho phép scroll ngang, các item trong vùng search xuống nhiều dòng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Ở độ rộng mobile các phần tử vẫn không đè lên nhau, có thể xem toàn bộ column bằng scroll ngang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・Lấy breakpoint tablet 768px, breakpoint mobile 375px làm chuẩn</t>
          </r>
        </is>
      </c>
      <c r="Y24" s="10" t="n"/>
      <c r="Z24" s="10" t="n"/>
      <c r="AA24" s="10" t="n"/>
      <c r="AB24" s="10" t="n"/>
      <c r="AC24" s="10" t="n"/>
      <c r="AD24" s="11" t="n"/>
      <c r="AE24" s="45" t="inlineStr">
        <is>
          <t>N</t>
        </is>
      </c>
      <c r="AF24" s="11" t="n"/>
      <c r="AG24" s="45" t="inlineStr"/>
      <c r="AH24" s="10" t="n"/>
      <c r="AI24" s="11" t="n"/>
      <c r="AJ24" s="45" t="inlineStr"/>
      <c r="AK24" s="10" t="n"/>
      <c r="AL24" s="11" t="n"/>
      <c r="AM24" s="45" t="inlineStr"/>
      <c r="AN24" s="10" t="n"/>
      <c r="AO24" s="11" t="n"/>
      <c r="AP24" s="45" t="inlineStr"/>
      <c r="AQ24" s="10" t="n"/>
      <c r="AR24" s="11" t="n"/>
      <c r="AS24" s="45" t="inlineStr"/>
      <c r="AT24" s="10" t="n"/>
      <c r="AU24" s="11" t="n"/>
      <c r="AV24" s="45" t="inlineStr"/>
      <c r="AW24" s="10" t="n"/>
      <c r="AX24" s="11" t="n"/>
      <c r="AY24" s="45" t="inlineStr"/>
      <c r="AZ24" s="10" t="n"/>
      <c r="BA24" s="11" t="n"/>
      <c r="BB24" s="45" t="inlineStr"/>
      <c r="BC24" s="10" t="n"/>
      <c r="BD24" s="11" t="n"/>
      <c r="BE24" s="45" t="inlineStr"/>
      <c r="BF24" s="10" t="n"/>
      <c r="BG24" s="11" t="n"/>
      <c r="BH24" s="45" t="inlineStr"/>
      <c r="BI24" s="10" t="n"/>
      <c r="BJ24" s="11" t="n"/>
      <c r="BK24" s="46" t="inlineStr"/>
      <c r="BL24" s="10" t="n"/>
      <c r="BM24" s="10" t="n"/>
      <c r="BN24" s="10" t="n"/>
      <c r="BO24" s="10" t="n"/>
      <c r="BP24" s="10" t="n"/>
      <c r="BQ24" s="11" t="n"/>
    </row>
    <row r="25" ht="320" customHeight="1">
      <c r="A25" s="44" t="n">
        <v>12</v>
      </c>
      <c r="B25" s="46" t="inlineStr">
        <is>
          <t>ACSMS-TC-022-012</t>
        </is>
      </c>
      <c r="C25" s="10" t="n"/>
      <c r="D25" s="11" t="n"/>
      <c r="E25" s="46" t="inlineStr">
        <is>
          <t>Di chuyển focus bằng thao tác keyboard</t>
        </is>
      </c>
      <c r="F25" s="10" t="n"/>
      <c r="G25" s="10" t="n"/>
      <c r="H25" s="10" t="n"/>
      <c r="I25" s="11" t="n"/>
      <c r="J25" s="46" t="inlineStr">
        <is>
          <t>・role: NICHINO_ADMIN
・Đã login + đã xác thực MFA</t>
        </is>
      </c>
      <c r="K25" s="10" t="n"/>
      <c r="L25" s="10" t="n"/>
      <c r="M25" s="10" t="n"/>
      <c r="N25" s="10" t="n"/>
      <c r="O25" s="10" t="n"/>
      <c r="P25" s="11" t="n"/>
      <c r="Q2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màn hình, đặt focus vào textbox ファイル名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Nhấn lần lượt phím Tab, kiểm tra thứ tự focus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Tại row có checkbox, nhấn phím Space</t>
          </r>
        </is>
      </c>
      <c r="R25" s="10" t="n"/>
      <c r="S25" s="10" t="n"/>
      <c r="T25" s="10" t="n"/>
      <c r="U25" s="10" t="n"/>
      <c r="V25" s="10" t="n"/>
      <c r="W25" s="11" t="n"/>
      <c r="X2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Input focus được đặt vào textbox ファイル名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Thứ tự focus di chuyển đúng theo `ファイル名 → 都道府県 → 検索 → 検索クリア → プレビュー → checkbox 全選択 → checkbox từng row → link ファイル名 → ダウンロード実行 → pagination → chọn số dòng`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Checkbox bật/tắt được toggle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・Có thể thao tác toàn bộ chức năng chỉ bằng keyboard (yêu cầu A11y)</t>
          </r>
        </is>
      </c>
      <c r="Y25" s="10" t="n"/>
      <c r="Z25" s="10" t="n"/>
      <c r="AA25" s="10" t="n"/>
      <c r="AB25" s="10" t="n"/>
      <c r="AC25" s="10" t="n"/>
      <c r="AD25" s="11" t="n"/>
      <c r="AE25" s="45" t="inlineStr">
        <is>
          <t>N</t>
        </is>
      </c>
      <c r="AF25" s="11" t="n"/>
      <c r="AG25" s="45" t="inlineStr"/>
      <c r="AH25" s="10" t="n"/>
      <c r="AI25" s="11" t="n"/>
      <c r="AJ25" s="45" t="inlineStr"/>
      <c r="AK25" s="10" t="n"/>
      <c r="AL25" s="11" t="n"/>
      <c r="AM25" s="45" t="inlineStr"/>
      <c r="AN25" s="10" t="n"/>
      <c r="AO25" s="11" t="n"/>
      <c r="AP25" s="45" t="inlineStr"/>
      <c r="AQ25" s="10" t="n"/>
      <c r="AR25" s="11" t="n"/>
      <c r="AS25" s="45" t="inlineStr"/>
      <c r="AT25" s="10" t="n"/>
      <c r="AU25" s="11" t="n"/>
      <c r="AV25" s="45" t="inlineStr"/>
      <c r="AW25" s="10" t="n"/>
      <c r="AX25" s="11" t="n"/>
      <c r="AY25" s="45" t="inlineStr"/>
      <c r="AZ25" s="10" t="n"/>
      <c r="BA25" s="11" t="n"/>
      <c r="BB25" s="45" t="inlineStr"/>
      <c r="BC25" s="10" t="n"/>
      <c r="BD25" s="11" t="n"/>
      <c r="BE25" s="45" t="inlineStr"/>
      <c r="BF25" s="10" t="n"/>
      <c r="BG25" s="11" t="n"/>
      <c r="BH25" s="45" t="inlineStr"/>
      <c r="BI25" s="10" t="n"/>
      <c r="BJ25" s="11" t="n"/>
      <c r="BK25" s="46" t="inlineStr">
        <is>
          <t>(なし)
---</t>
        </is>
      </c>
      <c r="BL25" s="10" t="n"/>
      <c r="BM25" s="10" t="n"/>
      <c r="BN25" s="10" t="n"/>
      <c r="BO25" s="10" t="n"/>
      <c r="BP25" s="10" t="n"/>
      <c r="BQ25" s="11" t="n"/>
    </row>
    <row r="26" ht="22.5" customHeight="1">
      <c r="A26" s="32" t="inlineStr">
        <is>
          <t>Header・Breadcrumb (Header &amp; Breadcrumb)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1" t="n"/>
    </row>
    <row r="27" ht="240" customHeight="1">
      <c r="A27" s="44" t="n">
        <v>13</v>
      </c>
      <c r="B27" s="46" t="inlineStr">
        <is>
          <t>ACSMS-TC-022-013</t>
        </is>
      </c>
      <c r="C27" s="10" t="n"/>
      <c r="D27" s="11" t="n"/>
      <c r="E27" s="46" t="inlineStr">
        <is>
          <t>Hiển thị phân cấp breadcrumb và chuyển trang</t>
        </is>
      </c>
      <c r="F27" s="10" t="n"/>
      <c r="G27" s="10" t="n"/>
      <c r="H27" s="10" t="n"/>
      <c r="I27" s="11" t="n"/>
      <c r="J27" s="46" t="inlineStr">
        <is>
          <t>・role: NICHINO_ADMIN
・Đã login + đã xác thực MFA</t>
        </is>
      </c>
      <c r="K27" s="10" t="n"/>
      <c r="L27" s="10" t="n"/>
      <c r="M27" s="10" t="n"/>
      <c r="N27" s="10" t="n"/>
      <c r="O27" s="10" t="n"/>
      <c r="P27" s="11" t="n"/>
      <c r="Q2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màn hình, kiểm tra navigation breadcrumb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Click "ホーム"</t>
          </r>
        </is>
      </c>
      <c r="R27" s="10" t="n"/>
      <c r="S27" s="10" t="n"/>
      <c r="T27" s="10" t="n"/>
      <c r="U27" s="10" t="n"/>
      <c r="V27" s="10" t="n"/>
      <c r="W27" s="11" t="n"/>
      <c r="X2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Breadcrumb được hiển thị theo phân cấp `ホーム &gt; その他 &gt; ファイルダウンロード`, phần tử cuối `ファイルダウンロード` được hiển thị màu nhấn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Chuyển đến màn hình dashboard `/dashboard`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・Phần tử cuối của breadcrumb biểu thị trang hiện tại nên không hoạt động như link</t>
          </r>
        </is>
      </c>
      <c r="Y27" s="10" t="n"/>
      <c r="Z27" s="10" t="n"/>
      <c r="AA27" s="10" t="n"/>
      <c r="AB27" s="10" t="n"/>
      <c r="AC27" s="10" t="n"/>
      <c r="AD27" s="11" t="n"/>
      <c r="AE27" s="45" t="inlineStr">
        <is>
          <t>N</t>
        </is>
      </c>
      <c r="AF27" s="11" t="n"/>
      <c r="AG27" s="45" t="inlineStr"/>
      <c r="AH27" s="10" t="n"/>
      <c r="AI27" s="11" t="n"/>
      <c r="AJ27" s="45" t="inlineStr"/>
      <c r="AK27" s="10" t="n"/>
      <c r="AL27" s="11" t="n"/>
      <c r="AM27" s="45" t="inlineStr"/>
      <c r="AN27" s="10" t="n"/>
      <c r="AO27" s="11" t="n"/>
      <c r="AP27" s="45" t="inlineStr"/>
      <c r="AQ27" s="10" t="n"/>
      <c r="AR27" s="11" t="n"/>
      <c r="AS27" s="45" t="inlineStr"/>
      <c r="AT27" s="10" t="n"/>
      <c r="AU27" s="11" t="n"/>
      <c r="AV27" s="45" t="inlineStr"/>
      <c r="AW27" s="10" t="n"/>
      <c r="AX27" s="11" t="n"/>
      <c r="AY27" s="45" t="inlineStr"/>
      <c r="AZ27" s="10" t="n"/>
      <c r="BA27" s="11" t="n"/>
      <c r="BB27" s="45" t="inlineStr"/>
      <c r="BC27" s="10" t="n"/>
      <c r="BD27" s="11" t="n"/>
      <c r="BE27" s="45" t="inlineStr"/>
      <c r="BF27" s="10" t="n"/>
      <c r="BG27" s="11" t="n"/>
      <c r="BH27" s="45" t="inlineStr"/>
      <c r="BI27" s="10" t="n"/>
      <c r="BJ27" s="11" t="n"/>
      <c r="BK27" s="46" t="inlineStr"/>
      <c r="BL27" s="10" t="n"/>
      <c r="BM27" s="10" t="n"/>
      <c r="BN27" s="10" t="n"/>
      <c r="BO27" s="10" t="n"/>
      <c r="BP27" s="10" t="n"/>
      <c r="BQ27" s="11" t="n"/>
    </row>
    <row r="28" ht="176" customHeight="1">
      <c r="A28" s="44" t="n">
        <v>14</v>
      </c>
      <c r="B28" s="46" t="inlineStr">
        <is>
          <t>ACSMS-TC-022-014</t>
        </is>
      </c>
      <c r="C28" s="10" t="n"/>
      <c r="D28" s="11" t="n"/>
      <c r="E28" s="46" t="inlineStr">
        <is>
          <t>Hiển thị tên user đã login trên header</t>
        </is>
      </c>
      <c r="F28" s="10" t="n"/>
      <c r="G28" s="10" t="n"/>
      <c r="H28" s="10" t="n"/>
      <c r="I28" s="11" t="n"/>
      <c r="J28" s="46" t="inlineStr">
        <is>
          <t>・role: NICHINO_ADMIN
・Đã login với login ID `admin01`, display name "日農（管理者）"</t>
        </is>
      </c>
      <c r="K28" s="10" t="n"/>
      <c r="L28" s="10" t="n"/>
      <c r="M28" s="10" t="n"/>
      <c r="N28" s="10" t="n"/>
      <c r="O28" s="10" t="n"/>
      <c r="P28" s="11" t="n"/>
      <c r="Q2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>Kiểm tra vùng user info ở góc trên bên phải màn hình</t>
          </r>
        </is>
      </c>
      <c r="R28" s="10" t="n"/>
      <c r="S28" s="10" t="n"/>
      <c r="T28" s="10" t="n"/>
      <c r="U28" s="10" t="n"/>
      <c r="V28" s="10" t="n"/>
      <c r="W28" s="11" t="n"/>
      <c r="X2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Tên user đã login được hiển thị theo format `admin01:日農（管理者）`, icon user được hiển thị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・Format hiển thị `{login_id}:{account_name}` (định nghĩa header chung của screen-design)</t>
          </r>
        </is>
      </c>
      <c r="Y28" s="10" t="n"/>
      <c r="Z28" s="10" t="n"/>
      <c r="AA28" s="10" t="n"/>
      <c r="AB28" s="10" t="n"/>
      <c r="AC28" s="10" t="n"/>
      <c r="AD28" s="11" t="n"/>
      <c r="AE28" s="45" t="inlineStr">
        <is>
          <t>N</t>
        </is>
      </c>
      <c r="AF28" s="11" t="n"/>
      <c r="AG28" s="45" t="inlineStr"/>
      <c r="AH28" s="10" t="n"/>
      <c r="AI28" s="11" t="n"/>
      <c r="AJ28" s="45" t="inlineStr"/>
      <c r="AK28" s="10" t="n"/>
      <c r="AL28" s="11" t="n"/>
      <c r="AM28" s="45" t="inlineStr"/>
      <c r="AN28" s="10" t="n"/>
      <c r="AO28" s="11" t="n"/>
      <c r="AP28" s="45" t="inlineStr"/>
      <c r="AQ28" s="10" t="n"/>
      <c r="AR28" s="11" t="n"/>
      <c r="AS28" s="45" t="inlineStr"/>
      <c r="AT28" s="10" t="n"/>
      <c r="AU28" s="11" t="n"/>
      <c r="AV28" s="45" t="inlineStr"/>
      <c r="AW28" s="10" t="n"/>
      <c r="AX28" s="11" t="n"/>
      <c r="AY28" s="45" t="inlineStr"/>
      <c r="AZ28" s="10" t="n"/>
      <c r="BA28" s="11" t="n"/>
      <c r="BB28" s="45" t="inlineStr"/>
      <c r="BC28" s="10" t="n"/>
      <c r="BD28" s="11" t="n"/>
      <c r="BE28" s="45" t="inlineStr"/>
      <c r="BF28" s="10" t="n"/>
      <c r="BG28" s="11" t="n"/>
      <c r="BH28" s="45" t="inlineStr"/>
      <c r="BI28" s="10" t="n"/>
      <c r="BJ28" s="11" t="n"/>
      <c r="BK28" s="46" t="inlineStr"/>
      <c r="BL28" s="10" t="n"/>
      <c r="BM28" s="10" t="n"/>
      <c r="BN28" s="10" t="n"/>
      <c r="BO28" s="10" t="n"/>
      <c r="BP28" s="10" t="n"/>
      <c r="BQ28" s="11" t="n"/>
    </row>
    <row r="29" ht="304" customHeight="1">
      <c r="A29" s="44" t="n">
        <v>15</v>
      </c>
      <c r="B29" s="46" t="inlineStr">
        <is>
          <t>ACSMS-TC-022-015</t>
        </is>
      </c>
      <c r="C29" s="10" t="n"/>
      <c r="D29" s="11" t="n"/>
      <c r="E29" s="46" t="inlineStr">
        <is>
          <t>Chuyển đổi dark mode</t>
        </is>
      </c>
      <c r="F29" s="10" t="n"/>
      <c r="G29" s="10" t="n"/>
      <c r="H29" s="10" t="n"/>
      <c r="I29" s="11" t="n"/>
      <c r="J29" s="46" t="inlineStr">
        <is>
          <t>・role: NICHINO_ADMIN
・Đã login + đã xác thực MFA</t>
        </is>
      </c>
      <c r="K29" s="10" t="n"/>
      <c r="L29" s="10" t="n"/>
      <c r="M29" s="10" t="n"/>
      <c r="N29" s="10" t="n"/>
      <c r="O29" s="10" t="n"/>
      <c r="P29" s="11" t="n"/>
      <c r="Q2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Nhấn button chuyển đổi dark mode ở phía dưới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màu màn hình và độ tương phản các UI element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Reload màn hình, xác nhận thiết lập theme được giữ lại</t>
          </r>
        </is>
      </c>
      <c r="R29" s="10" t="n"/>
      <c r="S29" s="10" t="n"/>
      <c r="T29" s="10" t="n"/>
      <c r="U29" s="10" t="n"/>
      <c r="V29" s="10" t="n"/>
      <c r="W29" s="11" t="n"/>
      <c r="X2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Background màn hình, màu text, viền bảng v.v. chuyển sang dark theme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Tỉ lệ tương phản của toàn bộ text và button đạt chuẩn WCAG AA (4.5:1) trở lên, không vỡ layout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Sau khi reload, dark mode vẫn được giữ (lưu bằng localStorage)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・Chuyển ngược lại light mode cũng hoạt động tương tự</t>
          </r>
        </is>
      </c>
      <c r="Y29" s="10" t="n"/>
      <c r="Z29" s="10" t="n"/>
      <c r="AA29" s="10" t="n"/>
      <c r="AB29" s="10" t="n"/>
      <c r="AC29" s="10" t="n"/>
      <c r="AD29" s="11" t="n"/>
      <c r="AE29" s="45" t="inlineStr">
        <is>
          <t>N</t>
        </is>
      </c>
      <c r="AF29" s="11" t="n"/>
      <c r="AG29" s="45" t="inlineStr"/>
      <c r="AH29" s="10" t="n"/>
      <c r="AI29" s="11" t="n"/>
      <c r="AJ29" s="45" t="inlineStr"/>
      <c r="AK29" s="10" t="n"/>
      <c r="AL29" s="11" t="n"/>
      <c r="AM29" s="45" t="inlineStr"/>
      <c r="AN29" s="10" t="n"/>
      <c r="AO29" s="11" t="n"/>
      <c r="AP29" s="45" t="inlineStr"/>
      <c r="AQ29" s="10" t="n"/>
      <c r="AR29" s="11" t="n"/>
      <c r="AS29" s="45" t="inlineStr"/>
      <c r="AT29" s="10" t="n"/>
      <c r="AU29" s="11" t="n"/>
      <c r="AV29" s="45" t="inlineStr"/>
      <c r="AW29" s="10" t="n"/>
      <c r="AX29" s="11" t="n"/>
      <c r="AY29" s="45" t="inlineStr"/>
      <c r="AZ29" s="10" t="n"/>
      <c r="BA29" s="11" t="n"/>
      <c r="BB29" s="45" t="inlineStr"/>
      <c r="BC29" s="10" t="n"/>
      <c r="BD29" s="11" t="n"/>
      <c r="BE29" s="45" t="inlineStr"/>
      <c r="BF29" s="10" t="n"/>
      <c r="BG29" s="11" t="n"/>
      <c r="BH29" s="45" t="inlineStr"/>
      <c r="BI29" s="10" t="n"/>
      <c r="BJ29" s="11" t="n"/>
      <c r="BK29" s="46" t="inlineStr">
        <is>
          <t>(なし)
---</t>
        </is>
      </c>
      <c r="BL29" s="10" t="n"/>
      <c r="BM29" s="10" t="n"/>
      <c r="BN29" s="10" t="n"/>
      <c r="BO29" s="10" t="n"/>
      <c r="BP29" s="10" t="n"/>
      <c r="BQ29" s="11" t="n"/>
    </row>
    <row r="30" ht="22.5" customHeight="1">
      <c r="A30" s="32" t="inlineStr">
        <is>
          <t>Validation đầu vào — Điều kiện tìm kiếm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1" t="n"/>
    </row>
    <row r="31" ht="272" customHeight="1">
      <c r="A31" s="44" t="n">
        <v>16</v>
      </c>
      <c r="B31" s="46" t="inlineStr">
        <is>
          <t>ACSMS-TC-022-016</t>
        </is>
      </c>
      <c r="C31" s="10" t="n"/>
      <c r="D31" s="11" t="n"/>
      <c r="E31" s="46" t="inlineStr">
        <is>
          <t>Nhập bình thường ファイル名 (partial match)</t>
        </is>
      </c>
      <c r="F31" s="10" t="n"/>
      <c r="G31" s="10" t="n"/>
      <c r="H31" s="10" t="n"/>
      <c r="I31" s="11" t="n"/>
      <c r="J31" s="46" t="inlineStr">
        <is>
          <t>・role: NICHINO_ADMIN
・Đã login + đã xác thực MFA
・Test data: đã đăng ký 3 file tên `zougen_tsuchi_202604.pdf`, `zougen_renraku_202604.csv`, `kouza_furikae_202604.csv`</t>
        </is>
      </c>
      <c r="K31" s="10" t="n"/>
      <c r="L31" s="10" t="n"/>
      <c r="M31" s="10" t="n"/>
      <c r="N31" s="10" t="n"/>
      <c r="O31" s="10" t="n"/>
      <c r="P31" s="11" t="n"/>
      <c r="Q3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`zougen` vào textbox ファイル名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Nhấn button 検索, xác nhận GET `/api/v1/file-upload?file_name=zougen`</t>
          </r>
        </is>
      </c>
      <c r="R31" s="10" t="n"/>
      <c r="S31" s="10" t="n"/>
      <c r="T31" s="10" t="n"/>
      <c r="U31" s="10" t="n"/>
      <c r="V31" s="10" t="n"/>
      <c r="W31" s="11" t="n"/>
      <c r="X3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Giá trị nhập được hiển thị nguyên trên textbox (có thể đăng ký trong phạm vi số ký tự cho phép)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200, chỉ 2 file `zougen_tsuchi_202604.pdf` và `zougen_renraku_202604.csv` được hiển thị trong `data` (có thể search partial match)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・SQL phát hành `file_name ILIKE '%zougen%'`</t>
          </r>
        </is>
      </c>
      <c r="Y31" s="10" t="n"/>
      <c r="Z31" s="10" t="n"/>
      <c r="AA31" s="10" t="n"/>
      <c r="AB31" s="10" t="n"/>
      <c r="AC31" s="10" t="n"/>
      <c r="AD31" s="11" t="n"/>
      <c r="AE31" s="45" t="inlineStr">
        <is>
          <t>N</t>
        </is>
      </c>
      <c r="AF31" s="11" t="n"/>
      <c r="AG31" s="45" t="inlineStr"/>
      <c r="AH31" s="10" t="n"/>
      <c r="AI31" s="11" t="n"/>
      <c r="AJ31" s="45" t="inlineStr"/>
      <c r="AK31" s="10" t="n"/>
      <c r="AL31" s="11" t="n"/>
      <c r="AM31" s="45" t="inlineStr"/>
      <c r="AN31" s="10" t="n"/>
      <c r="AO31" s="11" t="n"/>
      <c r="AP31" s="45" t="inlineStr"/>
      <c r="AQ31" s="10" t="n"/>
      <c r="AR31" s="11" t="n"/>
      <c r="AS31" s="45" t="inlineStr"/>
      <c r="AT31" s="10" t="n"/>
      <c r="AU31" s="11" t="n"/>
      <c r="AV31" s="45" t="inlineStr"/>
      <c r="AW31" s="10" t="n"/>
      <c r="AX31" s="11" t="n"/>
      <c r="AY31" s="45" t="inlineStr"/>
      <c r="AZ31" s="10" t="n"/>
      <c r="BA31" s="11" t="n"/>
      <c r="BB31" s="45" t="inlineStr"/>
      <c r="BC31" s="10" t="n"/>
      <c r="BD31" s="11" t="n"/>
      <c r="BE31" s="45" t="inlineStr"/>
      <c r="BF31" s="10" t="n"/>
      <c r="BG31" s="11" t="n"/>
      <c r="BH31" s="45" t="inlineStr"/>
      <c r="BI31" s="10" t="n"/>
      <c r="BJ31" s="11" t="n"/>
      <c r="BK31" s="46" t="inlineStr"/>
      <c r="BL31" s="10" t="n"/>
      <c r="BM31" s="10" t="n"/>
      <c r="BN31" s="10" t="n"/>
      <c r="BO31" s="10" t="n"/>
      <c r="BP31" s="10" t="n"/>
      <c r="BQ31" s="11" t="n"/>
    </row>
    <row r="32" ht="256" customHeight="1">
      <c r="A32" s="44" t="n">
        <v>17</v>
      </c>
      <c r="B32" s="46" t="inlineStr">
        <is>
          <t>ACSMS-TC-022-017</t>
        </is>
      </c>
      <c r="C32" s="10" t="n"/>
      <c r="D32" s="11" t="n"/>
      <c r="E32" s="46" t="inlineStr">
        <is>
          <t>ファイル名 — Tự động trim khoảng trắng trước/sau</t>
        </is>
      </c>
      <c r="F32" s="10" t="n"/>
      <c r="G32" s="10" t="n"/>
      <c r="H32" s="10" t="n"/>
      <c r="I32" s="11" t="n"/>
      <c r="J32" s="46" t="inlineStr">
        <is>
          <t>・role: NICHINO_ADMIN
・Đã login + đã xác thực MFA</t>
        </is>
      </c>
      <c r="K32" s="10" t="n"/>
      <c r="L32" s="10" t="n"/>
      <c r="M32" s="10" t="n"/>
      <c r="N32" s="10" t="n"/>
      <c r="O32" s="10" t="n"/>
      <c r="P32" s="11" t="n"/>
      <c r="Q3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  zougen  ` (có khoảng trắng half-width trước/sau) vào textbox ファイル名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Nhấn button 検索, kiểm tra request parameter trong DevTools</t>
          </r>
        </is>
      </c>
      <c r="R32" s="10" t="n"/>
      <c r="S32" s="10" t="n"/>
      <c r="T32" s="10" t="n"/>
      <c r="U32" s="10" t="n"/>
      <c r="V32" s="10" t="n"/>
      <c r="W32" s="11" t="n"/>
      <c r="X3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Giá trị nhập được hiển thị trên textbox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Khi gửi request, khoảng trắng trước/sau bị loại bỏ, server xử lý là `file_name=zougen`, giá trị nhập được trim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・Loại bỏ khoảng trắng trước/sau được thực hiện cả phía frontend và phía server, hành vi nhất quán ở cả 2 lớp (api.md §4.1)</t>
          </r>
        </is>
      </c>
      <c r="Y32" s="10" t="n"/>
      <c r="Z32" s="10" t="n"/>
      <c r="AA32" s="10" t="n"/>
      <c r="AB32" s="10" t="n"/>
      <c r="AC32" s="10" t="n"/>
      <c r="AD32" s="11" t="n"/>
      <c r="AE32" s="45" t="inlineStr">
        <is>
          <t>N</t>
        </is>
      </c>
      <c r="AF32" s="11" t="n"/>
      <c r="AG32" s="45" t="inlineStr"/>
      <c r="AH32" s="10" t="n"/>
      <c r="AI32" s="11" t="n"/>
      <c r="AJ32" s="45" t="inlineStr"/>
      <c r="AK32" s="10" t="n"/>
      <c r="AL32" s="11" t="n"/>
      <c r="AM32" s="45" t="inlineStr"/>
      <c r="AN32" s="10" t="n"/>
      <c r="AO32" s="11" t="n"/>
      <c r="AP32" s="45" t="inlineStr"/>
      <c r="AQ32" s="10" t="n"/>
      <c r="AR32" s="11" t="n"/>
      <c r="AS32" s="45" t="inlineStr"/>
      <c r="AT32" s="10" t="n"/>
      <c r="AU32" s="11" t="n"/>
      <c r="AV32" s="45" t="inlineStr"/>
      <c r="AW32" s="10" t="n"/>
      <c r="AX32" s="11" t="n"/>
      <c r="AY32" s="45" t="inlineStr"/>
      <c r="AZ32" s="10" t="n"/>
      <c r="BA32" s="11" t="n"/>
      <c r="BB32" s="45" t="inlineStr"/>
      <c r="BC32" s="10" t="n"/>
      <c r="BD32" s="11" t="n"/>
      <c r="BE32" s="45" t="inlineStr"/>
      <c r="BF32" s="10" t="n"/>
      <c r="BG32" s="11" t="n"/>
      <c r="BH32" s="45" t="inlineStr"/>
      <c r="BI32" s="10" t="n"/>
      <c r="BJ32" s="11" t="n"/>
      <c r="BK32" s="46" t="inlineStr"/>
      <c r="BL32" s="10" t="n"/>
      <c r="BM32" s="10" t="n"/>
      <c r="BN32" s="10" t="n"/>
      <c r="BO32" s="10" t="n"/>
      <c r="BP32" s="10" t="n"/>
      <c r="BQ32" s="11" t="n"/>
    </row>
    <row r="33" ht="304" customHeight="1">
      <c r="A33" s="44" t="n">
        <v>18</v>
      </c>
      <c r="B33" s="46" t="inlineStr">
        <is>
          <t>ACSMS-TC-022-018</t>
        </is>
      </c>
      <c r="C33" s="10" t="n"/>
      <c r="D33" s="11" t="n"/>
      <c r="E33" s="46" t="inlineStr">
        <is>
          <t>ファイル名 — Boundary value số ký tự tối đa 255</t>
        </is>
      </c>
      <c r="F33" s="10" t="n"/>
      <c r="G33" s="10" t="n"/>
      <c r="H33" s="10" t="n"/>
      <c r="I33" s="11" t="n"/>
      <c r="J33" s="46" t="inlineStr">
        <is>
          <t>・role: NICHINO_ADMIN
・Đã login + đã xác thực MFA</t>
        </is>
      </c>
      <c r="K33" s="10" t="n"/>
      <c r="L33" s="10" t="n"/>
      <c r="M33" s="10" t="n"/>
      <c r="N33" s="10" t="n"/>
      <c r="O33" s="10" t="n"/>
      <c r="P33" s="11" t="n"/>
      <c r="Q3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255 ký tự alphanumeric half-width vào textbox ファイル名 và nhấn button 検索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Gửi trực tiếp GET `/api/v1/file-upload?file_name={256文字}` qua DevTools</t>
          </r>
        </is>
      </c>
      <c r="R33" s="10" t="n"/>
      <c r="S33" s="10" t="n"/>
      <c r="T33" s="10" t="n"/>
      <c r="U33" s="10" t="n"/>
      <c r="V33" s="10" t="n"/>
      <c r="W33" s="11" t="n"/>
      <c r="X3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200, có thể đăng ký trong phạm vi số ký tự cho phép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400 (`error_code: VALIDATION_ERROR`, trong array `errors` có chứa `field: file_name` cùng lỗi vượt quá số ký tự)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・Phía frontend dùng maxlength=255 để chặn nhập từ ký tự 256 trở đi
</t>
          </r>
          <r>
            <rPr>
              <rFont val="メイリオ"/>
              <sz val="10"/>
            </rPr>
            <t>・Phía server cũng có validation, không để giá trị bất hợp lệ được đăng ký</t>
          </r>
        </is>
      </c>
      <c r="Y33" s="10" t="n"/>
      <c r="Z33" s="10" t="n"/>
      <c r="AA33" s="10" t="n"/>
      <c r="AB33" s="10" t="n"/>
      <c r="AC33" s="10" t="n"/>
      <c r="AD33" s="11" t="n"/>
      <c r="AE33" s="45" t="inlineStr">
        <is>
          <t>B</t>
        </is>
      </c>
      <c r="AF33" s="11" t="n"/>
      <c r="AG33" s="45" t="inlineStr"/>
      <c r="AH33" s="10" t="n"/>
      <c r="AI33" s="11" t="n"/>
      <c r="AJ33" s="45" t="inlineStr"/>
      <c r="AK33" s="10" t="n"/>
      <c r="AL33" s="11" t="n"/>
      <c r="AM33" s="45" t="inlineStr"/>
      <c r="AN33" s="10" t="n"/>
      <c r="AO33" s="11" t="n"/>
      <c r="AP33" s="45" t="inlineStr"/>
      <c r="AQ33" s="10" t="n"/>
      <c r="AR33" s="11" t="n"/>
      <c r="AS33" s="45" t="inlineStr"/>
      <c r="AT33" s="10" t="n"/>
      <c r="AU33" s="11" t="n"/>
      <c r="AV33" s="45" t="inlineStr"/>
      <c r="AW33" s="10" t="n"/>
      <c r="AX33" s="11" t="n"/>
      <c r="AY33" s="45" t="inlineStr"/>
      <c r="AZ33" s="10" t="n"/>
      <c r="BA33" s="11" t="n"/>
      <c r="BB33" s="45" t="inlineStr"/>
      <c r="BC33" s="10" t="n"/>
      <c r="BD33" s="11" t="n"/>
      <c r="BE33" s="45" t="inlineStr"/>
      <c r="BF33" s="10" t="n"/>
      <c r="BG33" s="11" t="n"/>
      <c r="BH33" s="45" t="inlineStr"/>
      <c r="BI33" s="10" t="n"/>
      <c r="BJ33" s="11" t="n"/>
      <c r="BK33" s="46" t="inlineStr"/>
      <c r="BL33" s="10" t="n"/>
      <c r="BM33" s="10" t="n"/>
      <c r="BN33" s="10" t="n"/>
      <c r="BO33" s="10" t="n"/>
      <c r="BP33" s="10" t="n"/>
      <c r="BQ33" s="11" t="n"/>
    </row>
    <row r="34" ht="320" customHeight="1">
      <c r="A34" s="44" t="n">
        <v>19</v>
      </c>
      <c r="B34" s="46" t="inlineStr">
        <is>
          <t>ACSMS-TC-022-019</t>
        </is>
      </c>
      <c r="C34" s="10" t="n"/>
      <c r="D34" s="11" t="n"/>
      <c r="E34" s="46" t="inlineStr">
        <is>
          <t>Dropdown 都道府県 hiển thị 47 dòng và select</t>
        </is>
      </c>
      <c r="F34" s="10" t="n"/>
      <c r="G34" s="10" t="n"/>
      <c r="H34" s="10" t="n"/>
      <c r="I34" s="11" t="n"/>
      <c r="J34" s="46" t="inlineStr">
        <is>
          <t>・role: NICHINO_ADMIN
・Đã login + đã xác thực MFA</t>
        </is>
      </c>
      <c r="K34" s="10" t="n"/>
      <c r="L34" s="10" t="n"/>
      <c r="M34" s="10" t="n"/>
      <c r="N34" s="10" t="n"/>
      <c r="O34" s="10" t="n"/>
      <c r="P34" s="11" t="n"/>
      <c r="Q3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Xác nhận trên DevTools rằng GET `/api/v1/todofuken` được gọi khi hiển thị màn hình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Mở dropdown 都道府県, kiểm tra số lượng và nội dung lựa chọn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Chọn "東京都", kiểm tra giá trị đã chọn</t>
          </r>
        </is>
      </c>
      <c r="R34" s="10" t="n"/>
      <c r="S34" s="10" t="n"/>
      <c r="T34" s="10" t="n"/>
      <c r="U34" s="10" t="n"/>
      <c r="V34" s="10" t="n"/>
      <c r="W34" s="11" t="n"/>
      <c r="X3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200, response chứa 47 dòng thông tin tỉnh thành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Dropdown hiển thị 47 lựa chọn (từ `01:北海道` đến `47:沖縄県`)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Dropdown hiển thị là `13:東京都`, giá trị đã chọn `todofuken_code = 13` được giữ trong internal state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・Sử dụng API chung `ACSMS-API-COMMON-001`, không filter theo role</t>
          </r>
        </is>
      </c>
      <c r="Y34" s="10" t="n"/>
      <c r="Z34" s="10" t="n"/>
      <c r="AA34" s="10" t="n"/>
      <c r="AB34" s="10" t="n"/>
      <c r="AC34" s="10" t="n"/>
      <c r="AD34" s="11" t="n"/>
      <c r="AE34" s="45" t="inlineStr">
        <is>
          <t>N</t>
        </is>
      </c>
      <c r="AF34" s="11" t="n"/>
      <c r="AG34" s="45" t="inlineStr"/>
      <c r="AH34" s="10" t="n"/>
      <c r="AI34" s="11" t="n"/>
      <c r="AJ34" s="45" t="inlineStr"/>
      <c r="AK34" s="10" t="n"/>
      <c r="AL34" s="11" t="n"/>
      <c r="AM34" s="45" t="inlineStr"/>
      <c r="AN34" s="10" t="n"/>
      <c r="AO34" s="11" t="n"/>
      <c r="AP34" s="45" t="inlineStr"/>
      <c r="AQ34" s="10" t="n"/>
      <c r="AR34" s="11" t="n"/>
      <c r="AS34" s="45" t="inlineStr"/>
      <c r="AT34" s="10" t="n"/>
      <c r="AU34" s="11" t="n"/>
      <c r="AV34" s="45" t="inlineStr"/>
      <c r="AW34" s="10" t="n"/>
      <c r="AX34" s="11" t="n"/>
      <c r="AY34" s="45" t="inlineStr"/>
      <c r="AZ34" s="10" t="n"/>
      <c r="BA34" s="11" t="n"/>
      <c r="BB34" s="45" t="inlineStr"/>
      <c r="BC34" s="10" t="n"/>
      <c r="BD34" s="11" t="n"/>
      <c r="BE34" s="45" t="inlineStr"/>
      <c r="BF34" s="10" t="n"/>
      <c r="BG34" s="11" t="n"/>
      <c r="BH34" s="45" t="inlineStr"/>
      <c r="BI34" s="10" t="n"/>
      <c r="BJ34" s="11" t="n"/>
      <c r="BK34" s="46" t="inlineStr"/>
      <c r="BL34" s="10" t="n"/>
      <c r="BM34" s="10" t="n"/>
      <c r="BN34" s="10" t="n"/>
      <c r="BO34" s="10" t="n"/>
      <c r="BP34" s="10" t="n"/>
      <c r="BQ34" s="11" t="n"/>
    </row>
    <row r="35" ht="304" customHeight="1">
      <c r="A35" s="44" t="n">
        <v>20</v>
      </c>
      <c r="B35" s="46" t="inlineStr">
        <is>
          <t>ACSMS-TC-022-020</t>
        </is>
      </c>
      <c r="C35" s="10" t="n"/>
      <c r="D35" s="11" t="n"/>
      <c r="E35" s="46" t="inlineStr">
        <is>
          <t>Gửi trực tiếp todofuken code format không hợp lệ</t>
        </is>
      </c>
      <c r="F35" s="10" t="n"/>
      <c r="G35" s="10" t="n"/>
      <c r="H35" s="10" t="n"/>
      <c r="I35" s="11" t="n"/>
      <c r="J35" s="46" t="inlineStr">
        <is>
          <t>・role: NICHINO_ADMIN
・Đã login + đã xác thực MFA</t>
        </is>
      </c>
      <c r="K35" s="10" t="n"/>
      <c r="L35" s="10" t="n"/>
      <c r="M35" s="10" t="n"/>
      <c r="N35" s="10" t="n"/>
      <c r="O35" s="10" t="n"/>
      <c r="P35" s="11" t="n"/>
      <c r="Q3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Từ DevTools gửi trực tiếp GET `/api/v1/file-upload?todofuken_code=AB`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Gửi trực tiếp GET `/api/v1/file-upload?todofuken_code=1`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Gửi trực tiếp GET `/api/v1/file-upload?todofuken_code=999`</t>
          </r>
        </is>
      </c>
      <c r="R35" s="10" t="n"/>
      <c r="S35" s="10" t="n"/>
      <c r="T35" s="10" t="n"/>
      <c r="U35" s="10" t="n"/>
      <c r="V35" s="10" t="n"/>
      <c r="W35" s="11" t="n"/>
      <c r="X3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400 (`error_code: VALIDATION_ERROR`, trong `errors` chứa `field: todofuken_code` cùng message lỗi format `都道府県コードは半角数字2桁で入力してください。`)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400 (thiếu số ký tự, hiển thị lỗi format)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400 (vượt số ký tự, hiển thị lỗi format)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・Validate bằng regex `^\d{2}$` (api.md §4.1)</t>
          </r>
        </is>
      </c>
      <c r="Y35" s="10" t="n"/>
      <c r="Z35" s="10" t="n"/>
      <c r="AA35" s="10" t="n"/>
      <c r="AB35" s="10" t="n"/>
      <c r="AC35" s="10" t="n"/>
      <c r="AD35" s="11" t="n"/>
      <c r="AE35" s="45" t="inlineStr">
        <is>
          <t>A</t>
        </is>
      </c>
      <c r="AF35" s="11" t="n"/>
      <c r="AG35" s="45" t="inlineStr"/>
      <c r="AH35" s="10" t="n"/>
      <c r="AI35" s="11" t="n"/>
      <c r="AJ35" s="45" t="inlineStr"/>
      <c r="AK35" s="10" t="n"/>
      <c r="AL35" s="11" t="n"/>
      <c r="AM35" s="45" t="inlineStr"/>
      <c r="AN35" s="10" t="n"/>
      <c r="AO35" s="11" t="n"/>
      <c r="AP35" s="45" t="inlineStr"/>
      <c r="AQ35" s="10" t="n"/>
      <c r="AR35" s="11" t="n"/>
      <c r="AS35" s="45" t="inlineStr"/>
      <c r="AT35" s="10" t="n"/>
      <c r="AU35" s="11" t="n"/>
      <c r="AV35" s="45" t="inlineStr"/>
      <c r="AW35" s="10" t="n"/>
      <c r="AX35" s="11" t="n"/>
      <c r="AY35" s="45" t="inlineStr"/>
      <c r="AZ35" s="10" t="n"/>
      <c r="BA35" s="11" t="n"/>
      <c r="BB35" s="45" t="inlineStr"/>
      <c r="BC35" s="10" t="n"/>
      <c r="BD35" s="11" t="n"/>
      <c r="BE35" s="45" t="inlineStr"/>
      <c r="BF35" s="10" t="n"/>
      <c r="BG35" s="11" t="n"/>
      <c r="BH35" s="45" t="inlineStr"/>
      <c r="BI35" s="10" t="n"/>
      <c r="BJ35" s="11" t="n"/>
      <c r="BK35" s="46" t="inlineStr"/>
      <c r="BL35" s="10" t="n"/>
      <c r="BM35" s="10" t="n"/>
      <c r="BN35" s="10" t="n"/>
      <c r="BO35" s="10" t="n"/>
      <c r="BP35" s="10" t="n"/>
      <c r="BQ35" s="11" t="n"/>
    </row>
    <row r="36" ht="352" customHeight="1">
      <c r="A36" s="44" t="n">
        <v>21</v>
      </c>
      <c r="B36" s="46" t="inlineStr">
        <is>
          <t>ACSMS-TC-022-021</t>
        </is>
      </c>
      <c r="C36" s="10" t="n"/>
      <c r="D36" s="11" t="n"/>
      <c r="E36" s="46" t="inlineStr">
        <is>
          <t>Boundary value của parameter per_page (1 / 100 / 101)</t>
        </is>
      </c>
      <c r="F36" s="10" t="n"/>
      <c r="G36" s="10" t="n"/>
      <c r="H36" s="10" t="n"/>
      <c r="I36" s="11" t="n"/>
      <c r="J36" s="46" t="inlineStr">
        <is>
          <t>・role: NICHINO_ADMIN
・Đã login + đã xác thực MFA</t>
        </is>
      </c>
      <c r="K36" s="10" t="n"/>
      <c r="L36" s="10" t="n"/>
      <c r="M36" s="10" t="n"/>
      <c r="N36" s="10" t="n"/>
      <c r="O36" s="10" t="n"/>
      <c r="P36" s="11" t="n"/>
      <c r="Q3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Gửi GET `/api/v1/file-upload?per_page=1`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Gửi GET `/api/v1/file-upload?per_page=100`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Gửi GET `/api/v1/file-upload?per_page=101`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Gửi GET `/api/v1/file-upload?per_page=0`</t>
          </r>
        </is>
      </c>
      <c r="R36" s="10" t="n"/>
      <c r="S36" s="10" t="n"/>
      <c r="T36" s="10" t="n"/>
      <c r="U36" s="10" t="n"/>
      <c r="V36" s="10" t="n"/>
      <c r="W36" s="11" t="n"/>
      <c r="X3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200, độ dài `data` ≤ 1, `meta.per_page = 1`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200, `meta.per_page = 100`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400 (`error_code: VALIDATION_ERROR`, message `1ページあたりの件数は1〜100の範囲で指定してください。`)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Trả về HTTP 400 (vì nhỏ hơn min 1)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・Phạm vi cho phép `1〜100` (api.md §4.1)</t>
          </r>
        </is>
      </c>
      <c r="Y36" s="10" t="n"/>
      <c r="Z36" s="10" t="n"/>
      <c r="AA36" s="10" t="n"/>
      <c r="AB36" s="10" t="n"/>
      <c r="AC36" s="10" t="n"/>
      <c r="AD36" s="11" t="n"/>
      <c r="AE36" s="45" t="inlineStr">
        <is>
          <t>B</t>
        </is>
      </c>
      <c r="AF36" s="11" t="n"/>
      <c r="AG36" s="45" t="inlineStr"/>
      <c r="AH36" s="10" t="n"/>
      <c r="AI36" s="11" t="n"/>
      <c r="AJ36" s="45" t="inlineStr"/>
      <c r="AK36" s="10" t="n"/>
      <c r="AL36" s="11" t="n"/>
      <c r="AM36" s="45" t="inlineStr"/>
      <c r="AN36" s="10" t="n"/>
      <c r="AO36" s="11" t="n"/>
      <c r="AP36" s="45" t="inlineStr"/>
      <c r="AQ36" s="10" t="n"/>
      <c r="AR36" s="11" t="n"/>
      <c r="AS36" s="45" t="inlineStr"/>
      <c r="AT36" s="10" t="n"/>
      <c r="AU36" s="11" t="n"/>
      <c r="AV36" s="45" t="inlineStr"/>
      <c r="AW36" s="10" t="n"/>
      <c r="AX36" s="11" t="n"/>
      <c r="AY36" s="45" t="inlineStr"/>
      <c r="AZ36" s="10" t="n"/>
      <c r="BA36" s="11" t="n"/>
      <c r="BB36" s="45" t="inlineStr"/>
      <c r="BC36" s="10" t="n"/>
      <c r="BD36" s="11" t="n"/>
      <c r="BE36" s="45" t="inlineStr"/>
      <c r="BF36" s="10" t="n"/>
      <c r="BG36" s="11" t="n"/>
      <c r="BH36" s="45" t="inlineStr"/>
      <c r="BI36" s="10" t="n"/>
      <c r="BJ36" s="11" t="n"/>
      <c r="BK36" s="46" t="inlineStr"/>
      <c r="BL36" s="10" t="n"/>
      <c r="BM36" s="10" t="n"/>
      <c r="BN36" s="10" t="n"/>
      <c r="BO36" s="10" t="n"/>
      <c r="BP36" s="10" t="n"/>
      <c r="BQ36" s="11" t="n"/>
    </row>
    <row r="37" ht="272" customHeight="1">
      <c r="A37" s="44" t="n">
        <v>22</v>
      </c>
      <c r="B37" s="46" t="inlineStr">
        <is>
          <t>ACSMS-TC-022-022</t>
        </is>
      </c>
      <c r="C37" s="10" t="n"/>
      <c r="D37" s="11" t="n"/>
      <c r="E37" s="46" t="inlineStr">
        <is>
          <t>Gửi trực tiếp sort_by với giá trị ngoài allow-list</t>
        </is>
      </c>
      <c r="F37" s="10" t="n"/>
      <c r="G37" s="10" t="n"/>
      <c r="H37" s="10" t="n"/>
      <c r="I37" s="11" t="n"/>
      <c r="J37" s="46" t="inlineStr">
        <is>
          <t>・role: NICHINO_ADMIN
・Đã login + đã xác thực MFA</t>
        </is>
      </c>
      <c r="K37" s="10" t="n"/>
      <c r="L37" s="10" t="n"/>
      <c r="M37" s="10" t="n"/>
      <c r="N37" s="10" t="n"/>
      <c r="O37" s="10" t="n"/>
      <c r="P37" s="11" t="n"/>
      <c r="Q3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Từ DevTools gửi GET `/api/v1/file-upload?sort_by=password`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Gửi GET `/api/v1/file-upload?sort_by=DROP TABLE`</t>
          </r>
        </is>
      </c>
      <c r="R37" s="10" t="n"/>
      <c r="S37" s="10" t="n"/>
      <c r="T37" s="10" t="n"/>
      <c r="U37" s="10" t="n"/>
      <c r="V37" s="10" t="n"/>
      <c r="W37" s="11" t="n"/>
      <c r="X3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400 (`error_code: VALIDATION_ERROR`) — chỉ cho phép `upload_datetime / file_name / created_by`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400, không bị thực thi như SQL injection (bị chặn bằng parameterized query)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・Dù truyền giá trị ngoài allow-list, phía server vẫn từ chối an toàn (chống SQL injection)</t>
          </r>
        </is>
      </c>
      <c r="Y37" s="10" t="n"/>
      <c r="Z37" s="10" t="n"/>
      <c r="AA37" s="10" t="n"/>
      <c r="AB37" s="10" t="n"/>
      <c r="AC37" s="10" t="n"/>
      <c r="AD37" s="11" t="n"/>
      <c r="AE37" s="45" t="inlineStr">
        <is>
          <t>A</t>
        </is>
      </c>
      <c r="AF37" s="11" t="n"/>
      <c r="AG37" s="45" t="inlineStr"/>
      <c r="AH37" s="10" t="n"/>
      <c r="AI37" s="11" t="n"/>
      <c r="AJ37" s="45" t="inlineStr"/>
      <c r="AK37" s="10" t="n"/>
      <c r="AL37" s="11" t="n"/>
      <c r="AM37" s="45" t="inlineStr"/>
      <c r="AN37" s="10" t="n"/>
      <c r="AO37" s="11" t="n"/>
      <c r="AP37" s="45" t="inlineStr"/>
      <c r="AQ37" s="10" t="n"/>
      <c r="AR37" s="11" t="n"/>
      <c r="AS37" s="45" t="inlineStr"/>
      <c r="AT37" s="10" t="n"/>
      <c r="AU37" s="11" t="n"/>
      <c r="AV37" s="45" t="inlineStr"/>
      <c r="AW37" s="10" t="n"/>
      <c r="AX37" s="11" t="n"/>
      <c r="AY37" s="45" t="inlineStr"/>
      <c r="AZ37" s="10" t="n"/>
      <c r="BA37" s="11" t="n"/>
      <c r="BB37" s="45" t="inlineStr"/>
      <c r="BC37" s="10" t="n"/>
      <c r="BD37" s="11" t="n"/>
      <c r="BE37" s="45" t="inlineStr"/>
      <c r="BF37" s="10" t="n"/>
      <c r="BG37" s="11" t="n"/>
      <c r="BH37" s="45" t="inlineStr"/>
      <c r="BI37" s="10" t="n"/>
      <c r="BJ37" s="11" t="n"/>
      <c r="BK37" s="46" t="inlineStr"/>
      <c r="BL37" s="10" t="n"/>
      <c r="BM37" s="10" t="n"/>
      <c r="BN37" s="10" t="n"/>
      <c r="BO37" s="10" t="n"/>
      <c r="BP37" s="10" t="n"/>
      <c r="BQ37" s="11" t="n"/>
    </row>
    <row r="38" ht="320" customHeight="1">
      <c r="A38" s="44" t="n">
        <v>23</v>
      </c>
      <c r="B38" s="46" t="inlineStr">
        <is>
          <t>ACSMS-TC-022-023</t>
        </is>
      </c>
      <c r="C38" s="10" t="n"/>
      <c r="D38" s="11" t="n"/>
      <c r="E38" s="46" t="inlineStr">
        <is>
          <t>ファイル名 — An toàn với SQL injection</t>
        </is>
      </c>
      <c r="F38" s="10" t="n"/>
      <c r="G38" s="10" t="n"/>
      <c r="H38" s="10" t="n"/>
      <c r="I38" s="11" t="n"/>
      <c r="J38" s="46" t="inlineStr">
        <is>
          <t>・role: NICHINO_ADMIN
・Đã login + đã xác thực MFA</t>
        </is>
      </c>
      <c r="K38" s="10" t="n"/>
      <c r="L38" s="10" t="n"/>
      <c r="M38" s="10" t="n"/>
      <c r="N38" s="10" t="n"/>
      <c r="O38" s="10" t="n"/>
      <c r="P38" s="11" t="n"/>
      <c r="Q3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`' OR '1'='1` vào textbox ファイル名 và nhấn button 検索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Nhập `'; DROP TABLE t_file_upload; --` vào textbox ファイル名 và nhấn button 検索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Trên DB thực thi `SELECT COUNT(*) FROM t_file_upload`, xác nhận bảng vẫn tồn tại</t>
          </r>
        </is>
      </c>
      <c r="R38" s="10" t="n"/>
      <c r="S38" s="10" t="n"/>
      <c r="T38" s="10" t="n"/>
      <c r="U38" s="10" t="n"/>
      <c r="V38" s="10" t="n"/>
      <c r="W38" s="11" t="n"/>
      <c r="X3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200, giá trị nhập được xử lý an toàn như parameter của ILIKE, kết quả search hiển thị 0 dòng (rỗng)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200, không thực thi thao tác phá hủy bảng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Bảng `t_file_upload` vẫn tồn tại (không bị phá hủy), không phát sinh sai lệch dữ liệu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・Parameterized query (`ILIKE '%' || :file_name || '%'`) chặn SQL injection</t>
          </r>
        </is>
      </c>
      <c r="Y38" s="10" t="n"/>
      <c r="Z38" s="10" t="n"/>
      <c r="AA38" s="10" t="n"/>
      <c r="AB38" s="10" t="n"/>
      <c r="AC38" s="10" t="n"/>
      <c r="AD38" s="11" t="n"/>
      <c r="AE38" s="45" t="inlineStr">
        <is>
          <t>A</t>
        </is>
      </c>
      <c r="AF38" s="11" t="n"/>
      <c r="AG38" s="45" t="inlineStr"/>
      <c r="AH38" s="10" t="n"/>
      <c r="AI38" s="11" t="n"/>
      <c r="AJ38" s="45" t="inlineStr"/>
      <c r="AK38" s="10" t="n"/>
      <c r="AL38" s="11" t="n"/>
      <c r="AM38" s="45" t="inlineStr"/>
      <c r="AN38" s="10" t="n"/>
      <c r="AO38" s="11" t="n"/>
      <c r="AP38" s="45" t="inlineStr"/>
      <c r="AQ38" s="10" t="n"/>
      <c r="AR38" s="11" t="n"/>
      <c r="AS38" s="45" t="inlineStr"/>
      <c r="AT38" s="10" t="n"/>
      <c r="AU38" s="11" t="n"/>
      <c r="AV38" s="45" t="inlineStr"/>
      <c r="AW38" s="10" t="n"/>
      <c r="AX38" s="11" t="n"/>
      <c r="AY38" s="45" t="inlineStr"/>
      <c r="AZ38" s="10" t="n"/>
      <c r="BA38" s="11" t="n"/>
      <c r="BB38" s="45" t="inlineStr"/>
      <c r="BC38" s="10" t="n"/>
      <c r="BD38" s="11" t="n"/>
      <c r="BE38" s="45" t="inlineStr"/>
      <c r="BF38" s="10" t="n"/>
      <c r="BG38" s="11" t="n"/>
      <c r="BH38" s="45" t="inlineStr"/>
      <c r="BI38" s="10" t="n"/>
      <c r="BJ38" s="11" t="n"/>
      <c r="BK38" s="46" t="inlineStr">
        <is>
          <t>(なし)
---</t>
        </is>
      </c>
      <c r="BL38" s="10" t="n"/>
      <c r="BM38" s="10" t="n"/>
      <c r="BN38" s="10" t="n"/>
      <c r="BO38" s="10" t="n"/>
      <c r="BP38" s="10" t="n"/>
      <c r="BQ38" s="11" t="n"/>
    </row>
    <row r="39" ht="22.5" customHeight="1">
      <c r="A39" s="32" t="inlineStr">
        <is>
          <t>Business logic — Tìm kiếm / Danh sách (Function — Search)</t>
        </is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10" t="n"/>
      <c r="BO39" s="10" t="n"/>
      <c r="BP39" s="10" t="n"/>
      <c r="BQ39" s="11" t="n"/>
    </row>
    <row r="40" ht="288" customHeight="1">
      <c r="A40" s="44" t="n">
        <v>24</v>
      </c>
      <c r="B40" s="46" t="inlineStr">
        <is>
          <t>ACSMS-TC-022-024</t>
        </is>
      </c>
      <c r="C40" s="10" t="n"/>
      <c r="D40" s="11" t="n"/>
      <c r="E40" s="46" t="inlineStr">
        <is>
          <t>Hiển thị ban đầu — Sort mặc định (upload_datetime DESC)</t>
        </is>
      </c>
      <c r="F40" s="10" t="n"/>
      <c r="G40" s="10" t="n"/>
      <c r="H40" s="10" t="n"/>
      <c r="I40" s="11" t="n"/>
      <c r="J40" s="46" t="inlineStr">
        <is>
          <t>・role: NICHINO_ADMIN
・Đã login + đã xác thực MFA
・Test data: `t_file_upload` tồn tại ≥ 5 record với upload_datetime khác nhau</t>
        </is>
      </c>
      <c r="K40" s="10" t="n"/>
      <c r="L40" s="10" t="n"/>
      <c r="M40" s="10" t="n"/>
      <c r="N40" s="10" t="n"/>
      <c r="O40" s="10" t="n"/>
      <c r="P40" s="11" t="n"/>
      <c r="Q4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Truy cập URL `/file-upload`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thứ tự sắp xếp của column アップロード日時 trong danh sách kết quả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response của GET `/api/v1/file-upload`</t>
          </r>
        </is>
      </c>
      <c r="R40" s="10" t="n"/>
      <c r="S40" s="10" t="n"/>
      <c r="T40" s="10" t="n"/>
      <c r="U40" s="10" t="n"/>
      <c r="V40" s="10" t="n"/>
      <c r="W40" s="11" t="n"/>
      <c r="X4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アップロード日時 được xếp theo thứ tự mới nhất trước (DESC)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Array `data` của response được trả về theo `upload_datetime` DESC, `meta.page = 1`, `meta.per_page = 20`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・Sort order mặc định là `upload_datetime DESC` (api.md §4.1)</t>
          </r>
        </is>
      </c>
      <c r="Y40" s="10" t="n"/>
      <c r="Z40" s="10" t="n"/>
      <c r="AA40" s="10" t="n"/>
      <c r="AB40" s="10" t="n"/>
      <c r="AC40" s="10" t="n"/>
      <c r="AD40" s="11" t="n"/>
      <c r="AE40" s="45" t="inlineStr">
        <is>
          <t>N</t>
        </is>
      </c>
      <c r="AF40" s="11" t="n"/>
      <c r="AG40" s="45" t="inlineStr"/>
      <c r="AH40" s="10" t="n"/>
      <c r="AI40" s="11" t="n"/>
      <c r="AJ40" s="45" t="inlineStr"/>
      <c r="AK40" s="10" t="n"/>
      <c r="AL40" s="11" t="n"/>
      <c r="AM40" s="45" t="inlineStr"/>
      <c r="AN40" s="10" t="n"/>
      <c r="AO40" s="11" t="n"/>
      <c r="AP40" s="45" t="inlineStr"/>
      <c r="AQ40" s="10" t="n"/>
      <c r="AR40" s="11" t="n"/>
      <c r="AS40" s="45" t="inlineStr"/>
      <c r="AT40" s="10" t="n"/>
      <c r="AU40" s="11" t="n"/>
      <c r="AV40" s="45" t="inlineStr"/>
      <c r="AW40" s="10" t="n"/>
      <c r="AX40" s="11" t="n"/>
      <c r="AY40" s="45" t="inlineStr"/>
      <c r="AZ40" s="10" t="n"/>
      <c r="BA40" s="11" t="n"/>
      <c r="BB40" s="45" t="inlineStr"/>
      <c r="BC40" s="10" t="n"/>
      <c r="BD40" s="11" t="n"/>
      <c r="BE40" s="45" t="inlineStr"/>
      <c r="BF40" s="10" t="n"/>
      <c r="BG40" s="11" t="n"/>
      <c r="BH40" s="45" t="inlineStr"/>
      <c r="BI40" s="10" t="n"/>
      <c r="BJ40" s="11" t="n"/>
      <c r="BK40" s="46" t="inlineStr"/>
      <c r="BL40" s="10" t="n"/>
      <c r="BM40" s="10" t="n"/>
      <c r="BN40" s="10" t="n"/>
      <c r="BO40" s="10" t="n"/>
      <c r="BP40" s="10" t="n"/>
      <c r="BQ40" s="11" t="n"/>
    </row>
    <row r="41" ht="352" customHeight="1">
      <c r="A41" s="44" t="n">
        <v>25</v>
      </c>
      <c r="B41" s="46" t="inlineStr">
        <is>
          <t>ACSMS-TC-022-025</t>
        </is>
      </c>
      <c r="C41" s="10" t="n"/>
      <c r="D41" s="11" t="n"/>
      <c r="E41" s="46" t="inlineStr">
        <is>
          <t>Kết hợp search theo ファイル名 + 都道府県</t>
        </is>
      </c>
      <c r="F41" s="10" t="n"/>
      <c r="G41" s="10" t="n"/>
      <c r="H41" s="10" t="n"/>
      <c r="I41" s="11" t="n"/>
      <c r="J41" s="46" t="inlineStr">
        <is>
          <t>・role: NICHINO_ADMIN
・Đã login + đã xác thực MFA
・Test data: 3 file gắn JA của 東京都, 2 file gắn JA của 大阪府, 1 file gửi toàn bộ JA (tất cả đều chứa `meibo` trong tên file)</t>
        </is>
      </c>
      <c r="K41" s="10" t="n"/>
      <c r="L41" s="10" t="n"/>
      <c r="M41" s="10" t="n"/>
      <c r="N41" s="10" t="n"/>
      <c r="O41" s="10" t="n"/>
      <c r="P41" s="11" t="n"/>
      <c r="Q4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`meibo` vào ファイル名, chọn "東京都" trong dropdown 都道府県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Nhấn button 検索, kiểm tra danh sách kết quả và parameter của GET request</t>
          </r>
        </is>
      </c>
      <c r="R41" s="10" t="n"/>
      <c r="S41" s="10" t="n"/>
      <c r="T41" s="10" t="n"/>
      <c r="U41" s="10" t="n"/>
      <c r="V41" s="10" t="n"/>
      <c r="W41" s="11" t="n"/>
      <c r="X4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Giá trị nhập được phản ánh trên màn hình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200, request được gửi với `?file_name=meibo&amp;todofuken_code=13`, chỉ hiển thị 3 file gắn JA của 東京都 (file gửi toàn bộ JA bị loại khi filter theo todofuken)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・Đi qua JOIN chain `t_file_upload.ja_id → m_ja.ja_id → m_ja.todofuken_code`
</t>
          </r>
          <r>
            <rPr>
              <rFont val="メイリオ"/>
              <sz val="10"/>
            </rPr>
            <t>・File `ja_id IS NULL` do LEFT JOIN nên `j.todofuken_code IS NULL`, `NULL = 13` là FALSE nên bị loại (api.md §4.3)</t>
          </r>
        </is>
      </c>
      <c r="Y41" s="10" t="n"/>
      <c r="Z41" s="10" t="n"/>
      <c r="AA41" s="10" t="n"/>
      <c r="AB41" s="10" t="n"/>
      <c r="AC41" s="10" t="n"/>
      <c r="AD41" s="11" t="n"/>
      <c r="AE41" s="45" t="inlineStr">
        <is>
          <t>N</t>
        </is>
      </c>
      <c r="AF41" s="11" t="n"/>
      <c r="AG41" s="45" t="inlineStr"/>
      <c r="AH41" s="10" t="n"/>
      <c r="AI41" s="11" t="n"/>
      <c r="AJ41" s="45" t="inlineStr"/>
      <c r="AK41" s="10" t="n"/>
      <c r="AL41" s="11" t="n"/>
      <c r="AM41" s="45" t="inlineStr"/>
      <c r="AN41" s="10" t="n"/>
      <c r="AO41" s="11" t="n"/>
      <c r="AP41" s="45" t="inlineStr"/>
      <c r="AQ41" s="10" t="n"/>
      <c r="AR41" s="11" t="n"/>
      <c r="AS41" s="45" t="inlineStr"/>
      <c r="AT41" s="10" t="n"/>
      <c r="AU41" s="11" t="n"/>
      <c r="AV41" s="45" t="inlineStr"/>
      <c r="AW41" s="10" t="n"/>
      <c r="AX41" s="11" t="n"/>
      <c r="AY41" s="45" t="inlineStr"/>
      <c r="AZ41" s="10" t="n"/>
      <c r="BA41" s="11" t="n"/>
      <c r="BB41" s="45" t="inlineStr"/>
      <c r="BC41" s="10" t="n"/>
      <c r="BD41" s="11" t="n"/>
      <c r="BE41" s="45" t="inlineStr"/>
      <c r="BF41" s="10" t="n"/>
      <c r="BG41" s="11" t="n"/>
      <c r="BH41" s="45" t="inlineStr"/>
      <c r="BI41" s="10" t="n"/>
      <c r="BJ41" s="11" t="n"/>
      <c r="BK41" s="46" t="inlineStr"/>
      <c r="BL41" s="10" t="n"/>
      <c r="BM41" s="10" t="n"/>
      <c r="BN41" s="10" t="n"/>
      <c r="BO41" s="10" t="n"/>
      <c r="BP41" s="10" t="n"/>
      <c r="BQ41" s="11" t="n"/>
    </row>
    <row r="42" ht="224" customHeight="1">
      <c r="A42" s="44" t="n">
        <v>26</v>
      </c>
      <c r="B42" s="46" t="inlineStr">
        <is>
          <t>ACSMS-TC-022-026</t>
        </is>
      </c>
      <c r="C42" s="10" t="n"/>
      <c r="D42" s="11" t="n"/>
      <c r="E42" s="46" t="inlineStr">
        <is>
          <t>Khi không chỉ định 都道府県 thì hiển thị file gửi toàn bộ JA</t>
        </is>
      </c>
      <c r="F42" s="10" t="n"/>
      <c r="G42" s="10" t="n"/>
      <c r="H42" s="10" t="n"/>
      <c r="I42" s="11" t="n"/>
      <c r="J42" s="46" t="inlineStr">
        <is>
          <t>・role: NICHINO_ADMIN
・Đã login + đã xác thực MFA
・Test data: 2 file `ja_id IS NULL`, 1 file của JA 東京都</t>
        </is>
      </c>
      <c r="K42" s="10" t="n"/>
      <c r="L42" s="10" t="n"/>
      <c r="M42" s="10" t="n"/>
      <c r="N42" s="10" t="n"/>
      <c r="O42" s="10" t="n"/>
      <c r="P42" s="11" t="n"/>
      <c r="Q4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Để dropdown 都道府県 chưa chọn, nhấn button 検索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phân bố giá trị `ja_id` trong danh sách kết quả</t>
          </r>
        </is>
      </c>
      <c r="R42" s="10" t="n"/>
      <c r="S42" s="10" t="n"/>
      <c r="T42" s="10" t="n"/>
      <c r="U42" s="10" t="n"/>
      <c r="V42" s="10" t="n"/>
      <c r="W42" s="11" t="n"/>
      <c r="X4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hình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2 file `ja_id IS NULL` và 1 file của JA 東京都, tổng 3 dòng (do không filter theo todofuken nên tham chiếu toàn bộ)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・File gửi toàn bộ JA chỉ hiển thị ở danh sách mặc định không filter theo todofuken</t>
          </r>
        </is>
      </c>
      <c r="Y42" s="10" t="n"/>
      <c r="Z42" s="10" t="n"/>
      <c r="AA42" s="10" t="n"/>
      <c r="AB42" s="10" t="n"/>
      <c r="AC42" s="10" t="n"/>
      <c r="AD42" s="11" t="n"/>
      <c r="AE42" s="45" t="inlineStr">
        <is>
          <t>N</t>
        </is>
      </c>
      <c r="AF42" s="11" t="n"/>
      <c r="AG42" s="45" t="inlineStr"/>
      <c r="AH42" s="10" t="n"/>
      <c r="AI42" s="11" t="n"/>
      <c r="AJ42" s="45" t="inlineStr"/>
      <c r="AK42" s="10" t="n"/>
      <c r="AL42" s="11" t="n"/>
      <c r="AM42" s="45" t="inlineStr"/>
      <c r="AN42" s="10" t="n"/>
      <c r="AO42" s="11" t="n"/>
      <c r="AP42" s="45" t="inlineStr"/>
      <c r="AQ42" s="10" t="n"/>
      <c r="AR42" s="11" t="n"/>
      <c r="AS42" s="45" t="inlineStr"/>
      <c r="AT42" s="10" t="n"/>
      <c r="AU42" s="11" t="n"/>
      <c r="AV42" s="45" t="inlineStr"/>
      <c r="AW42" s="10" t="n"/>
      <c r="AX42" s="11" t="n"/>
      <c r="AY42" s="45" t="inlineStr"/>
      <c r="AZ42" s="10" t="n"/>
      <c r="BA42" s="11" t="n"/>
      <c r="BB42" s="45" t="inlineStr"/>
      <c r="BC42" s="10" t="n"/>
      <c r="BD42" s="11" t="n"/>
      <c r="BE42" s="45" t="inlineStr"/>
      <c r="BF42" s="10" t="n"/>
      <c r="BG42" s="11" t="n"/>
      <c r="BH42" s="45" t="inlineStr"/>
      <c r="BI42" s="10" t="n"/>
      <c r="BJ42" s="11" t="n"/>
      <c r="BK42" s="46" t="inlineStr"/>
      <c r="BL42" s="10" t="n"/>
      <c r="BM42" s="10" t="n"/>
      <c r="BN42" s="10" t="n"/>
      <c r="BO42" s="10" t="n"/>
      <c r="BP42" s="10" t="n"/>
      <c r="BQ42" s="11" t="n"/>
    </row>
    <row r="43" ht="176" customHeight="1">
      <c r="A43" s="44" t="n">
        <v>27</v>
      </c>
      <c r="B43" s="46" t="inlineStr">
        <is>
          <t>ACSMS-TC-022-027</t>
        </is>
      </c>
      <c r="C43" s="10" t="n"/>
      <c r="D43" s="11" t="n"/>
      <c r="E43" s="46" t="inlineStr">
        <is>
          <t>Search 0 kết quả — Hiển thị ACSMS-MSG-022-001</t>
        </is>
      </c>
      <c r="F43" s="10" t="n"/>
      <c r="G43" s="10" t="n"/>
      <c r="H43" s="10" t="n"/>
      <c r="I43" s="11" t="n"/>
      <c r="J43" s="46" t="inlineStr">
        <is>
          <t>・role: NICHINO_ADMIN
・Đã login + đã xác thực MFA
・Test data: trong `t_file_upload` không tồn tại file name chứa `'XYZNOTFOUND'`</t>
        </is>
      </c>
      <c r="K43" s="10" t="n"/>
      <c r="L43" s="10" t="n"/>
      <c r="M43" s="10" t="n"/>
      <c r="N43" s="10" t="n"/>
      <c r="O43" s="10" t="n"/>
      <c r="P43" s="11" t="n"/>
      <c r="Q4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>Nhập `XYZNOTFOUND` vào textbox ファイル名 và nhấn button 検索</t>
          </r>
        </is>
      </c>
      <c r="R43" s="10" t="n"/>
      <c r="S43" s="10" t="n"/>
      <c r="T43" s="10" t="n"/>
      <c r="U43" s="10" t="n"/>
      <c r="V43" s="10" t="n"/>
      <c r="W43" s="11" t="n"/>
      <c r="X4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200, trả về `data: []` + `meta.total: 0`, màn hình hiển thị message `該当するデータがありません。` (ACSMS-MSG-022-001), hiển thị 0 kết quả search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・Khi 0 dòng vẫn trả về HTTP 200, không xử lý như error</t>
          </r>
        </is>
      </c>
      <c r="Y43" s="10" t="n"/>
      <c r="Z43" s="10" t="n"/>
      <c r="AA43" s="10" t="n"/>
      <c r="AB43" s="10" t="n"/>
      <c r="AC43" s="10" t="n"/>
      <c r="AD43" s="11" t="n"/>
      <c r="AE43" s="45" t="inlineStr">
        <is>
          <t>N</t>
        </is>
      </c>
      <c r="AF43" s="11" t="n"/>
      <c r="AG43" s="45" t="inlineStr"/>
      <c r="AH43" s="10" t="n"/>
      <c r="AI43" s="11" t="n"/>
      <c r="AJ43" s="45" t="inlineStr"/>
      <c r="AK43" s="10" t="n"/>
      <c r="AL43" s="11" t="n"/>
      <c r="AM43" s="45" t="inlineStr"/>
      <c r="AN43" s="10" t="n"/>
      <c r="AO43" s="11" t="n"/>
      <c r="AP43" s="45" t="inlineStr"/>
      <c r="AQ43" s="10" t="n"/>
      <c r="AR43" s="11" t="n"/>
      <c r="AS43" s="45" t="inlineStr"/>
      <c r="AT43" s="10" t="n"/>
      <c r="AU43" s="11" t="n"/>
      <c r="AV43" s="45" t="inlineStr"/>
      <c r="AW43" s="10" t="n"/>
      <c r="AX43" s="11" t="n"/>
      <c r="AY43" s="45" t="inlineStr"/>
      <c r="AZ43" s="10" t="n"/>
      <c r="BA43" s="11" t="n"/>
      <c r="BB43" s="45" t="inlineStr"/>
      <c r="BC43" s="10" t="n"/>
      <c r="BD43" s="11" t="n"/>
      <c r="BE43" s="45" t="inlineStr"/>
      <c r="BF43" s="10" t="n"/>
      <c r="BG43" s="11" t="n"/>
      <c r="BH43" s="45" t="inlineStr"/>
      <c r="BI43" s="10" t="n"/>
      <c r="BJ43" s="11" t="n"/>
      <c r="BK43" s="46" t="inlineStr"/>
      <c r="BL43" s="10" t="n"/>
      <c r="BM43" s="10" t="n"/>
      <c r="BN43" s="10" t="n"/>
      <c r="BO43" s="10" t="n"/>
      <c r="BP43" s="10" t="n"/>
      <c r="BQ43" s="11" t="n"/>
    </row>
    <row r="44" ht="336" customHeight="1">
      <c r="A44" s="44" t="n">
        <v>28</v>
      </c>
      <c r="B44" s="46" t="inlineStr">
        <is>
          <t>ACSMS-TC-022-028</t>
        </is>
      </c>
      <c r="C44" s="10" t="n"/>
      <c r="D44" s="11" t="n"/>
      <c r="E44" s="46" t="inlineStr">
        <is>
          <t>Reset điều kiện bằng button クリア và hiển thị lại danh sách mặc định</t>
        </is>
      </c>
      <c r="F44" s="10" t="n"/>
      <c r="G44" s="10" t="n"/>
      <c r="H44" s="10" t="n"/>
      <c r="I44" s="11" t="n"/>
      <c r="J44" s="46" t="inlineStr">
        <is>
          <t>・role: NICHINO_ADMIN
・Đã login + đã xác thực MFA</t>
        </is>
      </c>
      <c r="K44" s="10" t="n"/>
      <c r="L44" s="10" t="n"/>
      <c r="M44" s="10" t="n"/>
      <c r="N44" s="10" t="n"/>
      <c r="O44" s="10" t="n"/>
      <c r="P44" s="11" t="n"/>
      <c r="Q4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`zougen` vào ファイル名, chọn "東京都" cho 都道府県, nhấn button 検索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Nhấn button 検索クリア (phía trên)</t>
          </r>
        </is>
      </c>
      <c r="R44" s="10" t="n"/>
      <c r="S44" s="10" t="n"/>
      <c r="T44" s="10" t="n"/>
      <c r="U44" s="10" t="n"/>
      <c r="V44" s="10" t="n"/>
      <c r="W44" s="11" t="n"/>
      <c r="X4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kết quả search với số dòng khớp điều kiện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・Textbox ファイル名 trở thành rỗng
</t>
          </r>
          <r>
            <rPr>
              <rFont val="メイリオ"/>
              <sz val="10"/>
            </rPr>
            <t xml:space="preserve">・Dropdown 都道府県 trở thành chưa chọn
</t>
          </r>
          <r>
            <rPr>
              <rFont val="メイリオ"/>
              <sz val="10"/>
            </rPr>
            <t xml:space="preserve">・Danh sách kết quả được hiển thị lại như danh sách mặc định (toàn bộ, `upload_datetime DESC`)
</t>
          </r>
          <r>
            <rPr>
              <rFont val="メイリオ"/>
              <sz val="10"/>
            </rPr>
            <t xml:space="preserve">・Điều kiện search được clear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・Button "クリア" (phía trên) clear cả điều kiện search + danh sách kết quả, trở về trạng thái hiển thị mặc định</t>
          </r>
        </is>
      </c>
      <c r="Y44" s="10" t="n"/>
      <c r="Z44" s="10" t="n"/>
      <c r="AA44" s="10" t="n"/>
      <c r="AB44" s="10" t="n"/>
      <c r="AC44" s="10" t="n"/>
      <c r="AD44" s="11" t="n"/>
      <c r="AE44" s="45" t="inlineStr">
        <is>
          <t>N</t>
        </is>
      </c>
      <c r="AF44" s="11" t="n"/>
      <c r="AG44" s="45" t="inlineStr"/>
      <c r="AH44" s="10" t="n"/>
      <c r="AI44" s="11" t="n"/>
      <c r="AJ44" s="45" t="inlineStr"/>
      <c r="AK44" s="10" t="n"/>
      <c r="AL44" s="11" t="n"/>
      <c r="AM44" s="45" t="inlineStr"/>
      <c r="AN44" s="10" t="n"/>
      <c r="AO44" s="11" t="n"/>
      <c r="AP44" s="45" t="inlineStr"/>
      <c r="AQ44" s="10" t="n"/>
      <c r="AR44" s="11" t="n"/>
      <c r="AS44" s="45" t="inlineStr"/>
      <c r="AT44" s="10" t="n"/>
      <c r="AU44" s="11" t="n"/>
      <c r="AV44" s="45" t="inlineStr"/>
      <c r="AW44" s="10" t="n"/>
      <c r="AX44" s="11" t="n"/>
      <c r="AY44" s="45" t="inlineStr"/>
      <c r="AZ44" s="10" t="n"/>
      <c r="BA44" s="11" t="n"/>
      <c r="BB44" s="45" t="inlineStr"/>
      <c r="BC44" s="10" t="n"/>
      <c r="BD44" s="11" t="n"/>
      <c r="BE44" s="45" t="inlineStr"/>
      <c r="BF44" s="10" t="n"/>
      <c r="BG44" s="11" t="n"/>
      <c r="BH44" s="45" t="inlineStr"/>
      <c r="BI44" s="10" t="n"/>
      <c r="BJ44" s="11" t="n"/>
      <c r="BK44" s="46" t="inlineStr"/>
      <c r="BL44" s="10" t="n"/>
      <c r="BM44" s="10" t="n"/>
      <c r="BN44" s="10" t="n"/>
      <c r="BO44" s="10" t="n"/>
      <c r="BP44" s="10" t="n"/>
      <c r="BQ44" s="11" t="n"/>
    </row>
    <row r="45" ht="336" customHeight="1">
      <c r="A45" s="44" t="n">
        <v>29</v>
      </c>
      <c r="B45" s="46" t="inlineStr">
        <is>
          <t>ACSMS-TC-022-029</t>
        </is>
      </c>
      <c r="C45" s="10" t="n"/>
      <c r="D45" s="11" t="n"/>
      <c r="E45" s="46" t="inlineStr">
        <is>
          <t>Pagination — Giữ điều kiện search</t>
        </is>
      </c>
      <c r="F45" s="10" t="n"/>
      <c r="G45" s="10" t="n"/>
      <c r="H45" s="10" t="n"/>
      <c r="I45" s="11" t="n"/>
      <c r="J45" s="46" t="inlineStr">
        <is>
          <t>・role: NICHINO_ADMIN
・Đã login + đã xác thực MFA
・Test data: tồn tại ≥ 25 file chứa `zougen` trong tên file</t>
        </is>
      </c>
      <c r="K45" s="10" t="n"/>
      <c r="L45" s="10" t="n"/>
      <c r="M45" s="10" t="n"/>
      <c r="N45" s="10" t="n"/>
      <c r="O45" s="10" t="n"/>
      <c r="P45" s="11" t="n"/>
      <c r="Q4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`zougen` vào ファイル名, nhấn button 検索 (hiển thị trang 1)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Trên pagination nhấn trang "2"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Trên DevTools kiểm tra parameter của GET request được gửi</t>
          </r>
        </is>
      </c>
      <c r="R45" s="10" t="n"/>
      <c r="S45" s="10" t="n"/>
      <c r="T45" s="10" t="n"/>
      <c r="U45" s="10" t="n"/>
      <c r="V45" s="10" t="n"/>
      <c r="W45" s="11" t="n"/>
      <c r="X4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Trang 1 hiển thị danh sách 20 file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Chuyển sang danh sách file của trang 2, điều kiện search `zougen` được giữ trên textbox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Request được gửi dưới dạng `?file_name=zougen&amp;page=2&amp;per_page=20&amp;sort_by=upload_datetime&amp;sort_order=desc`, điều kiện search được giữ lại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・Khi đổi số trang, điều kiện search user đã nhập vẫn được giữ</t>
          </r>
        </is>
      </c>
      <c r="Y45" s="10" t="n"/>
      <c r="Z45" s="10" t="n"/>
      <c r="AA45" s="10" t="n"/>
      <c r="AB45" s="10" t="n"/>
      <c r="AC45" s="10" t="n"/>
      <c r="AD45" s="11" t="n"/>
      <c r="AE45" s="45" t="inlineStr">
        <is>
          <t>N</t>
        </is>
      </c>
      <c r="AF45" s="11" t="n"/>
      <c r="AG45" s="45" t="inlineStr"/>
      <c r="AH45" s="10" t="n"/>
      <c r="AI45" s="11" t="n"/>
      <c r="AJ45" s="45" t="inlineStr"/>
      <c r="AK45" s="10" t="n"/>
      <c r="AL45" s="11" t="n"/>
      <c r="AM45" s="45" t="inlineStr"/>
      <c r="AN45" s="10" t="n"/>
      <c r="AO45" s="11" t="n"/>
      <c r="AP45" s="45" t="inlineStr"/>
      <c r="AQ45" s="10" t="n"/>
      <c r="AR45" s="11" t="n"/>
      <c r="AS45" s="45" t="inlineStr"/>
      <c r="AT45" s="10" t="n"/>
      <c r="AU45" s="11" t="n"/>
      <c r="AV45" s="45" t="inlineStr"/>
      <c r="AW45" s="10" t="n"/>
      <c r="AX45" s="11" t="n"/>
      <c r="AY45" s="45" t="inlineStr"/>
      <c r="AZ45" s="10" t="n"/>
      <c r="BA45" s="11" t="n"/>
      <c r="BB45" s="45" t="inlineStr"/>
      <c r="BC45" s="10" t="n"/>
      <c r="BD45" s="11" t="n"/>
      <c r="BE45" s="45" t="inlineStr"/>
      <c r="BF45" s="10" t="n"/>
      <c r="BG45" s="11" t="n"/>
      <c r="BH45" s="45" t="inlineStr"/>
      <c r="BI45" s="10" t="n"/>
      <c r="BJ45" s="11" t="n"/>
      <c r="BK45" s="46" t="inlineStr"/>
      <c r="BL45" s="10" t="n"/>
      <c r="BM45" s="10" t="n"/>
      <c r="BN45" s="10" t="n"/>
      <c r="BO45" s="10" t="n"/>
      <c r="BP45" s="10" t="n"/>
      <c r="BQ45" s="11" t="n"/>
    </row>
    <row r="46" ht="368" customHeight="1">
      <c r="A46" s="44" t="n">
        <v>30</v>
      </c>
      <c r="B46" s="46" t="inlineStr">
        <is>
          <t>ACSMS-TC-022-030</t>
        </is>
      </c>
      <c r="C46" s="10" t="n"/>
      <c r="D46" s="11" t="n"/>
      <c r="E46" s="46" t="inlineStr">
        <is>
          <t>Sort — Chuyển ASC / DESC trên column ファイル名</t>
        </is>
      </c>
      <c r="F46" s="10" t="n"/>
      <c r="G46" s="10" t="n"/>
      <c r="H46" s="10" t="n"/>
      <c r="I46" s="11" t="n"/>
      <c r="J46" s="46" t="inlineStr">
        <is>
          <t>・role: NICHINO_ADMIN
・Đã login + đã xác thực MFA
・Test data: ≥ 5 file có file name khác nhau theo thứ tự alphabet</t>
        </is>
      </c>
      <c r="K46" s="10" t="n"/>
      <c r="L46" s="10" t="n"/>
      <c r="M46" s="10" t="n"/>
      <c r="N46" s="10" t="n"/>
      <c r="O46" s="10" t="n"/>
      <c r="P46" s="11" t="n"/>
      <c r="Q4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vào header column ファイル名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lại lần nữa vào header column ファイル名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Click lần thứ 3 vào header column ファイル名</t>
          </r>
        </is>
      </c>
      <c r="R46" s="10" t="n"/>
      <c r="S46" s="10" t="n"/>
      <c r="T46" s="10" t="n"/>
      <c r="U46" s="10" t="n"/>
      <c r="V46" s="10" t="n"/>
      <c r="W46" s="11" t="n"/>
      <c r="X4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Được sắp xếp theo ファイル名 ASC, request được gửi dưới dạng `?sort_by=file_name&amp;sort_order=asc`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Được sắp xếp theo ファイル名 DESC, request được gửi dưới dạng `?sort_by=file_name&amp;sort_order=desc`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Trở về trạng thái bỏ sort hoặc mặc định (`upload_datetime DESC`) (phụ thuộc policy FE, Sort order đúng)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・Có 3 loại column sort được hỗ trợ: `upload_datetime / file_name / created_by` (api.md §4.1)</t>
          </r>
        </is>
      </c>
      <c r="Y46" s="10" t="n"/>
      <c r="Z46" s="10" t="n"/>
      <c r="AA46" s="10" t="n"/>
      <c r="AB46" s="10" t="n"/>
      <c r="AC46" s="10" t="n"/>
      <c r="AD46" s="11" t="n"/>
      <c r="AE46" s="45" t="inlineStr">
        <is>
          <t>N</t>
        </is>
      </c>
      <c r="AF46" s="11" t="n"/>
      <c r="AG46" s="45" t="inlineStr"/>
      <c r="AH46" s="10" t="n"/>
      <c r="AI46" s="11" t="n"/>
      <c r="AJ46" s="45" t="inlineStr"/>
      <c r="AK46" s="10" t="n"/>
      <c r="AL46" s="11" t="n"/>
      <c r="AM46" s="45" t="inlineStr"/>
      <c r="AN46" s="10" t="n"/>
      <c r="AO46" s="11" t="n"/>
      <c r="AP46" s="45" t="inlineStr"/>
      <c r="AQ46" s="10" t="n"/>
      <c r="AR46" s="11" t="n"/>
      <c r="AS46" s="45" t="inlineStr"/>
      <c r="AT46" s="10" t="n"/>
      <c r="AU46" s="11" t="n"/>
      <c r="AV46" s="45" t="inlineStr"/>
      <c r="AW46" s="10" t="n"/>
      <c r="AX46" s="11" t="n"/>
      <c r="AY46" s="45" t="inlineStr"/>
      <c r="AZ46" s="10" t="n"/>
      <c r="BA46" s="11" t="n"/>
      <c r="BB46" s="45" t="inlineStr"/>
      <c r="BC46" s="10" t="n"/>
      <c r="BD46" s="11" t="n"/>
      <c r="BE46" s="45" t="inlineStr"/>
      <c r="BF46" s="10" t="n"/>
      <c r="BG46" s="11" t="n"/>
      <c r="BH46" s="45" t="inlineStr"/>
      <c r="BI46" s="10" t="n"/>
      <c r="BJ46" s="11" t="n"/>
      <c r="BK46" s="46" t="inlineStr"/>
      <c r="BL46" s="10" t="n"/>
      <c r="BM46" s="10" t="n"/>
      <c r="BN46" s="10" t="n"/>
      <c r="BO46" s="10" t="n"/>
      <c r="BP46" s="10" t="n"/>
      <c r="BQ46" s="11" t="n"/>
    </row>
    <row r="47" ht="240" customHeight="1">
      <c r="A47" s="44" t="n">
        <v>31</v>
      </c>
      <c r="B47" s="46" t="inlineStr">
        <is>
          <t>ACSMS-TC-022-031</t>
        </is>
      </c>
      <c r="C47" s="10" t="n"/>
      <c r="D47" s="11" t="n"/>
      <c r="E47" s="46" t="inlineStr">
        <is>
          <t>Loại file đã xóa logical (deleted_at IS NOT NULL)</t>
        </is>
      </c>
      <c r="F47" s="10" t="n"/>
      <c r="G47" s="10" t="n"/>
      <c r="H47" s="10" t="n"/>
      <c r="I47" s="11" t="n"/>
      <c r="J47" s="46" t="inlineStr">
        <is>
          <t>・role: NICHINO_ADMIN
・Đã login + đã xác thực MFA
・Test data: 3 file thông thường, 2 file đã xóa logical (`deleted_at` được set ngày giờ quá khứ)</t>
        </is>
      </c>
      <c r="K47" s="10" t="n"/>
      <c r="L47" s="10" t="n"/>
      <c r="M47" s="10" t="n"/>
      <c r="N47" s="10" t="n"/>
      <c r="O47" s="10" t="n"/>
      <c r="P47" s="11" t="n"/>
      <c r="Q4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Truy cập URL `/file-upload`, kiểm tra số dòng trong danh sách kết quả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Trên DB thực thi `SELECT COUNT(*) FROM t_file_upload WHERE deleted_at IS NULL`</t>
          </r>
        </is>
      </c>
      <c r="R47" s="10" t="n"/>
      <c r="S47" s="10" t="n"/>
      <c r="T47" s="10" t="n"/>
      <c r="U47" s="10" t="n"/>
      <c r="V47" s="10" t="n"/>
      <c r="W47" s="11" t="n"/>
      <c r="X4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Chỉ hiển thị 3 file thông thường, 2 file đã xóa logical KHÔNG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Số dòng valid trên DB là 3, khớp với số dòng hiển thị trên màn hình (dữ liệu đã xóa không hiển thị)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・WHERE clause bắt buộc chứa `fu.deleted_at IS NULL` (api.md §4.3)</t>
          </r>
        </is>
      </c>
      <c r="Y47" s="10" t="n"/>
      <c r="Z47" s="10" t="n"/>
      <c r="AA47" s="10" t="n"/>
      <c r="AB47" s="10" t="n"/>
      <c r="AC47" s="10" t="n"/>
      <c r="AD47" s="11" t="n"/>
      <c r="AE47" s="45" t="inlineStr">
        <is>
          <t>N</t>
        </is>
      </c>
      <c r="AF47" s="11" t="n"/>
      <c r="AG47" s="45" t="inlineStr"/>
      <c r="AH47" s="10" t="n"/>
      <c r="AI47" s="11" t="n"/>
      <c r="AJ47" s="45" t="inlineStr"/>
      <c r="AK47" s="10" t="n"/>
      <c r="AL47" s="11" t="n"/>
      <c r="AM47" s="45" t="inlineStr"/>
      <c r="AN47" s="10" t="n"/>
      <c r="AO47" s="11" t="n"/>
      <c r="AP47" s="45" t="inlineStr"/>
      <c r="AQ47" s="10" t="n"/>
      <c r="AR47" s="11" t="n"/>
      <c r="AS47" s="45" t="inlineStr"/>
      <c r="AT47" s="10" t="n"/>
      <c r="AU47" s="11" t="n"/>
      <c r="AV47" s="45" t="inlineStr"/>
      <c r="AW47" s="10" t="n"/>
      <c r="AX47" s="11" t="n"/>
      <c r="AY47" s="45" t="inlineStr"/>
      <c r="AZ47" s="10" t="n"/>
      <c r="BA47" s="11" t="n"/>
      <c r="BB47" s="45" t="inlineStr"/>
      <c r="BC47" s="10" t="n"/>
      <c r="BD47" s="11" t="n"/>
      <c r="BE47" s="45" t="inlineStr"/>
      <c r="BF47" s="10" t="n"/>
      <c r="BG47" s="11" t="n"/>
      <c r="BH47" s="45" t="inlineStr"/>
      <c r="BI47" s="10" t="n"/>
      <c r="BJ47" s="11" t="n"/>
      <c r="BK47" s="46" t="inlineStr">
        <is>
          <t>(なし)
---</t>
        </is>
      </c>
      <c r="BL47" s="10" t="n"/>
      <c r="BM47" s="10" t="n"/>
      <c r="BN47" s="10" t="n"/>
      <c r="BO47" s="10" t="n"/>
      <c r="BP47" s="10" t="n"/>
      <c r="BQ47" s="11" t="n"/>
    </row>
    <row r="48" ht="22.5" customHeight="1">
      <c r="A48" s="32" t="inlineStr">
        <is>
          <t>Business logic — Preview (Function — Preview)</t>
        </is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1" t="n"/>
    </row>
    <row r="49" ht="400" customHeight="1">
      <c r="A49" s="44" t="n">
        <v>32</v>
      </c>
      <c r="B49" s="46" t="inlineStr">
        <is>
          <t>ACSMS-TC-022-032</t>
        </is>
      </c>
      <c r="C49" s="10" t="n"/>
      <c r="D49" s="11" t="n"/>
      <c r="E49" s="46" t="inlineStr">
        <is>
          <t>Chọn file + プレビュー hiển thị modal presigned URL của S3</t>
        </is>
      </c>
      <c r="F49" s="10" t="n"/>
      <c r="G49" s="10" t="n"/>
      <c r="H49" s="10" t="n"/>
      <c r="I49" s="11" t="n"/>
      <c r="J49" s="46" t="inlineStr">
        <is>
          <t>・role: NICHINO_ADMIN
・Đã login + đã xác thực MFA
・Test data: 1 file PDF có thể preview (file thực tồn tại trên S3)</t>
        </is>
      </c>
      <c r="K49" s="10" t="n"/>
      <c r="L49" s="10" t="n"/>
      <c r="M49" s="10" t="n"/>
      <c r="N49" s="10" t="n"/>
      <c r="O49" s="10" t="n"/>
      <c r="P49" s="11" t="n"/>
      <c r="Q4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Từ danh sách kết quả, bật checkbox của 1 file PDF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Nhấn button プレビュー, kiểm tra response của GET `/api/v1/file-upload/{file_upload_id}/preview`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Xác nhận PDF được render trong modal preview</t>
          </r>
        </is>
      </c>
      <c r="R49" s="10" t="n"/>
      <c r="S49" s="10" t="n"/>
      <c r="T49" s="10" t="n"/>
      <c r="U49" s="10" t="n"/>
      <c r="V49" s="10" t="n"/>
      <c r="W49" s="11" t="n"/>
      <c r="X4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Checkbox được bật, row tương ứng được highlight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200, `data.preview_url` trong response chứa presigned URL của S3 (có query `X-Amz-Signature`), `data.expires_at` là timestamp ISO 8601 cách thời điểm hiện tại 1 tiếng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Modal được hiển thị, nội dung PDF được render trong `&lt;iframe&gt;`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・Thời hạn hiệu lực của S3 presigned URL là 3600 giây (api.md §4.4)
</t>
          </r>
          <r>
            <rPr>
              <rFont val="メイリオ"/>
              <sz val="10"/>
            </rPr>
            <t>・Có thể đóng modal bằng click ra ngoài modal / button đóng</t>
          </r>
        </is>
      </c>
      <c r="Y49" s="10" t="n"/>
      <c r="Z49" s="10" t="n"/>
      <c r="AA49" s="10" t="n"/>
      <c r="AB49" s="10" t="n"/>
      <c r="AC49" s="10" t="n"/>
      <c r="AD49" s="11" t="n"/>
      <c r="AE49" s="45" t="inlineStr">
        <is>
          <t>N</t>
        </is>
      </c>
      <c r="AF49" s="11" t="n"/>
      <c r="AG49" s="45" t="inlineStr"/>
      <c r="AH49" s="10" t="n"/>
      <c r="AI49" s="11" t="n"/>
      <c r="AJ49" s="45" t="inlineStr"/>
      <c r="AK49" s="10" t="n"/>
      <c r="AL49" s="11" t="n"/>
      <c r="AM49" s="45" t="inlineStr"/>
      <c r="AN49" s="10" t="n"/>
      <c r="AO49" s="11" t="n"/>
      <c r="AP49" s="45" t="inlineStr"/>
      <c r="AQ49" s="10" t="n"/>
      <c r="AR49" s="11" t="n"/>
      <c r="AS49" s="45" t="inlineStr"/>
      <c r="AT49" s="10" t="n"/>
      <c r="AU49" s="11" t="n"/>
      <c r="AV49" s="45" t="inlineStr"/>
      <c r="AW49" s="10" t="n"/>
      <c r="AX49" s="11" t="n"/>
      <c r="AY49" s="45" t="inlineStr"/>
      <c r="AZ49" s="10" t="n"/>
      <c r="BA49" s="11" t="n"/>
      <c r="BB49" s="45" t="inlineStr"/>
      <c r="BC49" s="10" t="n"/>
      <c r="BD49" s="11" t="n"/>
      <c r="BE49" s="45" t="inlineStr"/>
      <c r="BF49" s="10" t="n"/>
      <c r="BG49" s="11" t="n"/>
      <c r="BH49" s="45" t="inlineStr"/>
      <c r="BI49" s="10" t="n"/>
      <c r="BJ49" s="11" t="n"/>
      <c r="BK49" s="46" t="inlineStr"/>
      <c r="BL49" s="10" t="n"/>
      <c r="BM49" s="10" t="n"/>
      <c r="BN49" s="10" t="n"/>
      <c r="BO49" s="10" t="n"/>
      <c r="BP49" s="10" t="n"/>
      <c r="BQ49" s="11" t="n"/>
    </row>
    <row r="50" ht="256" customHeight="1">
      <c r="A50" s="44" t="n">
        <v>33</v>
      </c>
      <c r="B50" s="46" t="inlineStr">
        <is>
          <t>ACSMS-TC-022-033</t>
        </is>
      </c>
      <c r="C50" s="10" t="n"/>
      <c r="D50" s="11" t="n"/>
      <c r="E50" s="46" t="inlineStr">
        <is>
          <t>Nhấn プレビュー khi chưa chọn file — ACSMS-MSG-022-002</t>
        </is>
      </c>
      <c r="F50" s="10" t="n"/>
      <c r="G50" s="10" t="n"/>
      <c r="H50" s="10" t="n"/>
      <c r="I50" s="11" t="n"/>
      <c r="J50" s="46" t="inlineStr">
        <is>
          <t>・role: NICHINO_ADMIN
・Đã login + đã xác thực MFA</t>
        </is>
      </c>
      <c r="K50" s="10" t="n"/>
      <c r="L50" s="10" t="n"/>
      <c r="M50" s="10" t="n"/>
      <c r="N50" s="10" t="n"/>
      <c r="O50" s="10" t="n"/>
      <c r="P50" s="11" t="n"/>
      <c r="Q5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Để toàn bộ checkbox ở trạng thái chưa chọn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Nhấn button プレビュー</t>
          </r>
        </is>
      </c>
      <c r="R50" s="10" t="n"/>
      <c r="S50" s="10" t="n"/>
      <c r="T50" s="10" t="n"/>
      <c r="U50" s="10" t="n"/>
      <c r="V50" s="10" t="n"/>
      <c r="W50" s="11" t="n"/>
      <c r="X5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Toàn bộ checkbox đang chưa chọn, highlight của row đã được bỏ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warning message `ファイルを選択してください。` (ACSMS-MSG-022-002), API preview KHÔNG được gọi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・Phía frontend phát hiện số file chọn = 0 và không phát hành API request (tránh giao tiếp không cần thiết)</t>
          </r>
        </is>
      </c>
      <c r="Y50" s="10" t="n"/>
      <c r="Z50" s="10" t="n"/>
      <c r="AA50" s="10" t="n"/>
      <c r="AB50" s="10" t="n"/>
      <c r="AC50" s="10" t="n"/>
      <c r="AD50" s="11" t="n"/>
      <c r="AE50" s="45" t="inlineStr">
        <is>
          <t>A</t>
        </is>
      </c>
      <c r="AF50" s="11" t="n"/>
      <c r="AG50" s="45" t="inlineStr"/>
      <c r="AH50" s="10" t="n"/>
      <c r="AI50" s="11" t="n"/>
      <c r="AJ50" s="45" t="inlineStr"/>
      <c r="AK50" s="10" t="n"/>
      <c r="AL50" s="11" t="n"/>
      <c r="AM50" s="45" t="inlineStr"/>
      <c r="AN50" s="10" t="n"/>
      <c r="AO50" s="11" t="n"/>
      <c r="AP50" s="45" t="inlineStr"/>
      <c r="AQ50" s="10" t="n"/>
      <c r="AR50" s="11" t="n"/>
      <c r="AS50" s="45" t="inlineStr"/>
      <c r="AT50" s="10" t="n"/>
      <c r="AU50" s="11" t="n"/>
      <c r="AV50" s="45" t="inlineStr"/>
      <c r="AW50" s="10" t="n"/>
      <c r="AX50" s="11" t="n"/>
      <c r="AY50" s="45" t="inlineStr"/>
      <c r="AZ50" s="10" t="n"/>
      <c r="BA50" s="11" t="n"/>
      <c r="BB50" s="45" t="inlineStr"/>
      <c r="BC50" s="10" t="n"/>
      <c r="BD50" s="11" t="n"/>
      <c r="BE50" s="45" t="inlineStr"/>
      <c r="BF50" s="10" t="n"/>
      <c r="BG50" s="11" t="n"/>
      <c r="BH50" s="45" t="inlineStr"/>
      <c r="BI50" s="10" t="n"/>
      <c r="BJ50" s="11" t="n"/>
      <c r="BK50" s="46" t="inlineStr"/>
      <c r="BL50" s="10" t="n"/>
      <c r="BM50" s="10" t="n"/>
      <c r="BN50" s="10" t="n"/>
      <c r="BO50" s="10" t="n"/>
      <c r="BP50" s="10" t="n"/>
      <c r="BQ50" s="11" t="n"/>
    </row>
    <row r="51" ht="240" customHeight="1">
      <c r="A51" s="44" t="n">
        <v>34</v>
      </c>
      <c r="B51" s="46" t="inlineStr">
        <is>
          <t>ACSMS-TC-022-034</t>
        </is>
      </c>
      <c r="C51" s="10" t="n"/>
      <c r="D51" s="11" t="n"/>
      <c r="E51" s="46" t="inlineStr">
        <is>
          <t>File preview không tồn tại — ACSMS-MSG-022-003</t>
        </is>
      </c>
      <c r="F51" s="10" t="n"/>
      <c r="G51" s="10" t="n"/>
      <c r="H51" s="10" t="n"/>
      <c r="I51" s="11" t="n"/>
      <c r="J51" s="46" t="inlineStr">
        <is>
          <t>・role: NICHINO_ADMIN
・Đã login + đã xác thực MFA
・Test data: 1 file có record trên DB nhưng file thực trên S3 đã bị xóa trước đó, hoặc 1 file mà `deleted_at` trên DB vừa được update bằng NOW()</t>
        </is>
      </c>
      <c r="K51" s="10" t="n"/>
      <c r="L51" s="10" t="n"/>
      <c r="M51" s="10" t="n"/>
      <c r="N51" s="10" t="n"/>
      <c r="O51" s="10" t="n"/>
      <c r="P51" s="11" t="n"/>
      <c r="Q5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Bật checkbox của file tương ứng và nhấn button プレビュー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response của GET `/api/v1/file-upload/{file_upload_id}/preview`</t>
          </r>
        </is>
      </c>
      <c r="R51" s="10" t="n"/>
      <c r="S51" s="10" t="n"/>
      <c r="T51" s="10" t="n"/>
      <c r="U51" s="10" t="n"/>
      <c r="V51" s="10" t="n"/>
      <c r="W51" s="11" t="n"/>
      <c r="X5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warning message `ファイルが存在していません。` (ACSMS-MSG-022-003), modal KHÔNG mở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404 (`error_code: NOT_FOUND`, message `指定されたファイルが見つかりません。`)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・FE nhận 404 và map sang ACSMS-MSG-022-003 để hiển thị</t>
          </r>
        </is>
      </c>
      <c r="Y51" s="10" t="n"/>
      <c r="Z51" s="10" t="n"/>
      <c r="AA51" s="10" t="n"/>
      <c r="AB51" s="10" t="n"/>
      <c r="AC51" s="10" t="n"/>
      <c r="AD51" s="11" t="n"/>
      <c r="AE51" s="45" t="inlineStr">
        <is>
          <t>A</t>
        </is>
      </c>
      <c r="AF51" s="11" t="n"/>
      <c r="AG51" s="45" t="inlineStr"/>
      <c r="AH51" s="10" t="n"/>
      <c r="AI51" s="11" t="n"/>
      <c r="AJ51" s="45" t="inlineStr"/>
      <c r="AK51" s="10" t="n"/>
      <c r="AL51" s="11" t="n"/>
      <c r="AM51" s="45" t="inlineStr"/>
      <c r="AN51" s="10" t="n"/>
      <c r="AO51" s="11" t="n"/>
      <c r="AP51" s="45" t="inlineStr"/>
      <c r="AQ51" s="10" t="n"/>
      <c r="AR51" s="11" t="n"/>
      <c r="AS51" s="45" t="inlineStr"/>
      <c r="AT51" s="10" t="n"/>
      <c r="AU51" s="11" t="n"/>
      <c r="AV51" s="45" t="inlineStr"/>
      <c r="AW51" s="10" t="n"/>
      <c r="AX51" s="11" t="n"/>
      <c r="AY51" s="45" t="inlineStr"/>
      <c r="AZ51" s="10" t="n"/>
      <c r="BA51" s="11" t="n"/>
      <c r="BB51" s="45" t="inlineStr"/>
      <c r="BC51" s="10" t="n"/>
      <c r="BD51" s="11" t="n"/>
      <c r="BE51" s="45" t="inlineStr"/>
      <c r="BF51" s="10" t="n"/>
      <c r="BG51" s="11" t="n"/>
      <c r="BH51" s="45" t="inlineStr"/>
      <c r="BI51" s="10" t="n"/>
      <c r="BJ51" s="11" t="n"/>
      <c r="BK51" s="46" t="inlineStr"/>
      <c r="BL51" s="10" t="n"/>
      <c r="BM51" s="10" t="n"/>
      <c r="BN51" s="10" t="n"/>
      <c r="BO51" s="10" t="n"/>
      <c r="BP51" s="10" t="n"/>
      <c r="BQ51" s="11" t="n"/>
    </row>
    <row r="52" ht="256" customHeight="1">
      <c r="A52" s="44" t="n">
        <v>35</v>
      </c>
      <c r="B52" s="46" t="inlineStr">
        <is>
          <t>ACSMS-TC-022-035</t>
        </is>
      </c>
      <c r="C52" s="10" t="n"/>
      <c r="D52" s="11" t="n"/>
      <c r="E52" s="46" t="inlineStr">
        <is>
          <t>Bỏ chọn + đóng modal bằng button クリア ở footer</t>
        </is>
      </c>
      <c r="F52" s="10" t="n"/>
      <c r="G52" s="10" t="n"/>
      <c r="H52" s="10" t="n"/>
      <c r="I52" s="11" t="n"/>
      <c r="J52" s="46" t="inlineStr">
        <is>
          <t>・role: NICHINO_ADMIN
・Đã login + đã xác thực MFA</t>
        </is>
      </c>
      <c r="K52" s="10" t="n"/>
      <c r="L52" s="10" t="n"/>
      <c r="M52" s="10" t="n"/>
      <c r="N52" s="10" t="n"/>
      <c r="O52" s="10" t="n"/>
      <c r="P52" s="11" t="n"/>
      <c r="Q5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Bật checkbox của nhiều row (≥ 2 file), nhấn button プレビュー để hiển thị modal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Nhấn button "クリア" (phía dưới) ở footer</t>
          </r>
        </is>
      </c>
      <c r="R52" s="10" t="n"/>
      <c r="S52" s="10" t="n"/>
      <c r="T52" s="10" t="n"/>
      <c r="U52" s="10" t="n"/>
      <c r="V52" s="10" t="n"/>
      <c r="W52" s="11" t="n"/>
      <c r="X5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Modal được hiển thị, các row đã chọn ở trạng thái highlight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Toàn bộ checkbox trở thành chưa chọn, highlight của toàn bộ row được bỏ, modal được đóng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・Hoạt động của button クリア ở footer (phía dưới) là "bỏ chọn + clear preview" (screen-design.md §機能 6)</t>
          </r>
        </is>
      </c>
      <c r="Y52" s="10" t="n"/>
      <c r="Z52" s="10" t="n"/>
      <c r="AA52" s="10" t="n"/>
      <c r="AB52" s="10" t="n"/>
      <c r="AC52" s="10" t="n"/>
      <c r="AD52" s="11" t="n"/>
      <c r="AE52" s="45" t="inlineStr">
        <is>
          <t>N</t>
        </is>
      </c>
      <c r="AF52" s="11" t="n"/>
      <c r="AG52" s="45" t="inlineStr"/>
      <c r="AH52" s="10" t="n"/>
      <c r="AI52" s="11" t="n"/>
      <c r="AJ52" s="45" t="inlineStr"/>
      <c r="AK52" s="10" t="n"/>
      <c r="AL52" s="11" t="n"/>
      <c r="AM52" s="45" t="inlineStr"/>
      <c r="AN52" s="10" t="n"/>
      <c r="AO52" s="11" t="n"/>
      <c r="AP52" s="45" t="inlineStr"/>
      <c r="AQ52" s="10" t="n"/>
      <c r="AR52" s="11" t="n"/>
      <c r="AS52" s="45" t="inlineStr"/>
      <c r="AT52" s="10" t="n"/>
      <c r="AU52" s="11" t="n"/>
      <c r="AV52" s="45" t="inlineStr"/>
      <c r="AW52" s="10" t="n"/>
      <c r="AX52" s="11" t="n"/>
      <c r="AY52" s="45" t="inlineStr"/>
      <c r="AZ52" s="10" t="n"/>
      <c r="BA52" s="11" t="n"/>
      <c r="BB52" s="45" t="inlineStr"/>
      <c r="BC52" s="10" t="n"/>
      <c r="BD52" s="11" t="n"/>
      <c r="BE52" s="45" t="inlineStr"/>
      <c r="BF52" s="10" t="n"/>
      <c r="BG52" s="11" t="n"/>
      <c r="BH52" s="45" t="inlineStr"/>
      <c r="BI52" s="10" t="n"/>
      <c r="BJ52" s="11" t="n"/>
      <c r="BK52" s="46" t="inlineStr">
        <is>
          <t>(なし)
---</t>
        </is>
      </c>
      <c r="BL52" s="10" t="n"/>
      <c r="BM52" s="10" t="n"/>
      <c r="BN52" s="10" t="n"/>
      <c r="BO52" s="10" t="n"/>
      <c r="BP52" s="10" t="n"/>
      <c r="BQ52" s="11" t="n"/>
    </row>
    <row r="53" ht="22.5" customHeight="1">
      <c r="A53" s="32" t="inlineStr">
        <is>
          <t>Business logic — Download (Function — Download)</t>
        </is>
      </c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/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1" t="n"/>
    </row>
    <row r="54" ht="450" customHeight="1">
      <c r="A54" s="44" t="n">
        <v>36</v>
      </c>
      <c r="B54" s="46" t="inlineStr">
        <is>
          <t>ACSMS-TC-022-036</t>
        </is>
      </c>
      <c r="C54" s="10" t="n"/>
      <c r="D54" s="11" t="n"/>
      <c r="E54" s="46" t="inlineStr">
        <is>
          <t>Download file đơn thành công + ghi history + audit log</t>
        </is>
      </c>
      <c r="F54" s="10" t="n"/>
      <c r="G54" s="10" t="n"/>
      <c r="H54" s="10" t="n"/>
      <c r="I54" s="11" t="n"/>
      <c r="J54" s="46" t="inlineStr">
        <is>
          <t>・role: JA_HONTEN
・Đã login + đã xác thực MFA
・Test data: 1 file PDF gắn JA mình (file thực tồn tại trên S3, tên file `zougen_tsuchi_202604.pdf`)</t>
        </is>
      </c>
      <c r="K54" s="10" t="n"/>
      <c r="L54" s="10" t="n"/>
      <c r="M54" s="10" t="n"/>
      <c r="N54" s="10" t="n"/>
      <c r="O54" s="10" t="n"/>
      <c r="P54" s="11" t="n"/>
      <c r="Q5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Từ danh sách kết quả bật checkbox của file tương ứng và nhấn button ダウンロード実行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response của GET `/api/v1/file-upload/{file_upload_id}/download`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Lưu file qua save dialog của browser và xác nhận nội dung đúng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Trên DB thực thi `SELECT * FROM t_file_download WHERE created_by = :login_id ORDER BY download_datetime DESC LIMIT 1`
</t>
          </r>
          <r>
            <rPr>
              <rFont val="メイリオ"/>
              <b val="1"/>
              <sz val="10"/>
            </rPr>
            <t xml:space="preserve">ステップ5：
</t>
          </r>
          <r>
            <rPr>
              <rFont val="メイリオ"/>
              <sz val="10"/>
            </rPr>
            <t>Trên DB thực thi `SELECT * FROM t_log WHERE log_type = 4 AND operation = 'DOWNLOAD' AND target_id = :file_upload_id ORDER BY log_datetime DESC LIMIT 1`</t>
          </r>
        </is>
      </c>
      <c r="R54" s="10" t="n"/>
      <c r="S54" s="10" t="n"/>
      <c r="T54" s="10" t="n"/>
      <c r="U54" s="10" t="n"/>
      <c r="V54" s="10" t="n"/>
      <c r="W54" s="11" t="n"/>
      <c r="X5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Checkbox được bật, xử lý download bắt đầu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200, response header set `Content-Type: application/pdf`, `Content-Disposition: attachment; filename="zougen_tsuchi_202604.pdf"; filename*=UTF-8''zougen_tsuchi_202604.pdf`, `Cache-Control: no-store`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Browser hoàn tất download, hiển thị success message `ダウンロードが完了しました。` (ACSMS-MSG-022-005), file lưu khớp với file thực trên S3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Download history được insert 1 dòng, được record với giá trị `download_type = 4` (増減通知書, phán đoán từ `zougen_tsuchi`), `ja_id = :user_ja_id`, `file_name = 'zougen_tsuchi_202604.pdf'`
</t>
          </r>
          <r>
            <rPr>
              <rFont val="メイリオ"/>
              <b val="1"/>
              <sz val="10"/>
            </rPr>
            <t xml:space="preserve">ステップ5：
</t>
          </r>
          <r>
            <rPr>
              <rFont val="メイリオ"/>
              <sz val="10"/>
            </rPr>
            <t xml:space="preserve">Audit log được record 1 dòng, `log_type = 4` (file operation), `operation = 'DOWNLOAD'`, `result_status = 1`, `after_value` chứa JSON metadata của file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・INSERT history + INSERT audit log được thực hiện trong cùng transaction (api.md §4 policy transaction)
</t>
          </r>
          <r>
            <rPr>
              <rFont val="メイリオ"/>
              <sz val="10"/>
            </rPr>
            <t>・`download_type` được tự động phán đoán từ tên file (4: 増減通知書)</t>
          </r>
        </is>
      </c>
      <c r="Y54" s="10" t="n"/>
      <c r="Z54" s="10" t="n"/>
      <c r="AA54" s="10" t="n"/>
      <c r="AB54" s="10" t="n"/>
      <c r="AC54" s="10" t="n"/>
      <c r="AD54" s="11" t="n"/>
      <c r="AE54" s="45" t="inlineStr">
        <is>
          <t>N</t>
        </is>
      </c>
      <c r="AF54" s="11" t="n"/>
      <c r="AG54" s="45" t="inlineStr"/>
      <c r="AH54" s="10" t="n"/>
      <c r="AI54" s="11" t="n"/>
      <c r="AJ54" s="45" t="inlineStr"/>
      <c r="AK54" s="10" t="n"/>
      <c r="AL54" s="11" t="n"/>
      <c r="AM54" s="45" t="inlineStr"/>
      <c r="AN54" s="10" t="n"/>
      <c r="AO54" s="11" t="n"/>
      <c r="AP54" s="45" t="inlineStr"/>
      <c r="AQ54" s="10" t="n"/>
      <c r="AR54" s="11" t="n"/>
      <c r="AS54" s="45" t="inlineStr"/>
      <c r="AT54" s="10" t="n"/>
      <c r="AU54" s="11" t="n"/>
      <c r="AV54" s="45" t="inlineStr"/>
      <c r="AW54" s="10" t="n"/>
      <c r="AX54" s="11" t="n"/>
      <c r="AY54" s="45" t="inlineStr"/>
      <c r="AZ54" s="10" t="n"/>
      <c r="BA54" s="11" t="n"/>
      <c r="BB54" s="45" t="inlineStr"/>
      <c r="BC54" s="10" t="n"/>
      <c r="BD54" s="11" t="n"/>
      <c r="BE54" s="45" t="inlineStr"/>
      <c r="BF54" s="10" t="n"/>
      <c r="BG54" s="11" t="n"/>
      <c r="BH54" s="45" t="inlineStr"/>
      <c r="BI54" s="10" t="n"/>
      <c r="BJ54" s="11" t="n"/>
      <c r="BK54" s="46" t="inlineStr"/>
      <c r="BL54" s="10" t="n"/>
      <c r="BM54" s="10" t="n"/>
      <c r="BN54" s="10" t="n"/>
      <c r="BO54" s="10" t="n"/>
      <c r="BP54" s="10" t="n"/>
      <c r="BQ54" s="11" t="n"/>
    </row>
    <row r="55" ht="304" customHeight="1">
      <c r="A55" s="44" t="n">
        <v>37</v>
      </c>
      <c r="B55" s="46" t="inlineStr">
        <is>
          <t>ACSMS-TC-022-037</t>
        </is>
      </c>
      <c r="C55" s="10" t="n"/>
      <c r="D55" s="11" t="n"/>
      <c r="E55" s="46" t="inlineStr">
        <is>
          <t>Thực hiện download khi chọn nhiều file</t>
        </is>
      </c>
      <c r="F55" s="10" t="n"/>
      <c r="G55" s="10" t="n"/>
      <c r="H55" s="10" t="n"/>
      <c r="I55" s="11" t="n"/>
      <c r="J55" s="46" t="inlineStr">
        <is>
          <t>・role: JA_HONTEN
・Đã login + đã xác thực MFA
・Test data: 3 file (PDF / CSV / Excel) gắn JA mình</t>
        </is>
      </c>
      <c r="K55" s="10" t="n"/>
      <c r="L55" s="10" t="n"/>
      <c r="M55" s="10" t="n"/>
      <c r="N55" s="10" t="n"/>
      <c r="O55" s="10" t="n"/>
      <c r="P55" s="11" t="n"/>
      <c r="Q5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Bật 3 checkbox và nhấn button ダウンロード実行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file download trên browser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Trên DB thực thi `SELECT COUNT(*) FROM t_file_download WHERE created_by = :login_id AND download_datetime &gt;= :test_start_time`</t>
          </r>
        </is>
      </c>
      <c r="R55" s="10" t="n"/>
      <c r="S55" s="10" t="n"/>
      <c r="T55" s="10" t="n"/>
      <c r="U55" s="10" t="n"/>
      <c r="V55" s="10" t="n"/>
      <c r="W55" s="11" t="n"/>
      <c r="X5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Xử lý download bắt đầu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Toàn bộ 3 file đều được download, hiển thị success message `ダウンロードが完了しました。` (ACSMS-MSG-022-005)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Download history được record 3 dòng, `t_log` cũng được record 3 dòng `log_type=4`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・Khi chọn nhiều file, mỗi file phát hành 1 API request riêng và mỗi cái đều record history + log</t>
          </r>
        </is>
      </c>
      <c r="Y55" s="10" t="n"/>
      <c r="Z55" s="10" t="n"/>
      <c r="AA55" s="10" t="n"/>
      <c r="AB55" s="10" t="n"/>
      <c r="AC55" s="10" t="n"/>
      <c r="AD55" s="11" t="n"/>
      <c r="AE55" s="45" t="inlineStr">
        <is>
          <t>N</t>
        </is>
      </c>
      <c r="AF55" s="11" t="n"/>
      <c r="AG55" s="45" t="inlineStr"/>
      <c r="AH55" s="10" t="n"/>
      <c r="AI55" s="11" t="n"/>
      <c r="AJ55" s="45" t="inlineStr"/>
      <c r="AK55" s="10" t="n"/>
      <c r="AL55" s="11" t="n"/>
      <c r="AM55" s="45" t="inlineStr"/>
      <c r="AN55" s="10" t="n"/>
      <c r="AO55" s="11" t="n"/>
      <c r="AP55" s="45" t="inlineStr"/>
      <c r="AQ55" s="10" t="n"/>
      <c r="AR55" s="11" t="n"/>
      <c r="AS55" s="45" t="inlineStr"/>
      <c r="AT55" s="10" t="n"/>
      <c r="AU55" s="11" t="n"/>
      <c r="AV55" s="45" t="inlineStr"/>
      <c r="AW55" s="10" t="n"/>
      <c r="AX55" s="11" t="n"/>
      <c r="AY55" s="45" t="inlineStr"/>
      <c r="AZ55" s="10" t="n"/>
      <c r="BA55" s="11" t="n"/>
      <c r="BB55" s="45" t="inlineStr"/>
      <c r="BC55" s="10" t="n"/>
      <c r="BD55" s="11" t="n"/>
      <c r="BE55" s="45" t="inlineStr"/>
      <c r="BF55" s="10" t="n"/>
      <c r="BG55" s="11" t="n"/>
      <c r="BH55" s="45" t="inlineStr"/>
      <c r="BI55" s="10" t="n"/>
      <c r="BJ55" s="11" t="n"/>
      <c r="BK55" s="46" t="inlineStr"/>
      <c r="BL55" s="10" t="n"/>
      <c r="BM55" s="10" t="n"/>
      <c r="BN55" s="10" t="n"/>
      <c r="BO55" s="10" t="n"/>
      <c r="BP55" s="10" t="n"/>
      <c r="BQ55" s="11" t="n"/>
    </row>
    <row r="56" ht="224" customHeight="1">
      <c r="A56" s="44" t="n">
        <v>38</v>
      </c>
      <c r="B56" s="46" t="inlineStr">
        <is>
          <t>ACSMS-TC-022-038</t>
        </is>
      </c>
      <c r="C56" s="10" t="n"/>
      <c r="D56" s="11" t="n"/>
      <c r="E56" s="46" t="inlineStr">
        <is>
          <t>Nhấn ダウンロード実行 khi chưa chọn file — ACSMS-MSG-022-002</t>
        </is>
      </c>
      <c r="F56" s="10" t="n"/>
      <c r="G56" s="10" t="n"/>
      <c r="H56" s="10" t="n"/>
      <c r="I56" s="11" t="n"/>
      <c r="J56" s="46" t="inlineStr">
        <is>
          <t>・role: NICHINO_ADMIN
・Đã login + đã xác thực MFA</t>
        </is>
      </c>
      <c r="K56" s="10" t="n"/>
      <c r="L56" s="10" t="n"/>
      <c r="M56" s="10" t="n"/>
      <c r="N56" s="10" t="n"/>
      <c r="O56" s="10" t="n"/>
      <c r="P56" s="11" t="n"/>
      <c r="Q5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Để toàn bộ checkbox ở trạng thái chưa chọn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Nhấn button ダウンロード実行</t>
          </r>
        </is>
      </c>
      <c r="R56" s="10" t="n"/>
      <c r="S56" s="10" t="n"/>
      <c r="T56" s="10" t="n"/>
      <c r="U56" s="10" t="n"/>
      <c r="V56" s="10" t="n"/>
      <c r="W56" s="11" t="n"/>
      <c r="X5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Toàn bộ checkbox đang chưa chọn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warning message `ファイルを選択してください。` (ACSMS-MSG-022-002), API download KHÔNG được gọi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・Phía frontend phát hiện số file chọn = 0 và không phát hành API request</t>
          </r>
        </is>
      </c>
      <c r="Y56" s="10" t="n"/>
      <c r="Z56" s="10" t="n"/>
      <c r="AA56" s="10" t="n"/>
      <c r="AB56" s="10" t="n"/>
      <c r="AC56" s="10" t="n"/>
      <c r="AD56" s="11" t="n"/>
      <c r="AE56" s="45" t="inlineStr">
        <is>
          <t>A</t>
        </is>
      </c>
      <c r="AF56" s="11" t="n"/>
      <c r="AG56" s="45" t="inlineStr"/>
      <c r="AH56" s="10" t="n"/>
      <c r="AI56" s="11" t="n"/>
      <c r="AJ56" s="45" t="inlineStr"/>
      <c r="AK56" s="10" t="n"/>
      <c r="AL56" s="11" t="n"/>
      <c r="AM56" s="45" t="inlineStr"/>
      <c r="AN56" s="10" t="n"/>
      <c r="AO56" s="11" t="n"/>
      <c r="AP56" s="45" t="inlineStr"/>
      <c r="AQ56" s="10" t="n"/>
      <c r="AR56" s="11" t="n"/>
      <c r="AS56" s="45" t="inlineStr"/>
      <c r="AT56" s="10" t="n"/>
      <c r="AU56" s="11" t="n"/>
      <c r="AV56" s="45" t="inlineStr"/>
      <c r="AW56" s="10" t="n"/>
      <c r="AX56" s="11" t="n"/>
      <c r="AY56" s="45" t="inlineStr"/>
      <c r="AZ56" s="10" t="n"/>
      <c r="BA56" s="11" t="n"/>
      <c r="BB56" s="45" t="inlineStr"/>
      <c r="BC56" s="10" t="n"/>
      <c r="BD56" s="11" t="n"/>
      <c r="BE56" s="45" t="inlineStr"/>
      <c r="BF56" s="10" t="n"/>
      <c r="BG56" s="11" t="n"/>
      <c r="BH56" s="45" t="inlineStr"/>
      <c r="BI56" s="10" t="n"/>
      <c r="BJ56" s="11" t="n"/>
      <c r="BK56" s="46" t="inlineStr"/>
      <c r="BL56" s="10" t="n"/>
      <c r="BM56" s="10" t="n"/>
      <c r="BN56" s="10" t="n"/>
      <c r="BO56" s="10" t="n"/>
      <c r="BP56" s="10" t="n"/>
      <c r="BQ56" s="11" t="n"/>
    </row>
    <row r="57" ht="432" customHeight="1">
      <c r="A57" s="44" t="n">
        <v>39</v>
      </c>
      <c r="B57" s="46" t="inlineStr">
        <is>
          <t>ACSMS-TC-022-039</t>
        </is>
      </c>
      <c r="C57" s="10" t="n"/>
      <c r="D57" s="11" t="n"/>
      <c r="E57" s="46" t="inlineStr">
        <is>
          <t>Thử download trực tiếp ID vi phạm DataScope — ẩn sự tồn tại bằng 404</t>
        </is>
      </c>
      <c r="F57" s="10" t="n"/>
      <c r="G57" s="10" t="n"/>
      <c r="H57" s="10" t="n"/>
      <c r="I57" s="11" t="n"/>
      <c r="J57" s="46" t="inlineStr">
        <is>
          <t>・role: JA_HONTEN (ja_id = 5 của JA mình)
・Đã login + đã xác thực MFA
・Test data: tồn tại file file_upload_id = 999 gắn JA khác (ja_id = 10)</t>
        </is>
      </c>
      <c r="K57" s="10" t="n"/>
      <c r="L57" s="10" t="n"/>
      <c r="M57" s="10" t="n"/>
      <c r="N57" s="10" t="n"/>
      <c r="O57" s="10" t="n"/>
      <c r="P57" s="11" t="n"/>
      <c r="Q5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Truyền file ID của JA khác (999) mà user đăng nhập không thấy được, qua DevTools gọi GET `/api/v1/file-upload/999/download`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Trên DB thực thi `SELECT * FROM t_file_download WHERE file_path LIKE '%999%' AND created_by = :login_id`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Trên DB thực thi `SELECT * FROM t_log WHERE target_id = 999 AND account_id = :account_id AND log_type = 3`</t>
          </r>
        </is>
      </c>
      <c r="R57" s="10" t="n"/>
      <c r="S57" s="10" t="n"/>
      <c r="T57" s="10" t="n"/>
      <c r="U57" s="10" t="n"/>
      <c r="V57" s="10" t="n"/>
      <c r="W57" s="11" t="n"/>
      <c r="X5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404 (`error_code: NOT_FOUND`, message `指定されたファイルが見つかりません。`) — vi phạm DataScope trả về 404 theo policy ẩn sự tồn tại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Download history KHÔNG được record (không có ghi nghiệp vụ phát sinh)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Error log được record (`log_type = 3`, `result_status = 2`, dùng để theo dõi tấn công URL trực tiếp)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・Vi phạm DataScope trả về 404 thay vì 403 (ẩn sự tồn tại — api.md §4.2, quy tắc `security.md assertJaScope`)
</t>
          </r>
          <r>
            <rPr>
              <rFont val="メイリオ"/>
              <sz val="10"/>
            </rPr>
            <t>・Tấn công truy cập URL trực tiếp cũng được record dưới dạng audit log</t>
          </r>
        </is>
      </c>
      <c r="Y57" s="10" t="n"/>
      <c r="Z57" s="10" t="n"/>
      <c r="AA57" s="10" t="n"/>
      <c r="AB57" s="10" t="n"/>
      <c r="AC57" s="10" t="n"/>
      <c r="AD57" s="11" t="n"/>
      <c r="AE57" s="45" t="inlineStr">
        <is>
          <t>A</t>
        </is>
      </c>
      <c r="AF57" s="11" t="n"/>
      <c r="AG57" s="45" t="inlineStr"/>
      <c r="AH57" s="10" t="n"/>
      <c r="AI57" s="11" t="n"/>
      <c r="AJ57" s="45" t="inlineStr"/>
      <c r="AK57" s="10" t="n"/>
      <c r="AL57" s="11" t="n"/>
      <c r="AM57" s="45" t="inlineStr"/>
      <c r="AN57" s="10" t="n"/>
      <c r="AO57" s="11" t="n"/>
      <c r="AP57" s="45" t="inlineStr"/>
      <c r="AQ57" s="10" t="n"/>
      <c r="AR57" s="11" t="n"/>
      <c r="AS57" s="45" t="inlineStr"/>
      <c r="AT57" s="10" t="n"/>
      <c r="AU57" s="11" t="n"/>
      <c r="AV57" s="45" t="inlineStr"/>
      <c r="AW57" s="10" t="n"/>
      <c r="AX57" s="11" t="n"/>
      <c r="AY57" s="45" t="inlineStr"/>
      <c r="AZ57" s="10" t="n"/>
      <c r="BA57" s="11" t="n"/>
      <c r="BB57" s="45" t="inlineStr"/>
      <c r="BC57" s="10" t="n"/>
      <c r="BD57" s="11" t="n"/>
      <c r="BE57" s="45" t="inlineStr"/>
      <c r="BF57" s="10" t="n"/>
      <c r="BG57" s="11" t="n"/>
      <c r="BH57" s="45" t="inlineStr"/>
      <c r="BI57" s="10" t="n"/>
      <c r="BJ57" s="11" t="n"/>
      <c r="BK57" s="46" t="inlineStr"/>
      <c r="BL57" s="10" t="n"/>
      <c r="BM57" s="10" t="n"/>
      <c r="BN57" s="10" t="n"/>
      <c r="BO57" s="10" t="n"/>
      <c r="BP57" s="10" t="n"/>
      <c r="BQ57" s="11" t="n"/>
    </row>
    <row r="58" ht="448" customHeight="1">
      <c r="A58" s="44" t="n">
        <v>40</v>
      </c>
      <c r="B58" s="46" t="inlineStr">
        <is>
          <t>ACSMS-TC-022-040</t>
        </is>
      </c>
      <c r="C58" s="10" t="n"/>
      <c r="D58" s="11" t="n"/>
      <c r="E58" s="46" t="inlineStr">
        <is>
          <t>Rollback transaction khi download</t>
        </is>
      </c>
      <c r="F58" s="10" t="n"/>
      <c r="G58" s="10" t="n"/>
      <c r="H58" s="10" t="n"/>
      <c r="I58" s="11" t="n"/>
      <c r="J58" s="46" t="inlineStr">
        <is>
          <t>・role: NICHINO_ADMIN
・Đã login + đã xác thực MFA
・Test data: 1 file có thể download bình thường, tạm thời tước quyền INSERT trên bảng `t_log` (cho test)</t>
        </is>
      </c>
      <c r="K58" s="10" t="n"/>
      <c r="L58" s="10" t="n"/>
      <c r="M58" s="10" t="n"/>
      <c r="N58" s="10" t="n"/>
      <c r="O58" s="10" t="n"/>
      <c r="P58" s="11" t="n"/>
      <c r="Q5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Chọn file và nhấn button ダウンロード実行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Trên DB thực thi `SELECT * FROM t_file_download WHERE created_by = :login_id ORDER BY download_datetime DESC LIMIT 1`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Khôi phục quyền INSERT trên bảng `t_log`, kết thúc test</t>
          </r>
        </is>
      </c>
      <c r="R58" s="10" t="n"/>
      <c r="S58" s="10" t="n"/>
      <c r="T58" s="10" t="n"/>
      <c r="U58" s="10" t="n"/>
      <c r="V58" s="10" t="n"/>
      <c r="W58" s="11" t="n"/>
      <c r="X5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500 (`error_code: INTERNAL_SERVER_ERROR`, message `システムエラーが発生しました。しばらくしてから再度お試しください。`), download file KHÔNG diễn ra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INSERT history được rollback, record không tồn tại (đảm bảo tính toàn vẹn dữ liệu, transaction được rollback)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Sau khi khôi phục quyền, hoạt động bình thường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・INSERT history + INSERT audit log là cùng 1 transaction, khi một trong hai fail thì rollback toàn bộ (api.md §4.8)
</t>
          </r>
          <r>
            <rPr>
              <rFont val="メイリオ"/>
              <sz val="10"/>
            </rPr>
            <t>・Error log (log_type=3) trong khối xử lý exception được record riêng bên ngoài transaction</t>
          </r>
        </is>
      </c>
      <c r="Y58" s="10" t="n"/>
      <c r="Z58" s="10" t="n"/>
      <c r="AA58" s="10" t="n"/>
      <c r="AB58" s="10" t="n"/>
      <c r="AC58" s="10" t="n"/>
      <c r="AD58" s="11" t="n"/>
      <c r="AE58" s="45" t="inlineStr">
        <is>
          <t>A</t>
        </is>
      </c>
      <c r="AF58" s="11" t="n"/>
      <c r="AG58" s="45" t="inlineStr"/>
      <c r="AH58" s="10" t="n"/>
      <c r="AI58" s="11" t="n"/>
      <c r="AJ58" s="45" t="inlineStr"/>
      <c r="AK58" s="10" t="n"/>
      <c r="AL58" s="11" t="n"/>
      <c r="AM58" s="45" t="inlineStr"/>
      <c r="AN58" s="10" t="n"/>
      <c r="AO58" s="11" t="n"/>
      <c r="AP58" s="45" t="inlineStr"/>
      <c r="AQ58" s="10" t="n"/>
      <c r="AR58" s="11" t="n"/>
      <c r="AS58" s="45" t="inlineStr"/>
      <c r="AT58" s="10" t="n"/>
      <c r="AU58" s="11" t="n"/>
      <c r="AV58" s="45" t="inlineStr"/>
      <c r="AW58" s="10" t="n"/>
      <c r="AX58" s="11" t="n"/>
      <c r="AY58" s="45" t="inlineStr"/>
      <c r="AZ58" s="10" t="n"/>
      <c r="BA58" s="11" t="n"/>
      <c r="BB58" s="45" t="inlineStr"/>
      <c r="BC58" s="10" t="n"/>
      <c r="BD58" s="11" t="n"/>
      <c r="BE58" s="45" t="inlineStr"/>
      <c r="BF58" s="10" t="n"/>
      <c r="BG58" s="11" t="n"/>
      <c r="BH58" s="45" t="inlineStr"/>
      <c r="BI58" s="10" t="n"/>
      <c r="BJ58" s="11" t="n"/>
      <c r="BK58" s="46" t="inlineStr"/>
      <c r="BL58" s="10" t="n"/>
      <c r="BM58" s="10" t="n"/>
      <c r="BN58" s="10" t="n"/>
      <c r="BO58" s="10" t="n"/>
      <c r="BP58" s="10" t="n"/>
      <c r="BQ58" s="11" t="n"/>
    </row>
    <row r="59" ht="384" customHeight="1">
      <c r="A59" s="44" t="n">
        <v>41</v>
      </c>
      <c r="B59" s="46" t="inlineStr">
        <is>
          <t>ACSMS-TC-022-041</t>
        </is>
      </c>
      <c r="C59" s="10" t="n"/>
      <c r="D59" s="11" t="n"/>
      <c r="E59" s="46" t="inlineStr">
        <is>
          <t>Tự động phán đoán download_type (口座振替 / 増減連絡票 / 増減通知書 / 購読者名簿 / その他)</t>
        </is>
      </c>
      <c r="F59" s="10" t="n"/>
      <c r="G59" s="10" t="n"/>
      <c r="H59" s="10" t="n"/>
      <c r="I59" s="11" t="n"/>
      <c r="J59" s="46" t="inlineStr">
        <is>
          <t>・role: NICHINO_ADMIN
・Đã login + đã xác thực MFA
・Test data: 5 file sau
`kouza_furikae_202604.csv` (口座振替)
`zougen_renraku_202604.csv` (増減連絡票)
`zougen_tsuchi_202604.pdf` (増減通知書)
`meibo_202604.pdf` (購読者名簿)
`report_misc_202604.pdf` (その他)</t>
        </is>
      </c>
      <c r="K59" s="10" t="n"/>
      <c r="L59" s="10" t="n"/>
      <c r="M59" s="10" t="n"/>
      <c r="N59" s="10" t="n"/>
      <c r="O59" s="10" t="n"/>
      <c r="P59" s="11" t="n"/>
      <c r="Q5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Download lần lượt 5 file trên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Trên DB thực thi `SELECT file_name, download_type FROM t_file_download WHERE created_by = :login_id ORDER BY download_datetime DESC LIMIT 5`</t>
          </r>
        </is>
      </c>
      <c r="R59" s="10" t="n"/>
      <c r="S59" s="10" t="n"/>
      <c r="T59" s="10" t="n"/>
      <c r="U59" s="10" t="n"/>
      <c r="V59" s="10" t="n"/>
      <c r="W59" s="11" t="n"/>
      <c r="X5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Toàn bộ 5 file download thành công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・`kouza_furikae_202604.csv` → `download_type = 1`
</t>
          </r>
          <r>
            <rPr>
              <rFont val="メイリオ"/>
              <sz val="10"/>
            </rPr>
            <t xml:space="preserve">・`zougen_renraku_202604.csv` → `download_type = 3`
</t>
          </r>
          <r>
            <rPr>
              <rFont val="メイリオ"/>
              <sz val="10"/>
            </rPr>
            <t xml:space="preserve">・`zougen_tsuchi_202604.pdf` → `download_type = 4`
</t>
          </r>
          <r>
            <rPr>
              <rFont val="メイリオ"/>
              <sz val="10"/>
            </rPr>
            <t xml:space="preserve">・`meibo_202604.pdf` → `download_type = 5`
</t>
          </r>
          <r>
            <rPr>
              <rFont val="メイリオ"/>
              <sz val="10"/>
            </rPr>
            <t xml:space="preserve">・`report_misc_202604.pdf` → `download_type = 2` (その他)
</t>
          </r>
          <r>
            <rPr>
              <rFont val="メイリオ"/>
              <sz val="10"/>
            </rPr>
            <t xml:space="preserve">được record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・Thứ tự ưu tiên phán đoán là kouza_furikae → zougen_renraku → zougen_tsuchi → meibo / dokusya_meibo → その他 (api.md §4.5)</t>
          </r>
        </is>
      </c>
      <c r="Y59" s="10" t="n"/>
      <c r="Z59" s="10" t="n"/>
      <c r="AA59" s="10" t="n"/>
      <c r="AB59" s="10" t="n"/>
      <c r="AC59" s="10" t="n"/>
      <c r="AD59" s="11" t="n"/>
      <c r="AE59" s="45" t="inlineStr">
        <is>
          <t>N</t>
        </is>
      </c>
      <c r="AF59" s="11" t="n"/>
      <c r="AG59" s="45" t="inlineStr"/>
      <c r="AH59" s="10" t="n"/>
      <c r="AI59" s="11" t="n"/>
      <c r="AJ59" s="45" t="inlineStr"/>
      <c r="AK59" s="10" t="n"/>
      <c r="AL59" s="11" t="n"/>
      <c r="AM59" s="45" t="inlineStr"/>
      <c r="AN59" s="10" t="n"/>
      <c r="AO59" s="11" t="n"/>
      <c r="AP59" s="45" t="inlineStr"/>
      <c r="AQ59" s="10" t="n"/>
      <c r="AR59" s="11" t="n"/>
      <c r="AS59" s="45" t="inlineStr"/>
      <c r="AT59" s="10" t="n"/>
      <c r="AU59" s="11" t="n"/>
      <c r="AV59" s="45" t="inlineStr"/>
      <c r="AW59" s="10" t="n"/>
      <c r="AX59" s="11" t="n"/>
      <c r="AY59" s="45" t="inlineStr"/>
      <c r="AZ59" s="10" t="n"/>
      <c r="BA59" s="11" t="n"/>
      <c r="BB59" s="45" t="inlineStr"/>
      <c r="BC59" s="10" t="n"/>
      <c r="BD59" s="11" t="n"/>
      <c r="BE59" s="45" t="inlineStr"/>
      <c r="BF59" s="10" t="n"/>
      <c r="BG59" s="11" t="n"/>
      <c r="BH59" s="45" t="inlineStr"/>
      <c r="BI59" s="10" t="n"/>
      <c r="BJ59" s="11" t="n"/>
      <c r="BK59" s="46" t="inlineStr">
        <is>
          <t>(なし)
---</t>
        </is>
      </c>
      <c r="BL59" s="10" t="n"/>
      <c r="BM59" s="10" t="n"/>
      <c r="BN59" s="10" t="n"/>
      <c r="BO59" s="10" t="n"/>
      <c r="BP59" s="10" t="n"/>
      <c r="BQ59" s="11" t="n"/>
    </row>
    <row r="60" ht="22.5" customHeight="1">
      <c r="A60" s="32" t="inlineStr">
        <is>
          <t>Xử lý lỗi chung (Common Error Handling)</t>
        </is>
      </c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10" t="n"/>
      <c r="BO60" s="10" t="n"/>
      <c r="BP60" s="10" t="n"/>
      <c r="BQ60" s="11" t="n"/>
    </row>
    <row r="61" ht="304" customHeight="1">
      <c r="A61" s="44" t="n">
        <v>42</v>
      </c>
      <c r="B61" s="46" t="inlineStr">
        <is>
          <t>ACSMS-TC-022-042</t>
        </is>
      </c>
      <c r="C61" s="10" t="n"/>
      <c r="D61" s="11" t="n"/>
      <c r="E61" s="46" t="inlineStr">
        <is>
          <t>UNAUTHORIZED — Tự động chuyển màn login khi session hết hạn</t>
        </is>
      </c>
      <c r="F61" s="10" t="n"/>
      <c r="G61" s="10" t="n"/>
      <c r="H61" s="10" t="n"/>
      <c r="I61" s="11" t="n"/>
      <c r="J61" s="46" t="inlineStr">
        <is>
          <t>・role: NICHINO_ADMIN
・Đã login + đã xác thực MFA</t>
        </is>
      </c>
      <c r="K61" s="10" t="n"/>
      <c r="L61" s="10" t="n"/>
      <c r="M61" s="10" t="n"/>
      <c r="N61" s="10" t="n"/>
      <c r="O61" s="10" t="n"/>
      <c r="P61" s="11" t="n"/>
      <c r="Q6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Sau khi hiển thị màn hình, dùng thao tác admin xóa session trên Redis (hoặc update expire time về 0) để giả lập session hết hạn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Trên màn hình nhấn button 検索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Trên DevTools kiểm tra response của GET `/api/v1/file-upload`</t>
          </r>
        </is>
      </c>
      <c r="R61" s="10" t="n"/>
      <c r="S61" s="10" t="n"/>
      <c r="T61" s="10" t="n"/>
      <c r="U61" s="10" t="n"/>
      <c r="V61" s="10" t="n"/>
      <c r="W61" s="11" t="n"/>
      <c r="X6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Session bị vô hiệu hóa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Chuyển về màn login `/login`, query parameter `redirect=/file-upload` được gắn vào URL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401 (`error_code: UNAUTHORIZED`, message `セッションが切れました。再度ログインしてください。`)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・Phía frontend axios interceptor phát hiện 401 và chuyển redirect sang màn login</t>
          </r>
        </is>
      </c>
      <c r="Y61" s="10" t="n"/>
      <c r="Z61" s="10" t="n"/>
      <c r="AA61" s="10" t="n"/>
      <c r="AB61" s="10" t="n"/>
      <c r="AC61" s="10" t="n"/>
      <c r="AD61" s="11" t="n"/>
      <c r="AE61" s="45" t="inlineStr">
        <is>
          <t>A</t>
        </is>
      </c>
      <c r="AF61" s="11" t="n"/>
      <c r="AG61" s="45" t="inlineStr"/>
      <c r="AH61" s="10" t="n"/>
      <c r="AI61" s="11" t="n"/>
      <c r="AJ61" s="45" t="inlineStr"/>
      <c r="AK61" s="10" t="n"/>
      <c r="AL61" s="11" t="n"/>
      <c r="AM61" s="45" t="inlineStr"/>
      <c r="AN61" s="10" t="n"/>
      <c r="AO61" s="11" t="n"/>
      <c r="AP61" s="45" t="inlineStr"/>
      <c r="AQ61" s="10" t="n"/>
      <c r="AR61" s="11" t="n"/>
      <c r="AS61" s="45" t="inlineStr"/>
      <c r="AT61" s="10" t="n"/>
      <c r="AU61" s="11" t="n"/>
      <c r="AV61" s="45" t="inlineStr"/>
      <c r="AW61" s="10" t="n"/>
      <c r="AX61" s="11" t="n"/>
      <c r="AY61" s="45" t="inlineStr"/>
      <c r="AZ61" s="10" t="n"/>
      <c r="BA61" s="11" t="n"/>
      <c r="BB61" s="45" t="inlineStr"/>
      <c r="BC61" s="10" t="n"/>
      <c r="BD61" s="11" t="n"/>
      <c r="BE61" s="45" t="inlineStr"/>
      <c r="BF61" s="10" t="n"/>
      <c r="BG61" s="11" t="n"/>
      <c r="BH61" s="45" t="inlineStr"/>
      <c r="BI61" s="10" t="n"/>
      <c r="BJ61" s="11" t="n"/>
      <c r="BK61" s="46" t="inlineStr"/>
      <c r="BL61" s="10" t="n"/>
      <c r="BM61" s="10" t="n"/>
      <c r="BN61" s="10" t="n"/>
      <c r="BO61" s="10" t="n"/>
      <c r="BP61" s="10" t="n"/>
      <c r="BQ61" s="11" t="n"/>
    </row>
    <row r="62" ht="288" customHeight="1">
      <c r="A62" s="44" t="n">
        <v>43</v>
      </c>
      <c r="B62" s="46" t="inlineStr">
        <is>
          <t>ACSMS-TC-022-043</t>
        </is>
      </c>
      <c r="C62" s="10" t="n"/>
      <c r="D62" s="11" t="n"/>
      <c r="E62" s="46" t="inlineStr">
        <is>
          <t>BAD_REQUEST — Gửi trực tiếp request parameter bất hợp lệ</t>
        </is>
      </c>
      <c r="F62" s="10" t="n"/>
      <c r="G62" s="10" t="n"/>
      <c r="H62" s="10" t="n"/>
      <c r="I62" s="11" t="n"/>
      <c r="J62" s="46" t="inlineStr">
        <is>
          <t>・role: NICHINO_ADMIN
・Đã login + đã xác thực MFA</t>
        </is>
      </c>
      <c r="K62" s="10" t="n"/>
      <c r="L62" s="10" t="n"/>
      <c r="M62" s="10" t="n"/>
      <c r="N62" s="10" t="n"/>
      <c r="O62" s="10" t="n"/>
      <c r="P62" s="11" t="n"/>
      <c r="Q6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Từ DevTools gửi GET `/api/v1/file-upload?page=abc` (page lẽ ra phải là integer)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Gửi GET `/api/v1/file-upload?per_page=-1`</t>
          </r>
        </is>
      </c>
      <c r="R62" s="10" t="n"/>
      <c r="S62" s="10" t="n"/>
      <c r="T62" s="10" t="n"/>
      <c r="U62" s="10" t="n"/>
      <c r="V62" s="10" t="n"/>
      <c r="W62" s="11" t="n"/>
      <c r="X6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400 (`error_code: BAD_REQUEST` hoặc `VALIDATION_ERROR`, message `リクエストパラメータが不正です。` hoặc message chi tiết tương đương)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400 (vì nhỏ hơn min 1)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・Parameter ngoài type/range dự kiến bị validation từ chối chính thức ở phía server, không phát sinh lỗi ngoài dự kiến</t>
          </r>
        </is>
      </c>
      <c r="Y62" s="10" t="n"/>
      <c r="Z62" s="10" t="n"/>
      <c r="AA62" s="10" t="n"/>
      <c r="AB62" s="10" t="n"/>
      <c r="AC62" s="10" t="n"/>
      <c r="AD62" s="11" t="n"/>
      <c r="AE62" s="45" t="inlineStr">
        <is>
          <t>A</t>
        </is>
      </c>
      <c r="AF62" s="11" t="n"/>
      <c r="AG62" s="45" t="inlineStr"/>
      <c r="AH62" s="10" t="n"/>
      <c r="AI62" s="11" t="n"/>
      <c r="AJ62" s="45" t="inlineStr"/>
      <c r="AK62" s="10" t="n"/>
      <c r="AL62" s="11" t="n"/>
      <c r="AM62" s="45" t="inlineStr"/>
      <c r="AN62" s="10" t="n"/>
      <c r="AO62" s="11" t="n"/>
      <c r="AP62" s="45" t="inlineStr"/>
      <c r="AQ62" s="10" t="n"/>
      <c r="AR62" s="11" t="n"/>
      <c r="AS62" s="45" t="inlineStr"/>
      <c r="AT62" s="10" t="n"/>
      <c r="AU62" s="11" t="n"/>
      <c r="AV62" s="45" t="inlineStr"/>
      <c r="AW62" s="10" t="n"/>
      <c r="AX62" s="11" t="n"/>
      <c r="AY62" s="45" t="inlineStr"/>
      <c r="AZ62" s="10" t="n"/>
      <c r="BA62" s="11" t="n"/>
      <c r="BB62" s="45" t="inlineStr"/>
      <c r="BC62" s="10" t="n"/>
      <c r="BD62" s="11" t="n"/>
      <c r="BE62" s="45" t="inlineStr"/>
      <c r="BF62" s="10" t="n"/>
      <c r="BG62" s="11" t="n"/>
      <c r="BH62" s="45" t="inlineStr"/>
      <c r="BI62" s="10" t="n"/>
      <c r="BJ62" s="11" t="n"/>
      <c r="BK62" s="46" t="inlineStr"/>
      <c r="BL62" s="10" t="n"/>
      <c r="BM62" s="10" t="n"/>
      <c r="BN62" s="10" t="n"/>
      <c r="BO62" s="10" t="n"/>
      <c r="BP62" s="10" t="n"/>
      <c r="BQ62" s="11" t="n"/>
    </row>
    <row r="63" ht="320" customHeight="1">
      <c r="A63" s="44" t="n">
        <v>44</v>
      </c>
      <c r="B63" s="46" t="inlineStr">
        <is>
          <t>ACSMS-TC-022-044</t>
        </is>
      </c>
      <c r="C63" s="10" t="n"/>
      <c r="D63" s="11" t="n"/>
      <c r="E63" s="46" t="inlineStr">
        <is>
          <t>VALIDATION_ERROR — Cấu trúc array errors và gửi gộp lỗi nhiều field</t>
        </is>
      </c>
      <c r="F63" s="10" t="n"/>
      <c r="G63" s="10" t="n"/>
      <c r="H63" s="10" t="n"/>
      <c r="I63" s="11" t="n"/>
      <c r="J63" s="46" t="inlineStr">
        <is>
          <t>・role: NICHINO_ADMIN
・Đã login + đã xác thực MFA</t>
        </is>
      </c>
      <c r="K63" s="10" t="n"/>
      <c r="L63" s="10" t="n"/>
      <c r="M63" s="10" t="n"/>
      <c r="N63" s="10" t="n"/>
      <c r="O63" s="10" t="n"/>
      <c r="P63" s="11" t="n"/>
      <c r="Q6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Từ DevTools gửi GET `/api/v1/file-upload?todofuken_code=AB&amp;per_page=999&amp;sort_by=password` (gửi đồng thời 3 item với giá trị bất hợp lệ)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cấu trúc response JSON</t>
          </r>
        </is>
      </c>
      <c r="R63" s="10" t="n"/>
      <c r="S63" s="10" t="n"/>
      <c r="T63" s="10" t="n"/>
      <c r="U63" s="10" t="n"/>
      <c r="V63" s="10" t="n"/>
      <c r="W63" s="11" t="n"/>
      <c r="X6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400 (`error_code: VALIDATION_ERROR`, message `入力値が不正です。詳細はerrorsフィールドを確認してください。`)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Array `errors` trong response chứa 3 lỗi, mỗi phần tử có format `{ field: string, message: string }`, lần lượt có `todofuken_code` / `per_page` / `sort_by`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・Lỗi validation nhiều field được gửi gộp trong 1 request, phía frontend map sang hiển thị inline theo từng item</t>
          </r>
        </is>
      </c>
      <c r="Y63" s="10" t="n"/>
      <c r="Z63" s="10" t="n"/>
      <c r="AA63" s="10" t="n"/>
      <c r="AB63" s="10" t="n"/>
      <c r="AC63" s="10" t="n"/>
      <c r="AD63" s="11" t="n"/>
      <c r="AE63" s="45" t="inlineStr">
        <is>
          <t>A</t>
        </is>
      </c>
      <c r="AF63" s="11" t="n"/>
      <c r="AG63" s="45" t="inlineStr"/>
      <c r="AH63" s="10" t="n"/>
      <c r="AI63" s="11" t="n"/>
      <c r="AJ63" s="45" t="inlineStr"/>
      <c r="AK63" s="10" t="n"/>
      <c r="AL63" s="11" t="n"/>
      <c r="AM63" s="45" t="inlineStr"/>
      <c r="AN63" s="10" t="n"/>
      <c r="AO63" s="11" t="n"/>
      <c r="AP63" s="45" t="inlineStr"/>
      <c r="AQ63" s="10" t="n"/>
      <c r="AR63" s="11" t="n"/>
      <c r="AS63" s="45" t="inlineStr"/>
      <c r="AT63" s="10" t="n"/>
      <c r="AU63" s="11" t="n"/>
      <c r="AV63" s="45" t="inlineStr"/>
      <c r="AW63" s="10" t="n"/>
      <c r="AX63" s="11" t="n"/>
      <c r="AY63" s="45" t="inlineStr"/>
      <c r="AZ63" s="10" t="n"/>
      <c r="BA63" s="11" t="n"/>
      <c r="BB63" s="45" t="inlineStr"/>
      <c r="BC63" s="10" t="n"/>
      <c r="BD63" s="11" t="n"/>
      <c r="BE63" s="45" t="inlineStr"/>
      <c r="BF63" s="10" t="n"/>
      <c r="BG63" s="11" t="n"/>
      <c r="BH63" s="45" t="inlineStr"/>
      <c r="BI63" s="10" t="n"/>
      <c r="BJ63" s="11" t="n"/>
      <c r="BK63" s="46" t="inlineStr"/>
      <c r="BL63" s="10" t="n"/>
      <c r="BM63" s="10" t="n"/>
      <c r="BN63" s="10" t="n"/>
      <c r="BO63" s="10" t="n"/>
      <c r="BP63" s="10" t="n"/>
      <c r="BQ63" s="11" t="n"/>
    </row>
    <row r="64" ht="240" customHeight="1">
      <c r="A64" s="44" t="n">
        <v>45</v>
      </c>
      <c r="B64" s="46" t="inlineStr">
        <is>
          <t>ACSMS-TC-022-045</t>
        </is>
      </c>
      <c r="C64" s="10" t="n"/>
      <c r="D64" s="11" t="n"/>
      <c r="E64" s="46" t="inlineStr">
        <is>
          <t>TOO_MANY_REQUESTS — Vượt rate limit</t>
        </is>
      </c>
      <c r="F64" s="10" t="n"/>
      <c r="G64" s="10" t="n"/>
      <c r="H64" s="10" t="n"/>
      <c r="I64" s="11" t="n"/>
      <c r="J64" s="46" t="inlineStr">
        <is>
          <t>・role: NICHINO_ADMIN
・Đã login + đã xác thực MFA
・Rate limit: 100 request/60 giây (giá trị thiết lập vận hành)</t>
        </is>
      </c>
      <c r="K64" s="10" t="n"/>
      <c r="L64" s="10" t="n"/>
      <c r="M64" s="10" t="n"/>
      <c r="N64" s="10" t="n"/>
      <c r="O64" s="10" t="n"/>
      <c r="P64" s="11" t="n"/>
      <c r="Q6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Bằng script, thực thi liên tiếp 101 lần GET `/api/v1/file-upload` trong vòng 60 giây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response lần thứ 101</t>
          </r>
        </is>
      </c>
      <c r="R64" s="10" t="n"/>
      <c r="S64" s="10" t="n"/>
      <c r="T64" s="10" t="n"/>
      <c r="U64" s="10" t="n"/>
      <c r="V64" s="10" t="n"/>
      <c r="W64" s="11" t="n"/>
      <c r="X6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Đến lần 100 trả về HTTP 200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429 (`error_code: TOO_MANY_REQUESTS`, message `リクエスト回数が上限を超えました。しばらくしてから再度お試しください。`)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・Giá trị rate limit thay đổi theo thiết lập hạ tầng, do đó ngưỡng cho phép cần xác nhận theo từng môi trường</t>
          </r>
        </is>
      </c>
      <c r="Y64" s="10" t="n"/>
      <c r="Z64" s="10" t="n"/>
      <c r="AA64" s="10" t="n"/>
      <c r="AB64" s="10" t="n"/>
      <c r="AC64" s="10" t="n"/>
      <c r="AD64" s="11" t="n"/>
      <c r="AE64" s="45" t="inlineStr">
        <is>
          <t>A</t>
        </is>
      </c>
      <c r="AF64" s="11" t="n"/>
      <c r="AG64" s="45" t="inlineStr"/>
      <c r="AH64" s="10" t="n"/>
      <c r="AI64" s="11" t="n"/>
      <c r="AJ64" s="45" t="inlineStr"/>
      <c r="AK64" s="10" t="n"/>
      <c r="AL64" s="11" t="n"/>
      <c r="AM64" s="45" t="inlineStr"/>
      <c r="AN64" s="10" t="n"/>
      <c r="AO64" s="11" t="n"/>
      <c r="AP64" s="45" t="inlineStr"/>
      <c r="AQ64" s="10" t="n"/>
      <c r="AR64" s="11" t="n"/>
      <c r="AS64" s="45" t="inlineStr"/>
      <c r="AT64" s="10" t="n"/>
      <c r="AU64" s="11" t="n"/>
      <c r="AV64" s="45" t="inlineStr"/>
      <c r="AW64" s="10" t="n"/>
      <c r="AX64" s="11" t="n"/>
      <c r="AY64" s="45" t="inlineStr"/>
      <c r="AZ64" s="10" t="n"/>
      <c r="BA64" s="11" t="n"/>
      <c r="BB64" s="45" t="inlineStr"/>
      <c r="BC64" s="10" t="n"/>
      <c r="BD64" s="11" t="n"/>
      <c r="BE64" s="45" t="inlineStr"/>
      <c r="BF64" s="10" t="n"/>
      <c r="BG64" s="11" t="n"/>
      <c r="BH64" s="45" t="inlineStr"/>
      <c r="BI64" s="10" t="n"/>
      <c r="BJ64" s="11" t="n"/>
      <c r="BK64" s="46" t="inlineStr"/>
      <c r="BL64" s="10" t="n"/>
      <c r="BM64" s="10" t="n"/>
      <c r="BN64" s="10" t="n"/>
      <c r="BO64" s="10" t="n"/>
      <c r="BP64" s="10" t="n"/>
      <c r="BQ64" s="11" t="n"/>
    </row>
    <row r="65" ht="336" customHeight="1">
      <c r="A65" s="44" t="n">
        <v>46</v>
      </c>
      <c r="B65" s="46" t="inlineStr">
        <is>
          <t>ACSMS-TC-022-046</t>
        </is>
      </c>
      <c r="C65" s="10" t="n"/>
      <c r="D65" s="11" t="n"/>
      <c r="E65" s="46" t="inlineStr">
        <is>
          <t>INTERNAL_SERVER_ERROR — Giả lập sự cố kết nối DB</t>
        </is>
      </c>
      <c r="F65" s="10" t="n"/>
      <c r="G65" s="10" t="n"/>
      <c r="H65" s="10" t="n"/>
      <c r="I65" s="11" t="n"/>
      <c r="J65" s="46" t="inlineStr">
        <is>
          <t>・role: NICHINO_ADMIN
・Đã login + đã xác thực MFA
・Môi trường test có thể tạm thời ngắt kết nối DB</t>
        </is>
      </c>
      <c r="K65" s="10" t="n"/>
      <c r="L65" s="10" t="n"/>
      <c r="M65" s="10" t="n"/>
      <c r="N65" s="10" t="n"/>
      <c r="O65" s="10" t="n"/>
      <c r="P65" s="11" t="n"/>
      <c r="Q6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Ngắt kết nối DB (hoặc từ BE process từ chối truy cập bảng `t_file_upload`)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Trên màn hình nhấn button 検索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Khôi phục kết nối DB</t>
          </r>
        </is>
      </c>
      <c r="R65" s="10" t="n"/>
      <c r="S65" s="10" t="n"/>
      <c r="T65" s="10" t="n"/>
      <c r="U65" s="10" t="n"/>
      <c r="V65" s="10" t="n"/>
      <c r="W65" s="11" t="n"/>
      <c r="X6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Kết nối DB bị vô hiệu hóa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500 (`error_code: INTERNAL_SERVER_ERROR`, message `システムエラーが発生しました。しばらくしてから再度お試しください。`), trên màn hình hiển thị toast với message tương đương ACSMS-MSG-022-004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Sau khi khôi phục, search hoạt động bình thường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・Khi lỗi phía server cũng record `t_log` (log_type=3, error log)</t>
          </r>
        </is>
      </c>
      <c r="Y65" s="10" t="n"/>
      <c r="Z65" s="10" t="n"/>
      <c r="AA65" s="10" t="n"/>
      <c r="AB65" s="10" t="n"/>
      <c r="AC65" s="10" t="n"/>
      <c r="AD65" s="11" t="n"/>
      <c r="AE65" s="45" t="inlineStr">
        <is>
          <t>A</t>
        </is>
      </c>
      <c r="AF65" s="11" t="n"/>
      <c r="AG65" s="45" t="inlineStr"/>
      <c r="AH65" s="10" t="n"/>
      <c r="AI65" s="11" t="n"/>
      <c r="AJ65" s="45" t="inlineStr"/>
      <c r="AK65" s="10" t="n"/>
      <c r="AL65" s="11" t="n"/>
      <c r="AM65" s="45" t="inlineStr"/>
      <c r="AN65" s="10" t="n"/>
      <c r="AO65" s="11" t="n"/>
      <c r="AP65" s="45" t="inlineStr"/>
      <c r="AQ65" s="10" t="n"/>
      <c r="AR65" s="11" t="n"/>
      <c r="AS65" s="45" t="inlineStr"/>
      <c r="AT65" s="10" t="n"/>
      <c r="AU65" s="11" t="n"/>
      <c r="AV65" s="45" t="inlineStr"/>
      <c r="AW65" s="10" t="n"/>
      <c r="AX65" s="11" t="n"/>
      <c r="AY65" s="45" t="inlineStr"/>
      <c r="AZ65" s="10" t="n"/>
      <c r="BA65" s="11" t="n"/>
      <c r="BB65" s="45" t="inlineStr"/>
      <c r="BC65" s="10" t="n"/>
      <c r="BD65" s="11" t="n"/>
      <c r="BE65" s="45" t="inlineStr"/>
      <c r="BF65" s="10" t="n"/>
      <c r="BG65" s="11" t="n"/>
      <c r="BH65" s="45" t="inlineStr"/>
      <c r="BI65" s="10" t="n"/>
      <c r="BJ65" s="11" t="n"/>
      <c r="BK65" s="46" t="inlineStr"/>
      <c r="BL65" s="10" t="n"/>
      <c r="BM65" s="10" t="n"/>
      <c r="BN65" s="10" t="n"/>
      <c r="BO65" s="10" t="n"/>
      <c r="BP65" s="10" t="n"/>
      <c r="BQ65" s="11" t="n"/>
    </row>
    <row r="66" ht="256" customHeight="1">
      <c r="A66" s="44" t="n">
        <v>47</v>
      </c>
      <c r="B66" s="46" t="inlineStr">
        <is>
          <t>ACSMS-TC-022-047</t>
        </is>
      </c>
      <c r="C66" s="10" t="n"/>
      <c r="D66" s="11" t="n"/>
      <c r="E66" s="46" t="inlineStr">
        <is>
          <t>NOT_FOUND — Chỉ định file_upload_id không tồn tại</t>
        </is>
      </c>
      <c r="F66" s="10" t="n"/>
      <c r="G66" s="10" t="n"/>
      <c r="H66" s="10" t="n"/>
      <c r="I66" s="11" t="n"/>
      <c r="J66" s="46" t="inlineStr">
        <is>
          <t>・role: NICHINO_ADMIN
・Đã login + đã xác thực MFA</t>
        </is>
      </c>
      <c r="K66" s="10" t="n"/>
      <c r="L66" s="10" t="n"/>
      <c r="M66" s="10" t="n"/>
      <c r="N66" s="10" t="n"/>
      <c r="O66" s="10" t="n"/>
      <c r="P66" s="11" t="n"/>
      <c r="Q6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Từ DevTools gửi GET `/api/v1/file-upload/9999999/preview` (ID không tồn tại trên DB)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Gửi GET `/api/v1/file-upload/9999999/download`</t>
          </r>
        </is>
      </c>
      <c r="R66" s="10" t="n"/>
      <c r="S66" s="10" t="n"/>
      <c r="T66" s="10" t="n"/>
      <c r="U66" s="10" t="n"/>
      <c r="V66" s="10" t="n"/>
      <c r="W66" s="11" t="n"/>
      <c r="X6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404 (`error_code: NOT_FOUND`, message `指定されたファイルが見つかりません。`)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404 (`error_code: NOT_FOUND`), xử lý download KHÔNG được thực thi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・Vi phạm DataScope và không tồn tại vật lý trả về cùng response (404), không tiết lộ internal state</t>
          </r>
        </is>
      </c>
      <c r="Y66" s="10" t="n"/>
      <c r="Z66" s="10" t="n"/>
      <c r="AA66" s="10" t="n"/>
      <c r="AB66" s="10" t="n"/>
      <c r="AC66" s="10" t="n"/>
      <c r="AD66" s="11" t="n"/>
      <c r="AE66" s="45" t="inlineStr">
        <is>
          <t>A</t>
        </is>
      </c>
      <c r="AF66" s="11" t="n"/>
      <c r="AG66" s="45" t="inlineStr"/>
      <c r="AH66" s="10" t="n"/>
      <c r="AI66" s="11" t="n"/>
      <c r="AJ66" s="45" t="inlineStr"/>
      <c r="AK66" s="10" t="n"/>
      <c r="AL66" s="11" t="n"/>
      <c r="AM66" s="45" t="inlineStr"/>
      <c r="AN66" s="10" t="n"/>
      <c r="AO66" s="11" t="n"/>
      <c r="AP66" s="45" t="inlineStr"/>
      <c r="AQ66" s="10" t="n"/>
      <c r="AR66" s="11" t="n"/>
      <c r="AS66" s="45" t="inlineStr"/>
      <c r="AT66" s="10" t="n"/>
      <c r="AU66" s="11" t="n"/>
      <c r="AV66" s="45" t="inlineStr"/>
      <c r="AW66" s="10" t="n"/>
      <c r="AX66" s="11" t="n"/>
      <c r="AY66" s="45" t="inlineStr"/>
      <c r="AZ66" s="10" t="n"/>
      <c r="BA66" s="11" t="n"/>
      <c r="BB66" s="45" t="inlineStr"/>
      <c r="BC66" s="10" t="n"/>
      <c r="BD66" s="11" t="n"/>
      <c r="BE66" s="45" t="inlineStr"/>
      <c r="BF66" s="10" t="n"/>
      <c r="BG66" s="11" t="n"/>
      <c r="BH66" s="45" t="inlineStr"/>
      <c r="BI66" s="10" t="n"/>
      <c r="BJ66" s="11" t="n"/>
      <c r="BK66" s="46" t="inlineStr"/>
      <c r="BL66" s="10" t="n"/>
      <c r="BM66" s="10" t="n"/>
      <c r="BN66" s="10" t="n"/>
      <c r="BO66" s="10" t="n"/>
      <c r="BP66" s="10" t="n"/>
      <c r="BQ66" s="11" t="n"/>
    </row>
    <row r="67" ht="256" customHeight="1">
      <c r="A67" s="44" t="n">
        <v>48</v>
      </c>
      <c r="B67" s="46" t="inlineStr">
        <is>
          <t>ACSMS-TC-022-048</t>
        </is>
      </c>
      <c r="C67" s="10" t="n"/>
      <c r="D67" s="11" t="n"/>
      <c r="E67" s="46" t="inlineStr">
        <is>
          <t>NOT_FOUND — Truy cập trực tiếp file đã xóa logical (ACSMS-MSG-022-003)</t>
        </is>
      </c>
      <c r="F67" s="10" t="n"/>
      <c r="G67" s="10" t="n"/>
      <c r="H67" s="10" t="n"/>
      <c r="I67" s="11" t="n"/>
      <c r="J67" s="46" t="inlineStr">
        <is>
          <t>・role: NICHINO_ADMIN
・Đã login + đã xác thực MFA
・Test data: file ID = 500 tồn tại đến trước đó được xóa logical bằng `UPDATE t_file_upload SET deleted_at = NOW() WHERE file_upload_id = 500`</t>
        </is>
      </c>
      <c r="K67" s="10" t="n"/>
      <c r="L67" s="10" t="n"/>
      <c r="M67" s="10" t="n"/>
      <c r="N67" s="10" t="n"/>
      <c r="O67" s="10" t="n"/>
      <c r="P67" s="11" t="n"/>
      <c r="Q6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Ở trạng thái cache trước khi refresh màn hình, check file ID = 500 và thực thi download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Sau khi xác nhận response, kiểm tra nội dung toast phía frontend</t>
          </r>
        </is>
      </c>
      <c r="R67" s="10" t="n"/>
      <c r="S67" s="10" t="n"/>
      <c r="T67" s="10" t="n"/>
      <c r="U67" s="10" t="n"/>
      <c r="V67" s="10" t="n"/>
      <c r="W67" s="11" t="n"/>
      <c r="X6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404 (`error_code: NOT_FOUND`, message `指定されたファイルが見つかりません。`), xử lý download KHÔNG được thực thi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Màn hình hiển thị message `ファイルが存在していません。` (ACSMS-MSG-022-003)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・FE map 404 (NOT_FOUND) sang ACSMS-MSG-022-003 để hiển thị</t>
          </r>
        </is>
      </c>
      <c r="Y67" s="10" t="n"/>
      <c r="Z67" s="10" t="n"/>
      <c r="AA67" s="10" t="n"/>
      <c r="AB67" s="10" t="n"/>
      <c r="AC67" s="10" t="n"/>
      <c r="AD67" s="11" t="n"/>
      <c r="AE67" s="45" t="inlineStr">
        <is>
          <t>A</t>
        </is>
      </c>
      <c r="AF67" s="11" t="n"/>
      <c r="AG67" s="45" t="inlineStr"/>
      <c r="AH67" s="10" t="n"/>
      <c r="AI67" s="11" t="n"/>
      <c r="AJ67" s="45" t="inlineStr"/>
      <c r="AK67" s="10" t="n"/>
      <c r="AL67" s="11" t="n"/>
      <c r="AM67" s="45" t="inlineStr"/>
      <c r="AN67" s="10" t="n"/>
      <c r="AO67" s="11" t="n"/>
      <c r="AP67" s="45" t="inlineStr"/>
      <c r="AQ67" s="10" t="n"/>
      <c r="AR67" s="11" t="n"/>
      <c r="AS67" s="45" t="inlineStr"/>
      <c r="AT67" s="10" t="n"/>
      <c r="AU67" s="11" t="n"/>
      <c r="AV67" s="45" t="inlineStr"/>
      <c r="AW67" s="10" t="n"/>
      <c r="AX67" s="11" t="n"/>
      <c r="AY67" s="45" t="inlineStr"/>
      <c r="AZ67" s="10" t="n"/>
      <c r="BA67" s="11" t="n"/>
      <c r="BB67" s="45" t="inlineStr"/>
      <c r="BC67" s="10" t="n"/>
      <c r="BD67" s="11" t="n"/>
      <c r="BE67" s="45" t="inlineStr"/>
      <c r="BF67" s="10" t="n"/>
      <c r="BG67" s="11" t="n"/>
      <c r="BH67" s="45" t="inlineStr"/>
      <c r="BI67" s="10" t="n"/>
      <c r="BJ67" s="11" t="n"/>
      <c r="BK67" s="46" t="inlineStr"/>
      <c r="BL67" s="10" t="n"/>
      <c r="BM67" s="10" t="n"/>
      <c r="BN67" s="10" t="n"/>
      <c r="BO67" s="10" t="n"/>
      <c r="BP67" s="10" t="n"/>
      <c r="BQ67" s="11" t="n"/>
    </row>
    <row r="68" ht="368" customHeight="1">
      <c r="A68" s="44" t="n">
        <v>49</v>
      </c>
      <c r="B68" s="46" t="inlineStr">
        <is>
          <t>ACSMS-TC-022-049</t>
        </is>
      </c>
      <c r="C68" s="10" t="n"/>
      <c r="D68" s="11" t="n"/>
      <c r="E68" s="46" t="inlineStr">
        <is>
          <t>Xử lý lỗi FE khi mất kết nối network</t>
        </is>
      </c>
      <c r="F68" s="10" t="n"/>
      <c r="G68" s="10" t="n"/>
      <c r="H68" s="10" t="n"/>
      <c r="I68" s="11" t="n"/>
      <c r="J68" s="46" t="inlineStr">
        <is>
          <t>・role: NICHINO_ADMIN
・Đã login + đã xác thực MFA</t>
        </is>
      </c>
      <c r="K68" s="10" t="n"/>
      <c r="L68" s="10" t="n"/>
      <c r="M68" s="10" t="n"/>
      <c r="N68" s="10" t="n"/>
      <c r="O68" s="10" t="n"/>
      <c r="P68" s="11" t="n"/>
      <c r="Q6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Trên tab Network của DevTools, set ngắt kết nối network (chế độ Offline)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Trên màn hình nhấn button 検索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Khôi phục network và nhấn lại button 検索</t>
          </r>
        </is>
      </c>
      <c r="R68" s="10" t="n"/>
      <c r="S68" s="10" t="n"/>
      <c r="T68" s="10" t="n"/>
      <c r="U68" s="10" t="n"/>
      <c r="V68" s="10" t="n"/>
      <c r="W68" s="11" t="n"/>
      <c r="X6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Ở trạng thái mất kết nối network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Phía frontend phát hiện lỗi network, hiển thị toast lỗi `システムエラーが発生しました。しばらくしてから再度お試しください。` (tương đương ACSMS-MSG-022-004), không vỡ layout, không phát sinh lỗi ngoài dự kiến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Sau khi khôi phục network, search hoạt động bình thường, không ảnh hưởng nghiệp vụ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・Phía frontend axios interceptor bắt lỗi network và hiển thị message chung cho user</t>
          </r>
        </is>
      </c>
      <c r="Y68" s="10" t="n"/>
      <c r="Z68" s="10" t="n"/>
      <c r="AA68" s="10" t="n"/>
      <c r="AB68" s="10" t="n"/>
      <c r="AC68" s="10" t="n"/>
      <c r="AD68" s="11" t="n"/>
      <c r="AE68" s="45" t="inlineStr">
        <is>
          <t>A</t>
        </is>
      </c>
      <c r="AF68" s="11" t="n"/>
      <c r="AG68" s="45" t="inlineStr"/>
      <c r="AH68" s="10" t="n"/>
      <c r="AI68" s="11" t="n"/>
      <c r="AJ68" s="45" t="inlineStr"/>
      <c r="AK68" s="10" t="n"/>
      <c r="AL68" s="11" t="n"/>
      <c r="AM68" s="45" t="inlineStr"/>
      <c r="AN68" s="10" t="n"/>
      <c r="AO68" s="11" t="n"/>
      <c r="AP68" s="45" t="inlineStr"/>
      <c r="AQ68" s="10" t="n"/>
      <c r="AR68" s="11" t="n"/>
      <c r="AS68" s="45" t="inlineStr"/>
      <c r="AT68" s="10" t="n"/>
      <c r="AU68" s="11" t="n"/>
      <c r="AV68" s="45" t="inlineStr"/>
      <c r="AW68" s="10" t="n"/>
      <c r="AX68" s="11" t="n"/>
      <c r="AY68" s="45" t="inlineStr"/>
      <c r="AZ68" s="10" t="n"/>
      <c r="BA68" s="11" t="n"/>
      <c r="BB68" s="45" t="inlineStr"/>
      <c r="BC68" s="10" t="n"/>
      <c r="BD68" s="11" t="n"/>
      <c r="BE68" s="45" t="inlineStr"/>
      <c r="BF68" s="10" t="n"/>
      <c r="BG68" s="11" t="n"/>
      <c r="BH68" s="45" t="inlineStr"/>
      <c r="BI68" s="10" t="n"/>
      <c r="BJ68" s="11" t="n"/>
      <c r="BK68" s="46" t="inlineStr"/>
      <c r="BL68" s="10" t="n"/>
      <c r="BM68" s="10" t="n"/>
      <c r="BN68" s="10" t="n"/>
      <c r="BO68" s="10" t="n"/>
      <c r="BP68" s="10" t="n"/>
      <c r="BQ68" s="11" t="n"/>
    </row>
  </sheetData>
  <mergeCells count="907">
    <mergeCell ref="AS59:AU59"/>
    <mergeCell ref="J31:P31"/>
    <mergeCell ref="Q27:W27"/>
    <mergeCell ref="AS46:AU46"/>
    <mergeCell ref="BK58:BQ58"/>
    <mergeCell ref="BB68:BD68"/>
    <mergeCell ref="AP50:AR50"/>
    <mergeCell ref="AE54:AF54"/>
    <mergeCell ref="BH33:BJ33"/>
    <mergeCell ref="BK50:BQ50"/>
    <mergeCell ref="AE41:AF41"/>
    <mergeCell ref="E52:I52"/>
    <mergeCell ref="AV57:AX57"/>
    <mergeCell ref="AS61:AU61"/>
    <mergeCell ref="E14:I14"/>
    <mergeCell ref="AM64:AO64"/>
    <mergeCell ref="W7:Y7"/>
    <mergeCell ref="J62:P62"/>
    <mergeCell ref="BK16:BQ16"/>
    <mergeCell ref="AE56:AF56"/>
    <mergeCell ref="AE43:AF43"/>
    <mergeCell ref="AP45:AR45"/>
    <mergeCell ref="J64:P64"/>
    <mergeCell ref="BE13:BG13"/>
    <mergeCell ref="W8:Y8"/>
    <mergeCell ref="Q37:W37"/>
    <mergeCell ref="AJ20:AL20"/>
    <mergeCell ref="AM21:AO21"/>
    <mergeCell ref="AM65:AO65"/>
    <mergeCell ref="AG24:AI24"/>
    <mergeCell ref="J57:P57"/>
    <mergeCell ref="W2:AH2"/>
    <mergeCell ref="X10:AD11"/>
    <mergeCell ref="A26:BQ26"/>
    <mergeCell ref="AG42:AI42"/>
    <mergeCell ref="AJ22:AL22"/>
    <mergeCell ref="AP13:AR13"/>
    <mergeCell ref="BK42:BQ42"/>
    <mergeCell ref="Q38:W38"/>
    <mergeCell ref="AE34:AF34"/>
    <mergeCell ref="AJ51:AL51"/>
    <mergeCell ref="BK47:BQ47"/>
    <mergeCell ref="E25:I25"/>
    <mergeCell ref="X68:AD68"/>
    <mergeCell ref="Q40:W40"/>
    <mergeCell ref="AE36:AF36"/>
    <mergeCell ref="AS51:AU51"/>
    <mergeCell ref="Q15:W15"/>
    <mergeCell ref="E58:I58"/>
    <mergeCell ref="BE20:BG20"/>
    <mergeCell ref="BH21:BJ21"/>
    <mergeCell ref="AM34:AO34"/>
    <mergeCell ref="AJ38:AL38"/>
    <mergeCell ref="BE35:BG35"/>
    <mergeCell ref="AM49:AO49"/>
    <mergeCell ref="AE50:AF50"/>
    <mergeCell ref="AG52:AI52"/>
    <mergeCell ref="BE22:BG22"/>
    <mergeCell ref="BH23:BJ23"/>
    <mergeCell ref="AE31:AF31"/>
    <mergeCell ref="H7:J7"/>
    <mergeCell ref="AG45:AI45"/>
    <mergeCell ref="AS67:AU67"/>
    <mergeCell ref="AY29:BA29"/>
    <mergeCell ref="E20:I20"/>
    <mergeCell ref="AJ33:AL33"/>
    <mergeCell ref="AG37:AI37"/>
    <mergeCell ref="X21:AD21"/>
    <mergeCell ref="AE62:AF62"/>
    <mergeCell ref="AG47:AI47"/>
    <mergeCell ref="B68:D68"/>
    <mergeCell ref="AF8:AH8"/>
    <mergeCell ref="BB27:BD27"/>
    <mergeCell ref="AY31:BA31"/>
    <mergeCell ref="AJ35:AL35"/>
    <mergeCell ref="BK37:BQ37"/>
    <mergeCell ref="AM55:AO55"/>
    <mergeCell ref="BH34:BJ34"/>
    <mergeCell ref="X23:AD23"/>
    <mergeCell ref="BE38:BG38"/>
    <mergeCell ref="AE64:AF64"/>
    <mergeCell ref="AS62:AU62"/>
    <mergeCell ref="AV63:AX63"/>
    <mergeCell ref="AP66:AR66"/>
    <mergeCell ref="BH49:BJ49"/>
    <mergeCell ref="R3:V3"/>
    <mergeCell ref="BK66:BQ66"/>
    <mergeCell ref="X16:AD16"/>
    <mergeCell ref="AP28:AR28"/>
    <mergeCell ref="AE57:AF57"/>
    <mergeCell ref="AS64:AU64"/>
    <mergeCell ref="AC7:AE7"/>
    <mergeCell ref="BE15:BG15"/>
    <mergeCell ref="AP68:AR68"/>
    <mergeCell ref="J65:P65"/>
    <mergeCell ref="AG63:AI63"/>
    <mergeCell ref="X18:AD18"/>
    <mergeCell ref="BE33:BG33"/>
    <mergeCell ref="BB37:BD37"/>
    <mergeCell ref="AG50:AI50"/>
    <mergeCell ref="AP67:AR67"/>
    <mergeCell ref="BK13:BQ13"/>
    <mergeCell ref="B21:D21"/>
    <mergeCell ref="AY57:BA57"/>
    <mergeCell ref="AM58:AO58"/>
    <mergeCell ref="BE41:BG41"/>
    <mergeCell ref="Q59:W59"/>
    <mergeCell ref="J25:P25"/>
    <mergeCell ref="Q46:W46"/>
    <mergeCell ref="BH55:BJ55"/>
    <mergeCell ref="AM24:AO24"/>
    <mergeCell ref="AG27:AI27"/>
    <mergeCell ref="B23:D23"/>
    <mergeCell ref="BB38:BD38"/>
    <mergeCell ref="AV14:AX14"/>
    <mergeCell ref="Q61:W61"/>
    <mergeCell ref="W3:AH3"/>
    <mergeCell ref="E33:I33"/>
    <mergeCell ref="AV13:AX13"/>
    <mergeCell ref="BH42:BJ42"/>
    <mergeCell ref="AS17:AU17"/>
    <mergeCell ref="AS11:AU11"/>
    <mergeCell ref="BB40:BD40"/>
    <mergeCell ref="BH29:BJ29"/>
    <mergeCell ref="Q41:W41"/>
    <mergeCell ref="E35:I35"/>
    <mergeCell ref="AY44:BA44"/>
    <mergeCell ref="BH44:BJ44"/>
    <mergeCell ref="Q56:W56"/>
    <mergeCell ref="AE52:AF52"/>
    <mergeCell ref="Q43:W43"/>
    <mergeCell ref="J14:P14"/>
    <mergeCell ref="B51:D51"/>
    <mergeCell ref="AM50:AO50"/>
    <mergeCell ref="AJ54:AL54"/>
    <mergeCell ref="AM15:AO15"/>
    <mergeCell ref="AP16:AR16"/>
    <mergeCell ref="BH24:BJ24"/>
    <mergeCell ref="J13:P13"/>
    <mergeCell ref="BE34:BG34"/>
    <mergeCell ref="BE28:BG28"/>
    <mergeCell ref="AJ41:AL41"/>
    <mergeCell ref="H8:J8"/>
    <mergeCell ref="BK10:BQ11"/>
    <mergeCell ref="AS14:AU14"/>
    <mergeCell ref="AG55:AI55"/>
    <mergeCell ref="AP18:AR18"/>
    <mergeCell ref="AJ56:AL56"/>
    <mergeCell ref="AG38:AI38"/>
    <mergeCell ref="AJ43:AL43"/>
    <mergeCell ref="AV25:AX25"/>
    <mergeCell ref="W6:Y6"/>
    <mergeCell ref="J55:P55"/>
    <mergeCell ref="BE29:BG29"/>
    <mergeCell ref="BK28:BQ28"/>
    <mergeCell ref="AY32:BA32"/>
    <mergeCell ref="BB33:BD33"/>
    <mergeCell ref="AG46:AI46"/>
    <mergeCell ref="Q34:W34"/>
    <mergeCell ref="AG40:AI40"/>
    <mergeCell ref="X24:AD24"/>
    <mergeCell ref="BB43:BD43"/>
    <mergeCell ref="BK68:BQ68"/>
    <mergeCell ref="AY47:BA47"/>
    <mergeCell ref="E21:I21"/>
    <mergeCell ref="BH50:BJ50"/>
    <mergeCell ref="Q36:W36"/>
    <mergeCell ref="BE54:BG54"/>
    <mergeCell ref="AJ67:AL67"/>
    <mergeCell ref="BK67:BQ67"/>
    <mergeCell ref="AE63:AF63"/>
    <mergeCell ref="W1:AH1"/>
    <mergeCell ref="AC8:AE8"/>
    <mergeCell ref="AP44:AR44"/>
    <mergeCell ref="E23:I23"/>
    <mergeCell ref="B29:D29"/>
    <mergeCell ref="BE56:BG56"/>
    <mergeCell ref="BE43:BG43"/>
    <mergeCell ref="J33:P33"/>
    <mergeCell ref="AE58:AF58"/>
    <mergeCell ref="AV68:AX68"/>
    <mergeCell ref="BB59:BD59"/>
    <mergeCell ref="AM63:AO63"/>
    <mergeCell ref="X27:AD27"/>
    <mergeCell ref="AG66:AI66"/>
    <mergeCell ref="BB46:BD46"/>
    <mergeCell ref="BE57:BG57"/>
    <mergeCell ref="B24:D24"/>
    <mergeCell ref="BB61:BD61"/>
    <mergeCell ref="AV15:AX15"/>
    <mergeCell ref="AY16:BA16"/>
    <mergeCell ref="Q62:W62"/>
    <mergeCell ref="E34:I34"/>
    <mergeCell ref="AG68:AI68"/>
    <mergeCell ref="AG43:AI43"/>
    <mergeCell ref="B32:D32"/>
    <mergeCell ref="E49:I49"/>
    <mergeCell ref="J68:P68"/>
    <mergeCell ref="AY18:BA18"/>
    <mergeCell ref="A7:G7"/>
    <mergeCell ref="AY45:BA45"/>
    <mergeCell ref="E36:I36"/>
    <mergeCell ref="Q64:W64"/>
    <mergeCell ref="Q51:W51"/>
    <mergeCell ref="X37:AD37"/>
    <mergeCell ref="AV65:AX65"/>
    <mergeCell ref="BH45:BJ45"/>
    <mergeCell ref="AS20:AU20"/>
    <mergeCell ref="A53:BQ53"/>
    <mergeCell ref="AP24:AR24"/>
    <mergeCell ref="BH32:BJ32"/>
    <mergeCell ref="B27:D27"/>
    <mergeCell ref="BK18:BQ18"/>
    <mergeCell ref="A19:BQ19"/>
    <mergeCell ref="AY22:BA22"/>
    <mergeCell ref="BH47:BJ47"/>
    <mergeCell ref="AS22:AU22"/>
    <mergeCell ref="X20:AD20"/>
    <mergeCell ref="X14:AD14"/>
    <mergeCell ref="AY42:BA42"/>
    <mergeCell ref="AE55:AF55"/>
    <mergeCell ref="AG21:AI21"/>
    <mergeCell ref="X38:AD38"/>
    <mergeCell ref="B42:D42"/>
    <mergeCell ref="BH46:BJ46"/>
    <mergeCell ref="A48:BQ48"/>
    <mergeCell ref="BE50:BG50"/>
    <mergeCell ref="BE44:BG44"/>
    <mergeCell ref="AJ57:AL57"/>
    <mergeCell ref="AG61:AI61"/>
    <mergeCell ref="BE31:BG31"/>
    <mergeCell ref="J21:P21"/>
    <mergeCell ref="A1:E1"/>
    <mergeCell ref="Q17:W17"/>
    <mergeCell ref="B44:D44"/>
    <mergeCell ref="BB34:BD34"/>
    <mergeCell ref="E29:I29"/>
    <mergeCell ref="J23:P23"/>
    <mergeCell ref="AV34:AX34"/>
    <mergeCell ref="B37:D37"/>
    <mergeCell ref="BH58:BJ58"/>
    <mergeCell ref="AV28:AX28"/>
    <mergeCell ref="BK44:BQ44"/>
    <mergeCell ref="BB49:BD49"/>
    <mergeCell ref="AG62:AI62"/>
    <mergeCell ref="AE33:AF33"/>
    <mergeCell ref="BB36:BD36"/>
    <mergeCell ref="X40:AD40"/>
    <mergeCell ref="E31:I31"/>
    <mergeCell ref="AV36:AX36"/>
    <mergeCell ref="T6:V6"/>
    <mergeCell ref="B20:D20"/>
    <mergeCell ref="Q52:W52"/>
    <mergeCell ref="AS33:AU33"/>
    <mergeCell ref="AM36:AO36"/>
    <mergeCell ref="F1:Q1"/>
    <mergeCell ref="AP37:AR37"/>
    <mergeCell ref="J34:P34"/>
    <mergeCell ref="AY37:BA37"/>
    <mergeCell ref="BE65:BG65"/>
    <mergeCell ref="AS35:AU35"/>
    <mergeCell ref="J49:P49"/>
    <mergeCell ref="AE68:AF68"/>
    <mergeCell ref="J36:P36"/>
    <mergeCell ref="BB62:BD62"/>
    <mergeCell ref="AJ14:AL14"/>
    <mergeCell ref="AY17:BA17"/>
    <mergeCell ref="AY66:BA66"/>
    <mergeCell ref="AV21:AX21"/>
    <mergeCell ref="BK24:BQ24"/>
    <mergeCell ref="X45:AD45"/>
    <mergeCell ref="E50:I50"/>
    <mergeCell ref="AG11:AI11"/>
    <mergeCell ref="BB64:BD64"/>
    <mergeCell ref="AV29:AX29"/>
    <mergeCell ref="A8:G8"/>
    <mergeCell ref="Q65:W65"/>
    <mergeCell ref="AV23:AX23"/>
    <mergeCell ref="BB51:BD51"/>
    <mergeCell ref="AP63:AR63"/>
    <mergeCell ref="E42:I42"/>
    <mergeCell ref="AY55:BA55"/>
    <mergeCell ref="AY68:BA68"/>
    <mergeCell ref="X59:AD59"/>
    <mergeCell ref="K8:M8"/>
    <mergeCell ref="E44:I44"/>
    <mergeCell ref="X46:AD46"/>
    <mergeCell ref="AE21:AF21"/>
    <mergeCell ref="BE58:BG58"/>
    <mergeCell ref="AV24:AX24"/>
    <mergeCell ref="AJ65:AL65"/>
    <mergeCell ref="T8:V8"/>
    <mergeCell ref="AP27:AR27"/>
    <mergeCell ref="AS28:AU28"/>
    <mergeCell ref="AM31:AO31"/>
    <mergeCell ref="J29:P29"/>
    <mergeCell ref="AE23:AF23"/>
    <mergeCell ref="AC6:AE6"/>
    <mergeCell ref="BB17:BD17"/>
    <mergeCell ref="AV49:AX49"/>
    <mergeCell ref="BB11:BD11"/>
    <mergeCell ref="AJ25:AL25"/>
    <mergeCell ref="B45:D45"/>
    <mergeCell ref="AM32:AO32"/>
    <mergeCell ref="AG64:AI64"/>
    <mergeCell ref="Q7:S7"/>
    <mergeCell ref="J24:P24"/>
    <mergeCell ref="AG51:AI51"/>
    <mergeCell ref="Q20:W20"/>
    <mergeCell ref="B47:D47"/>
    <mergeCell ref="Q14:W14"/>
    <mergeCell ref="B59:D59"/>
    <mergeCell ref="E57:I57"/>
    <mergeCell ref="AV50:AX50"/>
    <mergeCell ref="B46:D46"/>
    <mergeCell ref="AS54:AU54"/>
    <mergeCell ref="E32:I32"/>
    <mergeCell ref="BH66:BJ66"/>
    <mergeCell ref="AS41:AU41"/>
    <mergeCell ref="AE49:AF49"/>
    <mergeCell ref="AY13:BA13"/>
    <mergeCell ref="Q8:S8"/>
    <mergeCell ref="AG65:AI65"/>
    <mergeCell ref="AV55:AX55"/>
    <mergeCell ref="E47:I47"/>
    <mergeCell ref="AV52:AX52"/>
    <mergeCell ref="AP55:AR55"/>
    <mergeCell ref="AS56:AU56"/>
    <mergeCell ref="AP38:AR38"/>
    <mergeCell ref="X41:AD41"/>
    <mergeCell ref="AS43:AU43"/>
    <mergeCell ref="BH68:BJ68"/>
    <mergeCell ref="AY63:BA63"/>
    <mergeCell ref="BE25:BG25"/>
    <mergeCell ref="BK38:BQ38"/>
    <mergeCell ref="F4:AH4"/>
    <mergeCell ref="X51:AD51"/>
    <mergeCell ref="AJ13:AL13"/>
    <mergeCell ref="AM52:AO52"/>
    <mergeCell ref="BH61:BJ61"/>
    <mergeCell ref="AG17:AI17"/>
    <mergeCell ref="AS36:AU36"/>
    <mergeCell ref="J50:P50"/>
    <mergeCell ref="AP40:AR40"/>
    <mergeCell ref="BH67:BJ67"/>
    <mergeCell ref="J42:P42"/>
    <mergeCell ref="BK63:BQ63"/>
    <mergeCell ref="AJ15:AL15"/>
    <mergeCell ref="AY67:BA67"/>
    <mergeCell ref="Q13:W13"/>
    <mergeCell ref="X36:AD36"/>
    <mergeCell ref="J52:P52"/>
    <mergeCell ref="J44:P44"/>
    <mergeCell ref="Q25:W25"/>
    <mergeCell ref="AV37:AX37"/>
    <mergeCell ref="BB65:BD65"/>
    <mergeCell ref="BE66:BG66"/>
    <mergeCell ref="X67:AD67"/>
    <mergeCell ref="J37:P37"/>
    <mergeCell ref="X61:AD61"/>
    <mergeCell ref="Q33:W33"/>
    <mergeCell ref="BK27:BQ27"/>
    <mergeCell ref="A2:E2"/>
    <mergeCell ref="AE29:AF29"/>
    <mergeCell ref="B41:D41"/>
    <mergeCell ref="AV45:AX45"/>
    <mergeCell ref="AG14:AI14"/>
    <mergeCell ref="B35:D35"/>
    <mergeCell ref="AV32:AX32"/>
    <mergeCell ref="E45:I45"/>
    <mergeCell ref="AS29:AU29"/>
    <mergeCell ref="AM42:AO42"/>
    <mergeCell ref="X62:AD62"/>
    <mergeCell ref="AE37:AF37"/>
    <mergeCell ref="B66:D66"/>
    <mergeCell ref="BH16:BJ16"/>
    <mergeCell ref="AM29:AO29"/>
    <mergeCell ref="AM23:AO23"/>
    <mergeCell ref="AE24:AF24"/>
    <mergeCell ref="AS44:AU44"/>
    <mergeCell ref="AV27:AX27"/>
    <mergeCell ref="BE55:BG55"/>
    <mergeCell ref="AS31:AU31"/>
    <mergeCell ref="X64:AD64"/>
    <mergeCell ref="BH18:BJ18"/>
    <mergeCell ref="J32:P32"/>
    <mergeCell ref="J63:P63"/>
    <mergeCell ref="AY38:BA38"/>
    <mergeCell ref="Q22:W22"/>
    <mergeCell ref="A30:BQ30"/>
    <mergeCell ref="BB58:BD58"/>
    <mergeCell ref="B67:D67"/>
    <mergeCell ref="B61:D61"/>
    <mergeCell ref="J47:P47"/>
    <mergeCell ref="AV58:AX58"/>
    <mergeCell ref="BB20:BD20"/>
    <mergeCell ref="BB14:BD14"/>
    <mergeCell ref="AY24:BA24"/>
    <mergeCell ref="AJ28:AL28"/>
    <mergeCell ref="BK17:BQ17"/>
    <mergeCell ref="BK55:BQ55"/>
    <mergeCell ref="AP59:AR59"/>
    <mergeCell ref="AP46:AR46"/>
    <mergeCell ref="BK59:BQ59"/>
    <mergeCell ref="BK46:BQ46"/>
    <mergeCell ref="BK40:BQ40"/>
    <mergeCell ref="AE42:AF42"/>
    <mergeCell ref="AS57:AU57"/>
    <mergeCell ref="BK25:BQ25"/>
    <mergeCell ref="Q21:W21"/>
    <mergeCell ref="AP61:AR61"/>
    <mergeCell ref="AM16:AO16"/>
    <mergeCell ref="B64:D64"/>
    <mergeCell ref="AE44:AF44"/>
    <mergeCell ref="X57:AD57"/>
    <mergeCell ref="K6:M6"/>
    <mergeCell ref="AP41:AR41"/>
    <mergeCell ref="AM18:AO18"/>
    <mergeCell ref="BK41:BQ41"/>
    <mergeCell ref="BB13:BD13"/>
    <mergeCell ref="AM17:AO17"/>
    <mergeCell ref="AP56:AR56"/>
    <mergeCell ref="AG20:AI20"/>
    <mergeCell ref="B16:D16"/>
    <mergeCell ref="BE68:BG68"/>
    <mergeCell ref="AP43:AR43"/>
    <mergeCell ref="AM47:AO47"/>
    <mergeCell ref="B10:D11"/>
    <mergeCell ref="J45:P45"/>
    <mergeCell ref="Q35:W35"/>
    <mergeCell ref="AM46:AO46"/>
    <mergeCell ref="AG22:AI22"/>
    <mergeCell ref="B18:D18"/>
    <mergeCell ref="AJ23:AL23"/>
    <mergeCell ref="E66:I66"/>
    <mergeCell ref="Q49:W49"/>
    <mergeCell ref="E68:I68"/>
    <mergeCell ref="BK43:BQ43"/>
    <mergeCell ref="AM44:AO44"/>
    <mergeCell ref="B57:D57"/>
    <mergeCell ref="AF6:AH6"/>
    <mergeCell ref="E55:I55"/>
    <mergeCell ref="AE32:AF32"/>
    <mergeCell ref="E67:I67"/>
    <mergeCell ref="AY14:BA14"/>
    <mergeCell ref="AJ18:AL18"/>
    <mergeCell ref="J51:P51"/>
    <mergeCell ref="F2:Q2"/>
    <mergeCell ref="BH17:BJ17"/>
    <mergeCell ref="AE47:AF47"/>
    <mergeCell ref="BE21:BG21"/>
    <mergeCell ref="Q6:S6"/>
    <mergeCell ref="AJ34:AL34"/>
    <mergeCell ref="BK34:BQ34"/>
    <mergeCell ref="AY59:BA59"/>
    <mergeCell ref="J58:P58"/>
    <mergeCell ref="AS32:AU32"/>
    <mergeCell ref="AM45:AO45"/>
    <mergeCell ref="AJ49:AL49"/>
    <mergeCell ref="AP11:AR11"/>
    <mergeCell ref="BB22:BD22"/>
    <mergeCell ref="BE23:BG23"/>
    <mergeCell ref="AJ36:AL36"/>
    <mergeCell ref="BK36:BQ36"/>
    <mergeCell ref="AS47:AU47"/>
    <mergeCell ref="AY54:BA54"/>
    <mergeCell ref="AJ29:AL29"/>
    <mergeCell ref="AG33:AI33"/>
    <mergeCell ref="X17:AD17"/>
    <mergeCell ref="BK61:BQ61"/>
    <mergeCell ref="AJ44:AL44"/>
    <mergeCell ref="Q54:W54"/>
    <mergeCell ref="AS65:AU65"/>
    <mergeCell ref="BE18:BG18"/>
    <mergeCell ref="AY27:BA27"/>
    <mergeCell ref="AJ31:AL31"/>
    <mergeCell ref="Q29:W29"/>
    <mergeCell ref="AG35:AI35"/>
    <mergeCell ref="AM51:AO51"/>
    <mergeCell ref="Q23:W23"/>
    <mergeCell ref="B62:D62"/>
    <mergeCell ref="AV66:AX66"/>
    <mergeCell ref="AS58:AU58"/>
    <mergeCell ref="AG34:AI34"/>
    <mergeCell ref="AV59:AX59"/>
    <mergeCell ref="AP62:AR62"/>
    <mergeCell ref="E16:I16"/>
    <mergeCell ref="AV46:AX46"/>
    <mergeCell ref="Q31:W31"/>
    <mergeCell ref="BE49:BG49"/>
    <mergeCell ref="AS50:AU50"/>
    <mergeCell ref="E10:I11"/>
    <mergeCell ref="BK56:BQ56"/>
    <mergeCell ref="BK62:BQ62"/>
    <mergeCell ref="BE36:BG36"/>
    <mergeCell ref="BH37:BJ37"/>
    <mergeCell ref="AE45:AF45"/>
    <mergeCell ref="X58:AD58"/>
    <mergeCell ref="AV61:AX61"/>
    <mergeCell ref="AP64:AR64"/>
    <mergeCell ref="Z7:AB7"/>
    <mergeCell ref="E18:I18"/>
    <mergeCell ref="R1:V1"/>
    <mergeCell ref="AP51:AR51"/>
    <mergeCell ref="AG59:AI59"/>
    <mergeCell ref="BK64:BQ64"/>
    <mergeCell ref="J66:P66"/>
    <mergeCell ref="BK51:BQ51"/>
    <mergeCell ref="AM67:AO67"/>
    <mergeCell ref="AM61:AO61"/>
    <mergeCell ref="B17:D17"/>
    <mergeCell ref="BB54:BD54"/>
    <mergeCell ref="AE59:AF59"/>
    <mergeCell ref="AE22:AF22"/>
    <mergeCell ref="BB41:BD41"/>
    <mergeCell ref="J46:P46"/>
    <mergeCell ref="AE46:AF46"/>
    <mergeCell ref="BB35:BD35"/>
    <mergeCell ref="BH51:BJ51"/>
    <mergeCell ref="Z8:AB8"/>
    <mergeCell ref="AP65:AR65"/>
    <mergeCell ref="AM20:AO20"/>
    <mergeCell ref="AJ24:AL24"/>
    <mergeCell ref="J61:P61"/>
    <mergeCell ref="AY11:BA11"/>
    <mergeCell ref="Q57:W57"/>
    <mergeCell ref="AM35:AO35"/>
    <mergeCell ref="AS13:AU13"/>
    <mergeCell ref="AP17:AR17"/>
    <mergeCell ref="AY40:BA40"/>
    <mergeCell ref="Q42:W42"/>
    <mergeCell ref="A12:BQ12"/>
    <mergeCell ref="AY15:BA15"/>
    <mergeCell ref="AG23:AI23"/>
    <mergeCell ref="BH40:BJ40"/>
    <mergeCell ref="X13:AD13"/>
    <mergeCell ref="AS15:AU15"/>
    <mergeCell ref="BH27:BJ27"/>
    <mergeCell ref="AS55:AU55"/>
    <mergeCell ref="BE37:BG37"/>
    <mergeCell ref="AJ50:AL50"/>
    <mergeCell ref="BH20:BJ20"/>
    <mergeCell ref="AG54:AI54"/>
    <mergeCell ref="A4:E4"/>
    <mergeCell ref="BE24:BG24"/>
    <mergeCell ref="BH25:BJ25"/>
    <mergeCell ref="AM38:AO38"/>
    <mergeCell ref="BB28:BD28"/>
    <mergeCell ref="AG41:AI41"/>
    <mergeCell ref="BH35:BJ35"/>
    <mergeCell ref="AJ52:AL52"/>
    <mergeCell ref="AP14:AR14"/>
    <mergeCell ref="BK52:BQ52"/>
    <mergeCell ref="BH22:BJ22"/>
    <mergeCell ref="AG56:AI56"/>
    <mergeCell ref="AM40:AO40"/>
    <mergeCell ref="J16:P16"/>
    <mergeCell ref="H6:J6"/>
    <mergeCell ref="J10:P11"/>
    <mergeCell ref="AS25:AU25"/>
    <mergeCell ref="BB42:BD42"/>
    <mergeCell ref="B14:D14"/>
    <mergeCell ref="AG49:AI49"/>
    <mergeCell ref="AE51:AF51"/>
    <mergeCell ref="AV67:AX67"/>
    <mergeCell ref="BB29:BD29"/>
    <mergeCell ref="BB23:BD23"/>
    <mergeCell ref="E24:I24"/>
    <mergeCell ref="AG36:AI36"/>
    <mergeCell ref="B13:D13"/>
    <mergeCell ref="AE66:AF66"/>
    <mergeCell ref="Q45:W45"/>
    <mergeCell ref="E17:I17"/>
    <mergeCell ref="BB31:BD31"/>
    <mergeCell ref="Q32:W32"/>
    <mergeCell ref="AY35:BA35"/>
    <mergeCell ref="X22:AD22"/>
    <mergeCell ref="BH38:BJ38"/>
    <mergeCell ref="BE42:BG42"/>
    <mergeCell ref="Q47:W47"/>
    <mergeCell ref="BH13:BJ13"/>
    <mergeCell ref="AS66:AU66"/>
    <mergeCell ref="BE52:BG52"/>
    <mergeCell ref="BK65:BQ65"/>
    <mergeCell ref="J67:P67"/>
    <mergeCell ref="BK21:BQ21"/>
    <mergeCell ref="BB56:BD56"/>
    <mergeCell ref="AE61:AF61"/>
    <mergeCell ref="AE67:AF67"/>
    <mergeCell ref="AV64:AX64"/>
    <mergeCell ref="AF7:AH7"/>
    <mergeCell ref="BH15:BJ15"/>
    <mergeCell ref="AS68:AU68"/>
    <mergeCell ref="AJ32:AL32"/>
    <mergeCell ref="AJ63:AL63"/>
    <mergeCell ref="AP25:AR25"/>
    <mergeCell ref="A6:G6"/>
    <mergeCell ref="AY46:BA46"/>
    <mergeCell ref="BB57:BD57"/>
    <mergeCell ref="B25:D25"/>
    <mergeCell ref="Q58:W58"/>
    <mergeCell ref="AY61:BA61"/>
    <mergeCell ref="AV16:AX16"/>
    <mergeCell ref="Q63:W63"/>
    <mergeCell ref="AJ40:AL40"/>
    <mergeCell ref="Q50:W50"/>
    <mergeCell ref="AJ27:AL27"/>
    <mergeCell ref="B22:D22"/>
    <mergeCell ref="AY41:BA41"/>
    <mergeCell ref="X15:AD15"/>
    <mergeCell ref="AV18:AX18"/>
    <mergeCell ref="E37:I37"/>
    <mergeCell ref="X33:AD33"/>
    <mergeCell ref="AV17:AX17"/>
    <mergeCell ref="AY56:BA56"/>
    <mergeCell ref="AM59:AO59"/>
    <mergeCell ref="AV11:AX11"/>
    <mergeCell ref="AP20:AR20"/>
    <mergeCell ref="AS21:AU21"/>
    <mergeCell ref="AY43:BA43"/>
    <mergeCell ref="BE32:BG32"/>
    <mergeCell ref="BE63:BG63"/>
    <mergeCell ref="BK14:BQ14"/>
    <mergeCell ref="AE16:AF16"/>
    <mergeCell ref="AG32:AI32"/>
    <mergeCell ref="X35:AD35"/>
    <mergeCell ref="AE10:AF11"/>
    <mergeCell ref="BH43:BJ43"/>
    <mergeCell ref="BE47:BG47"/>
    <mergeCell ref="AP22:AR22"/>
    <mergeCell ref="B38:D38"/>
    <mergeCell ref="J18:P18"/>
    <mergeCell ref="AE18:AF18"/>
    <mergeCell ref="BE40:BG40"/>
    <mergeCell ref="AP15:AR15"/>
    <mergeCell ref="AS16:AU16"/>
    <mergeCell ref="BB44:BD44"/>
    <mergeCell ref="AM54:AO54"/>
    <mergeCell ref="AV10:BJ10"/>
    <mergeCell ref="BE27:BG27"/>
    <mergeCell ref="J17:P17"/>
    <mergeCell ref="BH28:BJ28"/>
    <mergeCell ref="AV44:AX44"/>
    <mergeCell ref="B40:D40"/>
    <mergeCell ref="AJ45:AL45"/>
    <mergeCell ref="AG57:AI57"/>
    <mergeCell ref="E63:I63"/>
    <mergeCell ref="B15:D15"/>
    <mergeCell ref="BB52:BD52"/>
    <mergeCell ref="AJ55:AL55"/>
    <mergeCell ref="AY34:BA34"/>
    <mergeCell ref="B33:D33"/>
    <mergeCell ref="BH59:BJ59"/>
    <mergeCell ref="AY25:BA25"/>
    <mergeCell ref="AS34:AU34"/>
    <mergeCell ref="BB45:BD45"/>
    <mergeCell ref="AG58:AI58"/>
    <mergeCell ref="BB32:BD32"/>
    <mergeCell ref="Q55:W55"/>
    <mergeCell ref="AY36:BA36"/>
    <mergeCell ref="E27:I27"/>
    <mergeCell ref="AS49:AU49"/>
    <mergeCell ref="X34:AD34"/>
    <mergeCell ref="X28:AD28"/>
    <mergeCell ref="BB47:BD47"/>
    <mergeCell ref="N7:P7"/>
    <mergeCell ref="AS42:AU42"/>
    <mergeCell ref="BH54:BJ54"/>
    <mergeCell ref="AP33:AR33"/>
    <mergeCell ref="BH41:BJ41"/>
    <mergeCell ref="BE45:BG45"/>
    <mergeCell ref="AJ58:AL58"/>
    <mergeCell ref="BH65:BJ65"/>
    <mergeCell ref="X42:AD42"/>
    <mergeCell ref="E22:I22"/>
    <mergeCell ref="BH56:BJ56"/>
    <mergeCell ref="X29:AD29"/>
    <mergeCell ref="AP35:AR35"/>
    <mergeCell ref="BH31:BJ31"/>
    <mergeCell ref="A39:BQ39"/>
    <mergeCell ref="AV42:AX42"/>
    <mergeCell ref="BE59:BG59"/>
    <mergeCell ref="AY62:BA62"/>
    <mergeCell ref="BB63:BD63"/>
    <mergeCell ref="AJ66:AL66"/>
    <mergeCell ref="BE46:BG46"/>
    <mergeCell ref="BB50:BD50"/>
    <mergeCell ref="X54:AD54"/>
    <mergeCell ref="BK20:BQ20"/>
    <mergeCell ref="AY28:BA28"/>
    <mergeCell ref="B34:D34"/>
    <mergeCell ref="B28:D28"/>
    <mergeCell ref="AY64:BA64"/>
    <mergeCell ref="AJ68:AL68"/>
    <mergeCell ref="Q66:W66"/>
    <mergeCell ref="AS23:AU23"/>
    <mergeCell ref="E38:I38"/>
    <mergeCell ref="AY51:BA51"/>
    <mergeCell ref="X56:AD56"/>
    <mergeCell ref="BK22:BQ22"/>
    <mergeCell ref="E13:I13"/>
    <mergeCell ref="X43:AD43"/>
    <mergeCell ref="Q68:W68"/>
    <mergeCell ref="E40:I40"/>
    <mergeCell ref="BK15:BQ15"/>
    <mergeCell ref="AE17:AF17"/>
    <mergeCell ref="E15:I15"/>
    <mergeCell ref="AV20:AX20"/>
    <mergeCell ref="AS24:AU24"/>
    <mergeCell ref="AS18:AU18"/>
    <mergeCell ref="AM27:AO27"/>
    <mergeCell ref="BH36:BJ36"/>
    <mergeCell ref="BH11:BJ11"/>
    <mergeCell ref="Z6:AB6"/>
    <mergeCell ref="AJ59:AL59"/>
    <mergeCell ref="AP21:AR21"/>
    <mergeCell ref="B54:D54"/>
    <mergeCell ref="AE65:AF65"/>
    <mergeCell ref="AJ46:AL46"/>
    <mergeCell ref="AJ21:AL21"/>
    <mergeCell ref="J27:P27"/>
    <mergeCell ref="AG25:AI25"/>
    <mergeCell ref="AY33:BA33"/>
    <mergeCell ref="T5:AH5"/>
    <mergeCell ref="AM22:AO22"/>
    <mergeCell ref="AP23:AR23"/>
    <mergeCell ref="B56:D56"/>
    <mergeCell ref="J20:P20"/>
    <mergeCell ref="AJ61:AL61"/>
    <mergeCell ref="AV47:AX47"/>
    <mergeCell ref="B43:D43"/>
    <mergeCell ref="BE51:BG51"/>
    <mergeCell ref="AY50:BA50"/>
    <mergeCell ref="BB55:BD55"/>
    <mergeCell ref="BK33:BQ33"/>
    <mergeCell ref="A5:S5"/>
    <mergeCell ref="J22:P22"/>
    <mergeCell ref="BH62:BJ62"/>
    <mergeCell ref="AV38:AX38"/>
    <mergeCell ref="AY52:BA52"/>
    <mergeCell ref="N8:P8"/>
    <mergeCell ref="BK35:BQ35"/>
    <mergeCell ref="AS52:AU52"/>
    <mergeCell ref="X44:AD44"/>
    <mergeCell ref="AP34:AR34"/>
    <mergeCell ref="AM11:AO11"/>
    <mergeCell ref="X31:AD31"/>
    <mergeCell ref="Q10:W11"/>
    <mergeCell ref="BB25:BD25"/>
    <mergeCell ref="AP49:AR49"/>
    <mergeCell ref="E28:I28"/>
    <mergeCell ref="BH57:BJ57"/>
    <mergeCell ref="AG13:AI13"/>
    <mergeCell ref="AV33:AX33"/>
    <mergeCell ref="BE61:BG61"/>
    <mergeCell ref="AP36:AR36"/>
    <mergeCell ref="AS37:AU37"/>
    <mergeCell ref="AE14:AF14"/>
    <mergeCell ref="BE67:BG67"/>
    <mergeCell ref="J38:P38"/>
    <mergeCell ref="K7:M7"/>
    <mergeCell ref="A3:E3"/>
    <mergeCell ref="Q28:W28"/>
    <mergeCell ref="AG15:AI15"/>
    <mergeCell ref="AJ16:AL16"/>
    <mergeCell ref="X32:AD32"/>
    <mergeCell ref="B36:D36"/>
    <mergeCell ref="E59:I59"/>
    <mergeCell ref="E46:I46"/>
    <mergeCell ref="J40:P40"/>
    <mergeCell ref="BE62:BG62"/>
    <mergeCell ref="J15:P15"/>
    <mergeCell ref="AY65:BA65"/>
    <mergeCell ref="AM41:AO41"/>
    <mergeCell ref="A10:A11"/>
    <mergeCell ref="AY21:BA21"/>
    <mergeCell ref="E61:I61"/>
    <mergeCell ref="BB66:BD66"/>
    <mergeCell ref="Q67:W67"/>
    <mergeCell ref="AV35:AX35"/>
    <mergeCell ref="AJ11:AL11"/>
    <mergeCell ref="B31:D31"/>
    <mergeCell ref="X49:AD49"/>
    <mergeCell ref="E54:I54"/>
    <mergeCell ref="BE64:BG64"/>
    <mergeCell ref="AV22:AX22"/>
    <mergeCell ref="AY23:BA23"/>
    <mergeCell ref="AS63:AU63"/>
    <mergeCell ref="E41:I41"/>
    <mergeCell ref="J35:P35"/>
    <mergeCell ref="X65:AD65"/>
    <mergeCell ref="AM66:AO66"/>
    <mergeCell ref="AE27:AF27"/>
    <mergeCell ref="AP54:AR54"/>
    <mergeCell ref="F3:Q3"/>
    <mergeCell ref="E56:I56"/>
    <mergeCell ref="AP29:AR29"/>
    <mergeCell ref="AV51:AX51"/>
    <mergeCell ref="E43:I43"/>
    <mergeCell ref="X63:AD63"/>
    <mergeCell ref="BB15:BD15"/>
    <mergeCell ref="BE16:BG16"/>
    <mergeCell ref="AE20:AF20"/>
    <mergeCell ref="BK23:BQ23"/>
    <mergeCell ref="AE25:AF25"/>
    <mergeCell ref="BK29:BQ29"/>
    <mergeCell ref="AS40:AU40"/>
    <mergeCell ref="X50:AD50"/>
    <mergeCell ref="AM68:AO68"/>
    <mergeCell ref="BH52:BJ52"/>
    <mergeCell ref="AS27:AU27"/>
    <mergeCell ref="A60:BQ60"/>
    <mergeCell ref="AP31:AR31"/>
    <mergeCell ref="AE35:AF35"/>
    <mergeCell ref="BH14:BJ14"/>
    <mergeCell ref="BK54:BQ54"/>
    <mergeCell ref="AJ62:AL62"/>
    <mergeCell ref="AJ37:AL37"/>
    <mergeCell ref="AY49:BA49"/>
    <mergeCell ref="BE11:BG11"/>
    <mergeCell ref="AY20:BA20"/>
    <mergeCell ref="AG28:AI28"/>
    <mergeCell ref="B49:D49"/>
    <mergeCell ref="Q16:W16"/>
    <mergeCell ref="AV40:AX40"/>
    <mergeCell ref="B65:D65"/>
    <mergeCell ref="AJ64:AL64"/>
    <mergeCell ref="T7:V7"/>
    <mergeCell ref="J28:P28"/>
    <mergeCell ref="X52:AD52"/>
    <mergeCell ref="Q24:W24"/>
    <mergeCell ref="Q18:W18"/>
    <mergeCell ref="BK49:BQ49"/>
    <mergeCell ref="AG67:AI67"/>
    <mergeCell ref="B63:D63"/>
    <mergeCell ref="AM37:AO37"/>
    <mergeCell ref="AE38:AF38"/>
    <mergeCell ref="AV54:AX54"/>
    <mergeCell ref="B50:D50"/>
    <mergeCell ref="AP57:AR57"/>
    <mergeCell ref="AV41:AX41"/>
    <mergeCell ref="AE13:AF13"/>
    <mergeCell ref="AS45:AU45"/>
    <mergeCell ref="BK57:BQ57"/>
    <mergeCell ref="AE40:AF40"/>
    <mergeCell ref="X47:AD47"/>
    <mergeCell ref="BH63:BJ63"/>
    <mergeCell ref="AS38:AU38"/>
    <mergeCell ref="AM14:AO14"/>
    <mergeCell ref="AE15:AF15"/>
    <mergeCell ref="AP42:AR42"/>
    <mergeCell ref="AJ42:AL42"/>
    <mergeCell ref="AP58:AR58"/>
    <mergeCell ref="R2:V2"/>
    <mergeCell ref="AM13:AO13"/>
    <mergeCell ref="AP52:AR52"/>
    <mergeCell ref="X55:AD55"/>
    <mergeCell ref="AJ17:AL17"/>
    <mergeCell ref="AM56:AO56"/>
    <mergeCell ref="AM62:AO62"/>
    <mergeCell ref="J54:P54"/>
    <mergeCell ref="AM43:AO43"/>
    <mergeCell ref="J41:P41"/>
    <mergeCell ref="Q44:W44"/>
    <mergeCell ref="BB67:BD67"/>
    <mergeCell ref="AV43:AX43"/>
    <mergeCell ref="E62:I62"/>
    <mergeCell ref="J56:P56"/>
    <mergeCell ref="AY58:BA58"/>
    <mergeCell ref="J43:P43"/>
    <mergeCell ref="AM57:AO57"/>
    <mergeCell ref="X25:AD25"/>
    <mergeCell ref="AG16:AI16"/>
    <mergeCell ref="E64:I64"/>
    <mergeCell ref="E51:I51"/>
    <mergeCell ref="BK31:BQ31"/>
    <mergeCell ref="AG18:AI18"/>
    <mergeCell ref="BE17:BG17"/>
    <mergeCell ref="B55:D55"/>
    <mergeCell ref="BB21:BD21"/>
    <mergeCell ref="N6:P6"/>
    <mergeCell ref="AM25:AO25"/>
    <mergeCell ref="E65:I65"/>
    <mergeCell ref="J59:P59"/>
    <mergeCell ref="AP32:AR32"/>
    <mergeCell ref="BK45:BQ45"/>
    <mergeCell ref="BH64:BJ64"/>
    <mergeCell ref="X66:AD66"/>
    <mergeCell ref="BK32:BQ32"/>
    <mergeCell ref="AM33:AO33"/>
    <mergeCell ref="AE28:AF28"/>
    <mergeCell ref="AP47:AR47"/>
    <mergeCell ref="AV31:AX31"/>
    <mergeCell ref="AJ47:AL47"/>
    <mergeCell ref="BB16:BD16"/>
    <mergeCell ref="AG29:AI29"/>
    <mergeCell ref="AG10:AU10"/>
    <mergeCell ref="AG44:AI44"/>
    <mergeCell ref="AV62:AX62"/>
    <mergeCell ref="AM28:AO28"/>
    <mergeCell ref="BE14:BG14"/>
    <mergeCell ref="BB24:BD24"/>
    <mergeCell ref="BB18:BD18"/>
    <mergeCell ref="AG31:AI31"/>
    <mergeCell ref="B52:D52"/>
    <mergeCell ref="AV56:AX56"/>
    <mergeCell ref="B58:D58"/>
  </mergeCells>
  <dataValidations count="4">
    <dataValidation sqref="AE13:AE18 AE20:AE25 AE27:AE29 AE31:AE38 AE40:AE47 AE49:AE52 AE54:AE59 AE61:AE68" showDropDown="0" showInputMessage="0" showErrorMessage="0" allowBlank="1" type="list">
      <formula1>"N,A,B"</formula1>
    </dataValidation>
    <dataValidation sqref="AG13:AG18 AG20:AG25 AG27:AG29 AG31:AG38 AG40:AG47 AG49:AG52 AG54:AG59 AG61:AG68" showDropDown="0" showInputMessage="0" showErrorMessage="0" allowBlank="1" type="list">
      <formula1>"合格,不合格,未テスト,N/A"</formula1>
    </dataValidation>
    <dataValidation sqref="AV13:AV18 AV20:AV25 AV27:AV29 AV31:AV38 AV40:AV47 AV49:AV52 AV54:AV59 AV61:AV68" showDropDown="0" showInputMessage="0" showErrorMessage="0" allowBlank="1" type="list">
      <formula1>"合格,不合格,未テスト,N/A"</formula1>
    </dataValidation>
    <dataValidation sqref="F1" showDropDown="0" showInputMessage="0" showErrorMessage="0" allowBlank="1" type="list">
      <formula1>"単体テスト,結合テスト,システムテスト"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2026-05-27T03:33:53Z</dcterms:created>
  <dcterms:modified xsi:type="dcterms:W3CDTF">2026-05-27T03:33:54Z</dcterms:modified>
</cp:coreProperties>
</file>