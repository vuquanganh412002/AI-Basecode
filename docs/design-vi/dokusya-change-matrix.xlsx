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Chú giải cột" sheetId="2" state="visible" r:id="rId2"/>
    <sheet name="Bảng dữ liệu" sheetId="3" state="visible" r:id="rId3"/>
    <sheet name="Cảnh bá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游ゴシック"/>
      <b val="1"/>
      <color rgb="FF1F3864"/>
      <sz val="16"/>
    </font>
    <font>
      <name val="游ゴシック"/>
      <color rgb="FF808080"/>
      <sz val="9"/>
    </font>
    <font>
      <name val="游ゴシック"/>
      <i val="1"/>
      <color rgb="FF44546A"/>
      <sz val="10"/>
    </font>
    <font>
      <name val="游ゴシック"/>
      <b val="1"/>
      <color rgb="FF1F3864"/>
      <sz val="12"/>
    </font>
    <font>
      <name val="游ゴシック"/>
      <b val="1"/>
      <color rgb="FF000000"/>
      <sz val="10"/>
    </font>
    <font>
      <name val="游ゴシック"/>
      <color rgb="FF000000"/>
      <sz val="9"/>
    </font>
    <font>
      <name val="游ゴシック"/>
      <color rgb="FFB00020"/>
      <sz val="9"/>
    </font>
    <font>
      <name val="游ゴシック"/>
      <color rgb="FF000000"/>
      <sz val="10"/>
    </font>
    <font>
      <name val="游ゴシック"/>
      <color rgb="FF1E6C41"/>
      <sz val="9"/>
    </font>
    <font>
      <name val="游ゴシック"/>
      <b val="1"/>
      <color rgb="FF000000"/>
      <sz val="9"/>
    </font>
    <font>
      <name val="游ゴシック"/>
      <color rgb="FF9A9A9A"/>
      <sz val="9"/>
    </font>
    <font>
      <name val="游ゴシック"/>
      <color rgb="FF7F6000"/>
      <sz val="9"/>
    </font>
    <font>
      <name val="游ゴシック"/>
      <b val="1"/>
      <color rgb="FF1F3864"/>
      <sz val="11"/>
    </font>
    <font>
      <name val="Consolas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DEEAF6"/>
      </patternFill>
    </fill>
    <fill>
      <patternFill patternType="solid">
        <fgColor rgb="FFB4C6E7"/>
      </patternFill>
    </fill>
    <fill>
      <patternFill patternType="solid">
        <fgColor rgb="FFFCE4E4"/>
      </patternFill>
    </fill>
    <fill>
      <patternFill patternType="solid">
        <fgColor rgb="FFE2EFDA"/>
      </patternFill>
    </fill>
    <fill>
      <patternFill patternType="solid">
        <fgColor rgb="FFBDD6EE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2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top" wrapText="1"/>
    </xf>
    <xf numFmtId="0" fontId="0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/>
    </xf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zoomScale="85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0" customHeight="1">
      <c r="A1" s="1" t="inlineStr">
        <is>
          <t>Ma trận thay đổi dữ liệu độc giả — MỘT bảng duy nhất</t>
        </is>
      </c>
      <c r="B1" s="2" t="n"/>
      <c r="C1" s="2" t="n"/>
      <c r="D1" s="2" t="n"/>
      <c r="E1" s="2" t="n"/>
      <c r="F1" s="2" t="n"/>
      <c r="G1" s="2" t="n"/>
      <c r="H1" s="2" t="n"/>
    </row>
    <row r="2" ht="16" customHeight="1">
      <c r="A2" s="3" t="inlineStr">
        <is>
          <t>Nguồn: docs/design-vi/dokusya-change-matrix.md   ·   Xuất lúc: 2026-07-26 23:52</t>
        </is>
      </c>
    </row>
    <row r="4" ht="43.5" customHeight="1">
      <c r="A4" s="4" t="inlineStr">
        <is>
          <r>
            <rPr>
              <rFont val="游ゴシック"/>
              <sz val="10"/>
            </rPr>
            <t xml:space="preserve">Bổ sung cho </t>
          </r>
          <r>
            <rPr>
              <rFont val="游ゴシック"/>
              <sz val="10"/>
            </rPr>
            <t>dokusya-data-lifecycle.md</t>
          </r>
          <r>
            <rPr>
              <rFont val="游ゴシック"/>
              <sz val="10"/>
            </rPr>
            <t xml:space="preserve"> (mô hình + quy tắc từng cột). </t>
          </r>
          <r>
            <rPr>
              <rFont val="游ゴシック"/>
              <b val="1"/>
              <sz val="10"/>
            </rPr>
            <t>Hàng = 1 trường dữ liệu. Cột = 1 mode. Ô = giá trị thật.</t>
          </r>
          <r>
            <rPr>
              <rFont val="游ゴシック"/>
              <sz val="10"/>
            </rPr>
            <t xml:space="preserve"> Mốc: </t>
          </r>
          <r>
            <rPr>
              <rFont val="游ゴシック"/>
              <b val="1"/>
              <sz val="10"/>
            </rPr>
            <t xml:space="preserve">hôm nay = </t>
          </r>
          <r>
            <rPr>
              <rFont val="Consolas"/>
              <b val="1"/>
              <sz val="10"/>
            </rPr>
            <t>2026-07-26</t>
          </r>
          <r>
            <rPr>
              <rFont val="游ゴシック"/>
              <b val="1"/>
              <sz val="10"/>
            </rPr>
            <t xml:space="preserve"> (JST)</t>
          </r>
          <r>
            <rPr>
              <rFont val="游ゴシック"/>
              <sz val="10"/>
            </rPr>
            <t xml:space="preserve">, người thao tác </t>
          </r>
          <r>
            <rPr>
              <rFont val="Consolas"/>
              <sz val="10"/>
            </rPr>
            <t>account_id = 42</t>
          </r>
          <r>
            <rPr>
              <rFont val="游ゴシック"/>
              <sz val="10"/>
            </rPr>
            <t>.</t>
          </r>
        </is>
      </c>
      <c r="B4" s="2" t="n"/>
      <c r="C4" s="2" t="n"/>
      <c r="D4" s="2" t="n"/>
      <c r="E4" s="2" t="n"/>
      <c r="F4" s="2" t="n"/>
      <c r="G4" s="2" t="n"/>
      <c r="H4" s="2" t="n"/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zoomScale="85" workbookViewId="0">
      <selection activeCell="A1" sqref="A1"/>
    </sheetView>
  </sheetViews>
  <sheetFormatPr baseColWidth="8" defaultRowHeight="15"/>
  <cols>
    <col width="8" customWidth="1" min="1" max="1"/>
    <col width="20.72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0" customHeight="1">
      <c r="A1" s="5" t="inlineStr">
        <is>
          <t>Chú giải cột</t>
        </is>
      </c>
      <c r="B1" s="6" t="n"/>
      <c r="C1" s="6" t="n"/>
      <c r="D1" s="6" t="n"/>
      <c r="E1" s="6" t="n"/>
      <c r="F1" s="6" t="n"/>
      <c r="G1" s="6" t="n"/>
      <c r="H1" s="6" t="n"/>
    </row>
    <row r="2" ht="20" customHeight="1">
      <c r="A2" s="7" t="inlineStr">
        <is>
          <t>Mã</t>
        </is>
      </c>
      <c r="B2" s="7" t="inlineStr">
        <is>
          <t>Mode</t>
        </is>
      </c>
      <c r="C2" s="7" t="inlineStr">
        <is>
          <t>Chi tiết thao tác</t>
        </is>
      </c>
    </row>
    <row r="3">
      <c r="A3" s="8" t="inlineStr">
        <is>
          <r>
            <rPr>
              <rFont val="游ゴシック"/>
              <b val="1"/>
              <sz val="9"/>
            </rPr>
            <t>Đầu-P</t>
          </r>
        </is>
      </c>
      <c r="B3" s="8" t="inlineStr">
        <is>
          <t>Trạng thái ban đầu 紙版</t>
        </is>
      </c>
      <c r="C3" s="8" t="inlineStr">
        <is>
          <r>
            <rPr>
              <rFont val="Consolas"/>
              <sz val="9"/>
            </rPr>
            <t>dokusya_id = 1001</t>
          </r>
          <r>
            <rPr>
              <rFont val="游ゴシック"/>
              <sz val="9"/>
            </rPr>
            <t xml:space="preserve"> 山田太郎, tạo 2026-06-10, </t>
          </r>
          <r>
            <rPr>
              <rFont val="Consolas"/>
              <sz val="9"/>
            </rPr>
            <t>kaishi = 2026-07-01</t>
          </r>
        </is>
      </c>
    </row>
    <row r="4">
      <c r="A4" s="8" t="inlineStr">
        <is>
          <r>
            <rPr>
              <rFont val="游ゴシック"/>
              <b val="1"/>
              <sz val="9"/>
            </rPr>
            <t>P1</t>
          </r>
        </is>
      </c>
      <c r="B4" s="8" t="inlineStr">
        <is>
          <t>Tạo mới 紙版</t>
        </is>
      </c>
      <c r="C4" s="8" t="inlineStr">
        <is>
          <t>ngày 2026-06-10</t>
        </is>
      </c>
    </row>
    <row r="5">
      <c r="A5" s="8" t="inlineStr">
        <is>
          <r>
            <rPr>
              <rFont val="游ゴシック"/>
              <b val="1"/>
              <sz val="9"/>
            </rPr>
            <t>P2</t>
          </r>
        </is>
      </c>
      <c r="B5" s="8" t="inlineStr">
        <is>
          <t>Sửa số lượng</t>
        </is>
      </c>
      <c r="C5" s="8" t="inlineStr">
        <is>
          <r>
            <rPr>
              <rFont val="Consolas"/>
              <sz val="9"/>
            </rPr>
            <t>2 → 3</t>
          </r>
          <r>
            <rPr>
              <rFont val="游ゴシック"/>
              <sz val="9"/>
            </rPr>
            <t xml:space="preserve">, </t>
          </r>
          <r>
            <rPr>
              <rFont val="Consolas"/>
              <sz val="9"/>
            </rPr>
            <t>reserved</t>
          </r>
          <r>
            <rPr>
              <rFont val="游ゴシック"/>
              <sz val="9"/>
            </rPr>
            <t xml:space="preserve">, </t>
          </r>
          <r>
            <rPr>
              <rFont val="Consolas"/>
              <sz val="9"/>
            </rPr>
            <t>joho = 2026-09-01</t>
          </r>
        </is>
      </c>
    </row>
    <row r="6">
      <c r="A6" s="8" t="inlineStr">
        <is>
          <r>
            <rPr>
              <rFont val="游ゴシック"/>
              <b val="1"/>
              <sz val="9"/>
            </rPr>
            <t>P3</t>
          </r>
        </is>
      </c>
      <c r="B6" s="8" t="inlineStr">
        <is>
          <t>Sửa cửa hàng</t>
        </is>
      </c>
      <c r="C6" s="8" t="inlineStr">
        <is>
          <r>
            <rPr>
              <rFont val="Consolas"/>
              <sz val="9"/>
            </rPr>
            <t>301 → 305</t>
          </r>
          <r>
            <rPr>
              <rFont val="游ゴシック"/>
              <sz val="9"/>
            </rPr>
            <t xml:space="preserve">, </t>
          </r>
          <r>
            <rPr>
              <rFont val="Consolas"/>
              <sz val="9"/>
            </rPr>
            <t>reserved</t>
          </r>
          <r>
            <rPr>
              <rFont val="游ゴシック"/>
              <sz val="9"/>
            </rPr>
            <t xml:space="preserve">, </t>
          </r>
          <r>
            <rPr>
              <rFont val="Consolas"/>
              <sz val="9"/>
            </rPr>
            <t>joho = 2026-09-01</t>
          </r>
          <r>
            <rPr>
              <rFont val="游ゴシック"/>
              <sz val="9"/>
            </rPr>
            <t xml:space="preserve"> (giống SCR-015 hàng loạt)</t>
          </r>
        </is>
      </c>
    </row>
    <row r="7">
      <c r="A7" s="8" t="inlineStr">
        <is>
          <r>
            <rPr>
              <rFont val="游ゴシック"/>
              <b val="1"/>
              <sz val="9"/>
            </rPr>
            <t>P4</t>
          </r>
        </is>
      </c>
      <c r="B7" s="8" t="inlineStr">
        <is>
          <r>
            <rPr>
              <rFont val="游ゴシック"/>
              <sz val="9"/>
            </rPr>
            <t xml:space="preserve">Sửa đ/c giao, </t>
          </r>
          <r>
            <rPr>
              <rFont val="Consolas"/>
              <sz val="9"/>
            </rPr>
            <t>same=TRUE</t>
          </r>
        </is>
      </c>
      <c r="C7" s="8" t="inlineStr">
        <is>
          <r>
            <rPr>
              <rFont val="Consolas"/>
              <sz val="9"/>
            </rPr>
            <t>chome_banchi: 中央通1-2-3 → 大通2-5-1</t>
          </r>
          <r>
            <rPr>
              <rFont val="游ゴシック"/>
              <sz val="9"/>
            </rPr>
            <t xml:space="preserve">, </t>
          </r>
          <r>
            <rPr>
              <rFont val="Consolas"/>
              <sz val="9"/>
            </rPr>
            <t>reserved</t>
          </r>
          <r>
            <rPr>
              <rFont val="游ゴシック"/>
              <sz val="9"/>
            </rPr>
            <t xml:space="preserve">, </t>
          </r>
          <r>
            <rPr>
              <rFont val="Consolas"/>
              <sz val="9"/>
            </rPr>
            <t>joho = 2026-09-01</t>
          </r>
        </is>
      </c>
    </row>
    <row r="8">
      <c r="A8" s="8" t="inlineStr">
        <is>
          <r>
            <rPr>
              <rFont val="游ゴシック"/>
              <b val="1"/>
              <sz val="9"/>
            </rPr>
            <t>P5</t>
          </r>
        </is>
      </c>
      <c r="B8" s="8" t="inlineStr">
        <is>
          <r>
            <rPr>
              <rFont val="游ゴシック"/>
              <sz val="9"/>
            </rPr>
            <t xml:space="preserve">Sửa đ/c giao, </t>
          </r>
          <r>
            <rPr>
              <rFont val="Consolas"/>
              <sz val="9"/>
            </rPr>
            <t>same=FALSE</t>
          </r>
        </is>
      </c>
      <c r="C8" s="8" t="inlineStr">
        <is>
          <r>
            <rPr>
              <rFont val="Consolas"/>
              <sz val="9"/>
            </rPr>
            <t>same_flg: TRUE→FALSE</t>
          </r>
          <r>
            <rPr>
              <rFont val="游ゴシック"/>
              <sz val="9"/>
            </rPr>
            <t xml:space="preserve"> + </t>
          </r>
          <r>
            <rPr>
              <rFont val="Consolas"/>
              <sz val="9"/>
            </rPr>
            <t>haitatsu_chome_banchi: '' → 紺屋町3-1</t>
          </r>
          <r>
            <rPr>
              <rFont val="游ゴシック"/>
              <sz val="9"/>
            </rPr>
            <t xml:space="preserve">, </t>
          </r>
          <r>
            <rPr>
              <rFont val="Consolas"/>
              <sz val="9"/>
            </rPr>
            <t>joho = 2026-09-01</t>
          </r>
        </is>
      </c>
    </row>
    <row r="9">
      <c r="A9" s="8" t="inlineStr">
        <is>
          <r>
            <rPr>
              <rFont val="游ゴシック"/>
              <b val="1"/>
              <sz val="9"/>
            </rPr>
            <t>P6</t>
          </r>
        </is>
      </c>
      <c r="B9" s="8" t="inlineStr">
        <is>
          <t>Sửa trường khác</t>
        </is>
      </c>
      <c r="C9" s="8" t="inlineStr">
        <is>
          <r>
            <rPr>
              <rFont val="Consolas"/>
              <sz val="9"/>
            </rPr>
            <t>renrakusaki_1: 019-651-0001 → 019-651-9999</t>
          </r>
          <r>
            <rPr>
              <rFont val="游ゴシック"/>
              <sz val="9"/>
            </rPr>
            <t xml:space="preserve">, chế độ </t>
          </r>
          <r>
            <rPr>
              <rFont val="Consolas"/>
              <sz val="9"/>
            </rPr>
            <t>today</t>
          </r>
          <r>
            <rPr>
              <rFont val="游ゴシック"/>
              <sz val="9"/>
            </rPr>
            <t xml:space="preserve">, </t>
          </r>
          <r>
            <rPr>
              <rFont val="Consolas"/>
              <sz val="9"/>
            </rPr>
            <t>joho = 2026-07-26</t>
          </r>
        </is>
      </c>
    </row>
    <row r="10">
      <c r="A10" s="8" t="inlineStr">
        <is>
          <r>
            <rPr>
              <rFont val="游ゴシック"/>
              <b val="1"/>
              <sz val="9"/>
            </rPr>
            <t>P7</t>
          </r>
        </is>
      </c>
      <c r="B10" s="8" t="inlineStr">
        <is>
          <r>
            <rPr>
              <rFont val="游ゴシック"/>
              <sz val="9"/>
            </rPr>
            <t xml:space="preserve">Chèn </t>
          </r>
          <r>
            <rPr>
              <rFont val="游ゴシック"/>
              <b val="1"/>
              <sz val="9"/>
            </rPr>
            <t>trước</t>
          </r>
          <r>
            <rPr>
              <rFont val="游ゴシック"/>
              <sz val="9"/>
            </rPr>
            <t xml:space="preserve"> dòng tương lai</t>
          </r>
        </is>
      </c>
      <c r="C10" s="8" t="inlineStr">
        <is>
          <r>
            <rPr>
              <rFont val="游ゴシック"/>
              <sz val="9"/>
            </rPr>
            <t xml:space="preserve">đã có </t>
          </r>
          <r>
            <rPr>
              <rFont val="Consolas"/>
              <sz val="9"/>
            </rPr>
            <t>#2@2026-09-01</t>
          </r>
          <r>
            <rPr>
              <rFont val="游ゴシック"/>
              <sz val="9"/>
            </rPr>
            <t xml:space="preserve"> (P2); nay chèn cửa hàng </t>
          </r>
          <r>
            <rPr>
              <rFont val="Consolas"/>
              <sz val="9"/>
            </rPr>
            <t>301→305</t>
          </r>
          <r>
            <rPr>
              <rFont val="游ゴシック"/>
              <sz val="9"/>
            </rPr>
            <t xml:space="preserve"> với </t>
          </r>
          <r>
            <rPr>
              <rFont val="Consolas"/>
              <sz val="9"/>
            </rPr>
            <t>joho = 2026-08-15</t>
          </r>
        </is>
      </c>
    </row>
    <row r="11">
      <c r="A11" s="8" t="inlineStr">
        <is>
          <r>
            <rPr>
              <rFont val="游ゴシック"/>
              <b val="1"/>
              <sz val="9"/>
            </rPr>
            <t>P8</t>
          </r>
        </is>
      </c>
      <c r="B11" s="8" t="inlineStr">
        <is>
          <r>
            <rPr>
              <rFont val="游ゴシック"/>
              <sz val="9"/>
            </rPr>
            <t xml:space="preserve">Huỷ lịch sử </t>
          </r>
          <r>
            <rPr>
              <rFont val="Consolas"/>
              <sz val="9"/>
            </rPr>
            <t>取消</t>
          </r>
        </is>
      </c>
      <c r="C11" s="8" t="inlineStr">
        <is>
          <r>
            <rPr>
              <rFont val="游ゴシック"/>
              <sz val="9"/>
            </rPr>
            <t xml:space="preserve">huỷ </t>
          </r>
          <r>
            <rPr>
              <rFont val="Consolas"/>
              <sz val="9"/>
            </rPr>
            <t>#2@2026-09-01</t>
          </r>
          <r>
            <rPr>
              <rFont val="游ゴシック"/>
              <sz val="9"/>
            </rPr>
            <t xml:space="preserve">, lý do </t>
          </r>
          <r>
            <rPr>
              <rFont val="Consolas"/>
              <sz val="9"/>
            </rPr>
            <t>'入力誤りのため取消'</t>
          </r>
        </is>
      </c>
    </row>
    <row r="12">
      <c r="A12" s="8" t="inlineStr">
        <is>
          <r>
            <rPr>
              <rFont val="游ゴシック"/>
              <b val="1"/>
              <sz val="9"/>
            </rPr>
            <t>P9</t>
          </r>
        </is>
      </c>
      <c r="B12" s="8" t="inlineStr">
        <is>
          <t>Dừng thuê bao — Phase 1</t>
        </is>
      </c>
      <c r="C12" s="8" t="inlineStr">
        <is>
          <r>
            <rPr>
              <rFont val="Consolas"/>
              <sz val="9"/>
            </rPr>
            <t>POST /stop</t>
          </r>
          <r>
            <rPr>
              <rFont val="游ゴシック"/>
              <sz val="9"/>
            </rPr>
            <t xml:space="preserve">, </t>
          </r>
          <r>
            <rPr>
              <rFont val="Consolas"/>
              <sz val="9"/>
            </rPr>
            <t>chushi = 2026-10-31</t>
          </r>
        </is>
      </c>
    </row>
    <row r="13">
      <c r="A13" s="8" t="inlineStr">
        <is>
          <r>
            <rPr>
              <rFont val="游ゴシック"/>
              <b val="1"/>
              <sz val="9"/>
            </rPr>
            <t>P10</t>
          </r>
        </is>
      </c>
      <c r="B13" s="8" t="inlineStr">
        <is>
          <t>Giải ước — Phase 2 (batch)</t>
        </is>
      </c>
      <c r="C13" s="8" t="inlineStr">
        <is>
          <t>batch 5:00 ngày 2026-10-31</t>
        </is>
      </c>
    </row>
    <row r="14">
      <c r="A14" s="8" t="inlineStr">
        <is>
          <r>
            <rPr>
              <rFont val="游ゴシック"/>
              <b val="1"/>
              <sz val="9"/>
            </rPr>
            <t>P11</t>
          </r>
        </is>
      </c>
      <c r="B14" s="8" t="inlineStr">
        <is>
          <r>
            <rPr>
              <rFont val="游ゴシック"/>
              <sz val="9"/>
            </rPr>
            <t xml:space="preserve">Tái đặt </t>
          </r>
          <r>
            <rPr>
              <rFont val="Consolas"/>
              <sz val="9"/>
            </rPr>
            <t>再購読</t>
          </r>
        </is>
      </c>
      <c r="C14" s="8" t="inlineStr">
        <is>
          <r>
            <rPr>
              <rFont val="游ゴシック"/>
              <sz val="9"/>
            </rPr>
            <t xml:space="preserve">ngày 2026-11-10, </t>
          </r>
          <r>
            <rPr>
              <rFont val="Consolas"/>
              <sz val="9"/>
            </rPr>
            <t>kaishi mới = 2026-12-01</t>
          </r>
          <r>
            <rPr>
              <rFont val="游ゴシック"/>
              <sz val="9"/>
            </rPr>
            <t xml:space="preserve">, </t>
          </r>
          <r>
            <rPr>
              <rFont val="Consolas"/>
              <sz val="9"/>
            </rPr>
            <t>busu = 2</t>
          </r>
        </is>
      </c>
    </row>
    <row r="15">
      <c r="A15" s="8" t="inlineStr">
        <is>
          <r>
            <rPr>
              <rFont val="游ゴシック"/>
              <b val="1"/>
              <sz val="9"/>
            </rPr>
            <t>Đầu-D</t>
          </r>
        </is>
      </c>
      <c r="B15" s="8" t="inlineStr">
        <is>
          <t>Trạng thái ban đầu 電子版</t>
        </is>
      </c>
      <c r="C15" s="8" t="inlineStr">
        <is>
          <r>
            <rPr>
              <rFont val="Consolas"/>
              <sz val="9"/>
            </rPr>
            <t>dokusya_id = 2002</t>
          </r>
          <r>
            <rPr>
              <rFont val="游ゴシック"/>
              <sz val="9"/>
            </rPr>
            <t xml:space="preserve"> 佐藤花子, tạo 2026-07-26, </t>
          </r>
          <r>
            <rPr>
              <rFont val="Consolas"/>
              <sz val="9"/>
            </rPr>
            <t>denshi_kaiin_id = 88123</t>
          </r>
        </is>
      </c>
    </row>
    <row r="16">
      <c r="A16" s="8" t="inlineStr">
        <is>
          <r>
            <rPr>
              <rFont val="游ゴシック"/>
              <b val="1"/>
              <sz val="9"/>
            </rPr>
            <t>D1</t>
          </r>
        </is>
      </c>
      <c r="B16" s="8" t="inlineStr">
        <is>
          <t>Tạo mới 電子版</t>
        </is>
      </c>
      <c r="C16" s="8" t="inlineStr">
        <is>
          <r>
            <rPr>
              <rFont val="游ゴシック"/>
              <sz val="9"/>
            </rPr>
            <t xml:space="preserve">ngày 2026-07-26, </t>
          </r>
          <r>
            <rPr>
              <rFont val="Consolas"/>
              <sz val="9"/>
            </rPr>
            <t>kaishi = 2026-07-26</t>
          </r>
        </is>
      </c>
    </row>
    <row r="17">
      <c r="A17" s="8" t="inlineStr">
        <is>
          <r>
            <rPr>
              <rFont val="游ゴシック"/>
              <b val="1"/>
              <sz val="9"/>
            </rPr>
            <t>D2</t>
          </r>
        </is>
      </c>
      <c r="B17" s="8" t="inlineStr">
        <is>
          <t>Sửa cửa hàng</t>
        </is>
      </c>
      <c r="C17" s="8" t="inlineStr">
        <is>
          <r>
            <rPr>
              <rFont val="Consolas"/>
              <sz val="9"/>
            </rPr>
            <t>301 → 305</t>
          </r>
          <r>
            <rPr>
              <rFont val="游ゴシック"/>
              <sz val="9"/>
            </rPr>
            <t xml:space="preserve">, </t>
          </r>
          <r>
            <rPr>
              <rFont val="Consolas"/>
              <sz val="9"/>
            </rPr>
            <t>today</t>
          </r>
        </is>
      </c>
    </row>
    <row r="18">
      <c r="A18" s="8" t="inlineStr">
        <is>
          <r>
            <rPr>
              <rFont val="游ゴシック"/>
              <b val="1"/>
              <sz val="9"/>
            </rPr>
            <t>D3</t>
          </r>
        </is>
      </c>
      <c r="B18" s="8" t="inlineStr">
        <is>
          <t>Sửa địa chỉ</t>
        </is>
      </c>
      <c r="C18" s="8" t="inlineStr">
        <is>
          <r>
            <rPr>
              <rFont val="Consolas"/>
              <sz val="9"/>
            </rPr>
            <t>chome_banchi: 内丸5-6 → 大通1-1</t>
          </r>
          <r>
            <rPr>
              <rFont val="游ゴシック"/>
              <sz val="9"/>
            </rPr>
            <t xml:space="preserve">, </t>
          </r>
          <r>
            <rPr>
              <rFont val="Consolas"/>
              <sz val="9"/>
            </rPr>
            <t>today</t>
          </r>
        </is>
      </c>
    </row>
    <row r="19">
      <c r="A19" s="8" t="inlineStr">
        <is>
          <r>
            <rPr>
              <rFont val="游ゴシック"/>
              <b val="1"/>
              <sz val="9"/>
            </rPr>
            <t>D4</t>
          </r>
        </is>
      </c>
      <c r="B19" s="8" t="inlineStr">
        <is>
          <t>Sửa trường khác</t>
        </is>
      </c>
      <c r="C19" s="8" t="inlineStr">
        <is>
          <r>
            <rPr>
              <rFont val="Consolas"/>
              <sz val="9"/>
            </rPr>
            <t>email: hanako.sato@ → h.sato@example.jp</t>
          </r>
          <r>
            <rPr>
              <rFont val="游ゴシック"/>
              <sz val="9"/>
            </rPr>
            <t xml:space="preserve">, </t>
          </r>
          <r>
            <rPr>
              <rFont val="Consolas"/>
              <sz val="9"/>
            </rPr>
            <t>today</t>
          </r>
        </is>
      </c>
    </row>
    <row r="20">
      <c r="A20" s="8" t="inlineStr">
        <is>
          <r>
            <rPr>
              <rFont val="游ゴシック"/>
              <b val="1"/>
              <sz val="9"/>
            </rPr>
            <t>D5</t>
          </r>
        </is>
      </c>
      <c r="B20" s="8" t="inlineStr">
        <is>
          <r>
            <rPr>
              <rFont val="游ゴシック"/>
              <sz val="9"/>
            </rPr>
            <t xml:space="preserve">Sửa số lượng </t>
          </r>
          <r>
            <rPr>
              <rFont val="Consolas"/>
              <sz val="9"/>
            </rPr>
            <t>1→2</t>
          </r>
        </is>
      </c>
      <c r="C20" s="9" t="inlineStr">
        <is>
          <r>
            <rPr>
              <rFont val="游ゴシック"/>
              <b val="1"/>
              <sz val="9"/>
            </rPr>
            <t>✗ chặn</t>
          </r>
        </is>
      </c>
    </row>
    <row r="21">
      <c r="A21" s="8" t="inlineStr">
        <is>
          <r>
            <rPr>
              <rFont val="游ゴシック"/>
              <b val="1"/>
              <sz val="9"/>
            </rPr>
            <t>D6</t>
          </r>
        </is>
      </c>
      <c r="B21" s="8" t="inlineStr">
        <is>
          <t>Đặt lịch tương lai</t>
        </is>
      </c>
      <c r="C21" s="9" t="inlineStr">
        <is>
          <r>
            <rPr>
              <rFont val="游ゴシック"/>
              <b val="1"/>
              <sz val="9"/>
            </rPr>
            <t>✗ chặn</t>
          </r>
        </is>
      </c>
    </row>
    <row r="22">
      <c r="A22" s="8" t="inlineStr">
        <is>
          <r>
            <rPr>
              <rFont val="游ゴシック"/>
              <b val="1"/>
              <sz val="9"/>
            </rPr>
            <t>D7</t>
          </r>
        </is>
      </c>
      <c r="B22" s="8" t="inlineStr">
        <is>
          <r>
            <rPr>
              <rFont val="游ゴシック"/>
              <sz val="9"/>
            </rPr>
            <t xml:space="preserve">Huỷ lịch sử </t>
          </r>
          <r>
            <rPr>
              <rFont val="Consolas"/>
              <sz val="9"/>
            </rPr>
            <t>取消</t>
          </r>
        </is>
      </c>
      <c r="C22" s="9" t="inlineStr">
        <is>
          <r>
            <rPr>
              <rFont val="游ゴシック"/>
              <b val="1"/>
              <sz val="9"/>
            </rPr>
            <t>✗ chặn</t>
          </r>
        </is>
      </c>
    </row>
    <row r="23">
      <c r="A23" s="8" t="inlineStr">
        <is>
          <r>
            <rPr>
              <rFont val="游ゴシック"/>
              <b val="1"/>
              <sz val="9"/>
            </rPr>
            <t>D8</t>
          </r>
        </is>
      </c>
      <c r="B23" s="8" t="inlineStr">
        <is>
          <t>Dừng thuê bao — Phase 1</t>
        </is>
      </c>
      <c r="C23" s="8" t="inlineStr">
        <is>
          <r>
            <rPr>
              <rFont val="游ゴシック"/>
              <sz val="9"/>
            </rPr>
            <t xml:space="preserve">chọn tháng </t>
          </r>
          <r>
            <rPr>
              <rFont val="Consolas"/>
              <sz val="9"/>
            </rPr>
            <t>2026-09</t>
          </r>
          <r>
            <rPr>
              <rFont val="游ゴシック"/>
              <sz val="9"/>
            </rPr>
            <t xml:space="preserve"> → </t>
          </r>
          <r>
            <rPr>
              <rFont val="Consolas"/>
              <sz val="9"/>
            </rPr>
            <t>chushi = 2026-09-30</t>
          </r>
        </is>
      </c>
    </row>
    <row r="24">
      <c r="A24" s="8" t="inlineStr">
        <is>
          <r>
            <rPr>
              <rFont val="游ゴシック"/>
              <b val="1"/>
              <sz val="9"/>
            </rPr>
            <t>D9</t>
          </r>
        </is>
      </c>
      <c r="B24" s="8" t="inlineStr">
        <is>
          <t>Giải ước — Phase 2 (batch)</t>
        </is>
      </c>
      <c r="C24" s="8" t="inlineStr">
        <is>
          <r>
            <rPr>
              <rFont val="游ゴシック"/>
              <sz val="9"/>
            </rPr>
            <t>batch ngày 2026-10-01 (</t>
          </r>
          <r>
            <rPr>
              <rFont val="Consolas"/>
              <sz val="9"/>
            </rPr>
            <t>chushi &lt;= hôm qua</t>
          </r>
          <r>
            <rPr>
              <rFont val="游ゴシック"/>
              <sz val="9"/>
            </rPr>
            <t>)</t>
          </r>
        </is>
      </c>
    </row>
    <row r="25">
      <c r="A25" s="8" t="inlineStr">
        <is>
          <r>
            <rPr>
              <rFont val="游ゴシック"/>
              <b val="1"/>
              <sz val="9"/>
            </rPr>
            <t>D10</t>
          </r>
        </is>
      </c>
      <c r="B25" s="8" t="inlineStr">
        <is>
          <t>Tái đặt</t>
        </is>
      </c>
      <c r="C25" s="8" t="inlineStr">
        <is>
          <r>
            <rPr>
              <rFont val="Consolas"/>
              <sz val="9"/>
            </rPr>
            <t>kaishi mới = 2026-12-01</t>
          </r>
        </is>
      </c>
    </row>
    <row r="26">
      <c r="A26" s="8" t="inlineStr">
        <is>
          <r>
            <rPr>
              <rFont val="游ゴシック"/>
              <b val="1"/>
              <sz val="9"/>
            </rPr>
            <t>D11</t>
          </r>
        </is>
      </c>
      <c r="B26" s="8" t="inlineStr">
        <is>
          <t>Duyệt</t>
        </is>
      </c>
      <c r="C26" s="8" t="inlineStr">
        <is>
          <r>
            <rPr>
              <rFont val="游ゴシック"/>
              <sz val="9"/>
            </rPr>
            <t xml:space="preserve">trên </t>
          </r>
          <r>
            <rPr>
              <rFont val="Consolas"/>
              <sz val="9"/>
            </rPr>
            <t>2003</t>
          </r>
          <r>
            <rPr>
              <rFont val="游ゴシック"/>
              <sz val="9"/>
            </rPr>
            <t xml:space="preserve"> (inbound tạo, </t>
          </r>
          <r>
            <rPr>
              <rFont val="Consolas"/>
              <sz val="9"/>
            </rPr>
            <t>status = 0</t>
          </r>
          <r>
            <rPr>
              <rFont val="游ゴシック"/>
              <sz val="9"/>
            </rPr>
            <t xml:space="preserve">), kèm </t>
          </r>
          <r>
            <rPr>
              <rFont val="Consolas"/>
              <sz val="9"/>
            </rPr>
            <t>tanka_id = 91</t>
          </r>
        </is>
      </c>
    </row>
    <row r="27">
      <c r="A27" s="8" t="inlineStr">
        <is>
          <r>
            <rPr>
              <rFont val="游ゴシック"/>
              <b val="1"/>
              <sz val="9"/>
            </rPr>
            <t>D12</t>
          </r>
        </is>
      </c>
      <c r="B27" s="8" t="inlineStr">
        <is>
          <t>Từ chối</t>
        </is>
      </c>
      <c r="C27" s="8" t="inlineStr">
        <is>
          <r>
            <rPr>
              <rFont val="游ゴシック"/>
              <sz val="9"/>
            </rPr>
            <t xml:space="preserve">trên </t>
          </r>
          <r>
            <rPr>
              <rFont val="Consolas"/>
              <sz val="9"/>
            </rPr>
            <t>2003</t>
          </r>
        </is>
      </c>
    </row>
    <row r="28">
      <c r="A28" s="8" t="inlineStr">
        <is>
          <r>
            <rPr>
              <rFont val="游ゴシック"/>
              <b val="1"/>
              <sz val="9"/>
            </rPr>
            <t>S1</t>
          </r>
        </is>
      </c>
      <c r="B28" s="8" t="inlineStr">
        <is>
          <t>Đồng bộ inbound — CREATE</t>
        </is>
      </c>
      <c r="C28" s="8" t="inlineStr">
        <is>
          <r>
            <rPr>
              <rFont val="Consolas"/>
              <sz val="9"/>
            </rPr>
            <t>users.id = 88999</t>
          </r>
          <r>
            <rPr>
              <rFont val="游ゴシック"/>
              <sz val="9"/>
            </rPr>
            <t xml:space="preserve"> chưa có bên cloud</t>
          </r>
        </is>
      </c>
    </row>
    <row r="29">
      <c r="A29" s="8" t="inlineStr">
        <is>
          <r>
            <rPr>
              <rFont val="游ゴシック"/>
              <b val="1"/>
              <sz val="9"/>
            </rPr>
            <t>S2</t>
          </r>
        </is>
      </c>
      <c r="B29" s="8" t="inlineStr">
        <is>
          <t>Đồng bộ inbound — UPDATE</t>
        </is>
      </c>
      <c r="C29" s="8" t="inlineStr">
        <is>
          <r>
            <rPr>
              <rFont val="Consolas"/>
              <sz val="9"/>
            </rPr>
            <t>users.88123</t>
          </r>
          <r>
            <rPr>
              <rFont val="游ゴシック"/>
              <sz val="9"/>
            </rPr>
            <t xml:space="preserve">: </t>
          </r>
          <r>
            <rPr>
              <rFont val="Consolas"/>
              <sz val="9"/>
            </rPr>
            <t>city 盛岡市→花巻市</t>
          </r>
          <r>
            <rPr>
              <rFont val="游ゴシック"/>
              <sz val="9"/>
            </rPr>
            <t xml:space="preserve">, </t>
          </r>
          <r>
            <rPr>
              <rFont val="Consolas"/>
              <sz val="9"/>
            </rPr>
            <t>first_name 花子→華子</t>
          </r>
        </is>
      </c>
    </row>
    <row r="31" ht="29" customHeight="1">
      <c r="A31" s="10" t="inlineStr">
        <is>
          <r>
            <rPr>
              <rFont val="Consolas"/>
              <sz val="10"/>
            </rPr>
            <t>—</t>
          </r>
          <r>
            <rPr>
              <rFont val="游ゴシック"/>
              <sz val="10"/>
            </rPr>
            <t xml:space="preserve"> không đổi/không áp dụng · </t>
          </r>
          <r>
            <rPr>
              <rFont val="Consolas"/>
              <sz val="10"/>
            </rPr>
            <t>↩</t>
          </r>
          <r>
            <rPr>
              <rFont val="游ゴシック"/>
              <sz val="10"/>
            </rPr>
            <t xml:space="preserve"> kế thừa nguyên vẹn từ dòng liền trước · </t>
          </r>
          <r>
            <rPr>
              <rFont val="Consolas"/>
              <sz val="10"/>
            </rPr>
            <t>⧗</t>
          </r>
          <r>
            <rPr>
              <rFont val="游ゴシック"/>
              <sz val="10"/>
            </rPr>
            <t xml:space="preserve"> master </t>
          </r>
          <r>
            <rPr>
              <rFont val="游ゴシック"/>
              <b val="1"/>
              <sz val="10"/>
            </rPr>
            <t>chưa</t>
          </r>
          <r>
            <rPr>
              <rFont val="游ゴシック"/>
              <sz val="10"/>
            </rPr>
            <t xml:space="preserve"> đổi, chỉ đổi khi batch chạy vào ngày áp dụng · </t>
          </r>
          <r>
            <rPr>
              <rFont val="Consolas"/>
              <sz val="10"/>
            </rPr>
            <t>✗</t>
          </r>
          <r>
            <rPr>
              <rFont val="游ゴシック"/>
              <sz val="10"/>
            </rPr>
            <t xml:space="preserve"> bị chặn</t>
          </r>
        </is>
      </c>
    </row>
  </sheetData>
  <mergeCells count="2">
    <mergeCell ref="A31:H3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6"/>
  <sheetViews>
    <sheetView showGridLines="0" zoomScale="8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.44" customWidth="1" min="1" max="1"/>
    <col width="22" customWidth="1" min="2" max="2"/>
    <col width="20.72" customWidth="1" min="3" max="3"/>
    <col width="22" customWidth="1" min="4" max="4"/>
    <col width="12.8" customWidth="1" min="5" max="5"/>
    <col width="22" customWidth="1" min="6" max="6"/>
    <col width="20" customWidth="1" min="7" max="7"/>
    <col width="22" customWidth="1" min="8" max="8"/>
    <col width="22" customWidth="1" min="9" max="9"/>
    <col width="22" customWidth="1" min="10" max="10"/>
    <col width="13.52" customWidth="1" min="11" max="11"/>
    <col width="11.36" customWidth="1" min="12" max="12"/>
    <col width="22" customWidth="1" min="13" max="13"/>
    <col width="22" customWidth="1" min="14" max="14"/>
    <col width="12.8" customWidth="1" min="15" max="15"/>
    <col width="22" customWidth="1" min="16" max="16"/>
    <col width="11.36" customWidth="1" min="17" max="17"/>
    <col width="14.96" customWidth="1" min="18" max="18"/>
    <col width="8" customWidth="1" min="19" max="19"/>
    <col width="8" customWidth="1" min="20" max="20"/>
    <col width="8" customWidth="1" min="21" max="21"/>
    <col width="14.96" customWidth="1" min="22" max="22"/>
    <col width="14.24" customWidth="1" min="23" max="23"/>
    <col width="9.92" customWidth="1" min="24" max="24"/>
    <col width="12.8" customWidth="1" min="25" max="25"/>
    <col width="12.8" customWidth="1" min="26" max="26"/>
    <col width="14.24" customWidth="1" min="27" max="27"/>
    <col width="13.52" customWidth="1" min="28" max="28"/>
  </cols>
  <sheetData>
    <row r="1" ht="20" customHeight="1">
      <c r="A1" s="5" t="inlineStr">
        <is>
          <t>Bảng dữ liệu</t>
        </is>
      </c>
      <c r="B1" s="6" t="n"/>
      <c r="C1" s="6" t="n"/>
      <c r="D1" s="6" t="n"/>
      <c r="E1" s="6" t="n"/>
      <c r="F1" s="6" t="n"/>
      <c r="G1" s="6" t="n"/>
      <c r="H1" s="6" t="n"/>
    </row>
    <row r="2" ht="26" customHeight="1">
      <c r="A2" s="7" t="inlineStr">
        <is>
          <t>Trường</t>
        </is>
      </c>
      <c r="B2" s="7" t="inlineStr">
        <is>
          <t>Đầu-P</t>
        </is>
      </c>
      <c r="C2" s="7" t="inlineStr">
        <is>
          <t>P1</t>
        </is>
      </c>
      <c r="D2" s="7" t="inlineStr">
        <is>
          <t>P2</t>
        </is>
      </c>
      <c r="E2" s="7" t="inlineStr">
        <is>
          <t>P3</t>
        </is>
      </c>
      <c r="F2" s="7" t="inlineStr">
        <is>
          <t>P4</t>
        </is>
      </c>
      <c r="G2" s="7" t="inlineStr">
        <is>
          <t>P5</t>
        </is>
      </c>
      <c r="H2" s="7" t="inlineStr">
        <is>
          <t>P6</t>
        </is>
      </c>
      <c r="I2" s="7" t="inlineStr">
        <is>
          <t>P7</t>
        </is>
      </c>
      <c r="J2" s="7" t="inlineStr">
        <is>
          <t>P8</t>
        </is>
      </c>
      <c r="K2" s="7" t="inlineStr">
        <is>
          <t>P9</t>
        </is>
      </c>
      <c r="L2" s="7" t="inlineStr">
        <is>
          <t>P10</t>
        </is>
      </c>
      <c r="M2" s="7" t="inlineStr">
        <is>
          <t>P11</t>
        </is>
      </c>
      <c r="N2" s="7" t="inlineStr">
        <is>
          <t>Đầu-D</t>
        </is>
      </c>
      <c r="O2" s="7" t="inlineStr">
        <is>
          <t>D1</t>
        </is>
      </c>
      <c r="P2" s="7" t="inlineStr">
        <is>
          <t>D2</t>
        </is>
      </c>
      <c r="Q2" s="7" t="inlineStr">
        <is>
          <t>D3</t>
        </is>
      </c>
      <c r="R2" s="7" t="inlineStr">
        <is>
          <t>D4</t>
        </is>
      </c>
      <c r="S2" s="7" t="inlineStr">
        <is>
          <t>D5</t>
        </is>
      </c>
      <c r="T2" s="7" t="inlineStr">
        <is>
          <t>D6</t>
        </is>
      </c>
      <c r="U2" s="7" t="inlineStr">
        <is>
          <t>D7</t>
        </is>
      </c>
      <c r="V2" s="7" t="inlineStr">
        <is>
          <t>D8</t>
        </is>
      </c>
      <c r="W2" s="7" t="inlineStr">
        <is>
          <t>D9</t>
        </is>
      </c>
      <c r="X2" s="7" t="inlineStr">
        <is>
          <t>D10</t>
        </is>
      </c>
      <c r="Y2" s="7" t="inlineStr">
        <is>
          <t>D11</t>
        </is>
      </c>
      <c r="Z2" s="7" t="inlineStr">
        <is>
          <t>D12</t>
        </is>
      </c>
      <c r="AA2" s="7" t="inlineStr">
        <is>
          <t>S1</t>
        </is>
      </c>
      <c r="AB2" s="7" t="inlineStr">
        <is>
          <t>S2</t>
        </is>
      </c>
    </row>
    <row r="3">
      <c r="A3" s="8" t="inlineStr">
        <is>
          <r>
            <rPr>
              <rFont val="游ゴシック"/>
              <b val="1"/>
              <sz val="9"/>
            </rPr>
            <t>Thực hiện được?</t>
          </r>
        </is>
      </c>
      <c r="B3" s="11" t="inlineStr"/>
      <c r="C3" s="12" t="inlineStr">
        <is>
          <t>✓</t>
        </is>
      </c>
      <c r="D3" s="12" t="inlineStr">
        <is>
          <t>✓ ⁽ᵃ⁾</t>
        </is>
      </c>
      <c r="E3" s="12" t="inlineStr">
        <is>
          <t>✓ ⁽ᵃ⁾</t>
        </is>
      </c>
      <c r="F3" s="12" t="inlineStr">
        <is>
          <t>✓ ⁽ᵃ⁾</t>
        </is>
      </c>
      <c r="G3" s="12" t="inlineStr">
        <is>
          <t>✓ ⁽ᵃ⁾</t>
        </is>
      </c>
      <c r="H3" s="12" t="inlineStr">
        <is>
          <t>✓</t>
        </is>
      </c>
      <c r="I3" s="12" t="inlineStr">
        <is>
          <t>✓</t>
        </is>
      </c>
      <c r="J3" s="12" t="inlineStr">
        <is>
          <t>✓</t>
        </is>
      </c>
      <c r="K3" s="12" t="inlineStr">
        <is>
          <t>✓</t>
        </is>
      </c>
      <c r="L3" s="12" t="inlineStr">
        <is>
          <t>✓</t>
        </is>
      </c>
      <c r="M3" s="12" t="inlineStr">
        <is>
          <t>✓</t>
        </is>
      </c>
      <c r="N3" s="11" t="inlineStr"/>
      <c r="O3" s="12" t="inlineStr">
        <is>
          <t>✓</t>
        </is>
      </c>
      <c r="P3" s="12" t="inlineStr">
        <is>
          <t>✓</t>
        </is>
      </c>
      <c r="Q3" s="12" t="inlineStr">
        <is>
          <t>✓</t>
        </is>
      </c>
      <c r="R3" s="12" t="inlineStr">
        <is>
          <t>✓</t>
        </is>
      </c>
      <c r="S3" s="13" t="inlineStr">
        <is>
          <r>
            <rPr>
              <rFont val="游ゴシック"/>
              <b val="1"/>
              <sz val="9"/>
            </rPr>
            <t>✗</t>
          </r>
          <r>
            <rPr>
              <rFont val="游ゴシック"/>
              <sz val="9"/>
            </rPr>
            <t xml:space="preserve"> ⁽ᵇ⁾</t>
          </r>
        </is>
      </c>
      <c r="T3" s="13" t="inlineStr">
        <is>
          <r>
            <rPr>
              <rFont val="游ゴシック"/>
              <b val="1"/>
              <sz val="9"/>
            </rPr>
            <t>✗</t>
          </r>
          <r>
            <rPr>
              <rFont val="游ゴシック"/>
              <sz val="9"/>
            </rPr>
            <t xml:space="preserve"> ⁽ᶜ⁾</t>
          </r>
        </is>
      </c>
      <c r="U3" s="13" t="inlineStr">
        <is>
          <r>
            <rPr>
              <rFont val="游ゴシック"/>
              <b val="1"/>
              <sz val="9"/>
            </rPr>
            <t>✗</t>
          </r>
          <r>
            <rPr>
              <rFont val="游ゴシック"/>
              <sz val="9"/>
            </rPr>
            <t xml:space="preserve"> ⁽ᵈ⁾</t>
          </r>
        </is>
      </c>
      <c r="V3" s="12" t="inlineStr">
        <is>
          <t>✓</t>
        </is>
      </c>
      <c r="W3" s="12" t="inlineStr">
        <is>
          <t>✓</t>
        </is>
      </c>
      <c r="X3" s="12" t="inlineStr">
        <is>
          <t>✓</t>
        </is>
      </c>
      <c r="Y3" s="12" t="inlineStr">
        <is>
          <t>✓</t>
        </is>
      </c>
      <c r="Z3" s="12" t="inlineStr">
        <is>
          <t>✓</t>
        </is>
      </c>
      <c r="AA3" s="12" t="inlineStr">
        <is>
          <t>✓</t>
        </is>
      </c>
      <c r="AB3" s="12" t="inlineStr">
        <is>
          <t>✓</t>
        </is>
      </c>
    </row>
    <row r="4">
      <c r="A4" s="14" t="inlineStr">
        <is>
          <r>
            <rPr>
              <rFont val="游ゴシック"/>
              <b val="1"/>
              <sz val="9"/>
            </rPr>
            <t xml:space="preserve">━━ </t>
          </r>
          <r>
            <rPr>
              <rFont val="Consolas"/>
              <b val="1"/>
              <sz val="9"/>
            </rPr>
            <t>t_dokusya</t>
          </r>
          <r>
            <rPr>
              <rFont val="游ゴシック"/>
              <b val="1"/>
              <sz val="9"/>
            </rPr>
            <t xml:space="preserve"> (master) ━━</t>
          </r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</row>
    <row r="5">
      <c r="A5" s="8" t="inlineStr">
        <is>
          <r>
            <rPr>
              <rFont val="Consolas"/>
              <sz val="9"/>
            </rPr>
            <t>dokusya_id</t>
          </r>
        </is>
      </c>
      <c r="B5" s="11" t="inlineStr">
        <is>
          <t>1001</t>
        </is>
      </c>
      <c r="C5" s="11">
        <f>1001</f>
        <v/>
      </c>
      <c r="D5" s="16" t="inlineStr">
        <is>
          <t>—</t>
        </is>
      </c>
      <c r="E5" s="16" t="inlineStr">
        <is>
          <t>—</t>
        </is>
      </c>
      <c r="F5" s="16" t="inlineStr">
        <is>
          <t>—</t>
        </is>
      </c>
      <c r="G5" s="16" t="inlineStr">
        <is>
          <t>—</t>
        </is>
      </c>
      <c r="H5" s="16" t="inlineStr">
        <is>
          <t>—</t>
        </is>
      </c>
      <c r="I5" s="16" t="inlineStr">
        <is>
          <t>—</t>
        </is>
      </c>
      <c r="J5" s="16" t="inlineStr">
        <is>
          <t>—</t>
        </is>
      </c>
      <c r="K5" s="16" t="inlineStr">
        <is>
          <t>—</t>
        </is>
      </c>
      <c r="L5" s="16" t="inlineStr">
        <is>
          <t>—</t>
        </is>
      </c>
      <c r="M5" s="16" t="inlineStr">
        <is>
          <t>—</t>
        </is>
      </c>
      <c r="N5" s="11" t="inlineStr">
        <is>
          <t>2002</t>
        </is>
      </c>
      <c r="O5" s="11">
        <f>2002</f>
        <v/>
      </c>
      <c r="P5" s="16" t="inlineStr">
        <is>
          <t>—</t>
        </is>
      </c>
      <c r="Q5" s="16" t="inlineStr">
        <is>
          <t>—</t>
        </is>
      </c>
      <c r="R5" s="16" t="inlineStr">
        <is>
          <t>—</t>
        </is>
      </c>
      <c r="S5" s="13" t="inlineStr">
        <is>
          <t>✗</t>
        </is>
      </c>
      <c r="T5" s="13" t="inlineStr">
        <is>
          <t>✗</t>
        </is>
      </c>
      <c r="U5" s="13" t="inlineStr">
        <is>
          <t>✗</t>
        </is>
      </c>
      <c r="V5" s="16" t="inlineStr">
        <is>
          <t>—</t>
        </is>
      </c>
      <c r="W5" s="16" t="inlineStr">
        <is>
          <t>—</t>
        </is>
      </c>
      <c r="X5" s="16" t="inlineStr">
        <is>
          <t>—</t>
        </is>
      </c>
      <c r="Y5" s="11" t="inlineStr">
        <is>
          <t>2003</t>
        </is>
      </c>
      <c r="Z5" s="11" t="inlineStr">
        <is>
          <t>2003</t>
        </is>
      </c>
      <c r="AA5" s="11">
        <f>2010</f>
        <v/>
      </c>
      <c r="AB5" s="16" t="inlineStr">
        <is>
          <t>—</t>
        </is>
      </c>
    </row>
    <row r="6">
      <c r="A6" s="8" t="inlineStr">
        <is>
          <r>
            <rPr>
              <rFont val="Consolas"/>
              <sz val="9"/>
            </rPr>
            <t>dokusya_shubetsu</t>
          </r>
        </is>
      </c>
      <c r="B6" s="11" t="inlineStr">
        <is>
          <t>1</t>
        </is>
      </c>
      <c r="C6" s="11">
        <f>1</f>
        <v/>
      </c>
      <c r="D6" s="16" t="inlineStr">
        <is>
          <t>—</t>
        </is>
      </c>
      <c r="E6" s="16" t="inlineStr">
        <is>
          <t>—</t>
        </is>
      </c>
      <c r="F6" s="16" t="inlineStr">
        <is>
          <t>—</t>
        </is>
      </c>
      <c r="G6" s="16" t="inlineStr">
        <is>
          <t>—</t>
        </is>
      </c>
      <c r="H6" s="16" t="inlineStr">
        <is>
          <t>—</t>
        </is>
      </c>
      <c r="I6" s="16" t="inlineStr">
        <is>
          <t>—</t>
        </is>
      </c>
      <c r="J6" s="16" t="inlineStr">
        <is>
          <t>—</t>
        </is>
      </c>
      <c r="K6" s="16" t="inlineStr">
        <is>
          <t>—</t>
        </is>
      </c>
      <c r="L6" s="16" t="inlineStr">
        <is>
          <t>—</t>
        </is>
      </c>
      <c r="M6" s="16" t="inlineStr">
        <is>
          <t>—</t>
        </is>
      </c>
      <c r="N6" s="11" t="inlineStr">
        <is>
          <t>2</t>
        </is>
      </c>
      <c r="O6" s="11">
        <f>2</f>
        <v/>
      </c>
      <c r="P6" s="16" t="inlineStr">
        <is>
          <t>—</t>
        </is>
      </c>
      <c r="Q6" s="16" t="inlineStr">
        <is>
          <t>—</t>
        </is>
      </c>
      <c r="R6" s="16" t="inlineStr">
        <is>
          <t>—</t>
        </is>
      </c>
      <c r="S6" s="13" t="inlineStr">
        <is>
          <t>✗</t>
        </is>
      </c>
      <c r="T6" s="13" t="inlineStr">
        <is>
          <t>✗</t>
        </is>
      </c>
      <c r="U6" s="13" t="inlineStr">
        <is>
          <t>✗</t>
        </is>
      </c>
      <c r="V6" s="16" t="inlineStr">
        <is>
          <t>—</t>
        </is>
      </c>
      <c r="W6" s="16" t="inlineStr">
        <is>
          <t>—</t>
        </is>
      </c>
      <c r="X6" s="16" t="inlineStr">
        <is>
          <t>—</t>
        </is>
      </c>
      <c r="Y6" s="16" t="inlineStr">
        <is>
          <t>—</t>
        </is>
      </c>
      <c r="Z6" s="16" t="inlineStr">
        <is>
          <t>—</t>
        </is>
      </c>
      <c r="AA6" s="11">
        <f>2</f>
        <v/>
      </c>
      <c r="AB6" s="12" t="inlineStr">
        <is>
          <t>✅ ghi đè</t>
        </is>
      </c>
    </row>
    <row r="7">
      <c r="A7" s="8" t="inlineStr">
        <is>
          <r>
            <rPr>
              <rFont val="Consolas"/>
              <sz val="9"/>
            </rPr>
            <t>tetsuzuki_shurui</t>
          </r>
        </is>
      </c>
      <c r="B7" s="11" t="inlineStr">
        <is>
          <t>1</t>
        </is>
      </c>
      <c r="C7" s="11">
        <f>1</f>
        <v/>
      </c>
      <c r="D7" s="16" t="inlineStr">
        <is>
          <t>—</t>
        </is>
      </c>
      <c r="E7" s="16" t="inlineStr">
        <is>
          <t>—</t>
        </is>
      </c>
      <c r="F7" s="16" t="inlineStr">
        <is>
          <t>—</t>
        </is>
      </c>
      <c r="G7" s="16" t="inlineStr">
        <is>
          <t>—</t>
        </is>
      </c>
      <c r="H7" s="16" t="inlineStr">
        <is>
          <t>—</t>
        </is>
      </c>
      <c r="I7" s="16" t="inlineStr">
        <is>
          <t>—</t>
        </is>
      </c>
      <c r="J7" s="16" t="inlineStr">
        <is>
          <t>—</t>
        </is>
      </c>
      <c r="K7" s="11" t="inlineStr">
        <is>
          <r>
            <rPr>
              <rFont val="游ゴシック"/>
              <b val="1"/>
              <sz val="9"/>
            </rPr>
            <t>1</t>
          </r>
          <r>
            <rPr>
              <rFont val="游ゴシック"/>
              <sz val="9"/>
            </rPr>
            <t xml:space="preserve"> ⁽ᵉ⁾</t>
          </r>
        </is>
      </c>
      <c r="L7" s="11" t="inlineStr">
        <is>
          <r>
            <rPr>
              <rFont val="游ゴシック"/>
              <b val="1"/>
              <sz val="9"/>
            </rPr>
            <t>1→0</t>
          </r>
        </is>
      </c>
      <c r="M7" s="11" t="inlineStr">
        <is>
          <r>
            <rPr>
              <rFont val="游ゴシック"/>
              <b val="1"/>
              <sz val="9"/>
            </rPr>
            <t>0→1</t>
          </r>
        </is>
      </c>
      <c r="N7" s="11" t="inlineStr">
        <is>
          <t>1</t>
        </is>
      </c>
      <c r="O7" s="11">
        <f>1</f>
        <v/>
      </c>
      <c r="P7" s="16" t="inlineStr">
        <is>
          <t>—</t>
        </is>
      </c>
      <c r="Q7" s="16" t="inlineStr">
        <is>
          <t>—</t>
        </is>
      </c>
      <c r="R7" s="16" t="inlineStr">
        <is>
          <t>—</t>
        </is>
      </c>
      <c r="S7" s="13" t="inlineStr">
        <is>
          <t>✗</t>
        </is>
      </c>
      <c r="T7" s="13" t="inlineStr">
        <is>
          <t>✗</t>
        </is>
      </c>
      <c r="U7" s="13" t="inlineStr">
        <is>
          <t>✗</t>
        </is>
      </c>
      <c r="V7" s="11" t="inlineStr">
        <is>
          <r>
            <rPr>
              <rFont val="游ゴシック"/>
              <b val="1"/>
              <sz val="9"/>
            </rPr>
            <t>1</t>
          </r>
          <r>
            <rPr>
              <rFont val="游ゴシック"/>
              <sz val="9"/>
            </rPr>
            <t xml:space="preserve"> ⁽ᵉ⁾</t>
          </r>
        </is>
      </c>
      <c r="W7" s="11" t="inlineStr">
        <is>
          <r>
            <rPr>
              <rFont val="游ゴシック"/>
              <b val="1"/>
              <sz val="9"/>
            </rPr>
            <t>1→0</t>
          </r>
        </is>
      </c>
      <c r="X7" s="11" t="inlineStr">
        <is>
          <r>
            <rPr>
              <rFont val="游ゴシック"/>
              <b val="1"/>
              <sz val="9"/>
            </rPr>
            <t>0→1</t>
          </r>
        </is>
      </c>
      <c r="Y7" s="16" t="inlineStr">
        <is>
          <t>—</t>
        </is>
      </c>
      <c r="Z7" s="16" t="inlineStr">
        <is>
          <t>—</t>
        </is>
      </c>
      <c r="AA7" s="11">
        <f>1</f>
        <v/>
      </c>
      <c r="AB7" s="12" t="inlineStr">
        <is>
          <t>✅</t>
        </is>
      </c>
    </row>
    <row r="8">
      <c r="A8" s="8" t="inlineStr">
        <is>
          <r>
            <rPr>
              <rFont val="Consolas"/>
              <sz val="9"/>
            </rPr>
            <t>dokusya_busu</t>
          </r>
        </is>
      </c>
      <c r="B8" s="11" t="inlineStr">
        <is>
          <t>2</t>
        </is>
      </c>
      <c r="C8" s="11">
        <f>2</f>
        <v/>
      </c>
      <c r="D8" s="17" t="inlineStr">
        <is>
          <t>⧗ 2→3</t>
        </is>
      </c>
      <c r="E8" s="11" t="inlineStr">
        <is>
          <t>2</t>
        </is>
      </c>
      <c r="F8" s="11" t="inlineStr">
        <is>
          <t>2</t>
        </is>
      </c>
      <c r="G8" s="11" t="inlineStr">
        <is>
          <t>2</t>
        </is>
      </c>
      <c r="H8" s="11" t="inlineStr">
        <is>
          <t>2</t>
        </is>
      </c>
      <c r="I8" s="17" t="inlineStr">
        <is>
          <t>⧗ 2 ⁽ᶠ⁾</t>
        </is>
      </c>
      <c r="J8" s="11" t="inlineStr">
        <is>
          <t>2</t>
        </is>
      </c>
      <c r="K8" s="11" t="inlineStr">
        <is>
          <t>2</t>
        </is>
      </c>
      <c r="L8" s="11" t="inlineStr">
        <is>
          <r>
            <rPr>
              <rFont val="游ゴシック"/>
              <b val="1"/>
              <sz val="9"/>
            </rPr>
            <t>2→0</t>
          </r>
        </is>
      </c>
      <c r="M8" s="11" t="inlineStr">
        <is>
          <t>→2</t>
        </is>
      </c>
      <c r="N8" s="11" t="inlineStr">
        <is>
          <t>1</t>
        </is>
      </c>
      <c r="O8" s="11">
        <f>1</f>
        <v/>
      </c>
      <c r="P8" s="11" t="inlineStr">
        <is>
          <t>1</t>
        </is>
      </c>
      <c r="Q8" s="11" t="inlineStr">
        <is>
          <t>1</t>
        </is>
      </c>
      <c r="R8" s="11" t="inlineStr">
        <is>
          <t>1</t>
        </is>
      </c>
      <c r="S8" s="13" t="inlineStr">
        <is>
          <t>✗</t>
        </is>
      </c>
      <c r="T8" s="13" t="inlineStr">
        <is>
          <t>✗</t>
        </is>
      </c>
      <c r="U8" s="13" t="inlineStr">
        <is>
          <t>✗</t>
        </is>
      </c>
      <c r="V8" s="11" t="inlineStr">
        <is>
          <t>1</t>
        </is>
      </c>
      <c r="W8" s="11" t="inlineStr">
        <is>
          <r>
            <rPr>
              <rFont val="游ゴシック"/>
              <b val="1"/>
              <sz val="9"/>
            </rPr>
            <t>1→0</t>
          </r>
        </is>
      </c>
      <c r="X8" s="11" t="inlineStr">
        <is>
          <t>→1</t>
        </is>
      </c>
      <c r="Y8" s="16" t="inlineStr">
        <is>
          <t>—</t>
        </is>
      </c>
      <c r="Z8" s="16" t="inlineStr">
        <is>
          <t>—</t>
        </is>
      </c>
      <c r="AA8" s="11">
        <f>1</f>
        <v/>
      </c>
      <c r="AB8" s="13" t="inlineStr">
        <is>
          <t>❌ giữ</t>
        </is>
      </c>
    </row>
    <row r="9">
      <c r="A9" s="8" t="inlineStr">
        <is>
          <r>
            <rPr>
              <rFont val="Consolas"/>
              <sz val="9"/>
            </rPr>
            <t>hanbaiten_id</t>
          </r>
        </is>
      </c>
      <c r="B9" s="11" t="inlineStr">
        <is>
          <t>301</t>
        </is>
      </c>
      <c r="C9" s="11">
        <f>301</f>
        <v/>
      </c>
      <c r="D9" s="11" t="inlineStr">
        <is>
          <t>301</t>
        </is>
      </c>
      <c r="E9" s="17" t="inlineStr">
        <is>
          <t>⧗ 301→305</t>
        </is>
      </c>
      <c r="F9" s="11" t="inlineStr">
        <is>
          <t>301</t>
        </is>
      </c>
      <c r="G9" s="11" t="inlineStr">
        <is>
          <t>301</t>
        </is>
      </c>
      <c r="H9" s="11" t="inlineStr">
        <is>
          <t>301</t>
        </is>
      </c>
      <c r="I9" s="17" t="inlineStr">
        <is>
          <t>⧗ 301→305 ⁽ᶠ⁾</t>
        </is>
      </c>
      <c r="J9" s="11" t="inlineStr">
        <is>
          <t>301</t>
        </is>
      </c>
      <c r="K9" s="11" t="inlineStr">
        <is>
          <t>301</t>
        </is>
      </c>
      <c r="L9" s="11" t="inlineStr">
        <is>
          <t>301</t>
        </is>
      </c>
      <c r="M9" s="11" t="inlineStr">
        <is>
          <t>301</t>
        </is>
      </c>
      <c r="N9" s="11" t="inlineStr">
        <is>
          <t>301</t>
        </is>
      </c>
      <c r="O9" s="11">
        <f>301</f>
        <v/>
      </c>
      <c r="P9" s="11" t="inlineStr">
        <is>
          <r>
            <rPr>
              <rFont val="游ゴシック"/>
              <b val="1"/>
              <sz val="9"/>
            </rPr>
            <t>301→305</t>
          </r>
        </is>
      </c>
      <c r="Q9" s="11" t="inlineStr">
        <is>
          <t>305</t>
        </is>
      </c>
      <c r="R9" s="11" t="inlineStr">
        <is>
          <t>305</t>
        </is>
      </c>
      <c r="S9" s="13" t="inlineStr">
        <is>
          <t>✗</t>
        </is>
      </c>
      <c r="T9" s="13" t="inlineStr">
        <is>
          <t>✗</t>
        </is>
      </c>
      <c r="U9" s="13" t="inlineStr">
        <is>
          <t>✗</t>
        </is>
      </c>
      <c r="V9" s="11" t="inlineStr">
        <is>
          <t>305</t>
        </is>
      </c>
      <c r="W9" s="11" t="inlineStr">
        <is>
          <t>305</t>
        </is>
      </c>
      <c r="X9" s="11" t="inlineStr">
        <is>
          <t>305</t>
        </is>
      </c>
      <c r="Y9" s="16" t="inlineStr">
        <is>
          <t>—</t>
        </is>
      </c>
      <c r="Z9" s="16" t="inlineStr">
        <is>
          <t>—</t>
        </is>
      </c>
      <c r="AA9" s="11" t="inlineStr">
        <is>
          <r>
            <rPr>
              <rFont val="游ゴシック"/>
              <sz val="9"/>
            </rPr>
            <t xml:space="preserve">resolve từ </t>
          </r>
          <r>
            <rPr>
              <rFont val="Consolas"/>
              <sz val="9"/>
            </rPr>
            <t>ShopCd</t>
          </r>
        </is>
      </c>
      <c r="AB9" s="13" t="inlineStr">
        <is>
          <t>❌ giữ 305</t>
        </is>
      </c>
    </row>
    <row r="10">
      <c r="A10" s="8" t="inlineStr">
        <is>
          <r>
            <rPr>
              <rFont val="Consolas"/>
              <sz val="9"/>
            </rPr>
            <t>yubin_no</t>
          </r>
          <r>
            <rPr>
              <rFont val="游ゴシック"/>
              <sz val="9"/>
            </rPr>
            <t>/</t>
          </r>
          <r>
            <rPr>
              <rFont val="Consolas"/>
              <sz val="9"/>
            </rPr>
            <t>todofuken</t>
          </r>
          <r>
            <rPr>
              <rFont val="游ゴシック"/>
              <sz val="9"/>
            </rPr>
            <t>/</t>
          </r>
          <r>
            <rPr>
              <rFont val="Consolas"/>
              <sz val="9"/>
            </rPr>
            <t>shikuchoson</t>
          </r>
          <r>
            <rPr>
              <rFont val="游ゴシック"/>
              <sz val="9"/>
            </rPr>
            <t>/</t>
          </r>
          <r>
            <rPr>
              <rFont val="Consolas"/>
              <sz val="9"/>
            </rPr>
            <t>chome_banchi</t>
          </r>
          <r>
            <rPr>
              <rFont val="游ゴシック"/>
              <sz val="9"/>
            </rPr>
            <t>/</t>
          </r>
          <r>
            <rPr>
              <rFont val="Consolas"/>
              <sz val="9"/>
            </rPr>
            <t>tatemono</t>
          </r>
        </is>
      </c>
      <c r="B10" s="11" t="inlineStr">
        <is>
          <t>0201234/03/盛岡市/中央通1-2-3/''</t>
        </is>
      </c>
      <c r="C10" s="11">
        <f>đầu</f>
        <v/>
      </c>
      <c r="D10" s="16" t="inlineStr">
        <is>
          <t>—</t>
        </is>
      </c>
      <c r="E10" s="16" t="inlineStr">
        <is>
          <t>—</t>
        </is>
      </c>
      <c r="F10" s="17" t="inlineStr">
        <is>
          <t>⧗ chome→大通2-5-1</t>
        </is>
      </c>
      <c r="G10" s="16" t="inlineStr">
        <is>
          <t>—</t>
        </is>
      </c>
      <c r="H10" s="16" t="inlineStr">
        <is>
          <t>—</t>
        </is>
      </c>
      <c r="I10" s="16" t="inlineStr">
        <is>
          <t>—</t>
        </is>
      </c>
      <c r="J10" s="16" t="inlineStr">
        <is>
          <t>—</t>
        </is>
      </c>
      <c r="K10" s="16" t="inlineStr">
        <is>
          <t>—</t>
        </is>
      </c>
      <c r="L10" s="16" t="inlineStr">
        <is>
          <t>—</t>
        </is>
      </c>
      <c r="M10" s="16" t="inlineStr">
        <is>
          <t>—</t>
        </is>
      </c>
      <c r="N10" s="11" t="inlineStr">
        <is>
          <t>0200023/03/盛岡市/内丸5-6/''</t>
        </is>
      </c>
      <c r="O10" s="11">
        <f>đầu</f>
        <v/>
      </c>
      <c r="P10" s="16" t="inlineStr">
        <is>
          <t>—</t>
        </is>
      </c>
      <c r="Q10" s="11" t="inlineStr">
        <is>
          <r>
            <rPr>
              <rFont val="游ゴシック"/>
              <b val="1"/>
              <sz val="9"/>
            </rPr>
            <t>chome→大通1-1</t>
          </r>
        </is>
      </c>
      <c r="R10" s="16" t="inlineStr">
        <is>
          <t>—</t>
        </is>
      </c>
      <c r="S10" s="13" t="inlineStr">
        <is>
          <t>✗</t>
        </is>
      </c>
      <c r="T10" s="13" t="inlineStr">
        <is>
          <t>✗</t>
        </is>
      </c>
      <c r="U10" s="13" t="inlineStr">
        <is>
          <t>✗</t>
        </is>
      </c>
      <c r="V10" s="16" t="inlineStr">
        <is>
          <t>—</t>
        </is>
      </c>
      <c r="W10" s="16" t="inlineStr">
        <is>
          <t>—</t>
        </is>
      </c>
      <c r="X10" s="16" t="inlineStr">
        <is>
          <t>—</t>
        </is>
      </c>
      <c r="Y10" s="16" t="inlineStr">
        <is>
          <t>—</t>
        </is>
      </c>
      <c r="Z10" s="16" t="inlineStr">
        <is>
          <t>—</t>
        </is>
      </c>
      <c r="AA10" s="11" t="inlineStr">
        <is>
          <t>từ view</t>
        </is>
      </c>
      <c r="AB10" s="12" t="inlineStr">
        <is>
          <t>✅ 盛岡市→花巻市</t>
        </is>
      </c>
    </row>
    <row r="11">
      <c r="A11" s="8" t="inlineStr">
        <is>
          <r>
            <rPr>
              <rFont val="Consolas"/>
              <sz val="9"/>
            </rPr>
            <t>haitatsu_same_flg</t>
          </r>
        </is>
      </c>
      <c r="B11" s="11" t="inlineStr">
        <is>
          <t>TRUE</t>
        </is>
      </c>
      <c r="C11" s="11">
        <f>TRUE</f>
        <v/>
      </c>
      <c r="D11" s="16" t="inlineStr">
        <is>
          <t>—</t>
        </is>
      </c>
      <c r="E11" s="16" t="inlineStr">
        <is>
          <t>—</t>
        </is>
      </c>
      <c r="F11" s="11" t="inlineStr">
        <is>
          <t>TRUE</t>
        </is>
      </c>
      <c r="G11" s="17" t="inlineStr">
        <is>
          <r>
            <rPr>
              <rFont val="游ゴシック"/>
              <sz val="9"/>
            </rPr>
            <t xml:space="preserve">⧗ </t>
          </r>
          <r>
            <rPr>
              <rFont val="游ゴシック"/>
              <b val="1"/>
              <sz val="9"/>
            </rPr>
            <t>TRUE→FALSE</t>
          </r>
        </is>
      </c>
      <c r="H11" s="16" t="inlineStr">
        <is>
          <t>—</t>
        </is>
      </c>
      <c r="I11" s="16" t="inlineStr">
        <is>
          <t>—</t>
        </is>
      </c>
      <c r="J11" s="16" t="inlineStr">
        <is>
          <t>—</t>
        </is>
      </c>
      <c r="K11" s="16" t="inlineStr">
        <is>
          <t>—</t>
        </is>
      </c>
      <c r="L11" s="16" t="inlineStr">
        <is>
          <t>—</t>
        </is>
      </c>
      <c r="M11" s="16" t="inlineStr">
        <is>
          <t>—</t>
        </is>
      </c>
      <c r="N11" s="11" t="inlineStr">
        <is>
          <t>TRUE</t>
        </is>
      </c>
      <c r="O11" s="11">
        <f>TRUE</f>
        <v/>
      </c>
      <c r="P11" s="16" t="inlineStr">
        <is>
          <t>—</t>
        </is>
      </c>
      <c r="Q11" s="16" t="inlineStr">
        <is>
          <t>—</t>
        </is>
      </c>
      <c r="R11" s="16" t="inlineStr">
        <is>
          <t>—</t>
        </is>
      </c>
      <c r="S11" s="13" t="inlineStr">
        <is>
          <t>✗</t>
        </is>
      </c>
      <c r="T11" s="13" t="inlineStr">
        <is>
          <t>✗</t>
        </is>
      </c>
      <c r="U11" s="13" t="inlineStr">
        <is>
          <t>✗</t>
        </is>
      </c>
      <c r="V11" s="16" t="inlineStr">
        <is>
          <t>—</t>
        </is>
      </c>
      <c r="W11" s="16" t="inlineStr">
        <is>
          <t>—</t>
        </is>
      </c>
      <c r="X11" s="16" t="inlineStr">
        <is>
          <t>—</t>
        </is>
      </c>
      <c r="Y11" s="16" t="inlineStr">
        <is>
          <t>—</t>
        </is>
      </c>
      <c r="Z11" s="16" t="inlineStr">
        <is>
          <t>—</t>
        </is>
      </c>
      <c r="AA11" s="11" t="inlineStr">
        <is>
          <t>TRUE (電子版)</t>
        </is>
      </c>
      <c r="AB11" s="12" t="inlineStr">
        <is>
          <t>✅</t>
        </is>
      </c>
    </row>
    <row r="12">
      <c r="A12" s="8" t="inlineStr">
        <is>
          <r>
            <rPr>
              <rFont val="Consolas"/>
              <sz val="9"/>
            </rPr>
            <t>haitatsu_yubin_no</t>
          </r>
          <r>
            <rPr>
              <rFont val="游ゴシック"/>
              <sz val="9"/>
            </rPr>
            <t>…</t>
          </r>
          <r>
            <rPr>
              <rFont val="Consolas"/>
              <sz val="9"/>
            </rPr>
            <t>haitatsu_tatemono_mei</t>
          </r>
          <r>
            <rPr>
              <rFont val="游ゴシック"/>
              <sz val="9"/>
            </rPr>
            <t xml:space="preserve"> (5)</t>
          </r>
        </is>
      </c>
      <c r="B12" s="11" t="inlineStr">
        <is>
          <t>'' ×5</t>
        </is>
      </c>
      <c r="C12" s="11">
        <f>''</f>
        <v/>
      </c>
      <c r="D12" s="16" t="inlineStr">
        <is>
          <t>—</t>
        </is>
      </c>
      <c r="E12" s="16" t="inlineStr">
        <is>
          <t>—</t>
        </is>
      </c>
      <c r="F12" s="17" t="inlineStr">
        <is>
          <t>⧗ chome→紺屋町3-1 ⁽ᵍ⁾</t>
        </is>
      </c>
      <c r="G12" s="17" t="inlineStr">
        <is>
          <t>⧗ chome→紺屋町3-1</t>
        </is>
      </c>
      <c r="H12" s="16" t="inlineStr">
        <is>
          <t>—</t>
        </is>
      </c>
      <c r="I12" s="16" t="inlineStr">
        <is>
          <t>—</t>
        </is>
      </c>
      <c r="J12" s="16" t="inlineStr">
        <is>
          <t>—</t>
        </is>
      </c>
      <c r="K12" s="16" t="inlineStr">
        <is>
          <t>—</t>
        </is>
      </c>
      <c r="L12" s="16" t="inlineStr">
        <is>
          <t>—</t>
        </is>
      </c>
      <c r="M12" s="16" t="inlineStr">
        <is>
          <t>—</t>
        </is>
      </c>
      <c r="N12" s="11" t="inlineStr">
        <is>
          <t>'' ×5</t>
        </is>
      </c>
      <c r="O12" s="11">
        <f>''</f>
        <v/>
      </c>
      <c r="P12" s="16" t="inlineStr">
        <is>
          <t>—</t>
        </is>
      </c>
      <c r="Q12" s="16" t="inlineStr">
        <is>
          <t>—</t>
        </is>
      </c>
      <c r="R12" s="16" t="inlineStr">
        <is>
          <t>—</t>
        </is>
      </c>
      <c r="S12" s="13" t="inlineStr">
        <is>
          <t>✗</t>
        </is>
      </c>
      <c r="T12" s="13" t="inlineStr">
        <is>
          <t>✗</t>
        </is>
      </c>
      <c r="U12" s="13" t="inlineStr">
        <is>
          <t>✗</t>
        </is>
      </c>
      <c r="V12" s="16" t="inlineStr">
        <is>
          <t>—</t>
        </is>
      </c>
      <c r="W12" s="16" t="inlineStr">
        <is>
          <t>—</t>
        </is>
      </c>
      <c r="X12" s="16" t="inlineStr">
        <is>
          <t>—</t>
        </is>
      </c>
      <c r="Y12" s="16" t="inlineStr">
        <is>
          <t>—</t>
        </is>
      </c>
      <c r="Z12" s="16" t="inlineStr">
        <is>
          <t>—</t>
        </is>
      </c>
      <c r="AA12" s="11" t="inlineStr">
        <is>
          <t>''</t>
        </is>
      </c>
      <c r="AB12" s="12" t="inlineStr">
        <is>
          <t>✅</t>
        </is>
      </c>
    </row>
    <row r="13">
      <c r="A13" s="8" t="inlineStr">
        <is>
          <r>
            <rPr>
              <rFont val="Consolas"/>
              <sz val="9"/>
            </rPr>
            <t>haitatsu_shimei_*</t>
          </r>
          <r>
            <rPr>
              <rFont val="游ゴシック"/>
              <sz val="9"/>
            </rPr>
            <t>/</t>
          </r>
          <r>
            <rPr>
              <rFont val="Consolas"/>
              <sz val="9"/>
            </rPr>
            <t>haitatsu_renrakusaki_*</t>
          </r>
          <r>
            <rPr>
              <rFont val="游ゴシック"/>
              <sz val="9"/>
            </rPr>
            <t xml:space="preserve"> (6)</t>
          </r>
        </is>
      </c>
      <c r="B13" s="11" t="inlineStr">
        <is>
          <t>'' ×6</t>
        </is>
      </c>
      <c r="C13" s="11">
        <f>''</f>
        <v/>
      </c>
      <c r="D13" s="16" t="inlineStr">
        <is>
          <t>—</t>
        </is>
      </c>
      <c r="E13" s="16" t="inlineStr">
        <is>
          <t>—</t>
        </is>
      </c>
      <c r="F13" s="16" t="inlineStr">
        <is>
          <t>—</t>
        </is>
      </c>
      <c r="G13" s="17" t="inlineStr">
        <is>
          <t>⧗ =NEW</t>
        </is>
      </c>
      <c r="H13" s="16" t="inlineStr">
        <is>
          <t>—</t>
        </is>
      </c>
      <c r="I13" s="16" t="inlineStr">
        <is>
          <t>—</t>
        </is>
      </c>
      <c r="J13" s="16" t="inlineStr">
        <is>
          <t>—</t>
        </is>
      </c>
      <c r="K13" s="16" t="inlineStr">
        <is>
          <t>—</t>
        </is>
      </c>
      <c r="L13" s="16" t="inlineStr">
        <is>
          <t>—</t>
        </is>
      </c>
      <c r="M13" s="16" t="inlineStr">
        <is>
          <t>—</t>
        </is>
      </c>
      <c r="N13" s="11" t="inlineStr">
        <is>
          <t>'' ×6</t>
        </is>
      </c>
      <c r="O13" s="11">
        <f>''</f>
        <v/>
      </c>
      <c r="P13" s="16" t="inlineStr">
        <is>
          <t>—</t>
        </is>
      </c>
      <c r="Q13" s="16" t="inlineStr">
        <is>
          <t>—</t>
        </is>
      </c>
      <c r="R13" s="16" t="inlineStr">
        <is>
          <t>—</t>
        </is>
      </c>
      <c r="S13" s="13" t="inlineStr">
        <is>
          <t>✗</t>
        </is>
      </c>
      <c r="T13" s="13" t="inlineStr">
        <is>
          <t>✗</t>
        </is>
      </c>
      <c r="U13" s="13" t="inlineStr">
        <is>
          <t>✗</t>
        </is>
      </c>
      <c r="V13" s="16" t="inlineStr">
        <is>
          <t>—</t>
        </is>
      </c>
      <c r="W13" s="16" t="inlineStr">
        <is>
          <t>—</t>
        </is>
      </c>
      <c r="X13" s="16" t="inlineStr">
        <is>
          <t>—</t>
        </is>
      </c>
      <c r="Y13" s="16" t="inlineStr">
        <is>
          <t>—</t>
        </is>
      </c>
      <c r="Z13" s="16" t="inlineStr">
        <is>
          <t>—</t>
        </is>
      </c>
      <c r="AA13" s="11" t="inlineStr">
        <is>
          <t>''</t>
        </is>
      </c>
      <c r="AB13" s="13" t="inlineStr">
        <is>
          <r>
            <rPr>
              <rFont val="游ゴシック"/>
              <sz val="9"/>
            </rPr>
            <t xml:space="preserve">❌ </t>
          </r>
          <r>
            <rPr>
              <rFont val="游ゴシック"/>
              <b val="1"/>
              <sz val="9"/>
            </rPr>
            <t>không ghi đè</t>
          </r>
        </is>
      </c>
    </row>
    <row r="14">
      <c r="A14" s="8" t="inlineStr">
        <is>
          <r>
            <rPr>
              <rFont val="Consolas"/>
              <sz val="9"/>
            </rPr>
            <t>renrakusaki_1</t>
          </r>
        </is>
      </c>
      <c r="B14" s="11" t="inlineStr">
        <is>
          <t>019-651-0001</t>
        </is>
      </c>
      <c r="C14" s="11">
        <f>0001</f>
        <v/>
      </c>
      <c r="D14" s="16" t="inlineStr">
        <is>
          <t>—</t>
        </is>
      </c>
      <c r="E14" s="16" t="inlineStr">
        <is>
          <t>—</t>
        </is>
      </c>
      <c r="F14" s="16" t="inlineStr">
        <is>
          <t>—</t>
        </is>
      </c>
      <c r="G14" s="16" t="inlineStr">
        <is>
          <t>—</t>
        </is>
      </c>
      <c r="H14" s="11" t="inlineStr">
        <is>
          <r>
            <rPr>
              <rFont val="游ゴシック"/>
              <b val="1"/>
              <sz val="9"/>
            </rPr>
            <t>→019-651-9999</t>
          </r>
        </is>
      </c>
      <c r="I14" s="16" t="inlineStr">
        <is>
          <t>—</t>
        </is>
      </c>
      <c r="J14" s="16" t="inlineStr">
        <is>
          <t>—</t>
        </is>
      </c>
      <c r="K14" s="16" t="inlineStr">
        <is>
          <t>—</t>
        </is>
      </c>
      <c r="L14" s="16" t="inlineStr">
        <is>
          <t>—</t>
        </is>
      </c>
      <c r="M14" s="16" t="inlineStr">
        <is>
          <t>—</t>
        </is>
      </c>
      <c r="N14" s="11" t="inlineStr">
        <is>
          <t>019-651-0002</t>
        </is>
      </c>
      <c r="O14" s="11">
        <f>0002</f>
        <v/>
      </c>
      <c r="P14" s="16" t="inlineStr">
        <is>
          <t>—</t>
        </is>
      </c>
      <c r="Q14" s="16" t="inlineStr">
        <is>
          <t>—</t>
        </is>
      </c>
      <c r="R14" s="16" t="inlineStr">
        <is>
          <t>—</t>
        </is>
      </c>
      <c r="S14" s="13" t="inlineStr">
        <is>
          <t>✗</t>
        </is>
      </c>
      <c r="T14" s="13" t="inlineStr">
        <is>
          <t>✗</t>
        </is>
      </c>
      <c r="U14" s="13" t="inlineStr">
        <is>
          <t>✗</t>
        </is>
      </c>
      <c r="V14" s="16" t="inlineStr">
        <is>
          <t>—</t>
        </is>
      </c>
      <c r="W14" s="16" t="inlineStr">
        <is>
          <t>—</t>
        </is>
      </c>
      <c r="X14" s="16" t="inlineStr">
        <is>
          <t>—</t>
        </is>
      </c>
      <c r="Y14" s="16" t="inlineStr">
        <is>
          <t>—</t>
        </is>
      </c>
      <c r="Z14" s="16" t="inlineStr">
        <is>
          <t>—</t>
        </is>
      </c>
      <c r="AA14" s="11" t="inlineStr">
        <is>
          <r>
            <rPr>
              <rFont val="游ゴシック"/>
              <sz val="9"/>
            </rPr>
            <t xml:space="preserve">từ </t>
          </r>
          <r>
            <rPr>
              <rFont val="Consolas"/>
              <sz val="9"/>
            </rPr>
            <t>tel1</t>
          </r>
        </is>
      </c>
      <c r="AB14" s="12" t="inlineStr">
        <is>
          <t>✅</t>
        </is>
      </c>
    </row>
    <row r="15">
      <c r="A15" s="8" t="inlineStr">
        <is>
          <r>
            <rPr>
              <rFont val="Consolas"/>
              <sz val="9"/>
            </rPr>
            <t>email</t>
          </r>
        </is>
      </c>
      <c r="B15" s="11" t="inlineStr">
        <is>
          <t>''</t>
        </is>
      </c>
      <c r="C15" s="11">
        <f>''</f>
        <v/>
      </c>
      <c r="D15" s="16" t="inlineStr">
        <is>
          <t>—</t>
        </is>
      </c>
      <c r="E15" s="16" t="inlineStr">
        <is>
          <t>—</t>
        </is>
      </c>
      <c r="F15" s="16" t="inlineStr">
        <is>
          <t>—</t>
        </is>
      </c>
      <c r="G15" s="16" t="inlineStr">
        <is>
          <t>—</t>
        </is>
      </c>
      <c r="H15" s="16" t="inlineStr">
        <is>
          <t>—</t>
        </is>
      </c>
      <c r="I15" s="16" t="inlineStr">
        <is>
          <t>—</t>
        </is>
      </c>
      <c r="J15" s="16" t="inlineStr">
        <is>
          <t>—</t>
        </is>
      </c>
      <c r="K15" s="16" t="inlineStr">
        <is>
          <t>—</t>
        </is>
      </c>
      <c r="L15" s="16" t="inlineStr">
        <is>
          <t>—</t>
        </is>
      </c>
      <c r="M15" s="16" t="inlineStr">
        <is>
          <t>—</t>
        </is>
      </c>
      <c r="N15" s="11" t="inlineStr">
        <is>
          <t>hanako.sato@…</t>
        </is>
      </c>
      <c r="O15" s="11">
        <f>hanako.sato@…</f>
        <v/>
      </c>
      <c r="P15" s="16" t="inlineStr">
        <is>
          <t>—</t>
        </is>
      </c>
      <c r="Q15" s="16" t="inlineStr">
        <is>
          <t>—</t>
        </is>
      </c>
      <c r="R15" s="11" t="inlineStr">
        <is>
          <r>
            <rPr>
              <rFont val="游ゴシック"/>
              <b val="1"/>
              <sz val="9"/>
            </rPr>
            <t>→h.sato@example.jp</t>
          </r>
        </is>
      </c>
      <c r="S15" s="13" t="inlineStr">
        <is>
          <t>✗</t>
        </is>
      </c>
      <c r="T15" s="13" t="inlineStr">
        <is>
          <t>✗</t>
        </is>
      </c>
      <c r="U15" s="13" t="inlineStr">
        <is>
          <t>✗</t>
        </is>
      </c>
      <c r="V15" s="16" t="inlineStr">
        <is>
          <t>—</t>
        </is>
      </c>
      <c r="W15" s="16" t="inlineStr">
        <is>
          <t>—</t>
        </is>
      </c>
      <c r="X15" s="16" t="inlineStr">
        <is>
          <t>—</t>
        </is>
      </c>
      <c r="Y15" s="16" t="inlineStr">
        <is>
          <t>—</t>
        </is>
      </c>
      <c r="Z15" s="16" t="inlineStr">
        <is>
          <t>—</t>
        </is>
      </c>
      <c r="AA15" s="11" t="inlineStr">
        <is>
          <t>bắt buộc</t>
        </is>
      </c>
      <c r="AB15" s="12" t="inlineStr">
        <is>
          <t>✅</t>
        </is>
      </c>
    </row>
    <row r="16">
      <c r="A16" s="8" t="inlineStr">
        <is>
          <r>
            <rPr>
              <rFont val="Consolas"/>
              <sz val="9"/>
            </rPr>
            <t>tanka_id</t>
          </r>
        </is>
      </c>
      <c r="B16" s="11" t="inlineStr">
        <is>
          <t>77</t>
        </is>
      </c>
      <c r="C16" s="11">
        <f>77</f>
        <v/>
      </c>
      <c r="D16" s="16" t="inlineStr">
        <is>
          <t>—</t>
        </is>
      </c>
      <c r="E16" s="16" t="inlineStr">
        <is>
          <t>—</t>
        </is>
      </c>
      <c r="F16" s="16" t="inlineStr">
        <is>
          <t>—</t>
        </is>
      </c>
      <c r="G16" s="16" t="inlineStr">
        <is>
          <t>—</t>
        </is>
      </c>
      <c r="H16" s="16" t="inlineStr">
        <is>
          <t>—</t>
        </is>
      </c>
      <c r="I16" s="16" t="inlineStr">
        <is>
          <t>—</t>
        </is>
      </c>
      <c r="J16" s="16" t="inlineStr">
        <is>
          <t>—</t>
        </is>
      </c>
      <c r="K16" s="16" t="inlineStr">
        <is>
          <t>—</t>
        </is>
      </c>
      <c r="L16" s="16" t="inlineStr">
        <is>
          <t>—</t>
        </is>
      </c>
      <c r="M16" s="16" t="inlineStr">
        <is>
          <t>—</t>
        </is>
      </c>
      <c r="N16" s="11" t="inlineStr">
        <is>
          <t>91</t>
        </is>
      </c>
      <c r="O16" s="11">
        <f>91</f>
        <v/>
      </c>
      <c r="P16" s="16" t="inlineStr">
        <is>
          <t>—</t>
        </is>
      </c>
      <c r="Q16" s="16" t="inlineStr">
        <is>
          <t>—</t>
        </is>
      </c>
      <c r="R16" s="16" t="inlineStr">
        <is>
          <t>—</t>
        </is>
      </c>
      <c r="S16" s="13" t="inlineStr">
        <is>
          <t>✗</t>
        </is>
      </c>
      <c r="T16" s="13" t="inlineStr">
        <is>
          <t>✗</t>
        </is>
      </c>
      <c r="U16" s="13" t="inlineStr">
        <is>
          <t>✗</t>
        </is>
      </c>
      <c r="V16" s="16" t="inlineStr">
        <is>
          <t>—</t>
        </is>
      </c>
      <c r="W16" s="16" t="inlineStr">
        <is>
          <t>—</t>
        </is>
      </c>
      <c r="X16" s="16" t="inlineStr">
        <is>
          <t>—</t>
        </is>
      </c>
      <c r="Y16" s="11" t="inlineStr">
        <is>
          <r>
            <rPr>
              <rFont val="游ゴシック"/>
              <b val="1"/>
              <sz val="9"/>
            </rPr>
            <t>NULL→91</t>
          </r>
        </is>
      </c>
      <c r="Z16" s="16" t="inlineStr">
        <is>
          <t>—</t>
        </is>
      </c>
      <c r="AA16" s="11" t="inlineStr">
        <is>
          <r>
            <rPr>
              <rFont val="游ゴシック"/>
              <b val="1"/>
              <sz val="9"/>
            </rPr>
            <t>NULL</t>
          </r>
        </is>
      </c>
      <c r="AB16" s="13" t="inlineStr">
        <is>
          <r>
            <rPr>
              <rFont val="游ゴシック"/>
              <sz val="9"/>
            </rPr>
            <t xml:space="preserve">❌ </t>
          </r>
          <r>
            <rPr>
              <rFont val="游ゴシック"/>
              <b val="1"/>
              <sz val="9"/>
            </rPr>
            <t>giữ 91</t>
          </r>
          <r>
            <rPr>
              <rFont val="游ゴシック"/>
              <sz val="9"/>
            </rPr>
            <t xml:space="preserve"> ⁽ʰ⁾</t>
          </r>
        </is>
      </c>
    </row>
    <row r="17">
      <c r="A17" s="8" t="inlineStr">
        <is>
          <r>
            <rPr>
              <rFont val="Consolas"/>
              <sz val="9"/>
            </rPr>
            <t>shiharai_hoho</t>
          </r>
        </is>
      </c>
      <c r="B17" s="11" t="inlineStr">
        <is>
          <t>1</t>
        </is>
      </c>
      <c r="C17" s="11">
        <f>1</f>
        <v/>
      </c>
      <c r="D17" s="16" t="inlineStr">
        <is>
          <t>—</t>
        </is>
      </c>
      <c r="E17" s="16" t="inlineStr">
        <is>
          <t>—</t>
        </is>
      </c>
      <c r="F17" s="16" t="inlineStr">
        <is>
          <t>—</t>
        </is>
      </c>
      <c r="G17" s="16" t="inlineStr">
        <is>
          <t>—</t>
        </is>
      </c>
      <c r="H17" s="16" t="inlineStr">
        <is>
          <t>—</t>
        </is>
      </c>
      <c r="I17" s="16" t="inlineStr">
        <is>
          <t>—</t>
        </is>
      </c>
      <c r="J17" s="16" t="inlineStr">
        <is>
          <t>—</t>
        </is>
      </c>
      <c r="K17" s="16" t="inlineStr">
        <is>
          <t>—</t>
        </is>
      </c>
      <c r="L17" s="16" t="inlineStr">
        <is>
          <t>—</t>
        </is>
      </c>
      <c r="M17" s="16" t="inlineStr">
        <is>
          <t>—</t>
        </is>
      </c>
      <c r="N17" s="11" t="inlineStr">
        <is>
          <t>2</t>
        </is>
      </c>
      <c r="O17" s="11">
        <f>2 (cấm 6)</f>
        <v/>
      </c>
      <c r="P17" s="16" t="inlineStr">
        <is>
          <t>—</t>
        </is>
      </c>
      <c r="Q17" s="16" t="inlineStr">
        <is>
          <t>—</t>
        </is>
      </c>
      <c r="R17" s="16" t="inlineStr">
        <is>
          <t>—</t>
        </is>
      </c>
      <c r="S17" s="13" t="inlineStr">
        <is>
          <t>✗</t>
        </is>
      </c>
      <c r="T17" s="13" t="inlineStr">
        <is>
          <t>✗</t>
        </is>
      </c>
      <c r="U17" s="13" t="inlineStr">
        <is>
          <t>✗</t>
        </is>
      </c>
      <c r="V17" s="16" t="inlineStr">
        <is>
          <t>—</t>
        </is>
      </c>
      <c r="W17" s="16" t="inlineStr">
        <is>
          <t>—</t>
        </is>
      </c>
      <c r="X17" s="16" t="inlineStr">
        <is>
          <t>—</t>
        </is>
      </c>
      <c r="Y17" s="16" t="inlineStr">
        <is>
          <t>—</t>
        </is>
      </c>
      <c r="Z17" s="16" t="inlineStr">
        <is>
          <t>—</t>
        </is>
      </c>
      <c r="AA17" s="11" t="inlineStr">
        <is>
          <r>
            <rPr>
              <rFont val="游ゴシック"/>
              <sz val="9"/>
            </rPr>
            <t xml:space="preserve">từ </t>
          </r>
          <r>
            <rPr>
              <rFont val="Consolas"/>
              <sz val="9"/>
            </rPr>
            <t>payment_id</t>
          </r>
        </is>
      </c>
      <c r="AB17" s="13" t="inlineStr">
        <is>
          <t>❌ chỉ CREATE</t>
        </is>
      </c>
    </row>
    <row r="18">
      <c r="A18" s="8" t="inlineStr">
        <is>
          <r>
            <rPr>
              <rFont val="Consolas"/>
              <sz val="9"/>
            </rPr>
            <t>dokusya_kaishi_date</t>
          </r>
        </is>
      </c>
      <c r="B18" s="11" t="inlineStr">
        <is>
          <t>2026-07-01</t>
        </is>
      </c>
      <c r="C18" s="11">
        <f>2026-07-01 ⁽ⁱ⁾</f>
        <v/>
      </c>
      <c r="D18" s="11" t="inlineStr">
        <is>
          <t>pin</t>
        </is>
      </c>
      <c r="E18" s="11" t="inlineStr">
        <is>
          <t>pin</t>
        </is>
      </c>
      <c r="F18" s="11" t="inlineStr">
        <is>
          <t>pin</t>
        </is>
      </c>
      <c r="G18" s="11" t="inlineStr">
        <is>
          <t>pin</t>
        </is>
      </c>
      <c r="H18" s="11" t="inlineStr">
        <is>
          <t>pin</t>
        </is>
      </c>
      <c r="I18" s="11" t="inlineStr">
        <is>
          <t>pin</t>
        </is>
      </c>
      <c r="J18" s="16" t="inlineStr">
        <is>
          <t>—</t>
        </is>
      </c>
      <c r="K18" s="16" t="inlineStr">
        <is>
          <t>—</t>
        </is>
      </c>
      <c r="L18" s="16" t="inlineStr">
        <is>
          <t>—</t>
        </is>
      </c>
      <c r="M18" s="11" t="inlineStr">
        <is>
          <r>
            <rPr>
              <rFont val="游ゴシック"/>
              <b val="1"/>
              <sz val="9"/>
            </rPr>
            <t>→2026-12-01</t>
          </r>
        </is>
      </c>
      <c r="N18" s="11" t="inlineStr">
        <is>
          <t>2026-07-26</t>
        </is>
      </c>
      <c r="O18" s="11">
        <f>2026-07-26 ⁽ʲ⁾</f>
        <v/>
      </c>
      <c r="P18" s="11" t="inlineStr">
        <is>
          <t>pin</t>
        </is>
      </c>
      <c r="Q18" s="11" t="inlineStr">
        <is>
          <t>pin</t>
        </is>
      </c>
      <c r="R18" s="11" t="inlineStr">
        <is>
          <t>pin</t>
        </is>
      </c>
      <c r="S18" s="13" t="inlineStr">
        <is>
          <t>✗</t>
        </is>
      </c>
      <c r="T18" s="13" t="inlineStr">
        <is>
          <t>✗</t>
        </is>
      </c>
      <c r="U18" s="13" t="inlineStr">
        <is>
          <t>✗</t>
        </is>
      </c>
      <c r="V18" s="11" t="inlineStr">
        <is>
          <t>pin</t>
        </is>
      </c>
      <c r="W18" s="16" t="inlineStr">
        <is>
          <t>—</t>
        </is>
      </c>
      <c r="X18" s="11" t="inlineStr">
        <is>
          <r>
            <rPr>
              <rFont val="游ゴシック"/>
              <b val="1"/>
              <sz val="9"/>
            </rPr>
            <t>→2026-12-01</t>
          </r>
        </is>
      </c>
      <c r="Y18" s="16" t="inlineStr">
        <is>
          <t>—</t>
        </is>
      </c>
      <c r="Z18" s="16" t="inlineStr">
        <is>
          <t>—</t>
        </is>
      </c>
      <c r="AA18" s="11" t="inlineStr">
        <is>
          <t>từ view</t>
        </is>
      </c>
      <c r="AB18" s="12" t="inlineStr">
        <is>
          <t>✅</t>
        </is>
      </c>
    </row>
    <row r="19">
      <c r="A19" s="8" t="inlineStr">
        <is>
          <r>
            <rPr>
              <rFont val="Consolas"/>
              <sz val="9"/>
            </rPr>
            <t>shoki_dokusya_kaishi_date</t>
          </r>
        </is>
      </c>
      <c r="B19" s="11" t="inlineStr">
        <is>
          <t>2026-07-01</t>
        </is>
      </c>
      <c r="C19" s="11">
        <f>2026-07-01</f>
        <v/>
      </c>
      <c r="D19" s="11" t="inlineStr">
        <is>
          <t>bất biến</t>
        </is>
      </c>
      <c r="E19" s="11" t="inlineStr">
        <is>
          <t>bất biến</t>
        </is>
      </c>
      <c r="F19" s="11" t="inlineStr">
        <is>
          <t>bất biến</t>
        </is>
      </c>
      <c r="G19" s="11" t="inlineStr">
        <is>
          <t>bất biến</t>
        </is>
      </c>
      <c r="H19" s="11" t="inlineStr">
        <is>
          <t>bất biến</t>
        </is>
      </c>
      <c r="I19" s="11" t="inlineStr">
        <is>
          <t>bất biến</t>
        </is>
      </c>
      <c r="J19" s="11" t="inlineStr">
        <is>
          <t>bất biến</t>
        </is>
      </c>
      <c r="K19" s="11" t="inlineStr">
        <is>
          <t>bất biến</t>
        </is>
      </c>
      <c r="L19" s="11" t="inlineStr">
        <is>
          <t>bất biến</t>
        </is>
      </c>
      <c r="M19" s="11" t="inlineStr">
        <is>
          <r>
            <rPr>
              <rFont val="游ゴシック"/>
              <b val="1"/>
              <sz val="9"/>
            </rPr>
            <t>2026-07-01 giữ</t>
          </r>
        </is>
      </c>
      <c r="N19" s="11" t="inlineStr">
        <is>
          <t>2026-07-26</t>
        </is>
      </c>
      <c r="O19" s="11">
        <f>2026-07-26</f>
        <v/>
      </c>
      <c r="P19" s="11" t="inlineStr">
        <is>
          <t>bất biến</t>
        </is>
      </c>
      <c r="Q19" s="11" t="inlineStr">
        <is>
          <t>bất biến</t>
        </is>
      </c>
      <c r="R19" s="11" t="inlineStr">
        <is>
          <t>bất biến</t>
        </is>
      </c>
      <c r="S19" s="13" t="inlineStr">
        <is>
          <t>✗</t>
        </is>
      </c>
      <c r="T19" s="13" t="inlineStr">
        <is>
          <t>✗</t>
        </is>
      </c>
      <c r="U19" s="13" t="inlineStr">
        <is>
          <t>✗</t>
        </is>
      </c>
      <c r="V19" s="11" t="inlineStr">
        <is>
          <t>bất biến</t>
        </is>
      </c>
      <c r="W19" s="11" t="inlineStr">
        <is>
          <t>bất biến</t>
        </is>
      </c>
      <c r="X19" s="11" t="inlineStr">
        <is>
          <r>
            <rPr>
              <rFont val="游ゴシック"/>
              <b val="1"/>
              <sz val="9"/>
            </rPr>
            <t>giữ</t>
          </r>
        </is>
      </c>
      <c r="Y19" s="16" t="inlineStr">
        <is>
          <t>—</t>
        </is>
      </c>
      <c r="Z19" s="16" t="inlineStr">
        <is>
          <t>—</t>
        </is>
      </c>
      <c r="AA19" s="11">
        <f>lần đầu</f>
        <v/>
      </c>
      <c r="AB19" s="13" t="inlineStr">
        <is>
          <r>
            <rPr>
              <rFont val="游ゴシック"/>
              <sz val="9"/>
            </rPr>
            <t xml:space="preserve">❌ </t>
          </r>
          <r>
            <rPr>
              <rFont val="游ゴシック"/>
              <b val="1"/>
              <sz val="9"/>
            </rPr>
            <t>bất biến</t>
          </r>
        </is>
      </c>
    </row>
    <row r="20">
      <c r="A20" s="8" t="inlineStr">
        <is>
          <r>
            <rPr>
              <rFont val="Consolas"/>
              <sz val="9"/>
            </rPr>
            <t>dokusya_chushi_date</t>
          </r>
        </is>
      </c>
      <c r="B20" s="11" t="inlineStr">
        <is>
          <t>NULL</t>
        </is>
      </c>
      <c r="C20" s="11">
        <f>NULL</f>
        <v/>
      </c>
      <c r="D20" s="13" t="inlineStr">
        <is>
          <t>✗ DTO</t>
        </is>
      </c>
      <c r="E20" s="13" t="inlineStr">
        <is>
          <t>✗ DTO</t>
        </is>
      </c>
      <c r="F20" s="13" t="inlineStr">
        <is>
          <t>✗ DTO</t>
        </is>
      </c>
      <c r="G20" s="13" t="inlineStr">
        <is>
          <t>✗ DTO</t>
        </is>
      </c>
      <c r="H20" s="13" t="inlineStr">
        <is>
          <t>✗ DTO</t>
        </is>
      </c>
      <c r="I20" s="13" t="inlineStr">
        <is>
          <t>✗ DTO</t>
        </is>
      </c>
      <c r="J20" s="11" t="inlineStr">
        <is>
          <t>→NULL ⁽ᵏ⁾</t>
        </is>
      </c>
      <c r="K20" s="11" t="inlineStr">
        <is>
          <r>
            <rPr>
              <rFont val="游ゴシック"/>
              <b val="1"/>
              <sz val="9"/>
            </rPr>
            <t>→2026-10-31 NGAY</t>
          </r>
        </is>
      </c>
      <c r="L20" s="11" t="inlineStr">
        <is>
          <t>2026-10-31</t>
        </is>
      </c>
      <c r="M20" s="11" t="inlineStr">
        <is>
          <r>
            <rPr>
              <rFont val="游ゴシック"/>
              <b val="1"/>
              <sz val="9"/>
            </rPr>
            <t>→NULL</t>
          </r>
        </is>
      </c>
      <c r="N20" s="11" t="inlineStr">
        <is>
          <t>NULL</t>
        </is>
      </c>
      <c r="O20" s="11">
        <f>NULL</f>
        <v/>
      </c>
      <c r="P20" s="13" t="inlineStr">
        <is>
          <t>✗ DTO</t>
        </is>
      </c>
      <c r="Q20" s="13" t="inlineStr">
        <is>
          <t>✗ DTO</t>
        </is>
      </c>
      <c r="R20" s="13" t="inlineStr">
        <is>
          <t>✗ DTO</t>
        </is>
      </c>
      <c r="S20" s="13" t="inlineStr">
        <is>
          <t>✗</t>
        </is>
      </c>
      <c r="T20" s="13" t="inlineStr">
        <is>
          <t>✗</t>
        </is>
      </c>
      <c r="U20" s="13" t="inlineStr">
        <is>
          <t>✗</t>
        </is>
      </c>
      <c r="V20" s="11" t="inlineStr">
        <is>
          <r>
            <rPr>
              <rFont val="游ゴシック"/>
              <b val="1"/>
              <sz val="9"/>
            </rPr>
            <t>→2026-09-30 NGAY</t>
          </r>
        </is>
      </c>
      <c r="W20" s="11" t="inlineStr">
        <is>
          <t>2026-09-30</t>
        </is>
      </c>
      <c r="X20" s="11" t="inlineStr">
        <is>
          <r>
            <rPr>
              <rFont val="游ゴシック"/>
              <b val="1"/>
              <sz val="9"/>
            </rPr>
            <t>→NULL</t>
          </r>
        </is>
      </c>
      <c r="Y20" s="16" t="inlineStr">
        <is>
          <t>—</t>
        </is>
      </c>
      <c r="Z20" s="16" t="inlineStr">
        <is>
          <t>—</t>
        </is>
      </c>
      <c r="AA20" s="11" t="inlineStr">
        <is>
          <t>từ view</t>
        </is>
      </c>
      <c r="AB20" s="12" t="inlineStr">
        <is>
          <t>✅</t>
        </is>
      </c>
    </row>
    <row r="21">
      <c r="A21" s="8" t="inlineStr">
        <is>
          <r>
            <rPr>
              <rFont val="Consolas"/>
              <sz val="9"/>
            </rPr>
            <t>joho_henko_tekiyo_date</t>
          </r>
        </is>
      </c>
      <c r="B21" s="11" t="inlineStr">
        <is>
          <t>2026-07-01</t>
        </is>
      </c>
      <c r="C21" s="11">
        <f>2026-07-01</f>
        <v/>
      </c>
      <c r="D21" s="17" t="inlineStr">
        <is>
          <t>⧗ →2026-09-01</t>
        </is>
      </c>
      <c r="E21" s="17" t="inlineStr">
        <is>
          <t>⧗ →2026-09-01</t>
        </is>
      </c>
      <c r="F21" s="17" t="inlineStr">
        <is>
          <t>⧗ →2026-09-01</t>
        </is>
      </c>
      <c r="G21" s="17" t="inlineStr">
        <is>
          <t>⧗ →2026-09-01</t>
        </is>
      </c>
      <c r="H21" s="11" t="inlineStr">
        <is>
          <r>
            <rPr>
              <rFont val="游ゴシック"/>
              <b val="1"/>
              <sz val="9"/>
            </rPr>
            <t>→2026-07-26</t>
          </r>
        </is>
      </c>
      <c r="I21" s="17" t="inlineStr">
        <is>
          <t>⧗ →2026-08-15</t>
        </is>
      </c>
      <c r="J21" s="11" t="inlineStr">
        <is>
          <t>tính lại</t>
        </is>
      </c>
      <c r="K21" s="17" t="inlineStr">
        <is>
          <t>⧗</t>
        </is>
      </c>
      <c r="L21" s="17" t="inlineStr">
        <is>
          <t>⧗ →2026-10-31</t>
        </is>
      </c>
      <c r="M21" s="11" t="inlineStr">
        <is>
          <t>→2026-12-01</t>
        </is>
      </c>
      <c r="N21" s="11" t="inlineStr">
        <is>
          <t>2026-07-26</t>
        </is>
      </c>
      <c r="O21" s="11">
        <f>2026-07-26</f>
        <v/>
      </c>
      <c r="P21" s="11" t="inlineStr">
        <is>
          <r>
            <rPr>
              <rFont val="游ゴシック"/>
              <b val="1"/>
              <sz val="9"/>
            </rPr>
            <t>→2026-07-26</t>
          </r>
        </is>
      </c>
      <c r="Q21" s="11" t="inlineStr">
        <is>
          <r>
            <rPr>
              <rFont val="游ゴシック"/>
              <b val="1"/>
              <sz val="9"/>
            </rPr>
            <t>→2026-07-26</t>
          </r>
        </is>
      </c>
      <c r="R21" s="11" t="inlineStr">
        <is>
          <r>
            <rPr>
              <rFont val="游ゴシック"/>
              <b val="1"/>
              <sz val="9"/>
            </rPr>
            <t>→2026-07-26</t>
          </r>
        </is>
      </c>
      <c r="S21" s="13" t="inlineStr">
        <is>
          <t>✗</t>
        </is>
      </c>
      <c r="T21" s="13" t="inlineStr">
        <is>
          <t>✗</t>
        </is>
      </c>
      <c r="U21" s="13" t="inlineStr">
        <is>
          <t>✗</t>
        </is>
      </c>
      <c r="V21" s="17" t="inlineStr">
        <is>
          <t>⧗</t>
        </is>
      </c>
      <c r="W21" s="17" t="inlineStr">
        <is>
          <t>⧗ →2026-10-01</t>
        </is>
      </c>
      <c r="X21" s="11" t="inlineStr">
        <is>
          <t>→2026-12-01</t>
        </is>
      </c>
      <c r="Y21" s="16" t="inlineStr">
        <is>
          <t>—</t>
        </is>
      </c>
      <c r="Z21" s="16" t="inlineStr">
        <is>
          <t>—</t>
        </is>
      </c>
      <c r="AA21" s="11">
        <f>ngày batch</f>
        <v/>
      </c>
      <c r="AB21" s="12" t="inlineStr">
        <is>
          <t>✅ =ngày batch</t>
        </is>
      </c>
    </row>
    <row r="22">
      <c r="A22" s="8" t="inlineStr">
        <is>
          <r>
            <rPr>
              <rFont val="Consolas"/>
              <sz val="9"/>
            </rPr>
            <t>seikyu_kaishi_month</t>
          </r>
        </is>
      </c>
      <c r="B22" s="11" t="inlineStr">
        <is>
          <t>'202607'</t>
        </is>
      </c>
      <c r="C22" s="11">
        <f>'202607'</f>
        <v/>
      </c>
      <c r="D22" s="16" t="inlineStr">
        <is>
          <t>—</t>
        </is>
      </c>
      <c r="E22" s="16" t="inlineStr">
        <is>
          <t>—</t>
        </is>
      </c>
      <c r="F22" s="16" t="inlineStr">
        <is>
          <t>—</t>
        </is>
      </c>
      <c r="G22" s="16" t="inlineStr">
        <is>
          <t>—</t>
        </is>
      </c>
      <c r="H22" s="16" t="inlineStr">
        <is>
          <t>—</t>
        </is>
      </c>
      <c r="I22" s="16" t="inlineStr">
        <is>
          <t>—</t>
        </is>
      </c>
      <c r="J22" s="16" t="inlineStr">
        <is>
          <t>—</t>
        </is>
      </c>
      <c r="K22" s="16" t="inlineStr">
        <is>
          <t>—</t>
        </is>
      </c>
      <c r="L22" s="16" t="inlineStr">
        <is>
          <t>—</t>
        </is>
      </c>
      <c r="M22" s="16" t="inlineStr">
        <is>
          <t>—</t>
        </is>
      </c>
      <c r="N22" s="11" t="inlineStr">
        <is>
          <t>'202608'</t>
        </is>
      </c>
      <c r="O22" s="11">
        <f>'202608'</f>
        <v/>
      </c>
      <c r="P22" s="16" t="inlineStr">
        <is>
          <t>—</t>
        </is>
      </c>
      <c r="Q22" s="16" t="inlineStr">
        <is>
          <t>—</t>
        </is>
      </c>
      <c r="R22" s="16" t="inlineStr">
        <is>
          <t>—</t>
        </is>
      </c>
      <c r="S22" s="13" t="inlineStr">
        <is>
          <t>✗</t>
        </is>
      </c>
      <c r="T22" s="13" t="inlineStr">
        <is>
          <t>✗</t>
        </is>
      </c>
      <c r="U22" s="13" t="inlineStr">
        <is>
          <t>✗</t>
        </is>
      </c>
      <c r="V22" s="11" t="inlineStr">
        <is>
          <t>— ⁽ˡ⁾</t>
        </is>
      </c>
      <c r="W22" s="16" t="inlineStr">
        <is>
          <t>—</t>
        </is>
      </c>
      <c r="X22" s="16" t="inlineStr">
        <is>
          <t>—</t>
        </is>
      </c>
      <c r="Y22" s="16" t="inlineStr">
        <is>
          <t>—</t>
        </is>
      </c>
      <c r="Z22" s="16" t="inlineStr">
        <is>
          <t>—</t>
        </is>
      </c>
      <c r="AA22" s="11" t="inlineStr">
        <is>
          <t>từ view</t>
        </is>
      </c>
      <c r="AB22" s="12" t="inlineStr">
        <is>
          <t>✅</t>
        </is>
      </c>
    </row>
    <row r="23">
      <c r="A23" s="8" t="inlineStr">
        <is>
          <r>
            <rPr>
              <rFont val="Consolas"/>
              <sz val="9"/>
            </rPr>
            <t>rireki_no</t>
          </r>
        </is>
      </c>
      <c r="B23" s="11" t="inlineStr">
        <is>
          <t>1</t>
        </is>
      </c>
      <c r="C23" s="11">
        <f>1</f>
        <v/>
      </c>
      <c r="D23" s="17" t="inlineStr">
        <is>
          <t>⧗ 1→2</t>
        </is>
      </c>
      <c r="E23" s="17" t="inlineStr">
        <is>
          <t>⧗ 1→2</t>
        </is>
      </c>
      <c r="F23" s="17" t="inlineStr">
        <is>
          <t>⧗ 1→2</t>
        </is>
      </c>
      <c r="G23" s="17" t="inlineStr">
        <is>
          <t>⧗ 1→2</t>
        </is>
      </c>
      <c r="H23" s="11" t="inlineStr">
        <is>
          <r>
            <rPr>
              <rFont val="游ゴシック"/>
              <b val="1"/>
              <sz val="9"/>
            </rPr>
            <t>1→2</t>
          </r>
        </is>
      </c>
      <c r="I23" s="17" t="inlineStr">
        <is>
          <t>⧗</t>
        </is>
      </c>
      <c r="J23" s="17" t="inlineStr">
        <is>
          <t>⧗</t>
        </is>
      </c>
      <c r="K23" s="17" t="inlineStr">
        <is>
          <t>⧗</t>
        </is>
      </c>
      <c r="L23" s="11" t="inlineStr">
        <is>
          <t>2→3</t>
        </is>
      </c>
      <c r="M23" s="11" t="inlineStr">
        <is>
          <t>→4</t>
        </is>
      </c>
      <c r="N23" s="11" t="inlineStr">
        <is>
          <t>1</t>
        </is>
      </c>
      <c r="O23" s="11">
        <f>1</f>
        <v/>
      </c>
      <c r="P23" s="11" t="inlineStr">
        <is>
          <r>
            <rPr>
              <rFont val="游ゴシック"/>
              <b val="1"/>
              <sz val="9"/>
            </rPr>
            <t>1→2</t>
          </r>
        </is>
      </c>
      <c r="Q23" s="11" t="inlineStr">
        <is>
          <r>
            <rPr>
              <rFont val="游ゴシック"/>
              <b val="1"/>
              <sz val="9"/>
            </rPr>
            <t>2→3</t>
          </r>
        </is>
      </c>
      <c r="R23" s="11" t="inlineStr">
        <is>
          <r>
            <rPr>
              <rFont val="游ゴシック"/>
              <b val="1"/>
              <sz val="9"/>
            </rPr>
            <t>3→4</t>
          </r>
        </is>
      </c>
      <c r="S23" s="13" t="inlineStr">
        <is>
          <t>✗</t>
        </is>
      </c>
      <c r="T23" s="13" t="inlineStr">
        <is>
          <t>✗</t>
        </is>
      </c>
      <c r="U23" s="13" t="inlineStr">
        <is>
          <t>✗</t>
        </is>
      </c>
      <c r="V23" s="17" t="inlineStr">
        <is>
          <t>⧗</t>
        </is>
      </c>
      <c r="W23" s="11" t="inlineStr">
        <is>
          <t>2→3</t>
        </is>
      </c>
      <c r="X23" s="11" t="inlineStr">
        <is>
          <t>→4</t>
        </is>
      </c>
      <c r="Y23" s="16" t="inlineStr">
        <is>
          <r>
            <rPr>
              <rFont val="游ゴシック"/>
              <b val="1"/>
              <sz val="9"/>
            </rPr>
            <t>—</t>
          </r>
        </is>
      </c>
      <c r="Z23" s="16" t="inlineStr">
        <is>
          <r>
            <rPr>
              <rFont val="游ゴシック"/>
              <b val="1"/>
              <sz val="9"/>
            </rPr>
            <t>—</t>
          </r>
        </is>
      </c>
      <c r="AA23" s="11">
        <f>1</f>
        <v/>
      </c>
      <c r="AB23" s="13" t="inlineStr">
        <is>
          <t>❌</t>
        </is>
      </c>
    </row>
    <row r="24">
      <c r="A24" s="8" t="inlineStr">
        <is>
          <r>
            <rPr>
              <rFont val="Consolas"/>
              <sz val="9"/>
            </rPr>
            <t>denshi_shonin_status</t>
          </r>
        </is>
      </c>
      <c r="B24" s="11" t="inlineStr">
        <is>
          <t>NULL</t>
        </is>
      </c>
      <c r="C24" s="11" t="inlineStr">
        <is>
          <r>
            <rPr>
              <rFont val="游ゴシック"/>
              <b val="1"/>
              <sz val="9"/>
            </rPr>
            <t>=NULL</t>
          </r>
        </is>
      </c>
      <c r="D24" s="11" t="inlineStr">
        <is>
          <t>NULL</t>
        </is>
      </c>
      <c r="E24" s="11" t="inlineStr">
        <is>
          <t>NULL</t>
        </is>
      </c>
      <c r="F24" s="11" t="inlineStr">
        <is>
          <t>NULL</t>
        </is>
      </c>
      <c r="G24" s="11" t="inlineStr">
        <is>
          <t>NULL</t>
        </is>
      </c>
      <c r="H24" s="11" t="inlineStr">
        <is>
          <t>NULL</t>
        </is>
      </c>
      <c r="I24" s="11" t="inlineStr">
        <is>
          <t>NULL</t>
        </is>
      </c>
      <c r="J24" s="11" t="inlineStr">
        <is>
          <t>NULL</t>
        </is>
      </c>
      <c r="K24" s="11" t="inlineStr">
        <is>
          <t>NULL</t>
        </is>
      </c>
      <c r="L24" s="11" t="inlineStr">
        <is>
          <t>NULL</t>
        </is>
      </c>
      <c r="M24" s="11" t="inlineStr">
        <is>
          <t>NULL</t>
        </is>
      </c>
      <c r="N24" s="11" t="inlineStr">
        <is>
          <t>1</t>
        </is>
      </c>
      <c r="O24" s="11" t="inlineStr">
        <is>
          <r>
            <rPr>
              <rFont val="游ゴシック"/>
              <b val="1"/>
              <sz val="9"/>
            </rPr>
            <t>=1</t>
          </r>
          <r>
            <rPr>
              <rFont val="游ゴシック"/>
              <sz val="9"/>
            </rPr>
            <t xml:space="preserve"> ⁽ᵐ⁾</t>
          </r>
        </is>
      </c>
      <c r="P24" s="11" t="inlineStr">
        <is>
          <t>1</t>
        </is>
      </c>
      <c r="Q24" s="11" t="inlineStr">
        <is>
          <t>1</t>
        </is>
      </c>
      <c r="R24" s="11" t="inlineStr">
        <is>
          <t>1</t>
        </is>
      </c>
      <c r="S24" s="13" t="inlineStr">
        <is>
          <t>✗</t>
        </is>
      </c>
      <c r="T24" s="13" t="inlineStr">
        <is>
          <t>✗</t>
        </is>
      </c>
      <c r="U24" s="13" t="inlineStr">
        <is>
          <t>✗</t>
        </is>
      </c>
      <c r="V24" s="11" t="inlineStr">
        <is>
          <t>1</t>
        </is>
      </c>
      <c r="W24" s="11" t="inlineStr">
        <is>
          <t>1</t>
        </is>
      </c>
      <c r="X24" s="11" t="inlineStr">
        <is>
          <t>1</t>
        </is>
      </c>
      <c r="Y24" s="11" t="inlineStr">
        <is>
          <r>
            <rPr>
              <rFont val="游ゴシック"/>
              <b val="1"/>
              <sz val="9"/>
            </rPr>
            <t>0→1</t>
          </r>
        </is>
      </c>
      <c r="Z24" s="11" t="inlineStr">
        <is>
          <r>
            <rPr>
              <rFont val="游ゴシック"/>
              <b val="1"/>
              <sz val="9"/>
            </rPr>
            <t>0→2</t>
          </r>
        </is>
      </c>
      <c r="AA24" s="11" t="inlineStr">
        <is>
          <r>
            <rPr>
              <rFont val="游ゴシック"/>
              <sz val="9"/>
            </rPr>
            <t xml:space="preserve">từ </t>
          </r>
          <r>
            <rPr>
              <rFont val="Consolas"/>
              <sz val="9"/>
            </rPr>
            <t>approval</t>
          </r>
        </is>
      </c>
      <c r="AB24" s="12" t="inlineStr">
        <is>
          <t>✅</t>
        </is>
      </c>
    </row>
    <row r="25">
      <c r="A25" s="8" t="inlineStr">
        <is>
          <r>
            <rPr>
              <rFont val="Consolas"/>
              <sz val="9"/>
            </rPr>
            <t>denshi_kaiin_id</t>
          </r>
        </is>
      </c>
      <c r="B25" s="11" t="inlineStr">
        <is>
          <t>NULL</t>
        </is>
      </c>
      <c r="C25" s="11">
        <f>NULL</f>
        <v/>
      </c>
      <c r="D25" s="16" t="inlineStr">
        <is>
          <t>—</t>
        </is>
      </c>
      <c r="E25" s="16" t="inlineStr">
        <is>
          <t>—</t>
        </is>
      </c>
      <c r="F25" s="16" t="inlineStr">
        <is>
          <t>—</t>
        </is>
      </c>
      <c r="G25" s="16" t="inlineStr">
        <is>
          <t>—</t>
        </is>
      </c>
      <c r="H25" s="16" t="inlineStr">
        <is>
          <t>—</t>
        </is>
      </c>
      <c r="I25" s="16" t="inlineStr">
        <is>
          <t>—</t>
        </is>
      </c>
      <c r="J25" s="16" t="inlineStr">
        <is>
          <t>—</t>
        </is>
      </c>
      <c r="K25" s="16" t="inlineStr">
        <is>
          <t>—</t>
        </is>
      </c>
      <c r="L25" s="16" t="inlineStr">
        <is>
          <t>—</t>
        </is>
      </c>
      <c r="M25" s="16" t="inlineStr">
        <is>
          <t>—</t>
        </is>
      </c>
      <c r="N25" s="11" t="inlineStr">
        <is>
          <t>88123</t>
        </is>
      </c>
      <c r="O25" s="11" t="inlineStr">
        <is>
          <r>
            <rPr>
              <rFont val="游ゴシック"/>
              <b val="1"/>
              <sz val="9"/>
            </rPr>
            <t>=88123</t>
          </r>
          <r>
            <rPr>
              <rFont val="游ゴシック"/>
              <sz val="9"/>
            </rPr>
            <t xml:space="preserve"> ⁽ⁿ⁾</t>
          </r>
        </is>
      </c>
      <c r="P25" s="11" t="inlineStr">
        <is>
          <t>88123</t>
        </is>
      </c>
      <c r="Q25" s="11" t="inlineStr">
        <is>
          <t>88123</t>
        </is>
      </c>
      <c r="R25" s="11" t="inlineStr">
        <is>
          <t>88123</t>
        </is>
      </c>
      <c r="S25" s="13" t="inlineStr">
        <is>
          <t>✗</t>
        </is>
      </c>
      <c r="T25" s="13" t="inlineStr">
        <is>
          <t>✗</t>
        </is>
      </c>
      <c r="U25" s="13" t="inlineStr">
        <is>
          <t>✗</t>
        </is>
      </c>
      <c r="V25" s="11" t="inlineStr">
        <is>
          <t>88123</t>
        </is>
      </c>
      <c r="W25" s="11" t="inlineStr">
        <is>
          <t>88123</t>
        </is>
      </c>
      <c r="X25" s="11" t="inlineStr">
        <is>
          <t>88123</t>
        </is>
      </c>
      <c r="Y25" s="11" t="inlineStr">
        <is>
          <t>88999</t>
        </is>
      </c>
      <c r="Z25" s="11" t="inlineStr">
        <is>
          <t>88999</t>
        </is>
      </c>
      <c r="AA25" s="11" t="inlineStr">
        <is>
          <r>
            <rPr>
              <rFont val="游ゴシック"/>
              <b val="1"/>
              <sz val="9"/>
            </rPr>
            <t>=88999</t>
          </r>
          <r>
            <rPr>
              <rFont val="游ゴシック"/>
              <sz val="9"/>
            </rPr>
            <t xml:space="preserve"> ⁽ᵒ⁾</t>
          </r>
        </is>
      </c>
      <c r="AB25" s="13" t="inlineStr">
        <is>
          <t>❌ khoá khớp</t>
        </is>
      </c>
    </row>
    <row r="26">
      <c r="A26" s="8" t="inlineStr">
        <is>
          <r>
            <rPr>
              <rFont val="Consolas"/>
              <sz val="9"/>
            </rPr>
            <t>honshi_kodoku_flg</t>
          </r>
        </is>
      </c>
      <c r="B26" s="11" t="inlineStr">
        <is>
          <t>FALSE</t>
        </is>
      </c>
      <c r="C26" s="11">
        <f>FALSE</f>
        <v/>
      </c>
      <c r="D26" s="16" t="inlineStr">
        <is>
          <t>—</t>
        </is>
      </c>
      <c r="E26" s="16" t="inlineStr">
        <is>
          <t>—</t>
        </is>
      </c>
      <c r="F26" s="16" t="inlineStr">
        <is>
          <t>—</t>
        </is>
      </c>
      <c r="G26" s="16" t="inlineStr">
        <is>
          <t>—</t>
        </is>
      </c>
      <c r="H26" s="16" t="inlineStr">
        <is>
          <t>—</t>
        </is>
      </c>
      <c r="I26" s="16" t="inlineStr">
        <is>
          <t>—</t>
        </is>
      </c>
      <c r="J26" s="16" t="inlineStr">
        <is>
          <t>—</t>
        </is>
      </c>
      <c r="K26" s="16" t="inlineStr">
        <is>
          <t>—</t>
        </is>
      </c>
      <c r="L26" s="16" t="inlineStr">
        <is>
          <t>—</t>
        </is>
      </c>
      <c r="M26" s="16" t="inlineStr">
        <is>
          <t>—</t>
        </is>
      </c>
      <c r="N26" s="11" t="inlineStr">
        <is>
          <t>FALSE</t>
        </is>
      </c>
      <c r="O26" s="11">
        <f>FALSE</f>
        <v/>
      </c>
      <c r="P26" s="16" t="inlineStr">
        <is>
          <t>—</t>
        </is>
      </c>
      <c r="Q26" s="16" t="inlineStr">
        <is>
          <t>—</t>
        </is>
      </c>
      <c r="R26" s="16" t="inlineStr">
        <is>
          <t>—</t>
        </is>
      </c>
      <c r="S26" s="13" t="inlineStr">
        <is>
          <t>✗</t>
        </is>
      </c>
      <c r="T26" s="13" t="inlineStr">
        <is>
          <t>✗</t>
        </is>
      </c>
      <c r="U26" s="13" t="inlineStr">
        <is>
          <t>✗</t>
        </is>
      </c>
      <c r="V26" s="16" t="inlineStr">
        <is>
          <t>—</t>
        </is>
      </c>
      <c r="W26" s="16" t="inlineStr">
        <is>
          <t>—</t>
        </is>
      </c>
      <c r="X26" s="16" t="inlineStr">
        <is>
          <t>—</t>
        </is>
      </c>
      <c r="Y26" s="16" t="inlineStr">
        <is>
          <t>—</t>
        </is>
      </c>
      <c r="Z26" s="16" t="inlineStr">
        <is>
          <t>—</t>
        </is>
      </c>
      <c r="AA26" s="11">
        <f>subscribe_flg</f>
        <v/>
      </c>
      <c r="AB26" s="17" t="inlineStr">
        <is>
          <t>⚠️ xem ⁽ᵖ⁾</t>
        </is>
      </c>
    </row>
    <row r="27">
      <c r="A27" s="8" t="inlineStr">
        <is>
          <r>
            <rPr>
              <rFont val="Consolas"/>
              <sz val="9"/>
            </rPr>
            <t>deleted_at</t>
          </r>
        </is>
      </c>
      <c r="B27" s="11" t="inlineStr">
        <is>
          <t>NULL</t>
        </is>
      </c>
      <c r="C27" s="11">
        <f>NULL</f>
        <v/>
      </c>
      <c r="D27" s="16" t="inlineStr">
        <is>
          <t>—</t>
        </is>
      </c>
      <c r="E27" s="16" t="inlineStr">
        <is>
          <t>—</t>
        </is>
      </c>
      <c r="F27" s="16" t="inlineStr">
        <is>
          <t>—</t>
        </is>
      </c>
      <c r="G27" s="16" t="inlineStr">
        <is>
          <t>—</t>
        </is>
      </c>
      <c r="H27" s="16" t="inlineStr">
        <is>
          <t>—</t>
        </is>
      </c>
      <c r="I27" s="16" t="inlineStr">
        <is>
          <t>—</t>
        </is>
      </c>
      <c r="J27" s="16" t="inlineStr">
        <is>
          <t>—</t>
        </is>
      </c>
      <c r="K27" s="16" t="inlineStr">
        <is>
          <t>—</t>
        </is>
      </c>
      <c r="L27" s="16" t="inlineStr">
        <is>
          <t>—</t>
        </is>
      </c>
      <c r="M27" s="16" t="inlineStr">
        <is>
          <t>—</t>
        </is>
      </c>
      <c r="N27" s="11" t="inlineStr">
        <is>
          <t>NULL</t>
        </is>
      </c>
      <c r="O27" s="11">
        <f>NULL</f>
        <v/>
      </c>
      <c r="P27" s="16" t="inlineStr">
        <is>
          <t>—</t>
        </is>
      </c>
      <c r="Q27" s="16" t="inlineStr">
        <is>
          <t>—</t>
        </is>
      </c>
      <c r="R27" s="16" t="inlineStr">
        <is>
          <t>—</t>
        </is>
      </c>
      <c r="S27" s="13" t="inlineStr">
        <is>
          <t>✗</t>
        </is>
      </c>
      <c r="T27" s="13" t="inlineStr">
        <is>
          <t>✗</t>
        </is>
      </c>
      <c r="U27" s="13" t="inlineStr">
        <is>
          <t>✗</t>
        </is>
      </c>
      <c r="V27" s="16" t="inlineStr">
        <is>
          <t>—</t>
        </is>
      </c>
      <c r="W27" s="16" t="inlineStr">
        <is>
          <t>—</t>
        </is>
      </c>
      <c r="X27" s="16" t="inlineStr">
        <is>
          <t>—</t>
        </is>
      </c>
      <c r="Y27" s="16" t="inlineStr">
        <is>
          <t>—</t>
        </is>
      </c>
      <c r="Z27" s="16" t="inlineStr">
        <is>
          <t>—</t>
        </is>
      </c>
      <c r="AA27" s="11" t="inlineStr">
        <is>
          <t>NULL</t>
        </is>
      </c>
      <c r="AB27" s="16" t="inlineStr">
        <is>
          <t>—</t>
        </is>
      </c>
    </row>
    <row r="28">
      <c r="A28" s="8" t="inlineStr">
        <is>
          <r>
            <rPr>
              <rFont val="Consolas"/>
              <sz val="9"/>
            </rPr>
            <t>created_by</t>
          </r>
          <r>
            <rPr>
              <rFont val="游ゴシック"/>
              <sz val="9"/>
            </rPr>
            <t xml:space="preserve"> / </t>
          </r>
          <r>
            <rPr>
              <rFont val="Consolas"/>
              <sz val="9"/>
            </rPr>
            <t>created_at</t>
          </r>
        </is>
      </c>
      <c r="B28" s="11" t="inlineStr">
        <is>
          <t>'42' / 06-10</t>
        </is>
      </c>
      <c r="C28" s="11">
        <f>'42'</f>
        <v/>
      </c>
      <c r="D28" s="16" t="inlineStr">
        <is>
          <t>—</t>
        </is>
      </c>
      <c r="E28" s="16" t="inlineStr">
        <is>
          <t>—</t>
        </is>
      </c>
      <c r="F28" s="16" t="inlineStr">
        <is>
          <t>—</t>
        </is>
      </c>
      <c r="G28" s="16" t="inlineStr">
        <is>
          <t>—</t>
        </is>
      </c>
      <c r="H28" s="16" t="inlineStr">
        <is>
          <t>—</t>
        </is>
      </c>
      <c r="I28" s="16" t="inlineStr">
        <is>
          <t>—</t>
        </is>
      </c>
      <c r="J28" s="16" t="inlineStr">
        <is>
          <t>—</t>
        </is>
      </c>
      <c r="K28" s="16" t="inlineStr">
        <is>
          <t>—</t>
        </is>
      </c>
      <c r="L28" s="16" t="inlineStr">
        <is>
          <t>—</t>
        </is>
      </c>
      <c r="M28" s="16" t="inlineStr">
        <is>
          <t>—</t>
        </is>
      </c>
      <c r="N28" s="11" t="inlineStr">
        <is>
          <t>'42' / 07-26</t>
        </is>
      </c>
      <c r="O28" s="11">
        <f>'42'</f>
        <v/>
      </c>
      <c r="P28" s="16" t="inlineStr">
        <is>
          <t>—</t>
        </is>
      </c>
      <c r="Q28" s="16" t="inlineStr">
        <is>
          <t>—</t>
        </is>
      </c>
      <c r="R28" s="16" t="inlineStr">
        <is>
          <t>—</t>
        </is>
      </c>
      <c r="S28" s="13" t="inlineStr">
        <is>
          <t>✗</t>
        </is>
      </c>
      <c r="T28" s="13" t="inlineStr">
        <is>
          <t>✗</t>
        </is>
      </c>
      <c r="U28" s="13" t="inlineStr">
        <is>
          <t>✗</t>
        </is>
      </c>
      <c r="V28" s="16" t="inlineStr">
        <is>
          <t>—</t>
        </is>
      </c>
      <c r="W28" s="16" t="inlineStr">
        <is>
          <t>—</t>
        </is>
      </c>
      <c r="X28" s="16" t="inlineStr">
        <is>
          <t>—</t>
        </is>
      </c>
      <c r="Y28" s="16" t="inlineStr">
        <is>
          <t>—</t>
        </is>
      </c>
      <c r="Z28" s="16" t="inlineStr">
        <is>
          <t>—</t>
        </is>
      </c>
      <c r="AA28" s="11" t="inlineStr">
        <is>
          <r>
            <rPr>
              <rFont val="游ゴシック"/>
              <b val="1"/>
              <sz val="9"/>
            </rPr>
            <t>'DENSHIBAN_SYNC'</t>
          </r>
        </is>
      </c>
      <c r="AB28" s="16" t="inlineStr">
        <is>
          <t>—</t>
        </is>
      </c>
    </row>
    <row r="29">
      <c r="A29" s="8" t="inlineStr">
        <is>
          <r>
            <rPr>
              <rFont val="Consolas"/>
              <sz val="9"/>
            </rPr>
            <t>updated_by</t>
          </r>
          <r>
            <rPr>
              <rFont val="游ゴシック"/>
              <sz val="9"/>
            </rPr>
            <t xml:space="preserve"> / </t>
          </r>
          <r>
            <rPr>
              <rFont val="Consolas"/>
              <sz val="9"/>
            </rPr>
            <t>updated_at</t>
          </r>
        </is>
      </c>
      <c r="B29" s="11" t="inlineStr">
        <is>
          <t>'42' / 06-10</t>
        </is>
      </c>
      <c r="C29" s="11">
        <f>'42'</f>
        <v/>
      </c>
      <c r="D29" s="11" t="inlineStr">
        <is>
          <t>'42'/07-26</t>
        </is>
      </c>
      <c r="E29" s="11" t="inlineStr">
        <is>
          <t>'42'/07-26</t>
        </is>
      </c>
      <c r="F29" s="11" t="inlineStr">
        <is>
          <t>'42'/07-26</t>
        </is>
      </c>
      <c r="G29" s="11" t="inlineStr">
        <is>
          <t>'42'/07-26</t>
        </is>
      </c>
      <c r="H29" s="11" t="inlineStr">
        <is>
          <t>'42'/07-26</t>
        </is>
      </c>
      <c r="I29" s="11" t="inlineStr">
        <is>
          <t>'42'/07-26</t>
        </is>
      </c>
      <c r="J29" s="11" t="inlineStr">
        <is>
          <t>— ⁽ᵠ⁾</t>
        </is>
      </c>
      <c r="K29" s="11" t="inlineStr">
        <is>
          <t>'42'/07-26</t>
        </is>
      </c>
      <c r="L29" s="11" t="inlineStr">
        <is>
          <t>auto</t>
        </is>
      </c>
      <c r="M29" s="11" t="inlineStr">
        <is>
          <t>'42'/11-10</t>
        </is>
      </c>
      <c r="N29" s="11" t="inlineStr">
        <is>
          <t>'42' / 07-26</t>
        </is>
      </c>
      <c r="O29" s="11">
        <f>'42'</f>
        <v/>
      </c>
      <c r="P29" s="11" t="inlineStr">
        <is>
          <t>'42'</t>
        </is>
      </c>
      <c r="Q29" s="11" t="inlineStr">
        <is>
          <t>'42'</t>
        </is>
      </c>
      <c r="R29" s="11" t="inlineStr">
        <is>
          <t>'42'</t>
        </is>
      </c>
      <c r="S29" s="13" t="inlineStr">
        <is>
          <t>✗</t>
        </is>
      </c>
      <c r="T29" s="13" t="inlineStr">
        <is>
          <t>✗</t>
        </is>
      </c>
      <c r="U29" s="13" t="inlineStr">
        <is>
          <t>✗</t>
        </is>
      </c>
      <c r="V29" s="11" t="inlineStr">
        <is>
          <t>'42'</t>
        </is>
      </c>
      <c r="W29" s="11" t="inlineStr">
        <is>
          <t>auto</t>
        </is>
      </c>
      <c r="X29" s="11" t="inlineStr">
        <is>
          <t>'42'</t>
        </is>
      </c>
      <c r="Y29" s="11" t="inlineStr">
        <is>
          <t>'42'</t>
        </is>
      </c>
      <c r="Z29" s="11" t="inlineStr">
        <is>
          <t>'42'</t>
        </is>
      </c>
      <c r="AA29" s="11" t="inlineStr">
        <is>
          <r>
            <rPr>
              <rFont val="游ゴシック"/>
              <b val="1"/>
              <sz val="9"/>
            </rPr>
            <t>'DENSHIBAN_SYNC'</t>
          </r>
        </is>
      </c>
      <c r="AB29" s="11" t="inlineStr">
        <is>
          <r>
            <rPr>
              <rFont val="游ゴシック"/>
              <b val="1"/>
              <sz val="9"/>
            </rPr>
            <t>'DENSHIBAN_SYNC'</t>
          </r>
        </is>
      </c>
    </row>
    <row r="30">
      <c r="A30" s="14" t="inlineStr">
        <is>
          <r>
            <rPr>
              <rFont val="游ゴシック"/>
              <b val="1"/>
              <sz val="9"/>
            </rPr>
            <t xml:space="preserve">━━ dòng </t>
          </r>
          <r>
            <rPr>
              <rFont val="Consolas"/>
              <b val="1"/>
              <sz val="9"/>
            </rPr>
            <t>t_dokusya_rireki</t>
          </r>
          <r>
            <rPr>
              <rFont val="游ゴシック"/>
              <b val="1"/>
              <sz val="9"/>
            </rPr>
            <t xml:space="preserve"> MỚI ━━</t>
          </r>
        </is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</row>
    <row r="31">
      <c r="A31" s="8" t="inlineStr">
        <is>
          <r>
            <rPr>
              <rFont val="游ゴシック"/>
              <b val="1"/>
              <sz val="9"/>
            </rPr>
            <t>Có sinh dòng?</t>
          </r>
        </is>
      </c>
      <c r="B31" s="11" t="inlineStr">
        <is>
          <t>(#1)</t>
        </is>
      </c>
      <c r="C31" s="11" t="inlineStr">
        <is>
          <r>
            <rPr>
              <rFont val="游ゴシック"/>
              <b val="1"/>
              <sz val="9"/>
            </rPr>
            <t>Có #1</t>
          </r>
        </is>
      </c>
      <c r="D31" s="11" t="inlineStr">
        <is>
          <r>
            <rPr>
              <rFont val="游ゴシック"/>
              <b val="1"/>
              <sz val="9"/>
            </rPr>
            <t>Có #2</t>
          </r>
        </is>
      </c>
      <c r="E31" s="11" t="inlineStr">
        <is>
          <r>
            <rPr>
              <rFont val="游ゴシック"/>
              <b val="1"/>
              <sz val="9"/>
            </rPr>
            <t>Có #2</t>
          </r>
        </is>
      </c>
      <c r="F31" s="11" t="inlineStr">
        <is>
          <r>
            <rPr>
              <rFont val="游ゴシック"/>
              <b val="1"/>
              <sz val="9"/>
            </rPr>
            <t>Có #2</t>
          </r>
        </is>
      </c>
      <c r="G31" s="11" t="inlineStr">
        <is>
          <r>
            <rPr>
              <rFont val="游ゴシック"/>
              <b val="1"/>
              <sz val="9"/>
            </rPr>
            <t>Có #2</t>
          </r>
        </is>
      </c>
      <c r="H31" s="11" t="inlineStr">
        <is>
          <r>
            <rPr>
              <rFont val="游ゴシック"/>
              <b val="1"/>
              <sz val="9"/>
            </rPr>
            <t>Có #2</t>
          </r>
          <r>
            <rPr>
              <rFont val="游ゴシック"/>
              <sz val="9"/>
            </rPr>
            <t xml:space="preserve"> ⁽ʳ⁾</t>
          </r>
        </is>
      </c>
      <c r="I31" s="11" t="inlineStr">
        <is>
          <r>
            <rPr>
              <rFont val="游ゴシック"/>
              <b val="1"/>
              <sz val="9"/>
            </rPr>
            <t>Có #3</t>
          </r>
        </is>
      </c>
      <c r="J31" s="11" t="inlineStr">
        <is>
          <r>
            <rPr>
              <rFont val="游ゴシック"/>
              <b val="1"/>
              <sz val="9"/>
            </rPr>
            <t>Có #3</t>
          </r>
          <r>
            <rPr>
              <rFont val="游ゴシック"/>
              <sz val="9"/>
            </rPr>
            <t xml:space="preserve"> (đối ứng)</t>
          </r>
        </is>
      </c>
      <c r="K31" s="11" t="inlineStr">
        <is>
          <r>
            <rPr>
              <rFont val="游ゴシック"/>
              <b val="1"/>
              <sz val="9"/>
            </rPr>
            <t>Có #2</t>
          </r>
        </is>
      </c>
      <c r="L31" s="11" t="inlineStr">
        <is>
          <r>
            <rPr>
              <rFont val="游ゴシック"/>
              <b val="1"/>
              <sz val="9"/>
            </rPr>
            <t>Có #3</t>
          </r>
        </is>
      </c>
      <c r="M31" s="11" t="inlineStr">
        <is>
          <r>
            <rPr>
              <rFont val="游ゴシック"/>
              <b val="1"/>
              <sz val="9"/>
            </rPr>
            <t>Có #4</t>
          </r>
        </is>
      </c>
      <c r="N31" s="11" t="inlineStr">
        <is>
          <t>(#1)</t>
        </is>
      </c>
      <c r="O31" s="11" t="inlineStr">
        <is>
          <r>
            <rPr>
              <rFont val="游ゴシック"/>
              <b val="1"/>
              <sz val="9"/>
            </rPr>
            <t>Có #1</t>
          </r>
        </is>
      </c>
      <c r="P31" s="11" t="inlineStr">
        <is>
          <r>
            <rPr>
              <rFont val="游ゴシック"/>
              <b val="1"/>
              <sz val="9"/>
            </rPr>
            <t>Có #2</t>
          </r>
        </is>
      </c>
      <c r="Q31" s="11" t="inlineStr">
        <is>
          <r>
            <rPr>
              <rFont val="游ゴシック"/>
              <b val="1"/>
              <sz val="9"/>
            </rPr>
            <t>Có #3</t>
          </r>
        </is>
      </c>
      <c r="R31" s="11" t="inlineStr">
        <is>
          <r>
            <rPr>
              <rFont val="游ゴシック"/>
              <b val="1"/>
              <sz val="9"/>
            </rPr>
            <t>Có #4</t>
          </r>
        </is>
      </c>
      <c r="S31" s="13" t="inlineStr">
        <is>
          <t>✗</t>
        </is>
      </c>
      <c r="T31" s="13" t="inlineStr">
        <is>
          <t>✗</t>
        </is>
      </c>
      <c r="U31" s="13" t="inlineStr">
        <is>
          <t>✗</t>
        </is>
      </c>
      <c r="V31" s="11" t="inlineStr">
        <is>
          <r>
            <rPr>
              <rFont val="游ゴシック"/>
              <b val="1"/>
              <sz val="9"/>
            </rPr>
            <t>Có #2</t>
          </r>
        </is>
      </c>
      <c r="W31" s="11" t="inlineStr">
        <is>
          <r>
            <rPr>
              <rFont val="游ゴシック"/>
              <b val="1"/>
              <sz val="9"/>
            </rPr>
            <t>Có #4</t>
          </r>
        </is>
      </c>
      <c r="X31" s="11" t="inlineStr">
        <is>
          <r>
            <rPr>
              <rFont val="游ゴシック"/>
              <b val="1"/>
              <sz val="9"/>
            </rPr>
            <t>Có #5</t>
          </r>
        </is>
      </c>
      <c r="Y31" s="11" t="inlineStr">
        <is>
          <r>
            <rPr>
              <rFont val="游ゴシック"/>
              <b val="1"/>
              <sz val="9"/>
            </rPr>
            <t>KHÔNG</t>
          </r>
        </is>
      </c>
      <c r="Z31" s="11" t="inlineStr">
        <is>
          <r>
            <rPr>
              <rFont val="游ゴシック"/>
              <b val="1"/>
              <sz val="9"/>
            </rPr>
            <t>KHÔNG</t>
          </r>
        </is>
      </c>
      <c r="AA31" s="11" t="inlineStr">
        <is>
          <r>
            <rPr>
              <rFont val="游ゴシック"/>
              <b val="1"/>
              <sz val="9"/>
            </rPr>
            <t>Có #1</t>
          </r>
        </is>
      </c>
      <c r="AB31" s="11" t="inlineStr">
        <is>
          <r>
            <rPr>
              <rFont val="游ゴシック"/>
              <b val="1"/>
              <sz val="9"/>
            </rPr>
            <t>Có</t>
          </r>
        </is>
      </c>
    </row>
    <row r="32">
      <c r="A32" s="8" t="inlineStr">
        <is>
          <r>
            <rPr>
              <rFont val="Consolas"/>
              <sz val="9"/>
            </rPr>
            <t>rireki_no</t>
          </r>
        </is>
      </c>
      <c r="B32" s="11" t="inlineStr">
        <is>
          <t>1</t>
        </is>
      </c>
      <c r="C32" s="11" t="inlineStr">
        <is>
          <t>1</t>
        </is>
      </c>
      <c r="D32" s="11" t="inlineStr">
        <is>
          <t>2</t>
        </is>
      </c>
      <c r="E32" s="11" t="inlineStr">
        <is>
          <t>2</t>
        </is>
      </c>
      <c r="F32" s="11" t="inlineStr">
        <is>
          <t>2</t>
        </is>
      </c>
      <c r="G32" s="11" t="inlineStr">
        <is>
          <t>2</t>
        </is>
      </c>
      <c r="H32" s="11" t="inlineStr">
        <is>
          <t>2</t>
        </is>
      </c>
      <c r="I32" s="11" t="inlineStr">
        <is>
          <r>
            <rPr>
              <rFont val="游ゴシック"/>
              <b val="1"/>
              <sz val="9"/>
            </rPr>
            <t>3</t>
          </r>
          <r>
            <rPr>
              <rFont val="游ゴシック"/>
              <sz val="9"/>
            </rPr>
            <t xml:space="preserve"> ⁽ᶠ⁾</t>
          </r>
        </is>
      </c>
      <c r="J32" s="11" t="inlineStr">
        <is>
          <t>3</t>
        </is>
      </c>
      <c r="K32" s="11" t="inlineStr">
        <is>
          <t>2</t>
        </is>
      </c>
      <c r="L32" s="11" t="inlineStr">
        <is>
          <t>3</t>
        </is>
      </c>
      <c r="M32" s="11" t="inlineStr">
        <is>
          <t>4</t>
        </is>
      </c>
      <c r="N32" s="11" t="inlineStr">
        <is>
          <t>1</t>
        </is>
      </c>
      <c r="O32" s="11" t="inlineStr">
        <is>
          <t>1</t>
        </is>
      </c>
      <c r="P32" s="11" t="inlineStr">
        <is>
          <t>2</t>
        </is>
      </c>
      <c r="Q32" s="11" t="inlineStr">
        <is>
          <t>3</t>
        </is>
      </c>
      <c r="R32" s="11" t="inlineStr">
        <is>
          <t>4</t>
        </is>
      </c>
      <c r="S32" s="13" t="inlineStr">
        <is>
          <t>✗</t>
        </is>
      </c>
      <c r="T32" s="13" t="inlineStr">
        <is>
          <t>✗</t>
        </is>
      </c>
      <c r="U32" s="13" t="inlineStr">
        <is>
          <t>✗</t>
        </is>
      </c>
      <c r="V32" s="11" t="inlineStr">
        <is>
          <t>2</t>
        </is>
      </c>
      <c r="W32" s="11" t="inlineStr">
        <is>
          <t>4</t>
        </is>
      </c>
      <c r="X32" s="11" t="inlineStr">
        <is>
          <t>5</t>
        </is>
      </c>
      <c r="Y32" s="16" t="inlineStr">
        <is>
          <t>—</t>
        </is>
      </c>
      <c r="Z32" s="16" t="inlineStr">
        <is>
          <t>—</t>
        </is>
      </c>
      <c r="AA32" s="11" t="inlineStr">
        <is>
          <t>1</t>
        </is>
      </c>
      <c r="AB32" s="11" t="inlineStr">
        <is>
          <t>MAX+1</t>
        </is>
      </c>
    </row>
    <row r="33">
      <c r="A33" s="8" t="inlineStr">
        <is>
          <r>
            <rPr>
              <rFont val="Consolas"/>
              <sz val="9"/>
            </rPr>
            <t>joho_henko_tekiyo_date</t>
          </r>
        </is>
      </c>
      <c r="B33" s="11" t="inlineStr">
        <is>
          <t>2026-07-01</t>
        </is>
      </c>
      <c r="C33" s="11" t="inlineStr">
        <is>
          <t>2026-07-01</t>
        </is>
      </c>
      <c r="D33" s="11" t="inlineStr">
        <is>
          <t>2026-09-01</t>
        </is>
      </c>
      <c r="E33" s="11" t="inlineStr">
        <is>
          <t>2026-09-01</t>
        </is>
      </c>
      <c r="F33" s="11" t="inlineStr">
        <is>
          <t>2026-09-01</t>
        </is>
      </c>
      <c r="G33" s="11" t="inlineStr">
        <is>
          <t>2026-09-01</t>
        </is>
      </c>
      <c r="H33" s="11" t="inlineStr">
        <is>
          <t>2026-07-26</t>
        </is>
      </c>
      <c r="I33" s="11" t="inlineStr">
        <is>
          <r>
            <rPr>
              <rFont val="游ゴシック"/>
              <b val="1"/>
              <sz val="9"/>
            </rPr>
            <t>2026-08-15</t>
          </r>
        </is>
      </c>
      <c r="J33" s="11" t="inlineStr">
        <is>
          <t>2026-09-01 ⁽ˢ⁾</t>
        </is>
      </c>
      <c r="K33" s="11" t="inlineStr">
        <is>
          <t>2026-10-31</t>
        </is>
      </c>
      <c r="L33" s="11" t="inlineStr">
        <is>
          <t>2026-10-31</t>
        </is>
      </c>
      <c r="M33" s="11" t="inlineStr">
        <is>
          <t>2026-12-01</t>
        </is>
      </c>
      <c r="N33" s="11" t="inlineStr">
        <is>
          <t>2026-07-26</t>
        </is>
      </c>
      <c r="O33" s="11" t="inlineStr">
        <is>
          <t>2026-07-26</t>
        </is>
      </c>
      <c r="P33" s="11" t="inlineStr">
        <is>
          <t>2026-07-26</t>
        </is>
      </c>
      <c r="Q33" s="11" t="inlineStr">
        <is>
          <t>2026-07-26</t>
        </is>
      </c>
      <c r="R33" s="11" t="inlineStr">
        <is>
          <t>2026-07-26</t>
        </is>
      </c>
      <c r="S33" s="13" t="inlineStr">
        <is>
          <t>✗</t>
        </is>
      </c>
      <c r="T33" s="13" t="inlineStr">
        <is>
          <t>✗</t>
        </is>
      </c>
      <c r="U33" s="13" t="inlineStr">
        <is>
          <t>✗</t>
        </is>
      </c>
      <c r="V33" s="11" t="inlineStr">
        <is>
          <t>2026-09-30</t>
        </is>
      </c>
      <c r="W33" s="11" t="inlineStr">
        <is>
          <r>
            <rPr>
              <rFont val="游ゴシック"/>
              <b val="1"/>
              <sz val="9"/>
            </rPr>
            <t>2026-10-01</t>
          </r>
          <r>
            <rPr>
              <rFont val="游ゴシック"/>
              <sz val="9"/>
            </rPr>
            <t xml:space="preserve"> ⁽ᵗ⁾</t>
          </r>
        </is>
      </c>
      <c r="X33" s="11" t="inlineStr">
        <is>
          <t>2026-12-01</t>
        </is>
      </c>
      <c r="Y33" s="16" t="inlineStr">
        <is>
          <t>—</t>
        </is>
      </c>
      <c r="Z33" s="16" t="inlineStr">
        <is>
          <t>—</t>
        </is>
      </c>
      <c r="AA33" s="11" t="inlineStr">
        <is>
          <t>ngày batch</t>
        </is>
      </c>
      <c r="AB33" s="11" t="inlineStr">
        <is>
          <t>ngày batch</t>
        </is>
      </c>
    </row>
    <row r="34">
      <c r="A34" s="8" t="inlineStr">
        <is>
          <r>
            <rPr>
              <rFont val="Consolas"/>
              <sz val="9"/>
            </rPr>
            <t>tetsuzuki_shurui</t>
          </r>
        </is>
      </c>
      <c r="B34" s="11" t="inlineStr">
        <is>
          <t>1</t>
        </is>
      </c>
      <c r="C34" s="11" t="inlineStr">
        <is>
          <t>1</t>
        </is>
      </c>
      <c r="D34" s="11" t="inlineStr">
        <is>
          <t>↩1</t>
        </is>
      </c>
      <c r="E34" s="11" t="inlineStr">
        <is>
          <t>↩1</t>
        </is>
      </c>
      <c r="F34" s="11" t="inlineStr">
        <is>
          <t>↩1</t>
        </is>
      </c>
      <c r="G34" s="11" t="inlineStr">
        <is>
          <t>↩1</t>
        </is>
      </c>
      <c r="H34" s="11" t="inlineStr">
        <is>
          <t>↩1</t>
        </is>
      </c>
      <c r="I34" s="11" t="inlineStr">
        <is>
          <t>↩1</t>
        </is>
      </c>
      <c r="J34" s="16" t="inlineStr">
        <is>
          <t>↩</t>
        </is>
      </c>
      <c r="K34" s="11" t="inlineStr">
        <is>
          <r>
            <rPr>
              <rFont val="游ゴシック"/>
              <b val="1"/>
              <sz val="9"/>
            </rPr>
            <t>↩1</t>
          </r>
          <r>
            <rPr>
              <rFont val="游ゴシック"/>
              <sz val="9"/>
            </rPr>
            <t xml:space="preserve"> ⁽ᵉ⁾</t>
          </r>
        </is>
      </c>
      <c r="L34" s="11" t="inlineStr">
        <is>
          <r>
            <rPr>
              <rFont val="游ゴシック"/>
              <b val="1"/>
              <sz val="9"/>
            </rPr>
            <t>0</t>
          </r>
        </is>
      </c>
      <c r="M34" s="11" t="inlineStr">
        <is>
          <r>
            <rPr>
              <rFont val="游ゴシック"/>
              <b val="1"/>
              <sz val="9"/>
            </rPr>
            <t>1</t>
          </r>
        </is>
      </c>
      <c r="N34" s="11" t="inlineStr">
        <is>
          <t>1</t>
        </is>
      </c>
      <c r="O34" s="11" t="inlineStr">
        <is>
          <t>1</t>
        </is>
      </c>
      <c r="P34" s="11" t="inlineStr">
        <is>
          <t>↩1</t>
        </is>
      </c>
      <c r="Q34" s="11" t="inlineStr">
        <is>
          <t>↩1</t>
        </is>
      </c>
      <c r="R34" s="11" t="inlineStr">
        <is>
          <t>↩1</t>
        </is>
      </c>
      <c r="S34" s="13" t="inlineStr">
        <is>
          <t>✗</t>
        </is>
      </c>
      <c r="T34" s="13" t="inlineStr">
        <is>
          <t>✗</t>
        </is>
      </c>
      <c r="U34" s="13" t="inlineStr">
        <is>
          <t>✗</t>
        </is>
      </c>
      <c r="V34" s="11" t="inlineStr">
        <is>
          <r>
            <rPr>
              <rFont val="游ゴシック"/>
              <b val="1"/>
              <sz val="9"/>
            </rPr>
            <t>↩1</t>
          </r>
        </is>
      </c>
      <c r="W34" s="11" t="inlineStr">
        <is>
          <r>
            <rPr>
              <rFont val="游ゴシック"/>
              <b val="1"/>
              <sz val="9"/>
            </rPr>
            <t>0</t>
          </r>
        </is>
      </c>
      <c r="X34" s="11" t="inlineStr">
        <is>
          <r>
            <rPr>
              <rFont val="游ゴシック"/>
              <b val="1"/>
              <sz val="9"/>
            </rPr>
            <t>1</t>
          </r>
        </is>
      </c>
      <c r="Y34" s="16" t="inlineStr">
        <is>
          <t>—</t>
        </is>
      </c>
      <c r="Z34" s="16" t="inlineStr">
        <is>
          <t>—</t>
        </is>
      </c>
      <c r="AA34" s="11" t="inlineStr">
        <is>
          <t>1</t>
        </is>
      </c>
      <c r="AB34" s="12" t="inlineStr">
        <is>
          <t>✅</t>
        </is>
      </c>
    </row>
    <row r="35">
      <c r="A35" s="8" t="inlineStr">
        <is>
          <r>
            <rPr>
              <rFont val="Consolas"/>
              <sz val="9"/>
            </rPr>
            <t>dokusya_busu</t>
          </r>
        </is>
      </c>
      <c r="B35" s="11" t="inlineStr">
        <is>
          <t>2</t>
        </is>
      </c>
      <c r="C35" s="11" t="inlineStr">
        <is>
          <t>2</t>
        </is>
      </c>
      <c r="D35" s="11" t="inlineStr">
        <is>
          <r>
            <rPr>
              <rFont val="游ゴシック"/>
              <b val="1"/>
              <sz val="9"/>
            </rPr>
            <t>3</t>
          </r>
        </is>
      </c>
      <c r="E35" s="11" t="inlineStr">
        <is>
          <t>↩2</t>
        </is>
      </c>
      <c r="F35" s="11" t="inlineStr">
        <is>
          <t>↩2</t>
        </is>
      </c>
      <c r="G35" s="11" t="inlineStr">
        <is>
          <t>↩2</t>
        </is>
      </c>
      <c r="H35" s="11" t="inlineStr">
        <is>
          <t>↩2</t>
        </is>
      </c>
      <c r="I35" s="11" t="inlineStr">
        <is>
          <r>
            <rPr>
              <rFont val="游ゴシック"/>
              <b val="1"/>
              <sz val="9"/>
            </rPr>
            <t>↩2</t>
          </r>
          <r>
            <rPr>
              <rFont val="游ゴシック"/>
              <sz val="9"/>
            </rPr>
            <t xml:space="preserve"> ⁽ᶠ⁾</t>
          </r>
        </is>
      </c>
      <c r="J35" s="11" t="inlineStr">
        <is>
          <r>
            <rPr>
              <rFont val="游ゴシック"/>
              <b val="1"/>
              <sz val="9"/>
            </rPr>
            <t>2</t>
          </r>
          <r>
            <rPr>
              <rFont val="游ゴシック"/>
              <sz val="9"/>
            </rPr>
            <t xml:space="preserve"> (hoán đổi)</t>
          </r>
        </is>
      </c>
      <c r="K35" s="11" t="inlineStr">
        <is>
          <r>
            <rPr>
              <rFont val="游ゴシック"/>
              <b val="1"/>
              <sz val="9"/>
            </rPr>
            <t>0</t>
          </r>
        </is>
      </c>
      <c r="L35" s="11" t="inlineStr">
        <is>
          <r>
            <rPr>
              <rFont val="游ゴシック"/>
              <b val="1"/>
              <sz val="9"/>
            </rPr>
            <t>0</t>
          </r>
        </is>
      </c>
      <c r="M35" s="11" t="inlineStr">
        <is>
          <t>2</t>
        </is>
      </c>
      <c r="N35" s="11" t="inlineStr">
        <is>
          <t>1</t>
        </is>
      </c>
      <c r="O35" s="11" t="inlineStr">
        <is>
          <t>1</t>
        </is>
      </c>
      <c r="P35" s="11" t="inlineStr">
        <is>
          <t>↩1</t>
        </is>
      </c>
      <c r="Q35" s="11" t="inlineStr">
        <is>
          <t>↩1</t>
        </is>
      </c>
      <c r="R35" s="11" t="inlineStr">
        <is>
          <t>↩1</t>
        </is>
      </c>
      <c r="S35" s="13" t="inlineStr">
        <is>
          <t>✗</t>
        </is>
      </c>
      <c r="T35" s="13" t="inlineStr">
        <is>
          <t>✗</t>
        </is>
      </c>
      <c r="U35" s="13" t="inlineStr">
        <is>
          <t>✗</t>
        </is>
      </c>
      <c r="V35" s="11" t="inlineStr">
        <is>
          <r>
            <rPr>
              <rFont val="游ゴシック"/>
              <b val="1"/>
              <sz val="9"/>
            </rPr>
            <t>0</t>
          </r>
        </is>
      </c>
      <c r="W35" s="11" t="inlineStr">
        <is>
          <r>
            <rPr>
              <rFont val="游ゴシック"/>
              <b val="1"/>
              <sz val="9"/>
            </rPr>
            <t>0</t>
          </r>
        </is>
      </c>
      <c r="X35" s="11" t="inlineStr">
        <is>
          <t>1</t>
        </is>
      </c>
      <c r="Y35" s="16" t="inlineStr">
        <is>
          <t>—</t>
        </is>
      </c>
      <c r="Z35" s="16" t="inlineStr">
        <is>
          <t>—</t>
        </is>
      </c>
      <c r="AA35" s="11" t="inlineStr">
        <is>
          <t>1</t>
        </is>
      </c>
      <c r="AB35" s="13" t="inlineStr">
        <is>
          <t>❌</t>
        </is>
      </c>
    </row>
    <row r="36">
      <c r="A36" s="8" t="inlineStr">
        <is>
          <r>
            <rPr>
              <rFont val="Consolas"/>
              <sz val="9"/>
            </rPr>
            <t>hanbaiten_id</t>
          </r>
        </is>
      </c>
      <c r="B36" s="11" t="inlineStr">
        <is>
          <t>301</t>
        </is>
      </c>
      <c r="C36" s="11" t="inlineStr">
        <is>
          <t>301</t>
        </is>
      </c>
      <c r="D36" s="11" t="inlineStr">
        <is>
          <t>↩301</t>
        </is>
      </c>
      <c r="E36" s="11" t="inlineStr">
        <is>
          <r>
            <rPr>
              <rFont val="游ゴシック"/>
              <b val="1"/>
              <sz val="9"/>
            </rPr>
            <t>305</t>
          </r>
        </is>
      </c>
      <c r="F36" s="11" t="inlineStr">
        <is>
          <t>↩301</t>
        </is>
      </c>
      <c r="G36" s="11" t="inlineStr">
        <is>
          <t>↩301</t>
        </is>
      </c>
      <c r="H36" s="11" t="inlineStr">
        <is>
          <t>↩301</t>
        </is>
      </c>
      <c r="I36" s="11" t="inlineStr">
        <is>
          <r>
            <rPr>
              <rFont val="游ゴシック"/>
              <b val="1"/>
              <sz val="9"/>
            </rPr>
            <t>305</t>
          </r>
        </is>
      </c>
      <c r="J36" s="11" t="inlineStr">
        <is>
          <t>301</t>
        </is>
      </c>
      <c r="K36" s="11" t="inlineStr">
        <is>
          <t>↩301</t>
        </is>
      </c>
      <c r="L36" s="11" t="inlineStr">
        <is>
          <t>↩301</t>
        </is>
      </c>
      <c r="M36" s="11" t="inlineStr">
        <is>
          <t>301</t>
        </is>
      </c>
      <c r="N36" s="11" t="inlineStr">
        <is>
          <t>301</t>
        </is>
      </c>
      <c r="O36" s="11" t="inlineStr">
        <is>
          <t>301</t>
        </is>
      </c>
      <c r="P36" s="11" t="inlineStr">
        <is>
          <r>
            <rPr>
              <rFont val="游ゴシック"/>
              <b val="1"/>
              <sz val="9"/>
            </rPr>
            <t>305</t>
          </r>
        </is>
      </c>
      <c r="Q36" s="11" t="inlineStr">
        <is>
          <t>↩305</t>
        </is>
      </c>
      <c r="R36" s="11" t="inlineStr">
        <is>
          <t>↩305</t>
        </is>
      </c>
      <c r="S36" s="13" t="inlineStr">
        <is>
          <t>✗</t>
        </is>
      </c>
      <c r="T36" s="13" t="inlineStr">
        <is>
          <t>✗</t>
        </is>
      </c>
      <c r="U36" s="13" t="inlineStr">
        <is>
          <t>✗</t>
        </is>
      </c>
      <c r="V36" s="11" t="inlineStr">
        <is>
          <t>↩305</t>
        </is>
      </c>
      <c r="W36" s="11" t="inlineStr">
        <is>
          <t>↩305</t>
        </is>
      </c>
      <c r="X36" s="11" t="inlineStr">
        <is>
          <t>305</t>
        </is>
      </c>
      <c r="Y36" s="16" t="inlineStr">
        <is>
          <t>—</t>
        </is>
      </c>
      <c r="Z36" s="16" t="inlineStr">
        <is>
          <t>—</t>
        </is>
      </c>
      <c r="AA36" s="11" t="inlineStr">
        <is>
          <t>resolve</t>
        </is>
      </c>
      <c r="AB36" s="13" t="inlineStr">
        <is>
          <t>❌</t>
        </is>
      </c>
    </row>
    <row r="37">
      <c r="A37" s="8" t="inlineStr">
        <is>
          <r>
            <rPr>
              <rFont val="Consolas"/>
              <sz val="9"/>
            </rPr>
            <t>chome_banchi</t>
          </r>
        </is>
      </c>
      <c r="B37" s="11" t="inlineStr">
        <is>
          <t>中央通1-2-3</t>
        </is>
      </c>
      <c r="C37" s="11" t="inlineStr">
        <is>
          <t>中央通1-2-3</t>
        </is>
      </c>
      <c r="D37" s="16" t="inlineStr">
        <is>
          <t>↩</t>
        </is>
      </c>
      <c r="E37" s="16" t="inlineStr">
        <is>
          <t>↩</t>
        </is>
      </c>
      <c r="F37" s="11" t="inlineStr">
        <is>
          <r>
            <rPr>
              <rFont val="游ゴシック"/>
              <b val="1"/>
              <sz val="9"/>
            </rPr>
            <t>大通2-5-1</t>
          </r>
        </is>
      </c>
      <c r="G37" s="16" t="inlineStr">
        <is>
          <t>↩</t>
        </is>
      </c>
      <c r="H37" s="16" t="inlineStr">
        <is>
          <t>↩</t>
        </is>
      </c>
      <c r="I37" s="16" t="inlineStr">
        <is>
          <t>↩</t>
        </is>
      </c>
      <c r="J37" s="16" t="inlineStr">
        <is>
          <t>↩</t>
        </is>
      </c>
      <c r="K37" s="16" t="inlineStr">
        <is>
          <t>↩</t>
        </is>
      </c>
      <c r="L37" s="16" t="inlineStr">
        <is>
          <t>↩</t>
        </is>
      </c>
      <c r="M37" s="11" t="inlineStr">
        <is>
          <t>↩/NEW</t>
        </is>
      </c>
      <c r="N37" s="11" t="inlineStr">
        <is>
          <t>内丸5-6</t>
        </is>
      </c>
      <c r="O37" s="11" t="inlineStr">
        <is>
          <t>内丸5-6</t>
        </is>
      </c>
      <c r="P37" s="16" t="inlineStr">
        <is>
          <t>↩</t>
        </is>
      </c>
      <c r="Q37" s="11" t="inlineStr">
        <is>
          <r>
            <rPr>
              <rFont val="游ゴシック"/>
              <b val="1"/>
              <sz val="9"/>
            </rPr>
            <t>大通1-1</t>
          </r>
        </is>
      </c>
      <c r="R37" s="16" t="inlineStr">
        <is>
          <t>↩</t>
        </is>
      </c>
      <c r="S37" s="13" t="inlineStr">
        <is>
          <t>✗</t>
        </is>
      </c>
      <c r="T37" s="13" t="inlineStr">
        <is>
          <t>✗</t>
        </is>
      </c>
      <c r="U37" s="13" t="inlineStr">
        <is>
          <t>✗</t>
        </is>
      </c>
      <c r="V37" s="16" t="inlineStr">
        <is>
          <t>↩</t>
        </is>
      </c>
      <c r="W37" s="16" t="inlineStr">
        <is>
          <t>↩</t>
        </is>
      </c>
      <c r="X37" s="16" t="inlineStr">
        <is>
          <t>↩</t>
        </is>
      </c>
      <c r="Y37" s="16" t="inlineStr">
        <is>
          <t>—</t>
        </is>
      </c>
      <c r="Z37" s="16" t="inlineStr">
        <is>
          <t>—</t>
        </is>
      </c>
      <c r="AA37" s="11" t="inlineStr">
        <is>
          <t>từ view</t>
        </is>
      </c>
      <c r="AB37" s="12" t="inlineStr">
        <is>
          <t>✅</t>
        </is>
      </c>
    </row>
    <row r="38">
      <c r="A38" s="8" t="inlineStr">
        <is>
          <r>
            <rPr>
              <rFont val="Consolas"/>
              <sz val="9"/>
            </rPr>
            <t>haitatsu_same_flg</t>
          </r>
        </is>
      </c>
      <c r="B38" s="11" t="inlineStr">
        <is>
          <t>TRUE</t>
        </is>
      </c>
      <c r="C38" s="11" t="inlineStr">
        <is>
          <t>TRUE</t>
        </is>
      </c>
      <c r="D38" s="16" t="inlineStr">
        <is>
          <t>↩</t>
        </is>
      </c>
      <c r="E38" s="16" t="inlineStr">
        <is>
          <t>↩</t>
        </is>
      </c>
      <c r="F38" s="11" t="inlineStr">
        <is>
          <t>↩TRUE</t>
        </is>
      </c>
      <c r="G38" s="11" t="inlineStr">
        <is>
          <r>
            <rPr>
              <rFont val="游ゴシック"/>
              <b val="1"/>
              <sz val="9"/>
            </rPr>
            <t>FALSE</t>
          </r>
        </is>
      </c>
      <c r="H38" s="16" t="inlineStr">
        <is>
          <t>↩</t>
        </is>
      </c>
      <c r="I38" s="16" t="inlineStr">
        <is>
          <t>↩</t>
        </is>
      </c>
      <c r="J38" s="16" t="inlineStr">
        <is>
          <t>↩</t>
        </is>
      </c>
      <c r="K38" s="16" t="inlineStr">
        <is>
          <t>↩</t>
        </is>
      </c>
      <c r="L38" s="16" t="inlineStr">
        <is>
          <t>↩</t>
        </is>
      </c>
      <c r="M38" s="16" t="inlineStr">
        <is>
          <t>↩</t>
        </is>
      </c>
      <c r="N38" s="11" t="inlineStr">
        <is>
          <t>TRUE</t>
        </is>
      </c>
      <c r="O38" s="11" t="inlineStr">
        <is>
          <t>TRUE</t>
        </is>
      </c>
      <c r="P38" s="16" t="inlineStr">
        <is>
          <t>↩</t>
        </is>
      </c>
      <c r="Q38" s="16" t="inlineStr">
        <is>
          <t>↩</t>
        </is>
      </c>
      <c r="R38" s="16" t="inlineStr">
        <is>
          <t>↩</t>
        </is>
      </c>
      <c r="S38" s="13" t="inlineStr">
        <is>
          <t>✗</t>
        </is>
      </c>
      <c r="T38" s="13" t="inlineStr">
        <is>
          <t>✗</t>
        </is>
      </c>
      <c r="U38" s="13" t="inlineStr">
        <is>
          <t>✗</t>
        </is>
      </c>
      <c r="V38" s="16" t="inlineStr">
        <is>
          <t>↩</t>
        </is>
      </c>
      <c r="W38" s="16" t="inlineStr">
        <is>
          <t>↩</t>
        </is>
      </c>
      <c r="X38" s="16" t="inlineStr">
        <is>
          <t>↩</t>
        </is>
      </c>
      <c r="Y38" s="16" t="inlineStr">
        <is>
          <t>—</t>
        </is>
      </c>
      <c r="Z38" s="16" t="inlineStr">
        <is>
          <t>—</t>
        </is>
      </c>
      <c r="AA38" s="11" t="inlineStr">
        <is>
          <t>TRUE</t>
        </is>
      </c>
      <c r="AB38" s="12" t="inlineStr">
        <is>
          <t>✅</t>
        </is>
      </c>
    </row>
    <row r="39">
      <c r="A39" s="8" t="inlineStr">
        <is>
          <r>
            <rPr>
              <rFont val="Consolas"/>
              <sz val="9"/>
            </rPr>
            <t>dokusya_chushi_date</t>
          </r>
        </is>
      </c>
      <c r="B39" s="11" t="inlineStr">
        <is>
          <t>NULL</t>
        </is>
      </c>
      <c r="C39" s="11" t="inlineStr">
        <is>
          <t>NULL</t>
        </is>
      </c>
      <c r="D39" s="16" t="inlineStr">
        <is>
          <t>↩</t>
        </is>
      </c>
      <c r="E39" s="16" t="inlineStr">
        <is>
          <t>↩</t>
        </is>
      </c>
      <c r="F39" s="16" t="inlineStr">
        <is>
          <t>↩</t>
        </is>
      </c>
      <c r="G39" s="16" t="inlineStr">
        <is>
          <t>↩</t>
        </is>
      </c>
      <c r="H39" s="16" t="inlineStr">
        <is>
          <t>↩</t>
        </is>
      </c>
      <c r="I39" s="16" t="inlineStr">
        <is>
          <t>↩</t>
        </is>
      </c>
      <c r="J39" s="16" t="inlineStr">
        <is>
          <t>↩</t>
        </is>
      </c>
      <c r="K39" s="11" t="inlineStr">
        <is>
          <r>
            <rPr>
              <rFont val="游ゴシック"/>
              <b val="1"/>
              <sz val="9"/>
            </rPr>
            <t>2026-10-31</t>
          </r>
        </is>
      </c>
      <c r="L39" s="11" t="inlineStr">
        <is>
          <r>
            <rPr>
              <rFont val="游ゴシック"/>
              <b val="1"/>
              <sz val="9"/>
            </rPr>
            <t>2026-10-31</t>
          </r>
        </is>
      </c>
      <c r="M39" s="11" t="inlineStr">
        <is>
          <r>
            <rPr>
              <rFont val="游ゴシック"/>
              <b val="1"/>
              <sz val="9"/>
            </rPr>
            <t>NULL</t>
          </r>
        </is>
      </c>
      <c r="N39" s="11" t="inlineStr">
        <is>
          <t>NULL</t>
        </is>
      </c>
      <c r="O39" s="11" t="inlineStr">
        <is>
          <t>NULL</t>
        </is>
      </c>
      <c r="P39" s="16" t="inlineStr">
        <is>
          <t>↩</t>
        </is>
      </c>
      <c r="Q39" s="16" t="inlineStr">
        <is>
          <t>↩</t>
        </is>
      </c>
      <c r="R39" s="16" t="inlineStr">
        <is>
          <t>↩</t>
        </is>
      </c>
      <c r="S39" s="13" t="inlineStr">
        <is>
          <t>✗</t>
        </is>
      </c>
      <c r="T39" s="13" t="inlineStr">
        <is>
          <t>✗</t>
        </is>
      </c>
      <c r="U39" s="13" t="inlineStr">
        <is>
          <t>✗</t>
        </is>
      </c>
      <c r="V39" s="11" t="inlineStr">
        <is>
          <r>
            <rPr>
              <rFont val="游ゴシック"/>
              <b val="1"/>
              <sz val="9"/>
            </rPr>
            <t>2026-09-30</t>
          </r>
        </is>
      </c>
      <c r="W39" s="11" t="inlineStr">
        <is>
          <r>
            <rPr>
              <rFont val="游ゴシック"/>
              <b val="1"/>
              <sz val="9"/>
            </rPr>
            <t>2026-09-30</t>
          </r>
        </is>
      </c>
      <c r="X39" s="11" t="inlineStr">
        <is>
          <r>
            <rPr>
              <rFont val="游ゴシック"/>
              <b val="1"/>
              <sz val="9"/>
            </rPr>
            <t>NULL</t>
          </r>
        </is>
      </c>
      <c r="Y39" s="16" t="inlineStr">
        <is>
          <t>—</t>
        </is>
      </c>
      <c r="Z39" s="16" t="inlineStr">
        <is>
          <t>—</t>
        </is>
      </c>
      <c r="AA39" s="11" t="inlineStr">
        <is>
          <t>từ view</t>
        </is>
      </c>
      <c r="AB39" s="12" t="inlineStr">
        <is>
          <t>✅</t>
        </is>
      </c>
    </row>
    <row r="40">
      <c r="A40" s="8" t="inlineStr">
        <is>
          <r>
            <rPr>
              <rFont val="Consolas"/>
              <sz val="9"/>
            </rPr>
            <t>saishin_data_flg</t>
          </r>
        </is>
      </c>
      <c r="B40" s="11" t="inlineStr">
        <is>
          <t>TRUE</t>
        </is>
      </c>
      <c r="C40" s="11" t="inlineStr">
        <is>
          <r>
            <rPr>
              <rFont val="游ゴシック"/>
              <b val="1"/>
              <sz val="9"/>
            </rPr>
            <t>TRUE</t>
          </r>
        </is>
      </c>
      <c r="D40" s="11" t="inlineStr">
        <is>
          <t>FALSE</t>
        </is>
      </c>
      <c r="E40" s="11" t="inlineStr">
        <is>
          <t>FALSE</t>
        </is>
      </c>
      <c r="F40" s="11" t="inlineStr">
        <is>
          <t>FALSE</t>
        </is>
      </c>
      <c r="G40" s="11" t="inlineStr">
        <is>
          <t>FALSE</t>
        </is>
      </c>
      <c r="H40" s="11" t="inlineStr">
        <is>
          <r>
            <rPr>
              <rFont val="游ゴシック"/>
              <b val="1"/>
              <sz val="9"/>
            </rPr>
            <t>TRUE</t>
          </r>
        </is>
      </c>
      <c r="I40" s="11" t="inlineStr">
        <is>
          <t>FALSE</t>
        </is>
      </c>
      <c r="J40" s="11" t="inlineStr">
        <is>
          <t>FALSE</t>
        </is>
      </c>
      <c r="K40" s="11" t="inlineStr">
        <is>
          <t>FALSE</t>
        </is>
      </c>
      <c r="L40" s="11" t="inlineStr">
        <is>
          <r>
            <rPr>
              <rFont val="游ゴシック"/>
              <b val="1"/>
              <sz val="9"/>
            </rPr>
            <t>TRUE</t>
          </r>
        </is>
      </c>
      <c r="M40" s="11" t="inlineStr">
        <is>
          <r>
            <rPr>
              <rFont val="游ゴシック"/>
              <b val="1"/>
              <sz val="9"/>
            </rPr>
            <t>TRUE</t>
          </r>
          <r>
            <rPr>
              <rFont val="游ゴシック"/>
              <sz val="9"/>
            </rPr>
            <t xml:space="preserve"> ⁽ᵘ⁾</t>
          </r>
        </is>
      </c>
      <c r="N40" s="11" t="inlineStr">
        <is>
          <t>TRUE</t>
        </is>
      </c>
      <c r="O40" s="11" t="inlineStr">
        <is>
          <r>
            <rPr>
              <rFont val="游ゴシック"/>
              <b val="1"/>
              <sz val="9"/>
            </rPr>
            <t>TRUE</t>
          </r>
        </is>
      </c>
      <c r="P40" s="11" t="inlineStr">
        <is>
          <r>
            <rPr>
              <rFont val="游ゴシック"/>
              <b val="1"/>
              <sz val="9"/>
            </rPr>
            <t>TRUE</t>
          </r>
        </is>
      </c>
      <c r="Q40" s="11" t="inlineStr">
        <is>
          <r>
            <rPr>
              <rFont val="游ゴシック"/>
              <b val="1"/>
              <sz val="9"/>
            </rPr>
            <t>TRUE</t>
          </r>
        </is>
      </c>
      <c r="R40" s="11" t="inlineStr">
        <is>
          <r>
            <rPr>
              <rFont val="游ゴシック"/>
              <b val="1"/>
              <sz val="9"/>
            </rPr>
            <t>TRUE</t>
          </r>
        </is>
      </c>
      <c r="S40" s="13" t="inlineStr">
        <is>
          <t>✗</t>
        </is>
      </c>
      <c r="T40" s="13" t="inlineStr">
        <is>
          <t>✗</t>
        </is>
      </c>
      <c r="U40" s="13" t="inlineStr">
        <is>
          <t>✗</t>
        </is>
      </c>
      <c r="V40" s="11" t="inlineStr">
        <is>
          <t>FALSE</t>
        </is>
      </c>
      <c r="W40" s="11" t="inlineStr">
        <is>
          <r>
            <rPr>
              <rFont val="游ゴシック"/>
              <b val="1"/>
              <sz val="9"/>
            </rPr>
            <t>TRUE</t>
          </r>
        </is>
      </c>
      <c r="X40" s="11" t="inlineStr">
        <is>
          <r>
            <rPr>
              <rFont val="游ゴシック"/>
              <b val="1"/>
              <sz val="9"/>
            </rPr>
            <t>TRUE</t>
          </r>
        </is>
      </c>
      <c r="Y40" s="16" t="inlineStr">
        <is>
          <t>—</t>
        </is>
      </c>
      <c r="Z40" s="16" t="inlineStr">
        <is>
          <t>—</t>
        </is>
      </c>
      <c r="AA40" s="11" t="inlineStr">
        <is>
          <t>TRUE</t>
        </is>
      </c>
      <c r="AB40" s="11" t="inlineStr">
        <is>
          <t>TRUE</t>
        </is>
      </c>
    </row>
    <row r="41">
      <c r="A41" s="8" t="inlineStr">
        <is>
          <r>
            <rPr>
              <rFont val="Consolas"/>
              <sz val="9"/>
            </rPr>
            <t>shinki_flg</t>
          </r>
        </is>
      </c>
      <c r="B41" s="11" t="inlineStr">
        <is>
          <t>TRUE</t>
        </is>
      </c>
      <c r="C41" s="11" t="inlineStr">
        <is>
          <r>
            <rPr>
              <rFont val="游ゴシック"/>
              <b val="1"/>
              <sz val="9"/>
            </rPr>
            <t>TRUE</t>
          </r>
        </is>
      </c>
      <c r="D41" s="11" t="inlineStr">
        <is>
          <t>FALSE</t>
        </is>
      </c>
      <c r="E41" s="11" t="inlineStr">
        <is>
          <t>FALSE</t>
        </is>
      </c>
      <c r="F41" s="11" t="inlineStr">
        <is>
          <t>FALSE</t>
        </is>
      </c>
      <c r="G41" s="11" t="inlineStr">
        <is>
          <t>FALSE</t>
        </is>
      </c>
      <c r="H41" s="11" t="inlineStr">
        <is>
          <t>FALSE</t>
        </is>
      </c>
      <c r="I41" s="11" t="inlineStr">
        <is>
          <t>FALSE</t>
        </is>
      </c>
      <c r="J41" s="16" t="inlineStr">
        <is>
          <t>↩</t>
        </is>
      </c>
      <c r="K41" s="11" t="inlineStr">
        <is>
          <t>FALSE</t>
        </is>
      </c>
      <c r="L41" s="11" t="inlineStr">
        <is>
          <t>FALSE</t>
        </is>
      </c>
      <c r="M41" s="11" t="inlineStr">
        <is>
          <r>
            <rPr>
              <rFont val="游ゴシック"/>
              <b val="1"/>
              <sz val="9"/>
            </rPr>
            <t>TRUE</t>
          </r>
        </is>
      </c>
      <c r="N41" s="11" t="inlineStr">
        <is>
          <t>TRUE</t>
        </is>
      </c>
      <c r="O41" s="11" t="inlineStr">
        <is>
          <r>
            <rPr>
              <rFont val="游ゴシック"/>
              <b val="1"/>
              <sz val="9"/>
            </rPr>
            <t>TRUE</t>
          </r>
        </is>
      </c>
      <c r="P41" s="11" t="inlineStr">
        <is>
          <t>FALSE</t>
        </is>
      </c>
      <c r="Q41" s="11" t="inlineStr">
        <is>
          <t>FALSE</t>
        </is>
      </c>
      <c r="R41" s="11" t="inlineStr">
        <is>
          <t>FALSE</t>
        </is>
      </c>
      <c r="S41" s="13" t="inlineStr">
        <is>
          <t>✗</t>
        </is>
      </c>
      <c r="T41" s="13" t="inlineStr">
        <is>
          <t>✗</t>
        </is>
      </c>
      <c r="U41" s="13" t="inlineStr">
        <is>
          <t>✗</t>
        </is>
      </c>
      <c r="V41" s="11" t="inlineStr">
        <is>
          <t>FALSE</t>
        </is>
      </c>
      <c r="W41" s="11" t="inlineStr">
        <is>
          <t>FALSE</t>
        </is>
      </c>
      <c r="X41" s="11" t="inlineStr">
        <is>
          <r>
            <rPr>
              <rFont val="游ゴシック"/>
              <b val="1"/>
              <sz val="9"/>
            </rPr>
            <t>TRUE</t>
          </r>
        </is>
      </c>
      <c r="Y41" s="16" t="inlineStr">
        <is>
          <t>—</t>
        </is>
      </c>
      <c r="Z41" s="16" t="inlineStr">
        <is>
          <t>—</t>
        </is>
      </c>
      <c r="AA41" s="11" t="inlineStr">
        <is>
          <r>
            <rPr>
              <rFont val="游ゴシック"/>
              <b val="1"/>
              <sz val="9"/>
            </rPr>
            <t>TRUE</t>
          </r>
        </is>
      </c>
      <c r="AB41" s="11" t="inlineStr">
        <is>
          <t>FALSE</t>
        </is>
      </c>
    </row>
    <row r="42">
      <c r="A42" s="8" t="inlineStr">
        <is>
          <r>
            <rPr>
              <rFont val="Consolas"/>
              <sz val="9"/>
            </rPr>
            <t>kaiyaku_flg</t>
          </r>
        </is>
      </c>
      <c r="B42" s="11" t="inlineStr">
        <is>
          <t>FALSE</t>
        </is>
      </c>
      <c r="C42" s="11" t="inlineStr">
        <is>
          <t>FALSE</t>
        </is>
      </c>
      <c r="D42" s="11" t="inlineStr">
        <is>
          <t>FALSE</t>
        </is>
      </c>
      <c r="E42" s="11" t="inlineStr">
        <is>
          <t>FALSE</t>
        </is>
      </c>
      <c r="F42" s="11" t="inlineStr">
        <is>
          <t>FALSE</t>
        </is>
      </c>
      <c r="G42" s="11" t="inlineStr">
        <is>
          <t>FALSE</t>
        </is>
      </c>
      <c r="H42" s="11" t="inlineStr">
        <is>
          <t>FALSE</t>
        </is>
      </c>
      <c r="I42" s="11" t="inlineStr">
        <is>
          <t>FALSE</t>
        </is>
      </c>
      <c r="J42" s="11" t="inlineStr">
        <is>
          <t>FALSE ⁽ᵛ⁾</t>
        </is>
      </c>
      <c r="K42" s="11" t="inlineStr">
        <is>
          <r>
            <rPr>
              <rFont val="游ゴシック"/>
              <b val="1"/>
              <sz val="9"/>
            </rPr>
            <t>FALSE</t>
          </r>
          <r>
            <rPr>
              <rFont val="游ゴシック"/>
              <sz val="9"/>
            </rPr>
            <t xml:space="preserve"> ⁽ᵉ⁾</t>
          </r>
        </is>
      </c>
      <c r="L42" s="11" t="inlineStr">
        <is>
          <r>
            <rPr>
              <rFont val="游ゴシック"/>
              <b val="1"/>
              <sz val="9"/>
            </rPr>
            <t>TRUE</t>
          </r>
        </is>
      </c>
      <c r="M42" s="11" t="inlineStr">
        <is>
          <t>FALSE</t>
        </is>
      </c>
      <c r="N42" s="11" t="inlineStr">
        <is>
          <t>FALSE</t>
        </is>
      </c>
      <c r="O42" s="11" t="inlineStr">
        <is>
          <t>FALSE</t>
        </is>
      </c>
      <c r="P42" s="11" t="inlineStr">
        <is>
          <t>FALSE</t>
        </is>
      </c>
      <c r="Q42" s="11" t="inlineStr">
        <is>
          <t>FALSE</t>
        </is>
      </c>
      <c r="R42" s="11" t="inlineStr">
        <is>
          <t>FALSE</t>
        </is>
      </c>
      <c r="S42" s="13" t="inlineStr">
        <is>
          <t>✗</t>
        </is>
      </c>
      <c r="T42" s="13" t="inlineStr">
        <is>
          <t>✗</t>
        </is>
      </c>
      <c r="U42" s="13" t="inlineStr">
        <is>
          <t>✗</t>
        </is>
      </c>
      <c r="V42" s="11" t="inlineStr">
        <is>
          <r>
            <rPr>
              <rFont val="游ゴシック"/>
              <b val="1"/>
              <sz val="9"/>
            </rPr>
            <t>FALSE</t>
          </r>
        </is>
      </c>
      <c r="W42" s="11" t="inlineStr">
        <is>
          <r>
            <rPr>
              <rFont val="游ゴシック"/>
              <b val="1"/>
              <sz val="9"/>
            </rPr>
            <t>TRUE</t>
          </r>
        </is>
      </c>
      <c r="X42" s="11" t="inlineStr">
        <is>
          <t>FALSE</t>
        </is>
      </c>
      <c r="Y42" s="16" t="inlineStr">
        <is>
          <t>—</t>
        </is>
      </c>
      <c r="Z42" s="16" t="inlineStr">
        <is>
          <t>—</t>
        </is>
      </c>
      <c r="AA42" s="11" t="inlineStr">
        <is>
          <t>FALSE</t>
        </is>
      </c>
      <c r="AB42" s="11" t="inlineStr">
        <is>
          <t>FALSE</t>
        </is>
      </c>
    </row>
    <row r="43">
      <c r="A43" s="8" t="inlineStr">
        <is>
          <r>
            <rPr>
              <rFont val="Consolas"/>
              <b val="1"/>
              <sz val="9"/>
            </rPr>
            <t>zougen_hokoku_flg</t>
          </r>
        </is>
      </c>
      <c r="B43" s="11" t="inlineStr">
        <is>
          <t>TRUE</t>
        </is>
      </c>
      <c r="C43" s="11" t="inlineStr">
        <is>
          <r>
            <rPr>
              <rFont val="游ゴシック"/>
              <b val="1"/>
              <sz val="9"/>
            </rPr>
            <t>TRUE</t>
          </r>
        </is>
      </c>
      <c r="D43" s="11" t="inlineStr">
        <is>
          <r>
            <rPr>
              <rFont val="游ゴシック"/>
              <b val="1"/>
              <sz val="9"/>
            </rPr>
            <t>TRUE</t>
          </r>
        </is>
      </c>
      <c r="E43" s="11" t="inlineStr">
        <is>
          <r>
            <rPr>
              <rFont val="游ゴシック"/>
              <b val="1"/>
              <sz val="9"/>
            </rPr>
            <t>TRUE</t>
          </r>
        </is>
      </c>
      <c r="F43" s="11" t="inlineStr">
        <is>
          <r>
            <rPr>
              <rFont val="游ゴシック"/>
              <b val="1"/>
              <sz val="9"/>
            </rPr>
            <t>TRUE</t>
          </r>
        </is>
      </c>
      <c r="G43" s="11" t="inlineStr">
        <is>
          <r>
            <rPr>
              <rFont val="游ゴシック"/>
              <b val="1"/>
              <sz val="9"/>
            </rPr>
            <t>TRUE</t>
          </r>
        </is>
      </c>
      <c r="H43" s="11" t="inlineStr">
        <is>
          <r>
            <rPr>
              <rFont val="游ゴシック"/>
              <b val="1"/>
              <sz val="9"/>
            </rPr>
            <t>FALSE</t>
          </r>
        </is>
      </c>
      <c r="I43" s="11" t="inlineStr">
        <is>
          <r>
            <rPr>
              <rFont val="游ゴシック"/>
              <b val="1"/>
              <sz val="9"/>
            </rPr>
            <t>TRUE</t>
          </r>
        </is>
      </c>
      <c r="J43" s="16" t="inlineStr">
        <is>
          <t>↩</t>
        </is>
      </c>
      <c r="K43" s="11" t="inlineStr">
        <is>
          <r>
            <rPr>
              <rFont val="游ゴシック"/>
              <b val="1"/>
              <sz val="9"/>
            </rPr>
            <t>TRUE</t>
          </r>
        </is>
      </c>
      <c r="L43" s="11" t="inlineStr">
        <is>
          <r>
            <rPr>
              <rFont val="游ゴシック"/>
              <b val="1"/>
              <sz val="9"/>
            </rPr>
            <t>TRUE</t>
          </r>
        </is>
      </c>
      <c r="M43" s="11" t="inlineStr">
        <is>
          <r>
            <rPr>
              <rFont val="游ゴシック"/>
              <b val="1"/>
              <sz val="9"/>
            </rPr>
            <t>TRUE</t>
          </r>
        </is>
      </c>
      <c r="N43" s="11" t="inlineStr">
        <is>
          <t>TRUE</t>
        </is>
      </c>
      <c r="O43" s="11" t="inlineStr">
        <is>
          <r>
            <rPr>
              <rFont val="游ゴシック"/>
              <b val="1"/>
              <sz val="9"/>
            </rPr>
            <t>TRUE</t>
          </r>
        </is>
      </c>
      <c r="P43" s="11" t="inlineStr">
        <is>
          <r>
            <rPr>
              <rFont val="游ゴシック"/>
              <b val="1"/>
              <sz val="9"/>
            </rPr>
            <t>TRUE</t>
          </r>
        </is>
      </c>
      <c r="Q43" s="11" t="inlineStr">
        <is>
          <r>
            <rPr>
              <rFont val="游ゴシック"/>
              <b val="1"/>
              <sz val="9"/>
            </rPr>
            <t>TRUE</t>
          </r>
        </is>
      </c>
      <c r="R43" s="11" t="inlineStr">
        <is>
          <r>
            <rPr>
              <rFont val="游ゴシック"/>
              <b val="1"/>
              <sz val="9"/>
            </rPr>
            <t>FALSE</t>
          </r>
        </is>
      </c>
      <c r="S43" s="13" t="inlineStr">
        <is>
          <t>✗</t>
        </is>
      </c>
      <c r="T43" s="13" t="inlineStr">
        <is>
          <t>✗</t>
        </is>
      </c>
      <c r="U43" s="13" t="inlineStr">
        <is>
          <t>✗</t>
        </is>
      </c>
      <c r="V43" s="11" t="inlineStr">
        <is>
          <r>
            <rPr>
              <rFont val="游ゴシック"/>
              <b val="1"/>
              <sz val="9"/>
            </rPr>
            <t>TRUE</t>
          </r>
        </is>
      </c>
      <c r="W43" s="11" t="inlineStr">
        <is>
          <r>
            <rPr>
              <rFont val="游ゴシック"/>
              <b val="1"/>
              <sz val="9"/>
            </rPr>
            <t>TRUE</t>
          </r>
        </is>
      </c>
      <c r="X43" s="11" t="inlineStr">
        <is>
          <r>
            <rPr>
              <rFont val="游ゴシック"/>
              <b val="1"/>
              <sz val="9"/>
            </rPr>
            <t>TRUE</t>
          </r>
        </is>
      </c>
      <c r="Y43" s="16" t="inlineStr">
        <is>
          <t>—</t>
        </is>
      </c>
      <c r="Z43" s="16" t="inlineStr">
        <is>
          <t>—</t>
        </is>
      </c>
      <c r="AA43" s="11" t="inlineStr">
        <is>
          <t>TRUE</t>
        </is>
      </c>
      <c r="AB43" s="11" t="inlineStr">
        <is>
          <t>tuỳ trường</t>
        </is>
      </c>
    </row>
    <row r="44">
      <c r="A44" s="8" t="inlineStr">
        <is>
          <r>
            <rPr>
              <rFont val="Consolas"/>
              <sz val="9"/>
            </rPr>
            <t>torikeshi_flg</t>
          </r>
        </is>
      </c>
      <c r="B44" s="11" t="inlineStr">
        <is>
          <t>FALSE</t>
        </is>
      </c>
      <c r="C44" s="11" t="inlineStr">
        <is>
          <t>FALSE</t>
        </is>
      </c>
      <c r="D44" s="11" t="inlineStr">
        <is>
          <t>FALSE</t>
        </is>
      </c>
      <c r="E44" s="11" t="inlineStr">
        <is>
          <t>FALSE</t>
        </is>
      </c>
      <c r="F44" s="11" t="inlineStr">
        <is>
          <t>FALSE</t>
        </is>
      </c>
      <c r="G44" s="11" t="inlineStr">
        <is>
          <t>FALSE</t>
        </is>
      </c>
      <c r="H44" s="11" t="inlineStr">
        <is>
          <t>FALSE</t>
        </is>
      </c>
      <c r="I44" s="11" t="inlineStr">
        <is>
          <t>FALSE</t>
        </is>
      </c>
      <c r="J44" s="11" t="inlineStr">
        <is>
          <r>
            <rPr>
              <rFont val="游ゴシック"/>
              <b val="1"/>
              <sz val="9"/>
            </rPr>
            <t>TRUE</t>
          </r>
        </is>
      </c>
      <c r="K44" s="11" t="inlineStr">
        <is>
          <t>FALSE</t>
        </is>
      </c>
      <c r="L44" s="11" t="inlineStr">
        <is>
          <t>FALSE</t>
        </is>
      </c>
      <c r="M44" s="11" t="inlineStr">
        <is>
          <t>FALSE</t>
        </is>
      </c>
      <c r="N44" s="11" t="inlineStr">
        <is>
          <t>FALSE</t>
        </is>
      </c>
      <c r="O44" s="11" t="inlineStr">
        <is>
          <t>FALSE</t>
        </is>
      </c>
      <c r="P44" s="11" t="inlineStr">
        <is>
          <t>FALSE</t>
        </is>
      </c>
      <c r="Q44" s="11" t="inlineStr">
        <is>
          <t>FALSE</t>
        </is>
      </c>
      <c r="R44" s="11" t="inlineStr">
        <is>
          <t>FALSE</t>
        </is>
      </c>
      <c r="S44" s="13" t="inlineStr">
        <is>
          <t>✗</t>
        </is>
      </c>
      <c r="T44" s="13" t="inlineStr">
        <is>
          <t>✗</t>
        </is>
      </c>
      <c r="U44" s="13" t="inlineStr">
        <is>
          <t>✗</t>
        </is>
      </c>
      <c r="V44" s="11" t="inlineStr">
        <is>
          <t>FALSE</t>
        </is>
      </c>
      <c r="W44" s="11" t="inlineStr">
        <is>
          <t>FALSE</t>
        </is>
      </c>
      <c r="X44" s="11" t="inlineStr">
        <is>
          <t>FALSE</t>
        </is>
      </c>
      <c r="Y44" s="16" t="inlineStr">
        <is>
          <t>—</t>
        </is>
      </c>
      <c r="Z44" s="16" t="inlineStr">
        <is>
          <t>—</t>
        </is>
      </c>
      <c r="AA44" s="11" t="inlineStr">
        <is>
          <t>FALSE</t>
        </is>
      </c>
      <c r="AB44" s="11" t="inlineStr">
        <is>
          <t>FALSE</t>
        </is>
      </c>
    </row>
    <row r="45">
      <c r="A45" s="8" t="inlineStr">
        <is>
          <r>
            <rPr>
              <rFont val="Consolas"/>
              <sz val="9"/>
            </rPr>
            <t>henko_riyu</t>
          </r>
        </is>
      </c>
      <c r="B45" s="11" t="inlineStr">
        <is>
          <t>''</t>
        </is>
      </c>
      <c r="C45" s="11" t="inlineStr">
        <is>
          <t>''</t>
        </is>
      </c>
      <c r="D45" s="11" t="inlineStr">
        <is>
          <t>''</t>
        </is>
      </c>
      <c r="E45" s="11" t="inlineStr">
        <is>
          <t>'' ⁽ʷ⁾</t>
        </is>
      </c>
      <c r="F45" s="11" t="inlineStr">
        <is>
          <t>''</t>
        </is>
      </c>
      <c r="G45" s="11" t="inlineStr">
        <is>
          <t>''</t>
        </is>
      </c>
      <c r="H45" s="11" t="inlineStr">
        <is>
          <t>''</t>
        </is>
      </c>
      <c r="I45" s="11" t="inlineStr">
        <is>
          <t>''</t>
        </is>
      </c>
      <c r="J45" s="11" t="inlineStr">
        <is>
          <r>
            <rPr>
              <rFont val="游ゴシック"/>
              <b val="1"/>
              <sz val="9"/>
            </rPr>
            <t>'取消'</t>
          </r>
        </is>
      </c>
      <c r="K45" s="11" t="inlineStr">
        <is>
          <t>''</t>
        </is>
      </c>
      <c r="L45" s="11" t="inlineStr">
        <is>
          <t>''</t>
        </is>
      </c>
      <c r="M45" s="11" t="inlineStr">
        <is>
          <r>
            <rPr>
              <rFont val="游ゴシック"/>
              <b val="1"/>
              <sz val="9"/>
            </rPr>
            <t>'再購読'</t>
          </r>
        </is>
      </c>
      <c r="N45" s="11" t="inlineStr">
        <is>
          <t>''</t>
        </is>
      </c>
      <c r="O45" s="11" t="inlineStr">
        <is>
          <t>''</t>
        </is>
      </c>
      <c r="P45" s="11" t="inlineStr">
        <is>
          <t>''</t>
        </is>
      </c>
      <c r="Q45" s="11" t="inlineStr">
        <is>
          <t>''</t>
        </is>
      </c>
      <c r="R45" s="11" t="inlineStr">
        <is>
          <t>''</t>
        </is>
      </c>
      <c r="S45" s="13" t="inlineStr">
        <is>
          <t>✗</t>
        </is>
      </c>
      <c r="T45" s="13" t="inlineStr">
        <is>
          <t>✗</t>
        </is>
      </c>
      <c r="U45" s="13" t="inlineStr">
        <is>
          <t>✗</t>
        </is>
      </c>
      <c r="V45" s="11" t="inlineStr">
        <is>
          <t>''</t>
        </is>
      </c>
      <c r="W45" s="11" t="inlineStr">
        <is>
          <t>''</t>
        </is>
      </c>
      <c r="X45" s="11" t="inlineStr">
        <is>
          <r>
            <rPr>
              <rFont val="游ゴシック"/>
              <b val="1"/>
              <sz val="9"/>
            </rPr>
            <t>'再購読'</t>
          </r>
        </is>
      </c>
      <c r="Y45" s="16" t="inlineStr">
        <is>
          <t>—</t>
        </is>
      </c>
      <c r="Z45" s="16" t="inlineStr">
        <is>
          <t>—</t>
        </is>
      </c>
      <c r="AA45" s="11" t="inlineStr">
        <is>
          <r>
            <rPr>
              <rFont val="游ゴシック"/>
              <b val="1"/>
              <sz val="9"/>
            </rPr>
            <t>'電子版連携'</t>
          </r>
        </is>
      </c>
      <c r="AB45" s="11" t="inlineStr">
        <is>
          <r>
            <rPr>
              <rFont val="游ゴシック"/>
              <b val="1"/>
              <sz val="9"/>
            </rPr>
            <t>'電子版連携'</t>
          </r>
        </is>
      </c>
    </row>
    <row r="46">
      <c r="A46" s="8" t="inlineStr">
        <is>
          <r>
            <rPr>
              <rFont val="Consolas"/>
              <sz val="9"/>
            </rPr>
            <t>biko</t>
          </r>
        </is>
      </c>
      <c r="B46" s="11" t="inlineStr">
        <is>
          <t>''</t>
        </is>
      </c>
      <c r="C46" s="11" t="inlineStr">
        <is>
          <t>''</t>
        </is>
      </c>
      <c r="D46" s="16" t="inlineStr">
        <is>
          <t>↩</t>
        </is>
      </c>
      <c r="E46" s="16" t="inlineStr">
        <is>
          <t>↩</t>
        </is>
      </c>
      <c r="F46" s="16" t="inlineStr">
        <is>
          <t>↩</t>
        </is>
      </c>
      <c r="G46" s="16" t="inlineStr">
        <is>
          <t>↩</t>
        </is>
      </c>
      <c r="H46" s="16" t="inlineStr">
        <is>
          <t>↩</t>
        </is>
      </c>
      <c r="I46" s="16" t="inlineStr">
        <is>
          <t>↩</t>
        </is>
      </c>
      <c r="J46" s="11" t="inlineStr">
        <is>
          <r>
            <rPr>
              <rFont val="游ゴシック"/>
              <b val="1"/>
              <sz val="9"/>
            </rPr>
            <t>'入力誤りのため取消'</t>
          </r>
        </is>
      </c>
      <c r="K46" s="16" t="inlineStr">
        <is>
          <t>↩</t>
        </is>
      </c>
      <c r="L46" s="16" t="inlineStr">
        <is>
          <t>↩</t>
        </is>
      </c>
      <c r="M46" s="16" t="inlineStr">
        <is>
          <t>↩</t>
        </is>
      </c>
      <c r="N46" s="11" t="inlineStr">
        <is>
          <t>''</t>
        </is>
      </c>
      <c r="O46" s="11" t="inlineStr">
        <is>
          <t>''</t>
        </is>
      </c>
      <c r="P46" s="16" t="inlineStr">
        <is>
          <t>↩</t>
        </is>
      </c>
      <c r="Q46" s="16" t="inlineStr">
        <is>
          <t>↩</t>
        </is>
      </c>
      <c r="R46" s="16" t="inlineStr">
        <is>
          <t>↩</t>
        </is>
      </c>
      <c r="S46" s="13" t="inlineStr">
        <is>
          <t>✗</t>
        </is>
      </c>
      <c r="T46" s="13" t="inlineStr">
        <is>
          <t>✗</t>
        </is>
      </c>
      <c r="U46" s="13" t="inlineStr">
        <is>
          <t>✗</t>
        </is>
      </c>
      <c r="V46" s="16" t="inlineStr">
        <is>
          <t>↩</t>
        </is>
      </c>
      <c r="W46" s="16" t="inlineStr">
        <is>
          <t>↩</t>
        </is>
      </c>
      <c r="X46" s="16" t="inlineStr">
        <is>
          <t>↩</t>
        </is>
      </c>
      <c r="Y46" s="16" t="inlineStr">
        <is>
          <t>—</t>
        </is>
      </c>
      <c r="Z46" s="16" t="inlineStr">
        <is>
          <t>—</t>
        </is>
      </c>
      <c r="AA46" s="11" t="inlineStr">
        <is>
          <r>
            <rPr>
              <rFont val="游ゴシック"/>
              <sz val="9"/>
            </rPr>
            <t xml:space="preserve">từ </t>
          </r>
          <r>
            <rPr>
              <rFont val="Consolas"/>
              <sz val="9"/>
            </rPr>
            <t>remarks1-5</t>
          </r>
        </is>
      </c>
      <c r="AB46" s="12" t="inlineStr">
        <is>
          <t>✅</t>
        </is>
      </c>
    </row>
    <row r="47">
      <c r="A47" s="8" t="inlineStr">
        <is>
          <r>
            <rPr>
              <rFont val="Consolas"/>
              <sz val="9"/>
            </rPr>
            <t>created_by</t>
          </r>
        </is>
      </c>
      <c r="B47" s="11" t="inlineStr">
        <is>
          <t>'42'</t>
        </is>
      </c>
      <c r="C47" s="11" t="inlineStr">
        <is>
          <t>'42'</t>
        </is>
      </c>
      <c r="D47" s="11" t="inlineStr">
        <is>
          <t>'42'</t>
        </is>
      </c>
      <c r="E47" s="11" t="inlineStr">
        <is>
          <t>'42'</t>
        </is>
      </c>
      <c r="F47" s="11" t="inlineStr">
        <is>
          <t>'42'</t>
        </is>
      </c>
      <c r="G47" s="11" t="inlineStr">
        <is>
          <t>'42'</t>
        </is>
      </c>
      <c r="H47" s="11" t="inlineStr">
        <is>
          <t>'42'</t>
        </is>
      </c>
      <c r="I47" s="11" t="inlineStr">
        <is>
          <t>'42'</t>
        </is>
      </c>
      <c r="J47" s="11" t="inlineStr">
        <is>
          <t>'42'</t>
        </is>
      </c>
      <c r="K47" s="11" t="inlineStr">
        <is>
          <t>'42'</t>
        </is>
      </c>
      <c r="L47" s="11" t="inlineStr">
        <is>
          <r>
            <rPr>
              <rFont val="游ゴシック"/>
              <b val="1"/>
              <sz val="9"/>
            </rPr>
            <t>'batch'</t>
          </r>
        </is>
      </c>
      <c r="M47" s="11" t="inlineStr">
        <is>
          <t>'42'</t>
        </is>
      </c>
      <c r="N47" s="11" t="inlineStr">
        <is>
          <t>'42'</t>
        </is>
      </c>
      <c r="O47" s="11" t="inlineStr">
        <is>
          <t>'42'</t>
        </is>
      </c>
      <c r="P47" s="11" t="inlineStr">
        <is>
          <t>'42'</t>
        </is>
      </c>
      <c r="Q47" s="11" t="inlineStr">
        <is>
          <t>'42'</t>
        </is>
      </c>
      <c r="R47" s="11" t="inlineStr">
        <is>
          <t>'42'</t>
        </is>
      </c>
      <c r="S47" s="13" t="inlineStr">
        <is>
          <t>✗</t>
        </is>
      </c>
      <c r="T47" s="13" t="inlineStr">
        <is>
          <t>✗</t>
        </is>
      </c>
      <c r="U47" s="13" t="inlineStr">
        <is>
          <t>✗</t>
        </is>
      </c>
      <c r="V47" s="11" t="inlineStr">
        <is>
          <t>'42'</t>
        </is>
      </c>
      <c r="W47" s="11" t="inlineStr">
        <is>
          <r>
            <rPr>
              <rFont val="游ゴシック"/>
              <b val="1"/>
              <sz val="9"/>
            </rPr>
            <t>'batch'</t>
          </r>
        </is>
      </c>
      <c r="X47" s="11" t="inlineStr">
        <is>
          <t>'42'</t>
        </is>
      </c>
      <c r="Y47" s="16" t="inlineStr">
        <is>
          <t>—</t>
        </is>
      </c>
      <c r="Z47" s="16" t="inlineStr">
        <is>
          <t>—</t>
        </is>
      </c>
      <c r="AA47" s="11" t="inlineStr">
        <is>
          <r>
            <rPr>
              <rFont val="游ゴシック"/>
              <b val="1"/>
              <sz val="9"/>
            </rPr>
            <t>'DENSHIBAN_SYNC'</t>
          </r>
        </is>
      </c>
      <c r="AB47" s="11" t="inlineStr">
        <is>
          <r>
            <rPr>
              <rFont val="游ゴシック"/>
              <b val="1"/>
              <sz val="9"/>
            </rPr>
            <t>'DENSHIBAN_SYNC'</t>
          </r>
        </is>
      </c>
    </row>
    <row r="48">
      <c r="A48" s="8" t="inlineStr">
        <is>
          <r>
            <rPr>
              <rFont val="Consolas"/>
              <sz val="9"/>
            </rPr>
            <t>zenkai_dokusya_busu</t>
          </r>
        </is>
      </c>
      <c r="B48" s="11" t="inlineStr">
        <is>
          <t>NULL</t>
        </is>
      </c>
      <c r="C48" s="11" t="inlineStr">
        <is>
          <r>
            <rPr>
              <rFont val="游ゴシック"/>
              <b val="1"/>
              <sz val="9"/>
            </rPr>
            <t>NULL</t>
          </r>
        </is>
      </c>
      <c r="D48" s="11" t="inlineStr">
        <is>
          <r>
            <rPr>
              <rFont val="游ゴシック"/>
              <b val="1"/>
              <sz val="9"/>
            </rPr>
            <t>2</t>
          </r>
        </is>
      </c>
      <c r="E48" s="11" t="inlineStr">
        <is>
          <t>2</t>
        </is>
      </c>
      <c r="F48" s="11" t="inlineStr">
        <is>
          <t>2</t>
        </is>
      </c>
      <c r="G48" s="11" t="inlineStr">
        <is>
          <t>2</t>
        </is>
      </c>
      <c r="H48" s="11" t="inlineStr">
        <is>
          <t>2</t>
        </is>
      </c>
      <c r="I48" s="11" t="inlineStr">
        <is>
          <r>
            <rPr>
              <rFont val="游ゴシック"/>
              <b val="1"/>
              <sz val="9"/>
            </rPr>
            <t>2</t>
          </r>
        </is>
      </c>
      <c r="J48" s="11" t="inlineStr">
        <is>
          <r>
            <rPr>
              <rFont val="游ゴシック"/>
              <b val="1"/>
              <sz val="9"/>
            </rPr>
            <t>3</t>
          </r>
          <r>
            <rPr>
              <rFont val="游ゴシック"/>
              <sz val="9"/>
            </rPr>
            <t xml:space="preserve"> (hoán đổi)</t>
          </r>
        </is>
      </c>
      <c r="K48" s="11" t="inlineStr">
        <is>
          <t>2</t>
        </is>
      </c>
      <c r="L48" s="11" t="inlineStr">
        <is>
          <t>0</t>
        </is>
      </c>
      <c r="M48" s="11" t="inlineStr">
        <is>
          <r>
            <rPr>
              <rFont val="游ゴシック"/>
              <b val="1"/>
              <sz val="9"/>
            </rPr>
            <t>NULL</t>
          </r>
          <r>
            <rPr>
              <rFont val="游ゴシック"/>
              <sz val="9"/>
            </rPr>
            <t xml:space="preserve"> ⁽ˣ⁾</t>
          </r>
        </is>
      </c>
      <c r="N48" s="11" t="inlineStr">
        <is>
          <t>NULL</t>
        </is>
      </c>
      <c r="O48" s="11" t="inlineStr">
        <is>
          <r>
            <rPr>
              <rFont val="游ゴシック"/>
              <b val="1"/>
              <sz val="9"/>
            </rPr>
            <t>NULL</t>
          </r>
        </is>
      </c>
      <c r="P48" s="11" t="inlineStr">
        <is>
          <t>1</t>
        </is>
      </c>
      <c r="Q48" s="11" t="inlineStr">
        <is>
          <t>1</t>
        </is>
      </c>
      <c r="R48" s="11" t="inlineStr">
        <is>
          <t>1</t>
        </is>
      </c>
      <c r="S48" s="13" t="inlineStr">
        <is>
          <t>✗</t>
        </is>
      </c>
      <c r="T48" s="13" t="inlineStr">
        <is>
          <t>✗</t>
        </is>
      </c>
      <c r="U48" s="13" t="inlineStr">
        <is>
          <t>✗</t>
        </is>
      </c>
      <c r="V48" s="11" t="inlineStr">
        <is>
          <t>1</t>
        </is>
      </c>
      <c r="W48" s="11" t="inlineStr">
        <is>
          <t>0</t>
        </is>
      </c>
      <c r="X48" s="11" t="inlineStr">
        <is>
          <r>
            <rPr>
              <rFont val="游ゴシック"/>
              <b val="1"/>
              <sz val="9"/>
            </rPr>
            <t>NULL</t>
          </r>
          <r>
            <rPr>
              <rFont val="游ゴシック"/>
              <sz val="9"/>
            </rPr>
            <t xml:space="preserve"> ⁽ˣ⁾</t>
          </r>
        </is>
      </c>
      <c r="Y48" s="16" t="inlineStr">
        <is>
          <t>—</t>
        </is>
      </c>
      <c r="Z48" s="16" t="inlineStr">
        <is>
          <t>—</t>
        </is>
      </c>
      <c r="AA48" s="11" t="inlineStr">
        <is>
          <r>
            <rPr>
              <rFont val="游ゴシック"/>
              <b val="1"/>
              <sz val="9"/>
            </rPr>
            <t>NULL</t>
          </r>
        </is>
      </c>
      <c r="AB48" s="11" t="inlineStr">
        <is>
          <t>dòng trước</t>
        </is>
      </c>
    </row>
    <row r="49">
      <c r="A49" s="8" t="inlineStr">
        <is>
          <r>
            <rPr>
              <rFont val="Consolas"/>
              <sz val="9"/>
            </rPr>
            <t>zenkai_hanbaiten_id</t>
          </r>
        </is>
      </c>
      <c r="B49" s="11" t="inlineStr">
        <is>
          <t>NULL</t>
        </is>
      </c>
      <c r="C49" s="11" t="inlineStr">
        <is>
          <r>
            <rPr>
              <rFont val="游ゴシック"/>
              <b val="1"/>
              <sz val="9"/>
            </rPr>
            <t>NULL</t>
          </r>
        </is>
      </c>
      <c r="D49" s="11" t="inlineStr">
        <is>
          <t>301</t>
        </is>
      </c>
      <c r="E49" s="11" t="inlineStr">
        <is>
          <r>
            <rPr>
              <rFont val="游ゴシック"/>
              <b val="1"/>
              <sz val="9"/>
            </rPr>
            <t>301</t>
          </r>
        </is>
      </c>
      <c r="F49" s="11" t="inlineStr">
        <is>
          <t>301</t>
        </is>
      </c>
      <c r="G49" s="11" t="inlineStr">
        <is>
          <t>301</t>
        </is>
      </c>
      <c r="H49" s="11" t="inlineStr">
        <is>
          <t>301</t>
        </is>
      </c>
      <c r="I49" s="11" t="inlineStr">
        <is>
          <r>
            <rPr>
              <rFont val="游ゴシック"/>
              <b val="1"/>
              <sz val="9"/>
            </rPr>
            <t>301</t>
          </r>
        </is>
      </c>
      <c r="J49" s="11" t="inlineStr">
        <is>
          <t>301</t>
        </is>
      </c>
      <c r="K49" s="11" t="inlineStr">
        <is>
          <t>301</t>
        </is>
      </c>
      <c r="L49" s="11" t="inlineStr">
        <is>
          <t>301</t>
        </is>
      </c>
      <c r="M49" s="11" t="inlineStr">
        <is>
          <r>
            <rPr>
              <rFont val="游ゴシック"/>
              <b val="1"/>
              <sz val="9"/>
            </rPr>
            <t>NULL</t>
          </r>
          <r>
            <rPr>
              <rFont val="游ゴシック"/>
              <sz val="9"/>
            </rPr>
            <t xml:space="preserve"> ⁽ˣ⁾</t>
          </r>
        </is>
      </c>
      <c r="N49" s="11" t="inlineStr">
        <is>
          <t>NULL</t>
        </is>
      </c>
      <c r="O49" s="11" t="inlineStr">
        <is>
          <r>
            <rPr>
              <rFont val="游ゴシック"/>
              <b val="1"/>
              <sz val="9"/>
            </rPr>
            <t>NULL</t>
          </r>
        </is>
      </c>
      <c r="P49" s="11" t="inlineStr">
        <is>
          <r>
            <rPr>
              <rFont val="游ゴシック"/>
              <b val="1"/>
              <sz val="9"/>
            </rPr>
            <t>301</t>
          </r>
        </is>
      </c>
      <c r="Q49" s="11" t="inlineStr">
        <is>
          <t>305</t>
        </is>
      </c>
      <c r="R49" s="11" t="inlineStr">
        <is>
          <t>305</t>
        </is>
      </c>
      <c r="S49" s="13" t="inlineStr">
        <is>
          <t>✗</t>
        </is>
      </c>
      <c r="T49" s="13" t="inlineStr">
        <is>
          <t>✗</t>
        </is>
      </c>
      <c r="U49" s="13" t="inlineStr">
        <is>
          <t>✗</t>
        </is>
      </c>
      <c r="V49" s="11" t="inlineStr">
        <is>
          <t>305</t>
        </is>
      </c>
      <c r="W49" s="11" t="inlineStr">
        <is>
          <t>305</t>
        </is>
      </c>
      <c r="X49" s="11" t="inlineStr">
        <is>
          <r>
            <rPr>
              <rFont val="游ゴシック"/>
              <b val="1"/>
              <sz val="9"/>
            </rPr>
            <t>NULL</t>
          </r>
          <r>
            <rPr>
              <rFont val="游ゴシック"/>
              <sz val="9"/>
            </rPr>
            <t xml:space="preserve"> ⁽ˣ⁾</t>
          </r>
        </is>
      </c>
      <c r="Y49" s="16" t="inlineStr">
        <is>
          <t>—</t>
        </is>
      </c>
      <c r="Z49" s="16" t="inlineStr">
        <is>
          <t>—</t>
        </is>
      </c>
      <c r="AA49" s="11" t="inlineStr">
        <is>
          <r>
            <rPr>
              <rFont val="游ゴシック"/>
              <b val="1"/>
              <sz val="9"/>
            </rPr>
            <t>NULL</t>
          </r>
        </is>
      </c>
      <c r="AB49" s="11" t="inlineStr">
        <is>
          <t>dòng trước</t>
        </is>
      </c>
    </row>
    <row r="50">
      <c r="A50" s="8" t="inlineStr">
        <is>
          <r>
            <rPr>
              <rFont val="Consolas"/>
              <sz val="9"/>
            </rPr>
            <t>zenkai_yubin_no</t>
          </r>
          <r>
            <rPr>
              <rFont val="游ゴシック"/>
              <sz val="9"/>
            </rPr>
            <t>…</t>
          </r>
          <r>
            <rPr>
              <rFont val="Consolas"/>
              <sz val="9"/>
            </rPr>
            <t>zenkai_tatemono_mei</t>
          </r>
          <r>
            <rPr>
              <rFont val="游ゴシック"/>
              <sz val="9"/>
            </rPr>
            <t xml:space="preserve"> (5)</t>
          </r>
        </is>
      </c>
      <c r="B50" s="11" t="inlineStr">
        <is>
          <t>NULL ×5</t>
        </is>
      </c>
      <c r="C50" s="11" t="inlineStr">
        <is>
          <r>
            <rPr>
              <rFont val="游ゴシック"/>
              <b val="1"/>
              <sz val="9"/>
            </rPr>
            <t>NULL</t>
          </r>
        </is>
      </c>
      <c r="D50" s="11" t="inlineStr">
        <is>
          <t>0201234/03/盛岡市/中央通1-2-3/''</t>
        </is>
      </c>
      <c r="E50" s="11" t="inlineStr">
        <is>
          <t>như trái</t>
        </is>
      </c>
      <c r="F50" s="11" t="inlineStr">
        <is>
          <t>như trái ⁽ʸ⁾</t>
        </is>
      </c>
      <c r="G50" s="11" t="inlineStr">
        <is>
          <t>như trái</t>
        </is>
      </c>
      <c r="H50" s="11" t="inlineStr">
        <is>
          <t>như trái</t>
        </is>
      </c>
      <c r="I50" s="11" t="inlineStr">
        <is>
          <t>như trái</t>
        </is>
      </c>
      <c r="J50" s="11" t="inlineStr">
        <is>
          <t>hoán đổi</t>
        </is>
      </c>
      <c r="K50" s="11" t="inlineStr">
        <is>
          <t>như trái</t>
        </is>
      </c>
      <c r="L50" s="11" t="inlineStr">
        <is>
          <t>như trái</t>
        </is>
      </c>
      <c r="M50" s="11" t="inlineStr">
        <is>
          <r>
            <rPr>
              <rFont val="游ゴシック"/>
              <b val="1"/>
              <sz val="9"/>
            </rPr>
            <t>NULL</t>
          </r>
          <r>
            <rPr>
              <rFont val="游ゴシック"/>
              <sz val="9"/>
            </rPr>
            <t xml:space="preserve"> ⁽ˣ⁾</t>
          </r>
        </is>
      </c>
      <c r="N50" s="11" t="inlineStr">
        <is>
          <t>NULL ×5</t>
        </is>
      </c>
      <c r="O50" s="11" t="inlineStr">
        <is>
          <r>
            <rPr>
              <rFont val="游ゴシック"/>
              <b val="1"/>
              <sz val="9"/>
            </rPr>
            <t>NULL</t>
          </r>
        </is>
      </c>
      <c r="P50" s="11" t="inlineStr">
        <is>
          <t>0200023/03/盛岡市/内丸5-6/''</t>
        </is>
      </c>
      <c r="Q50" s="11" t="inlineStr">
        <is>
          <t>như trái</t>
        </is>
      </c>
      <c r="R50" s="11" t="inlineStr">
        <is>
          <t>như trái</t>
        </is>
      </c>
      <c r="S50" s="13" t="inlineStr">
        <is>
          <t>✗</t>
        </is>
      </c>
      <c r="T50" s="13" t="inlineStr">
        <is>
          <t>✗</t>
        </is>
      </c>
      <c r="U50" s="13" t="inlineStr">
        <is>
          <t>✗</t>
        </is>
      </c>
      <c r="V50" s="11" t="inlineStr">
        <is>
          <t>như trái</t>
        </is>
      </c>
      <c r="W50" s="11" t="inlineStr">
        <is>
          <t>như trái</t>
        </is>
      </c>
      <c r="X50" s="11" t="inlineStr">
        <is>
          <r>
            <rPr>
              <rFont val="游ゴシック"/>
              <b val="1"/>
              <sz val="9"/>
            </rPr>
            <t>NULL</t>
          </r>
          <r>
            <rPr>
              <rFont val="游ゴシック"/>
              <sz val="9"/>
            </rPr>
            <t xml:space="preserve"> ⁽ˣ⁾</t>
          </r>
        </is>
      </c>
      <c r="Y50" s="16" t="inlineStr">
        <is>
          <t>—</t>
        </is>
      </c>
      <c r="Z50" s="16" t="inlineStr">
        <is>
          <t>—</t>
        </is>
      </c>
      <c r="AA50" s="11" t="inlineStr">
        <is>
          <r>
            <rPr>
              <rFont val="游ゴシック"/>
              <b val="1"/>
              <sz val="9"/>
            </rPr>
            <t>NULL</t>
          </r>
        </is>
      </c>
      <c r="AB50" s="11" t="inlineStr">
        <is>
          <t>dòng trước</t>
        </is>
      </c>
    </row>
    <row r="51">
      <c r="A51" s="8" t="inlineStr">
        <is>
          <r>
            <rPr>
              <rFont val="Consolas"/>
              <sz val="9"/>
            </rPr>
            <t>denshi_shonin_status</t>
          </r>
        </is>
      </c>
      <c r="B51" s="11" t="inlineStr">
        <is>
          <t>NULL</t>
        </is>
      </c>
      <c r="C51" s="11" t="inlineStr">
        <is>
          <t>NULL</t>
        </is>
      </c>
      <c r="D51" s="16" t="inlineStr">
        <is>
          <t>↩</t>
        </is>
      </c>
      <c r="E51" s="16" t="inlineStr">
        <is>
          <t>↩</t>
        </is>
      </c>
      <c r="F51" s="16" t="inlineStr">
        <is>
          <t>↩</t>
        </is>
      </c>
      <c r="G51" s="16" t="inlineStr">
        <is>
          <t>↩</t>
        </is>
      </c>
      <c r="H51" s="16" t="inlineStr">
        <is>
          <t>↩</t>
        </is>
      </c>
      <c r="I51" s="16" t="inlineStr">
        <is>
          <t>↩</t>
        </is>
      </c>
      <c r="J51" s="16" t="inlineStr">
        <is>
          <t>↩</t>
        </is>
      </c>
      <c r="K51" s="16" t="inlineStr">
        <is>
          <t>↩</t>
        </is>
      </c>
      <c r="L51" s="16" t="inlineStr">
        <is>
          <t>↩</t>
        </is>
      </c>
      <c r="M51" s="16" t="inlineStr">
        <is>
          <t>↩</t>
        </is>
      </c>
      <c r="N51" s="11" t="inlineStr">
        <is>
          <t>1</t>
        </is>
      </c>
      <c r="O51" s="11" t="inlineStr">
        <is>
          <t>1</t>
        </is>
      </c>
      <c r="P51" s="11" t="inlineStr">
        <is>
          <t>↩1</t>
        </is>
      </c>
      <c r="Q51" s="11" t="inlineStr">
        <is>
          <t>↩1</t>
        </is>
      </c>
      <c r="R51" s="11" t="inlineStr">
        <is>
          <t>↩1</t>
        </is>
      </c>
      <c r="S51" s="13" t="inlineStr">
        <is>
          <t>✗</t>
        </is>
      </c>
      <c r="T51" s="13" t="inlineStr">
        <is>
          <t>✗</t>
        </is>
      </c>
      <c r="U51" s="13" t="inlineStr">
        <is>
          <t>✗</t>
        </is>
      </c>
      <c r="V51" s="11" t="inlineStr">
        <is>
          <t>↩1</t>
        </is>
      </c>
      <c r="W51" s="11" t="inlineStr">
        <is>
          <t>↩1</t>
        </is>
      </c>
      <c r="X51" s="11" t="inlineStr">
        <is>
          <t>↩1</t>
        </is>
      </c>
      <c r="Y51" s="11" t="inlineStr">
        <is>
          <r>
            <rPr>
              <rFont val="游ゴシック"/>
              <b val="1"/>
              <sz val="9"/>
            </rPr>
            <t>0→1 tại chỗ</t>
          </r>
          <r>
            <rPr>
              <rFont val="游ゴシック"/>
              <sz val="9"/>
            </rPr>
            <t xml:space="preserve"> ⁽ᶻ⁾</t>
          </r>
        </is>
      </c>
      <c r="Z51" s="11" t="inlineStr">
        <is>
          <r>
            <rPr>
              <rFont val="游ゴシック"/>
              <b val="1"/>
              <sz val="9"/>
            </rPr>
            <t>0→2 tại chỗ</t>
          </r>
          <r>
            <rPr>
              <rFont val="游ゴシック"/>
              <sz val="9"/>
            </rPr>
            <t xml:space="preserve"> ⁽ᶻ⁾</t>
          </r>
        </is>
      </c>
      <c r="AA51" s="11" t="inlineStr">
        <is>
          <r>
            <rPr>
              <rFont val="游ゴシック"/>
              <sz val="9"/>
            </rPr>
            <t xml:space="preserve">từ </t>
          </r>
          <r>
            <rPr>
              <rFont val="Consolas"/>
              <sz val="9"/>
            </rPr>
            <t>approval</t>
          </r>
        </is>
      </c>
      <c r="AB51" s="12" t="inlineStr">
        <is>
          <t>✅</t>
        </is>
      </c>
    </row>
    <row r="52">
      <c r="A52" s="8" t="inlineStr">
        <is>
          <t>Mọi trường nghiệp vụ khác</t>
        </is>
      </c>
      <c r="B52" s="16" t="inlineStr">
        <is>
          <t>—</t>
        </is>
      </c>
      <c r="C52" s="11">
        <f>NEW</f>
        <v/>
      </c>
      <c r="D52" s="16" t="inlineStr">
        <is>
          <t>↩</t>
        </is>
      </c>
      <c r="E52" s="16" t="inlineStr">
        <is>
          <t>↩</t>
        </is>
      </c>
      <c r="F52" s="16" t="inlineStr">
        <is>
          <t>↩</t>
        </is>
      </c>
      <c r="G52" s="16" t="inlineStr">
        <is>
          <t>↩</t>
        </is>
      </c>
      <c r="H52" s="16" t="inlineStr">
        <is>
          <t>↩</t>
        </is>
      </c>
      <c r="I52" s="16" t="inlineStr">
        <is>
          <t>↩</t>
        </is>
      </c>
      <c r="J52" s="11" t="inlineStr">
        <is>
          <t>copy dòng bị huỷ</t>
        </is>
      </c>
      <c r="K52" s="16" t="inlineStr">
        <is>
          <t>↩</t>
        </is>
      </c>
      <c r="L52" s="16" t="inlineStr">
        <is>
          <t>↩</t>
        </is>
      </c>
      <c r="M52" s="11" t="inlineStr">
        <is>
          <t>↩/NEW</t>
        </is>
      </c>
      <c r="N52" s="16" t="inlineStr">
        <is>
          <t>—</t>
        </is>
      </c>
      <c r="O52" s="11">
        <f>NEW</f>
        <v/>
      </c>
      <c r="P52" s="16" t="inlineStr">
        <is>
          <t>↩</t>
        </is>
      </c>
      <c r="Q52" s="16" t="inlineStr">
        <is>
          <t>↩</t>
        </is>
      </c>
      <c r="R52" s="16" t="inlineStr">
        <is>
          <t>↩</t>
        </is>
      </c>
      <c r="S52" s="13" t="inlineStr">
        <is>
          <t>✗</t>
        </is>
      </c>
      <c r="T52" s="13" t="inlineStr">
        <is>
          <t>✗</t>
        </is>
      </c>
      <c r="U52" s="13" t="inlineStr">
        <is>
          <t>✗</t>
        </is>
      </c>
      <c r="V52" s="16" t="inlineStr">
        <is>
          <t>↩</t>
        </is>
      </c>
      <c r="W52" s="16" t="inlineStr">
        <is>
          <t>↩</t>
        </is>
      </c>
      <c r="X52" s="11" t="inlineStr">
        <is>
          <t>↩/NEW</t>
        </is>
      </c>
      <c r="Y52" s="16" t="inlineStr">
        <is>
          <t>—</t>
        </is>
      </c>
      <c r="Z52" s="16" t="inlineStr">
        <is>
          <t>—</t>
        </is>
      </c>
      <c r="AA52" s="11" t="inlineStr">
        <is>
          <t>hằng số</t>
        </is>
      </c>
      <c r="AB52" s="11" t="inlineStr">
        <is>
          <t>chỉ cột đổi</t>
        </is>
      </c>
    </row>
    <row r="53">
      <c r="A53" s="14" t="inlineStr">
        <is>
          <r>
            <rPr>
              <rFont val="游ゴシック"/>
              <b val="1"/>
              <sz val="9"/>
            </rPr>
            <t>━━ TÁC ĐỘNG KHÁC ━━</t>
          </r>
        </is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</row>
    <row r="54">
      <c r="A54" s="8" t="inlineStr">
        <is>
          <r>
            <rPr>
              <rFont val="游ゴシック"/>
              <sz val="9"/>
            </rPr>
            <t xml:space="preserve">Dòng đang </t>
          </r>
          <r>
            <rPr>
              <rFont val="Consolas"/>
              <sz val="9"/>
            </rPr>
            <t>saishin</t>
          </r>
        </is>
      </c>
      <c r="B54" s="16" t="inlineStr">
        <is>
          <t>—</t>
        </is>
      </c>
      <c r="C54" s="16" t="inlineStr">
        <is>
          <t>—</t>
        </is>
      </c>
      <c r="D54" s="11" t="inlineStr">
        <is>
          <t>→FALSE khi đến hạn</t>
        </is>
      </c>
      <c r="E54" s="11" t="inlineStr">
        <is>
          <t>như trái</t>
        </is>
      </c>
      <c r="F54" s="11" t="inlineStr">
        <is>
          <t>như trái</t>
        </is>
      </c>
      <c r="G54" s="11" t="inlineStr">
        <is>
          <t>như trái</t>
        </is>
      </c>
      <c r="H54" s="11" t="inlineStr">
        <is>
          <r>
            <rPr>
              <rFont val="游ゴシック"/>
              <b val="1"/>
              <sz val="9"/>
            </rPr>
            <t>→FALSE ngay</t>
          </r>
        </is>
      </c>
      <c r="I54" s="11" t="inlineStr">
        <is>
          <t>như trái</t>
        </is>
      </c>
      <c r="J54" s="16" t="inlineStr">
        <is>
          <t>—</t>
        </is>
      </c>
      <c r="K54" s="16" t="inlineStr">
        <is>
          <t>—</t>
        </is>
      </c>
      <c r="L54" s="11" t="inlineStr">
        <is>
          <t>→FALSE</t>
        </is>
      </c>
      <c r="M54" s="11" t="inlineStr">
        <is>
          <t>→FALSE</t>
        </is>
      </c>
      <c r="N54" s="16" t="inlineStr">
        <is>
          <t>—</t>
        </is>
      </c>
      <c r="O54" s="16" t="inlineStr">
        <is>
          <t>—</t>
        </is>
      </c>
      <c r="P54" s="11" t="inlineStr">
        <is>
          <r>
            <rPr>
              <rFont val="游ゴシック"/>
              <b val="1"/>
              <sz val="9"/>
            </rPr>
            <t>→FALSE ngay</t>
          </r>
        </is>
      </c>
      <c r="Q54" s="11" t="inlineStr">
        <is>
          <r>
            <rPr>
              <rFont val="游ゴシック"/>
              <b val="1"/>
              <sz val="9"/>
            </rPr>
            <t>→FALSE ngay</t>
          </r>
        </is>
      </c>
      <c r="R54" s="11" t="inlineStr">
        <is>
          <r>
            <rPr>
              <rFont val="游ゴシック"/>
              <b val="1"/>
              <sz val="9"/>
            </rPr>
            <t>→FALSE ngay</t>
          </r>
        </is>
      </c>
      <c r="S54" s="13" t="inlineStr">
        <is>
          <t>✗</t>
        </is>
      </c>
      <c r="T54" s="13" t="inlineStr">
        <is>
          <t>✗</t>
        </is>
      </c>
      <c r="U54" s="13" t="inlineStr">
        <is>
          <t>✗</t>
        </is>
      </c>
      <c r="V54" s="16" t="inlineStr">
        <is>
          <t>—</t>
        </is>
      </c>
      <c r="W54" s="11" t="inlineStr">
        <is>
          <t>→FALSE</t>
        </is>
      </c>
      <c r="X54" s="11" t="inlineStr">
        <is>
          <t>→FALSE</t>
        </is>
      </c>
      <c r="Y54" s="16" t="inlineStr">
        <is>
          <t>—</t>
        </is>
      </c>
      <c r="Z54" s="16" t="inlineStr">
        <is>
          <t>—</t>
        </is>
      </c>
      <c r="AA54" s="16" t="inlineStr">
        <is>
          <t>—</t>
        </is>
      </c>
      <c r="AB54" s="11" t="inlineStr">
        <is>
          <t>→FALSE</t>
        </is>
      </c>
    </row>
    <row r="55">
      <c r="A55" s="8" t="inlineStr">
        <is>
          <t>Dòng kế tiếp</t>
        </is>
      </c>
      <c r="B55" s="16" t="inlineStr">
        <is>
          <t>—</t>
        </is>
      </c>
      <c r="C55" s="16" t="inlineStr">
        <is>
          <t>—</t>
        </is>
      </c>
      <c r="D55" s="16" t="inlineStr">
        <is>
          <t>—</t>
        </is>
      </c>
      <c r="E55" s="16" t="inlineStr">
        <is>
          <t>—</t>
        </is>
      </c>
      <c r="F55" s="16" t="inlineStr">
        <is>
          <t>—</t>
        </is>
      </c>
      <c r="G55" s="16" t="inlineStr">
        <is>
          <t>—</t>
        </is>
      </c>
      <c r="H55" s="16" t="inlineStr">
        <is>
          <t>—</t>
        </is>
      </c>
      <c r="I55" s="11" t="inlineStr">
        <is>
          <r>
            <rPr>
              <rFont val="Consolas"/>
              <b val="1"/>
              <sz val="9"/>
            </rPr>
            <t>#2</t>
          </r>
          <r>
            <rPr>
              <rFont val="游ゴシック"/>
              <b val="1"/>
              <sz val="9"/>
            </rPr>
            <t xml:space="preserve">: </t>
          </r>
          <r>
            <rPr>
              <rFont val="Consolas"/>
              <b val="1"/>
              <sz val="9"/>
            </rPr>
            <t>zenkai_hb 301→305</t>
          </r>
          <r>
            <rPr>
              <rFont val="游ゴシック"/>
              <b val="1"/>
              <sz val="9"/>
            </rPr>
            <t xml:space="preserve">, </t>
          </r>
          <r>
            <rPr>
              <rFont val="Consolas"/>
              <b val="1"/>
              <sz val="9"/>
            </rPr>
            <t>zougen</t>
          </r>
          <r>
            <rPr>
              <rFont val="游ゴシック"/>
              <b val="1"/>
              <sz val="9"/>
            </rPr>
            <t xml:space="preserve"> tính lại; giá trị hiện tại GIỮ NGUYÊN</t>
          </r>
        </is>
      </c>
      <c r="J55" s="16" t="inlineStr">
        <is>
          <t>—</t>
        </is>
      </c>
      <c r="K55" s="16" t="inlineStr">
        <is>
          <t>—</t>
        </is>
      </c>
      <c r="L55" s="16" t="inlineStr">
        <is>
          <t>—</t>
        </is>
      </c>
      <c r="M55" s="16" t="inlineStr">
        <is>
          <t>—</t>
        </is>
      </c>
      <c r="N55" s="16" t="inlineStr">
        <is>
          <t>—</t>
        </is>
      </c>
      <c r="O55" s="16" t="inlineStr">
        <is>
          <t>—</t>
        </is>
      </c>
      <c r="P55" s="16" t="inlineStr">
        <is>
          <t>—</t>
        </is>
      </c>
      <c r="Q55" s="16" t="inlineStr">
        <is>
          <t>—</t>
        </is>
      </c>
      <c r="R55" s="16" t="inlineStr">
        <is>
          <t>—</t>
        </is>
      </c>
      <c r="S55" s="13" t="inlineStr">
        <is>
          <t>✗</t>
        </is>
      </c>
      <c r="T55" s="13" t="inlineStr">
        <is>
          <t>✗</t>
        </is>
      </c>
      <c r="U55" s="13" t="inlineStr">
        <is>
          <t>✗</t>
        </is>
      </c>
      <c r="V55" s="16" t="inlineStr">
        <is>
          <t>—</t>
        </is>
      </c>
      <c r="W55" s="16" t="inlineStr">
        <is>
          <t>—</t>
        </is>
      </c>
      <c r="X55" s="16" t="inlineStr">
        <is>
          <t>—</t>
        </is>
      </c>
      <c r="Y55" s="16" t="inlineStr">
        <is>
          <t>—</t>
        </is>
      </c>
      <c r="Z55" s="16" t="inlineStr">
        <is>
          <t>—</t>
        </is>
      </c>
      <c r="AA55" s="16" t="inlineStr">
        <is>
          <t>—</t>
        </is>
      </c>
      <c r="AB55" s="16" t="inlineStr">
        <is>
          <t>—</t>
        </is>
      </c>
    </row>
    <row r="56">
      <c r="A56" s="8" t="inlineStr">
        <is>
          <t>Dòng bị huỷ</t>
        </is>
      </c>
      <c r="B56" s="16" t="inlineStr">
        <is>
          <t>—</t>
        </is>
      </c>
      <c r="C56" s="16" t="inlineStr">
        <is>
          <t>—</t>
        </is>
      </c>
      <c r="D56" s="16" t="inlineStr">
        <is>
          <t>—</t>
        </is>
      </c>
      <c r="E56" s="16" t="inlineStr">
        <is>
          <t>—</t>
        </is>
      </c>
      <c r="F56" s="16" t="inlineStr">
        <is>
          <t>—</t>
        </is>
      </c>
      <c r="G56" s="16" t="inlineStr">
        <is>
          <t>—</t>
        </is>
      </c>
      <c r="H56" s="16" t="inlineStr">
        <is>
          <t>—</t>
        </is>
      </c>
      <c r="I56" s="16" t="inlineStr">
        <is>
          <t>—</t>
        </is>
      </c>
      <c r="J56" s="11" t="inlineStr">
        <is>
          <r>
            <rPr>
              <rFont val="Consolas"/>
              <b val="1"/>
              <sz val="9"/>
            </rPr>
            <t>#2</t>
          </r>
          <r>
            <rPr>
              <rFont val="游ゴシック"/>
              <b val="1"/>
              <sz val="9"/>
            </rPr>
            <t xml:space="preserve">: </t>
          </r>
          <r>
            <rPr>
              <rFont val="Consolas"/>
              <b val="1"/>
              <sz val="9"/>
            </rPr>
            <t>torikeshi=TRUE</t>
          </r>
          <r>
            <rPr>
              <rFont val="游ゴシック"/>
              <b val="1"/>
              <sz val="9"/>
            </rPr>
            <t xml:space="preserve">, </t>
          </r>
          <r>
            <rPr>
              <rFont val="Consolas"/>
              <b val="1"/>
              <sz val="9"/>
            </rPr>
            <t>biko='入力誤りのため取消'</t>
          </r>
        </is>
      </c>
      <c r="K56" s="16" t="inlineStr">
        <is>
          <t>—</t>
        </is>
      </c>
      <c r="L56" s="16" t="inlineStr">
        <is>
          <t>—</t>
        </is>
      </c>
      <c r="M56" s="16" t="inlineStr">
        <is>
          <t>—</t>
        </is>
      </c>
      <c r="N56" s="16" t="inlineStr">
        <is>
          <t>—</t>
        </is>
      </c>
      <c r="O56" s="16" t="inlineStr">
        <is>
          <t>—</t>
        </is>
      </c>
      <c r="P56" s="16" t="inlineStr">
        <is>
          <t>—</t>
        </is>
      </c>
      <c r="Q56" s="16" t="inlineStr">
        <is>
          <t>—</t>
        </is>
      </c>
      <c r="R56" s="16" t="inlineStr">
        <is>
          <t>—</t>
        </is>
      </c>
      <c r="S56" s="13" t="inlineStr">
        <is>
          <t>✗</t>
        </is>
      </c>
      <c r="T56" s="13" t="inlineStr">
        <is>
          <t>✗</t>
        </is>
      </c>
      <c r="U56" s="13" t="inlineStr">
        <is>
          <t>✗</t>
        </is>
      </c>
      <c r="V56" s="16" t="inlineStr">
        <is>
          <t>—</t>
        </is>
      </c>
      <c r="W56" s="16" t="inlineStr">
        <is>
          <t>—</t>
        </is>
      </c>
      <c r="X56" s="16" t="inlineStr">
        <is>
          <t>—</t>
        </is>
      </c>
      <c r="Y56" s="16" t="inlineStr">
        <is>
          <t>—</t>
        </is>
      </c>
      <c r="Z56" s="16" t="inlineStr">
        <is>
          <t>—</t>
        </is>
      </c>
      <c r="AA56" s="16" t="inlineStr">
        <is>
          <t>—</t>
        </is>
      </c>
      <c r="AB56" s="16" t="inlineStr">
        <is>
          <t>—</t>
        </is>
      </c>
    </row>
    <row r="57">
      <c r="A57" s="8" t="inlineStr">
        <is>
          <t>Dòng lifecycle cũ</t>
        </is>
      </c>
      <c r="B57" s="16" t="inlineStr">
        <is>
          <t>—</t>
        </is>
      </c>
      <c r="C57" s="16" t="inlineStr">
        <is>
          <t>—</t>
        </is>
      </c>
      <c r="D57" s="16" t="inlineStr">
        <is>
          <t>—</t>
        </is>
      </c>
      <c r="E57" s="16" t="inlineStr">
        <is>
          <t>—</t>
        </is>
      </c>
      <c r="F57" s="16" t="inlineStr">
        <is>
          <t>—</t>
        </is>
      </c>
      <c r="G57" s="16" t="inlineStr">
        <is>
          <t>—</t>
        </is>
      </c>
      <c r="H57" s="16" t="inlineStr">
        <is>
          <t>—</t>
        </is>
      </c>
      <c r="I57" s="16" t="inlineStr">
        <is>
          <t>—</t>
        </is>
      </c>
      <c r="J57" s="16" t="inlineStr">
        <is>
          <t>—</t>
        </is>
      </c>
      <c r="K57" s="16" t="inlineStr">
        <is>
          <t>—</t>
        </is>
      </c>
      <c r="L57" s="16" t="inlineStr">
        <is>
          <t>—</t>
        </is>
      </c>
      <c r="M57" s="11" t="inlineStr">
        <is>
          <r>
            <rPr>
              <rFont val="Consolas"/>
              <b val="1"/>
              <sz val="9"/>
            </rPr>
            <t>#1–#3</t>
          </r>
          <r>
            <rPr>
              <rFont val="游ゴシック"/>
              <b val="1"/>
              <sz val="9"/>
            </rPr>
            <t xml:space="preserve"> bị loại (</t>
          </r>
          <r>
            <rPr>
              <rFont val="Consolas"/>
              <b val="1"/>
              <sz val="9"/>
            </rPr>
            <t>rireki_no &lt; 4</t>
          </r>
          <r>
            <rPr>
              <rFont val="游ゴシック"/>
              <b val="1"/>
              <sz val="9"/>
            </rPr>
            <t>)</t>
          </r>
        </is>
      </c>
      <c r="N57" s="16" t="inlineStr">
        <is>
          <t>—</t>
        </is>
      </c>
      <c r="O57" s="16" t="inlineStr">
        <is>
          <t>—</t>
        </is>
      </c>
      <c r="P57" s="16" t="inlineStr">
        <is>
          <t>—</t>
        </is>
      </c>
      <c r="Q57" s="16" t="inlineStr">
        <is>
          <t>—</t>
        </is>
      </c>
      <c r="R57" s="16" t="inlineStr">
        <is>
          <t>—</t>
        </is>
      </c>
      <c r="S57" s="13" t="inlineStr">
        <is>
          <t>✗</t>
        </is>
      </c>
      <c r="T57" s="13" t="inlineStr">
        <is>
          <t>✗</t>
        </is>
      </c>
      <c r="U57" s="13" t="inlineStr">
        <is>
          <t>✗</t>
        </is>
      </c>
      <c r="V57" s="16" t="inlineStr">
        <is>
          <t>—</t>
        </is>
      </c>
      <c r="W57" s="16" t="inlineStr">
        <is>
          <t>—</t>
        </is>
      </c>
      <c r="X57" s="11" t="inlineStr">
        <is>
          <r>
            <rPr>
              <rFont val="游ゴシック"/>
              <b val="1"/>
              <sz val="9"/>
            </rPr>
            <t>bị loại</t>
          </r>
        </is>
      </c>
      <c r="Y57" s="16" t="inlineStr">
        <is>
          <t>—</t>
        </is>
      </c>
      <c r="Z57" s="16" t="inlineStr">
        <is>
          <t>—</t>
        </is>
      </c>
      <c r="AA57" s="16" t="inlineStr">
        <is>
          <t>—</t>
        </is>
      </c>
      <c r="AB57" s="16" t="inlineStr">
        <is>
          <t>—</t>
        </is>
      </c>
    </row>
    <row r="58">
      <c r="A58" s="8" t="inlineStr">
        <is>
          <r>
            <rPr>
              <rFont val="游ゴシック"/>
              <b val="1"/>
              <sz val="9"/>
            </rPr>
            <t>Outbound denshiban</t>
          </r>
        </is>
      </c>
      <c r="B58" s="16" t="inlineStr">
        <is>
          <t>—</t>
        </is>
      </c>
      <c r="C58" s="13" t="inlineStr">
        <is>
          <t>❌</t>
        </is>
      </c>
      <c r="D58" s="13" t="inlineStr">
        <is>
          <t>❌</t>
        </is>
      </c>
      <c r="E58" s="13" t="inlineStr">
        <is>
          <t>❌</t>
        </is>
      </c>
      <c r="F58" s="13" t="inlineStr">
        <is>
          <t>❌</t>
        </is>
      </c>
      <c r="G58" s="13" t="inlineStr">
        <is>
          <t>❌</t>
        </is>
      </c>
      <c r="H58" s="13" t="inlineStr">
        <is>
          <t>❌</t>
        </is>
      </c>
      <c r="I58" s="13" t="inlineStr">
        <is>
          <t>❌</t>
        </is>
      </c>
      <c r="J58" s="13" t="inlineStr">
        <is>
          <t>❌</t>
        </is>
      </c>
      <c r="K58" s="13" t="inlineStr">
        <is>
          <t>❌</t>
        </is>
      </c>
      <c r="L58" s="13" t="inlineStr">
        <is>
          <t>❌</t>
        </is>
      </c>
      <c r="M58" s="13" t="inlineStr">
        <is>
          <t>❌</t>
        </is>
      </c>
      <c r="N58" s="16" t="inlineStr">
        <is>
          <t>—</t>
        </is>
      </c>
      <c r="O58" s="12" t="inlineStr">
        <is>
          <r>
            <rPr>
              <rFont val="游ゴシック"/>
              <sz val="9"/>
            </rPr>
            <t xml:space="preserve">✅ </t>
          </r>
          <r>
            <rPr>
              <rFont val="Consolas"/>
              <sz val="9"/>
            </rPr>
            <t>create</t>
          </r>
        </is>
      </c>
      <c r="P58" s="12" t="inlineStr">
        <is>
          <r>
            <rPr>
              <rFont val="游ゴシック"/>
              <sz val="9"/>
            </rPr>
            <t xml:space="preserve">✅ </t>
          </r>
          <r>
            <rPr>
              <rFont val="Consolas"/>
              <sz val="9"/>
            </rPr>
            <t>update</t>
          </r>
        </is>
      </c>
      <c r="Q58" s="12" t="inlineStr">
        <is>
          <r>
            <rPr>
              <rFont val="游ゴシック"/>
              <sz val="9"/>
            </rPr>
            <t xml:space="preserve">✅ </t>
          </r>
          <r>
            <rPr>
              <rFont val="Consolas"/>
              <sz val="9"/>
            </rPr>
            <t>update</t>
          </r>
        </is>
      </c>
      <c r="R58" s="12" t="inlineStr">
        <is>
          <r>
            <rPr>
              <rFont val="游ゴシック"/>
              <sz val="9"/>
            </rPr>
            <t xml:space="preserve">✅ </t>
          </r>
          <r>
            <rPr>
              <rFont val="Consolas"/>
              <sz val="9"/>
            </rPr>
            <t>update</t>
          </r>
        </is>
      </c>
      <c r="S58" s="13" t="inlineStr">
        <is>
          <t>✗</t>
        </is>
      </c>
      <c r="T58" s="13" t="inlineStr">
        <is>
          <t>✗</t>
        </is>
      </c>
      <c r="U58" s="13" t="inlineStr">
        <is>
          <t>✗</t>
        </is>
      </c>
      <c r="V58" s="12" t="inlineStr">
        <is>
          <r>
            <rPr>
              <rFont val="游ゴシック"/>
              <sz val="9"/>
            </rPr>
            <t xml:space="preserve">✅ </t>
          </r>
          <r>
            <rPr>
              <rFont val="Consolas"/>
              <sz val="9"/>
            </rPr>
            <t>cancel</t>
          </r>
          <r>
            <rPr>
              <rFont val="游ゴシック"/>
              <sz val="9"/>
            </rPr>
            <t> </t>
          </r>
          <r>
            <rPr>
              <rFont val="Consolas"/>
              <sz val="9"/>
            </rPr>
            <t>ym=202609</t>
          </r>
        </is>
      </c>
      <c r="W58" s="13" t="inlineStr">
        <is>
          <r>
            <rPr>
              <rFont val="游ゴシック"/>
              <sz val="9"/>
            </rPr>
            <t xml:space="preserve">❌ </t>
          </r>
          <r>
            <rPr>
              <rFont val="游ゴシック"/>
              <b val="1"/>
              <sz val="9"/>
            </rPr>
            <t>batch không gửi</t>
          </r>
        </is>
      </c>
      <c r="X58" s="12" t="inlineStr">
        <is>
          <r>
            <rPr>
              <rFont val="游ゴシック"/>
              <sz val="9"/>
            </rPr>
            <t xml:space="preserve">✅ </t>
          </r>
          <r>
            <rPr>
              <rFont val="Consolas"/>
              <sz val="9"/>
            </rPr>
            <t>update</t>
          </r>
        </is>
      </c>
      <c r="Y58" s="12" t="inlineStr">
        <is>
          <r>
            <rPr>
              <rFont val="游ゴシック"/>
              <sz val="9"/>
            </rPr>
            <t xml:space="preserve">✅ </t>
          </r>
          <r>
            <rPr>
              <rFont val="Consolas"/>
              <sz val="9"/>
            </rPr>
            <t>approve</t>
          </r>
        </is>
      </c>
      <c r="Z58" s="12" t="inlineStr">
        <is>
          <r>
            <rPr>
              <rFont val="游ゴシック"/>
              <sz val="9"/>
            </rPr>
            <t xml:space="preserve">✅ </t>
          </r>
          <r>
            <rPr>
              <rFont val="Consolas"/>
              <sz val="9"/>
            </rPr>
            <t>unapprove</t>
          </r>
        </is>
      </c>
      <c r="AA58" s="13" t="inlineStr">
        <is>
          <r>
            <rPr>
              <rFont val="游ゴシック"/>
              <sz val="9"/>
            </rPr>
            <t xml:space="preserve">❌ </t>
          </r>
          <r>
            <rPr>
              <rFont val="游ゴシック"/>
              <b val="1"/>
              <sz val="9"/>
            </rPr>
            <t>không gửi ngược</t>
          </r>
        </is>
      </c>
      <c r="AB58" s="13" t="inlineStr">
        <is>
          <t>❌</t>
        </is>
      </c>
    </row>
    <row r="61" ht="19" customHeight="1">
      <c r="A61" s="18" t="inlineStr">
        <is>
          <t>Ghi chú ô</t>
        </is>
      </c>
      <c r="B61" s="6" t="n"/>
      <c r="C61" s="6" t="n"/>
      <c r="D61" s="6" t="n"/>
      <c r="E61" s="6" t="n"/>
      <c r="F61" s="6" t="n"/>
      <c r="G61" s="6" t="n"/>
      <c r="H61" s="6" t="n"/>
    </row>
    <row r="62" ht="333.5" customHeight="1">
      <c r="A62" s="10" t="inlineStr">
        <is>
          <r>
            <rPr>
              <rFont val="游ゴシック"/>
              <sz val="10"/>
            </rPr>
            <t xml:space="preserve">⁽ᵃ⁾ Chỉ chạy được ở chế độ </t>
          </r>
          <r>
            <rPr>
              <rFont val="Consolas"/>
              <sz val="10"/>
            </rPr>
            <t>reserved</t>
          </r>
          <r>
            <rPr>
              <rFont val="游ゴシック"/>
              <sz val="10"/>
            </rPr>
            <t xml:space="preserve">. Ở chế độ </t>
          </r>
          <r>
            <rPr>
              <rFont val="Consolas"/>
              <sz val="10"/>
            </rPr>
            <t>today</t>
          </r>
          <r>
            <rPr>
              <rFont val="游ゴシック"/>
              <sz val="10"/>
            </rPr>
            <t xml:space="preserve">, 紙版 bị chặn: </t>
          </r>
          <r>
            <rPr>
              <rFont val="Consolas"/>
              <sz val="10"/>
            </rPr>
            <t>帳票に影響する変更は予約変更（未来日を指定）で行ってください。</t>
          </r>
          <r>
            <rPr>
              <rFont val="游ゴシック"/>
              <sz val="10"/>
            </rPr>
            <t xml:space="preserve"> ⁽ᵇ⁾ </t>
          </r>
          <r>
            <rPr>
              <rFont val="Consolas"/>
              <sz val="10"/>
            </rPr>
            <t>dokusya_busu</t>
          </r>
          <r>
            <rPr>
              <rFont val="游ゴシック"/>
              <sz val="10"/>
            </rPr>
            <t xml:space="preserve"> — </t>
          </r>
          <r>
            <rPr>
              <rFont val="Consolas"/>
              <sz val="10"/>
            </rPr>
            <t>電子版の購読部数は1で登録してください。</t>
          </r>
          <r>
            <rPr>
              <rFont val="游ゴシック"/>
              <sz val="10"/>
            </rPr>
            <t xml:space="preserve"> ⁽ᶜ⁾ </t>
          </r>
          <r>
            <rPr>
              <rFont val="Consolas"/>
              <sz val="10"/>
            </rPr>
            <t>change_mode</t>
          </r>
          <r>
            <rPr>
              <rFont val="游ゴシック"/>
              <sz val="10"/>
            </rPr>
            <t xml:space="preserve"> — </t>
          </r>
          <r>
            <rPr>
              <rFont val="Consolas"/>
              <sz val="10"/>
            </rPr>
            <t>電子版は当日変更のみ可能です。予約変更はできません。</t>
          </r>
          <r>
            <rPr>
              <rFont val="游ゴシック"/>
              <sz val="10"/>
            </rPr>
            <t xml:space="preserve"> ⁽ᵈ⁾ </t>
          </r>
          <r>
            <rPr>
              <rFont val="Consolas"/>
              <sz val="10"/>
            </rPr>
            <t>canTorikeshi</t>
          </r>
          <r>
            <rPr>
              <rFont val="游ゴシック"/>
              <sz val="10"/>
            </rPr>
            <t xml:space="preserve"> yêu cầu </t>
          </r>
          <r>
            <rPr>
              <rFont val="Consolas"/>
              <sz val="10"/>
            </rPr>
            <t>dokusya_shubetsu = 1</t>
          </r>
          <r>
            <rPr>
              <rFont val="游ゴシック"/>
              <sz val="10"/>
            </rPr>
            <t xml:space="preserve"> → 電子版 không bao giờ huỷ lịch sử được. ⁽ᵉ⁾ </t>
          </r>
          <r>
            <rPr>
              <rFont val="游ゴシック"/>
              <b val="1"/>
              <sz val="10"/>
            </rPr>
            <t xml:space="preserve">Phase 1 KHÔNG đổi </t>
          </r>
          <r>
            <rPr>
              <rFont val="Consolas"/>
              <b val="1"/>
              <sz val="10"/>
            </rPr>
            <t>tetsuzuki_shurui</t>
          </r>
          <r>
            <rPr>
              <rFont val="游ゴシック"/>
              <sz val="10"/>
            </rPr>
            <t xml:space="preserve"> — dòng đặt lịch kế thừa </t>
          </r>
          <r>
            <rPr>
              <rFont val="Consolas"/>
              <sz val="10"/>
            </rPr>
            <t>= 1</t>
          </r>
          <r>
            <rPr>
              <rFont val="游ゴシック"/>
              <sz val="10"/>
            </rPr>
            <t xml:space="preserve"> và </t>
          </r>
          <r>
            <rPr>
              <rFont val="Consolas"/>
              <sz val="10"/>
            </rPr>
            <t>kaiyaku_flg = FALSE</t>
          </r>
          <r>
            <rPr>
              <rFont val="游ゴシック"/>
              <sz val="10"/>
            </rPr>
            <t xml:space="preserve">; đó chính là điều kiện để batch Phase 2 nhận diện. ⁽ᶠ⁾ Dòng chèn </t>
          </r>
          <r>
            <rPr>
              <rFont val="Consolas"/>
              <sz val="10"/>
            </rPr>
            <t>#3</t>
          </r>
          <r>
            <rPr>
              <rFont val="游ゴシック"/>
              <sz val="10"/>
            </rPr>
            <t xml:space="preserve"> lấy </t>
          </r>
          <r>
            <rPr>
              <rFont val="Consolas"/>
              <sz val="10"/>
            </rPr>
            <t>busu = 2</t>
          </r>
          <r>
            <rPr>
              <rFont val="游ゴシック"/>
              <sz val="10"/>
            </rPr>
            <t> </t>
          </r>
          <r>
            <rPr>
              <rFont val="游ゴシック"/>
              <b val="1"/>
              <sz val="10"/>
            </rPr>
            <t xml:space="preserve">↩ từ </t>
          </r>
          <r>
            <rPr>
              <rFont val="Consolas"/>
              <b val="1"/>
              <sz val="10"/>
            </rPr>
            <t>#1</t>
          </r>
          <r>
            <rPr>
              <rFont val="游ゴシック"/>
              <sz val="10"/>
            </rPr>
            <t xml:space="preserve"> (dòng liền trước theo </t>
          </r>
          <r>
            <rPr>
              <rFont val="Consolas"/>
              <sz val="10"/>
            </rPr>
            <t>joho</t>
          </r>
          <r>
            <rPr>
              <rFont val="游ゴシック"/>
              <sz val="10"/>
            </rPr>
            <t xml:space="preserve">), không phải </t>
          </r>
          <r>
            <rPr>
              <rFont val="Consolas"/>
              <sz val="10"/>
            </rPr>
            <t>3</t>
          </r>
          <r>
            <rPr>
              <rFont val="游ゴシック"/>
              <sz val="10"/>
            </rPr>
            <t xml:space="preserve"> của </t>
          </r>
          <r>
            <rPr>
              <rFont val="Consolas"/>
              <sz val="10"/>
            </rPr>
            <t>#2</t>
          </r>
          <r>
            <rPr>
              <rFont val="游ゴシック"/>
              <sz val="10"/>
            </rPr>
            <t xml:space="preserve">. </t>
          </r>
          <r>
            <rPr>
              <rFont val="Consolas"/>
              <sz val="10"/>
            </rPr>
            <t>rireki_no = 3</t>
          </r>
          <r>
            <rPr>
              <rFont val="游ゴシック"/>
              <sz val="10"/>
            </rPr>
            <t xml:space="preserve"> lớn nhất dù </t>
          </r>
          <r>
            <rPr>
              <rFont val="Consolas"/>
              <sz val="10"/>
            </rPr>
            <t>joho</t>
          </r>
          <r>
            <rPr>
              <rFont val="游ゴシック"/>
              <sz val="10"/>
            </rPr>
            <t xml:space="preserve"> nhỏ hơn </t>
          </r>
          <r>
            <rPr>
              <rFont val="Consolas"/>
              <sz val="10"/>
            </rPr>
            <t>#2</t>
          </r>
          <r>
            <rPr>
              <rFont val="游ゴシック"/>
              <sz val="10"/>
            </rPr>
            <t xml:space="preserve">. Xem "Timeline P7" bên dưới. ⁽ᵍ⁾ Ghi vào DB nhưng </t>
          </r>
          <r>
            <rPr>
              <rFont val="游ゴシック"/>
              <b val="1"/>
              <sz val="10"/>
            </rPr>
            <t>không dùng để giao</t>
          </r>
          <r>
            <rPr>
              <rFont val="游ゴシック"/>
              <sz val="10"/>
            </rPr>
            <t xml:space="preserve"> vì </t>
          </r>
          <r>
            <rPr>
              <rFont val="Consolas"/>
              <sz val="10"/>
            </rPr>
            <t>same_flg = TRUE</t>
          </r>
          <r>
            <rPr>
              <rFont val="游ゴシック"/>
              <sz val="10"/>
            </rPr>
            <t xml:space="preserve"> → </t>
          </r>
          <r>
            <rPr>
              <rFont val="Consolas"/>
              <sz val="10"/>
            </rPr>
            <t>zougen_hokoku_flg = FALSE</t>
          </r>
          <r>
            <rPr>
              <rFont val="游ゴシック"/>
              <sz val="10"/>
            </rPr>
            <t xml:space="preserve"> (biến thể này khác ô P4 chính, xem "Biến thể P4"). ⁽ʰ⁾ Draft inbound luôn </t>
          </r>
          <r>
            <rPr>
              <rFont val="Consolas"/>
              <sz val="10"/>
            </rPr>
            <t>tanka_id = null</t>
          </r>
          <r>
            <rPr>
              <rFont val="游ゴシック"/>
              <sz val="10"/>
            </rPr>
            <t xml:space="preserve"> → nếu đưa vào diff sẽ </t>
          </r>
          <r>
            <rPr>
              <rFont val="游ゴシック"/>
              <b val="1"/>
              <sz val="10"/>
            </rPr>
            <t>xoá mất đơn giá thật</t>
          </r>
          <r>
            <rPr>
              <rFont val="游ゴシック"/>
              <sz val="10"/>
            </rPr>
            <t xml:space="preserve">. ⁽ⁱ⁾ 紙版 bắt buộc </t>
          </r>
          <r>
            <rPr>
              <rFont val="Consolas"/>
              <sz val="10"/>
            </rPr>
            <t>kaishi &gt; hôm nay</t>
          </r>
          <r>
            <rPr>
              <rFont val="游ゴシック"/>
              <sz val="10"/>
            </rPr>
            <t xml:space="preserve">.  ⁽ʲ⁾ 電子版 cho phép </t>
          </r>
          <r>
            <rPr>
              <rFont val="Consolas"/>
              <sz val="10"/>
            </rPr>
            <t>kaishi = hôm nay</t>
          </r>
          <r>
            <rPr>
              <rFont val="游ゴシック"/>
              <sz val="10"/>
            </rPr>
            <t xml:space="preserve">. ⁽ᵏ⁾ Chỉ khi dòng bị huỷ là dòng đặt lịch dừng. ⁽ˡ⁾ </t>
          </r>
          <r>
            <rPr>
              <rFont val="Consolas"/>
              <sz val="10"/>
            </rPr>
            <t>seikyu_kaishi_month</t>
          </r>
          <r>
            <rPr>
              <rFont val="游ゴシック"/>
              <sz val="10"/>
            </rPr>
            <t xml:space="preserve"> rỗng ⇒ 電子版 </t>
          </r>
          <r>
            <rPr>
              <rFont val="游ゴシック"/>
              <b val="1"/>
              <sz val="10"/>
            </rPr>
            <t>không đặt lịch dừng được</t>
          </r>
          <r>
            <rPr>
              <rFont val="游ゴシック"/>
              <sz val="10"/>
            </rPr>
            <t xml:space="preserve">: </t>
          </r>
          <r>
            <rPr>
              <rFont val="Consolas"/>
              <sz val="10"/>
            </rPr>
            <t>この読者料金の徴収はまだ開始されていません。</t>
          </r>
          <r>
            <rPr>
              <rFont val="游ゴシック"/>
              <sz val="10"/>
            </rPr>
            <t xml:space="preserve"> ⁽ᵐ⁾ Đăng ký 電子版 qua màn hình = thao tác nhân viên → </t>
          </r>
          <r>
            <rPr>
              <rFont val="Consolas"/>
              <sz val="10"/>
            </rPr>
            <t>1 承認済</t>
          </r>
          <r>
            <rPr>
              <rFont val="游ゴシック"/>
              <sz val="10"/>
            </rPr>
            <t xml:space="preserve"> luôn (không phải </t>
          </r>
          <r>
            <rPr>
              <rFont val="Consolas"/>
              <sz val="10"/>
            </rPr>
            <t>0</t>
          </r>
          <r>
            <rPr>
              <rFont val="游ゴシック"/>
              <sz val="10"/>
            </rPr>
            <t xml:space="preserve">). ⁽ⁿ⁾ Lấy từ phản hồi </t>
          </r>
          <r>
            <rPr>
              <rFont val="Consolas"/>
              <sz val="10"/>
            </rPr>
            <t>create</t>
          </r>
          <r>
            <rPr>
              <rFont val="游ゴシック"/>
              <sz val="10"/>
            </rPr>
            <t xml:space="preserve"> của denshiban, ghi trong cùng transaction.  ⁽ᵒ⁾ Stamp riêng sau </t>
          </r>
          <r>
            <rPr>
              <rFont val="Consolas"/>
              <sz val="10"/>
            </rPr>
            <t>applyChange</t>
          </r>
          <r>
            <rPr>
              <rFont val="游ゴシック"/>
              <sz val="10"/>
            </rPr>
            <t xml:space="preserve"> (cột master-only). ⁽ᵖ⁾ </t>
          </r>
          <r>
            <rPr>
              <rFont val="Consolas"/>
              <sz val="10"/>
            </rPr>
            <t>honshi_kodoku_flg</t>
          </r>
          <r>
            <rPr>
              <rFont val="游ゴシック"/>
              <sz val="10"/>
            </rPr>
            <t> </t>
          </r>
          <r>
            <rPr>
              <rFont val="游ゴシック"/>
              <b val="1"/>
              <sz val="10"/>
            </rPr>
            <t xml:space="preserve">không phải cột của </t>
          </r>
          <r>
            <rPr>
              <rFont val="Consolas"/>
              <b val="1"/>
              <sz val="10"/>
            </rPr>
            <t>t_dokusya_rireki</t>
          </r>
          <r>
            <rPr>
              <rFont val="游ゴシック"/>
              <sz val="10"/>
            </rPr>
            <t xml:space="preserve"> → xem cảnh báo ① bên dưới. ⁽ᵠ⁾ </t>
          </r>
          <r>
            <rPr>
              <rFont val="Consolas"/>
              <sz val="10"/>
            </rPr>
            <t>取消</t>
          </r>
          <r>
            <rPr>
              <rFont val="游ゴシック"/>
              <sz val="10"/>
            </rPr>
            <t xml:space="preserve"> không stamp </t>
          </r>
          <r>
            <rPr>
              <rFont val="Consolas"/>
              <sz val="10"/>
            </rPr>
            <t>updated_by</t>
          </r>
          <r>
            <rPr>
              <rFont val="游ゴシック"/>
              <sz val="10"/>
            </rPr>
            <t>. ⁽ʳ⁾ Nếu gửi lại đúng giá trị cũ (</t>
          </r>
          <r>
            <rPr>
              <rFont val="Consolas"/>
              <sz val="10"/>
            </rPr>
            <t>019-651-0001</t>
          </r>
          <r>
            <rPr>
              <rFont val="游ゴシック"/>
              <sz val="10"/>
            </rPr>
            <t xml:space="preserve">) thì </t>
          </r>
          <r>
            <rPr>
              <rFont val="Consolas"/>
              <sz val="10"/>
            </rPr>
            <t>diffChangedFields</t>
          </r>
          <r>
            <rPr>
              <rFont val="游ゴシック"/>
              <sz val="10"/>
            </rPr>
            <t xml:space="preserve"> trả </t>
          </r>
          <r>
            <rPr>
              <rFont val="Consolas"/>
              <sz val="10"/>
            </rPr>
            <t>[]</t>
          </r>
          <r>
            <rPr>
              <rFont val="游ゴシック"/>
              <sz val="10"/>
            </rPr>
            <t xml:space="preserve"> → </t>
          </r>
          <r>
            <rPr>
              <rFont val="游ゴシック"/>
              <b val="1"/>
              <sz val="10"/>
            </rPr>
            <t>0 dòng</t>
          </r>
          <r>
            <rPr>
              <rFont val="游ゴシック"/>
              <sz val="10"/>
            </rPr>
            <t xml:space="preserve">, nhưng </t>
          </r>
          <r>
            <rPr>
              <rFont val="Consolas"/>
              <sz val="10"/>
            </rPr>
            <t>updated_by</t>
          </r>
          <r>
            <rPr>
              <rFont val="游ゴシック"/>
              <sz val="10"/>
            </rPr>
            <t xml:space="preserve"> vẫn stamp và </t>
          </r>
          <r>
            <rPr>
              <rFont val="Consolas"/>
              <sz val="10"/>
            </rPr>
            <t>t_log</t>
          </r>
          <r>
            <rPr>
              <rFont val="游ゴシック"/>
              <sz val="10"/>
            </rPr>
            <t xml:space="preserve"> vẫn ghi </t>
          </r>
          <r>
            <rPr>
              <rFont val="Consolas"/>
              <sz val="10"/>
            </rPr>
            <t>UPDATE</t>
          </r>
          <r>
            <rPr>
              <rFont val="游ゴシック"/>
              <sz val="10"/>
            </rPr>
            <t xml:space="preserve">. ⁽ˢ⁾ Dòng đối ứng dùng </t>
          </r>
          <r>
            <rPr>
              <rFont val="游ゴシック"/>
              <b val="1"/>
              <sz val="10"/>
            </rPr>
            <t xml:space="preserve">cùng </t>
          </r>
          <r>
            <rPr>
              <rFont val="Consolas"/>
              <b val="1"/>
              <sz val="10"/>
            </rPr>
            <t>joho</t>
          </r>
          <r>
            <rPr>
              <rFont val="游ゴシック"/>
              <sz val="10"/>
            </rPr>
            <t xml:space="preserve"> với dòng bị huỷ. ⁽ᵗ⁾ 電子版 Phase 2 lấy </t>
          </r>
          <r>
            <rPr>
              <rFont val="Consolas"/>
              <sz val="10"/>
            </rPr>
            <t>joho = chushi + 1 ngày</t>
          </r>
          <r>
            <rPr>
              <rFont val="游ゴシック"/>
              <sz val="10"/>
            </rPr>
            <t xml:space="preserve"> (紙版 lấy đúng </t>
          </r>
          <r>
            <rPr>
              <rFont val="Consolas"/>
              <sz val="10"/>
            </rPr>
            <t>chushi</t>
          </r>
          <r>
            <rPr>
              <rFont val="游ゴシック"/>
              <sz val="10"/>
            </rPr>
            <t xml:space="preserve">). ⁽ᵘ⁾ </t>
          </r>
          <r>
            <rPr>
              <rFont val="Consolas"/>
              <sz val="10"/>
            </rPr>
            <t>TRUE</t>
          </r>
          <r>
            <rPr>
              <rFont val="游ゴシック"/>
              <sz val="10"/>
            </rPr>
            <t> </t>
          </r>
          <r>
            <rPr>
              <rFont val="游ゴシック"/>
              <b val="1"/>
              <sz val="10"/>
            </rPr>
            <t>ngay</t>
          </r>
          <r>
            <rPr>
              <rFont val="游ゴシック"/>
              <sz val="10"/>
            </rPr>
            <t xml:space="preserve"> dù </t>
          </r>
          <r>
            <rPr>
              <rFont val="Consolas"/>
              <sz val="10"/>
            </rPr>
            <t>joho = 2026-12-01</t>
          </r>
          <r>
            <rPr>
              <rFont val="游ゴシック"/>
              <sz val="10"/>
            </rPr>
            <t xml:space="preserve"> còn tương lai — vì </t>
          </r>
          <r>
            <rPr>
              <rFont val="Consolas"/>
              <sz val="10"/>
            </rPr>
            <t>#4</t>
          </r>
          <r>
            <rPr>
              <rFont val="游ゴシック"/>
              <sz val="10"/>
            </rPr>
            <t xml:space="preserve"> mở lifecycle mới, không có dòng hiệu lực trong lifecycle đó → fallback về chính dòng </t>
          </r>
          <r>
            <rPr>
              <rFont val="Consolas"/>
              <sz val="10"/>
            </rPr>
            <t>新規</t>
          </r>
          <r>
            <rPr>
              <rFont val="游ゴシック"/>
              <sz val="10"/>
            </rPr>
            <t xml:space="preserve">. ⁽ᵛ⁾ Nếu dòng bị huỷ là dòng giải ước, dòng đối ứng khôi phục </t>
          </r>
          <r>
            <rPr>
              <rFont val="Consolas"/>
              <sz val="10"/>
            </rPr>
            <t>tetsuzuki = 1</t>
          </r>
          <r>
            <rPr>
              <rFont val="游ゴシック"/>
              <sz val="10"/>
            </rPr>
            <t xml:space="preserve">, </t>
          </r>
          <r>
            <rPr>
              <rFont val="Consolas"/>
              <sz val="10"/>
            </rPr>
            <t>kaiyaku_flg = FALSE</t>
          </r>
          <r>
            <rPr>
              <rFont val="游ゴシック"/>
              <sz val="10"/>
            </rPr>
            <t xml:space="preserve">. ⁽ʷ⁾ </t>
          </r>
          <r>
            <rPr>
              <rFont val="Consolas"/>
              <sz val="10"/>
            </rPr>
            <t>'販売店一括置換'</t>
          </r>
          <r>
            <rPr>
              <rFont val="游ゴシック"/>
              <sz val="10"/>
            </rPr>
            <t xml:space="preserve"> nếu thực hiện qua SCR-015. ⁽ˣ⁾ Tái đặt ghi </t>
          </r>
          <r>
            <rPr>
              <rFont val="游ゴシック"/>
              <b val="1"/>
              <sz val="10"/>
            </rPr>
            <t xml:space="preserve">toàn bộ </t>
          </r>
          <r>
            <rPr>
              <rFont val="Consolas"/>
              <b val="1"/>
              <sz val="10"/>
            </rPr>
            <t>zenkai_*</t>
          </r>
          <r>
            <rPr>
              <rFont val="游ゴシック"/>
              <b val="1"/>
              <sz val="10"/>
            </rPr>
            <t xml:space="preserve"> = NULL</t>
          </r>
          <r>
            <rPr>
              <rFont val="游ゴシック"/>
              <sz val="10"/>
            </rPr>
            <t xml:space="preserve"> — cố ý giống hệt dòng tạo mới đầu tiên. ⁽ʸ⁾ Luôn là </t>
          </r>
          <r>
            <rPr>
              <rFont val="游ゴシック"/>
              <b val="1"/>
              <sz val="10"/>
            </rPr>
            <t>đ/c giao hiệu lực</t>
          </r>
          <r>
            <rPr>
              <rFont val="游ゴシック"/>
              <sz val="10"/>
            </rPr>
            <t xml:space="preserve"> của dòng trước: </t>
          </r>
          <r>
            <rPr>
              <rFont val="Consolas"/>
              <sz val="10"/>
            </rPr>
            <t>#1.same_flg = TRUE</t>
          </r>
          <r>
            <rPr>
              <rFont val="游ゴシック"/>
              <sz val="10"/>
            </rPr>
            <t xml:space="preserve"> → lấy địa chỉ độc giả. ⁽ᶻ⁾ Duyệt/Từ chối </t>
          </r>
          <r>
            <rPr>
              <rFont val="游ゴシック"/>
              <b val="1"/>
              <sz val="10"/>
            </rPr>
            <t>không sinh dòng mới</t>
          </r>
          <r>
            <rPr>
              <rFont val="游ゴシック"/>
              <sz val="10"/>
            </rPr>
            <t xml:space="preserve"> — </t>
          </r>
          <r>
            <rPr>
              <rFont val="Consolas"/>
              <sz val="10"/>
            </rPr>
            <t>UPDATE</t>
          </r>
          <r>
            <rPr>
              <rFont val="游ゴシック"/>
              <sz val="10"/>
            </rPr>
            <t xml:space="preserve"> thẳng vào dòng đang </t>
          </r>
          <r>
            <rPr>
              <rFont val="Consolas"/>
              <sz val="10"/>
            </rPr>
            <t>saishin_data_flg = TRUE</t>
          </r>
          <r>
            <rPr>
              <rFont val="游ゴシック"/>
              <sz val="10"/>
            </rPr>
            <t xml:space="preserve">. Điều kiện: trạng thái hiện tại phải </t>
          </r>
          <r>
            <rPr>
              <rFont val="Consolas"/>
              <sz val="10"/>
            </rPr>
            <t>= 0</t>
          </r>
          <r>
            <rPr>
              <rFont val="游ゴシック"/>
              <sz val="10"/>
            </rPr>
            <t>.</t>
          </r>
        </is>
      </c>
    </row>
    <row r="64" ht="19" customHeight="1">
      <c r="A64" s="18" t="inlineStr">
        <is>
          <t>Timeline P7 — hệ quả của việc chèn trước dòng tương lai</t>
        </is>
      </c>
      <c r="B64" s="6" t="n"/>
      <c r="C64" s="6" t="n"/>
      <c r="D64" s="6" t="n"/>
      <c r="E64" s="6" t="n"/>
      <c r="F64" s="6" t="n"/>
      <c r="G64" s="6" t="n"/>
      <c r="H64" s="6" t="n"/>
    </row>
    <row r="65" ht="16" customHeight="1">
      <c r="A65" s="10" t="inlineStr">
        <is>
          <r>
            <rPr>
              <rFont val="Consolas"/>
              <sz val="10"/>
            </rPr>
            <t>t_dokusya</t>
          </r>
          <r>
            <rPr>
              <rFont val="游ゴシック"/>
              <sz val="10"/>
            </rPr>
            <t xml:space="preserve"> của </t>
          </r>
          <r>
            <rPr>
              <rFont val="Consolas"/>
              <sz val="10"/>
            </rPr>
            <t>1001</t>
          </r>
          <r>
            <rPr>
              <rFont val="游ゴシック"/>
              <sz val="10"/>
            </rPr>
            <t xml:space="preserve"> biến động theo ngày:</t>
          </r>
        </is>
      </c>
    </row>
    <row r="66" ht="20" customHeight="1">
      <c r="A66" s="7" t="inlineStr">
        <is>
          <t>Ngày</t>
        </is>
      </c>
      <c r="B66" s="7" t="inlineStr">
        <is>
          <r>
            <rPr>
              <rFont val="Consolas"/>
              <b val="1"/>
              <sz val="10"/>
            </rPr>
            <t>dokusya_busu</t>
          </r>
        </is>
      </c>
      <c r="C66" s="7" t="inlineStr">
        <is>
          <r>
            <rPr>
              <rFont val="Consolas"/>
              <b val="1"/>
              <sz val="10"/>
            </rPr>
            <t>hanbaiten_id</t>
          </r>
        </is>
      </c>
      <c r="D66" s="7" t="inlineStr">
        <is>
          <r>
            <rPr>
              <rFont val="Consolas"/>
              <b val="1"/>
              <sz val="10"/>
            </rPr>
            <t>rireki_no</t>
          </r>
        </is>
      </c>
    </row>
    <row r="67">
      <c r="A67" s="8" t="inlineStr">
        <is>
          <t>2026-07-26</t>
        </is>
      </c>
      <c r="B67" s="8" t="inlineStr">
        <is>
          <t>2</t>
        </is>
      </c>
      <c r="C67" s="8" t="inlineStr">
        <is>
          <t>301</t>
        </is>
      </c>
      <c r="D67" s="8" t="inlineStr">
        <is>
          <t>1</t>
        </is>
      </c>
    </row>
    <row r="68">
      <c r="A68" s="8" t="inlineStr">
        <is>
          <t>2026-08-15 (batch)</t>
        </is>
      </c>
      <c r="B68" s="8" t="inlineStr">
        <is>
          <t>2</t>
        </is>
      </c>
      <c r="C68" s="8" t="inlineStr">
        <is>
          <r>
            <rPr>
              <rFont val="游ゴシック"/>
              <b val="1"/>
              <sz val="9"/>
            </rPr>
            <t>305</t>
          </r>
        </is>
      </c>
      <c r="D68" s="8" t="inlineStr">
        <is>
          <t>3</t>
        </is>
      </c>
    </row>
    <row r="69">
      <c r="A69" s="8" t="inlineStr">
        <is>
          <t>2026-09-01 (batch)</t>
        </is>
      </c>
      <c r="B69" s="8" t="inlineStr">
        <is>
          <r>
            <rPr>
              <rFont val="游ゴシック"/>
              <b val="1"/>
              <sz val="9"/>
            </rPr>
            <t>3</t>
          </r>
        </is>
      </c>
      <c r="C69" s="8" t="inlineStr">
        <is>
          <r>
            <rPr>
              <rFont val="游ゴシック"/>
              <b val="1"/>
              <sz val="9"/>
            </rPr>
            <t>301 ← quay lại cửa hàng cũ</t>
          </r>
        </is>
      </c>
      <c r="D69" s="8" t="inlineStr">
        <is>
          <t>2</t>
        </is>
      </c>
    </row>
    <row r="71" ht="43.5" customHeight="1">
      <c r="A71" s="10" t="inlineStr">
        <is>
          <r>
            <rPr>
              <rFont val="游ゴシック"/>
              <sz val="10"/>
            </rPr>
            <t xml:space="preserve">Dòng </t>
          </r>
          <r>
            <rPr>
              <rFont val="Consolas"/>
              <sz val="10"/>
            </rPr>
            <t>#2</t>
          </r>
          <r>
            <rPr>
              <rFont val="游ゴシック"/>
              <sz val="10"/>
            </rPr>
            <t xml:space="preserve"> giữ nguyên </t>
          </r>
          <r>
            <rPr>
              <rFont val="Consolas"/>
              <sz val="10"/>
            </rPr>
            <t>hanbaiten_id = 301</t>
          </r>
          <r>
            <rPr>
              <rFont val="游ゴシック"/>
              <sz val="10"/>
            </rPr>
            <t xml:space="preserve"> (chép từ </t>
          </r>
          <r>
            <rPr>
              <rFont val="Consolas"/>
              <sz val="10"/>
            </rPr>
            <t>#1</t>
          </r>
          <r>
            <rPr>
              <rFont val="游ゴシック"/>
              <sz val="10"/>
            </rPr>
            <t xml:space="preserve"> lúc tạo) nên khi đến hạn nó </t>
          </r>
          <r>
            <rPr>
              <rFont val="游ゴシック"/>
              <b val="1"/>
              <sz val="10"/>
            </rPr>
            <t>ghi đè</t>
          </r>
          <r>
            <rPr>
              <rFont val="游ゴシック"/>
              <sz val="10"/>
            </rPr>
            <t xml:space="preserve"> thay đổi cửa hàng của </t>
          </r>
          <r>
            <rPr>
              <rFont val="Consolas"/>
              <sz val="10"/>
            </rPr>
            <t>#3</t>
          </r>
          <r>
            <rPr>
              <rFont val="游ゴシック"/>
              <sz val="10"/>
            </rPr>
            <t xml:space="preserve"> — chính sách "B-thuần" khách hàng chốt 2026-07. Ngoài ra </t>
          </r>
          <r>
            <rPr>
              <rFont val="Consolas"/>
              <sz val="10"/>
            </rPr>
            <t>#3</t>
          </r>
          <r>
            <rPr>
              <rFont val="游ゴシック"/>
              <sz val="10"/>
            </rPr>
            <t> </t>
          </r>
          <r>
            <rPr>
              <rFont val="游ゴシック"/>
              <b val="1"/>
              <sz val="10"/>
            </rPr>
            <t>không huỷ được</t>
          </r>
          <r>
            <rPr>
              <rFont val="游ゴシック"/>
              <sz val="10"/>
            </rPr>
            <t xml:space="preserve"> vì không phải dòng cuối chuỗi (</t>
          </r>
          <r>
            <rPr>
              <rFont val="Consolas"/>
              <sz val="10"/>
            </rPr>
            <t>#2</t>
          </r>
          <r>
            <rPr>
              <rFont val="游ゴシック"/>
              <sz val="10"/>
            </rPr>
            <t xml:space="preserve"> có </t>
          </r>
          <r>
            <rPr>
              <rFont val="Consolas"/>
              <sz val="10"/>
            </rPr>
            <t>joho</t>
          </r>
          <r>
            <rPr>
              <rFont val="游ゴシック"/>
              <sz val="10"/>
            </rPr>
            <t xml:space="preserve"> lớn hơn).</t>
          </r>
        </is>
      </c>
    </row>
    <row r="73" ht="19" customHeight="1">
      <c r="A73" s="18" t="inlineStr">
        <is>
          <r>
            <rPr>
              <rFont val="游ゴシック"/>
              <b val="1"/>
              <sz val="11"/>
            </rPr>
            <t xml:space="preserve">Biến thể P4 — sửa </t>
          </r>
          <r>
            <rPr>
              <rFont val="Consolas"/>
              <b val="1"/>
              <sz val="11"/>
            </rPr>
            <t>haitatsu_*</t>
          </r>
          <r>
            <rPr>
              <rFont val="游ゴシック"/>
              <b val="1"/>
              <sz val="11"/>
            </rPr>
            <t xml:space="preserve"> nhưng GIỮ </t>
          </r>
          <r>
            <rPr>
              <rFont val="Consolas"/>
              <b val="1"/>
              <sz val="11"/>
            </rPr>
            <t>same_flg = TRUE</t>
          </r>
        </is>
      </c>
      <c r="B73" s="6" t="n"/>
      <c r="C73" s="6" t="n"/>
      <c r="D73" s="6" t="n"/>
      <c r="E73" s="6" t="n"/>
      <c r="F73" s="6" t="n"/>
      <c r="G73" s="6" t="n"/>
      <c r="H73" s="6" t="n"/>
    </row>
    <row r="74" ht="29" customHeight="1">
      <c r="A74" s="10" t="inlineStr">
        <is>
          <r>
            <rPr>
              <rFont val="游ゴシック"/>
              <sz val="10"/>
            </rPr>
            <t xml:space="preserve">Vẫn sinh dòng </t>
          </r>
          <r>
            <rPr>
              <rFont val="Consolas"/>
              <sz val="10"/>
            </rPr>
            <t>#2</t>
          </r>
          <r>
            <rPr>
              <rFont val="游ゴシック"/>
              <sz val="10"/>
            </rPr>
            <t xml:space="preserve"> (diff thấy </t>
          </r>
          <r>
            <rPr>
              <rFont val="Consolas"/>
              <sz val="10"/>
            </rPr>
            <t>haitatsu_chome_banchi: '' → 紺屋町3-1</t>
          </r>
          <r>
            <rPr>
              <rFont val="游ゴシック"/>
              <sz val="10"/>
            </rPr>
            <t xml:space="preserve">), nhưng </t>
          </r>
          <r>
            <rPr>
              <rFont val="Consolas"/>
              <sz val="10"/>
            </rPr>
            <t>zougen_hokoku_flg = **FALSE**</t>
          </r>
          <r>
            <rPr>
              <rFont val="游ゴシック"/>
              <sz val="10"/>
            </rPr>
            <t xml:space="preserve"> vì đ/c giao </t>
          </r>
          <r>
            <rPr>
              <rFont val="游ゴシック"/>
              <b val="1"/>
              <sz val="10"/>
            </rPr>
            <t>hiệu lực</t>
          </r>
          <r>
            <rPr>
              <rFont val="游ゴシック"/>
              <sz val="10"/>
            </rPr>
            <t xml:space="preserve"> vẫn là </t>
          </r>
          <r>
            <rPr>
              <rFont val="Consolas"/>
              <sz val="10"/>
            </rPr>
            <t>中央通1-2-3</t>
          </r>
          <r>
            <rPr>
              <rFont val="游ゴシック"/>
              <sz val="10"/>
            </rPr>
            <t xml:space="preserve">. Dữ liệu được lưu nhưng </t>
          </r>
          <r>
            <rPr>
              <rFont val="游ゴシック"/>
              <b val="1"/>
              <sz val="10"/>
            </rPr>
            <t>không vào phiếu 増減連絡票</t>
          </r>
          <r>
            <rPr>
              <rFont val="游ゴシック"/>
              <sz val="10"/>
            </rPr>
            <t>.</t>
          </r>
        </is>
      </c>
    </row>
    <row r="76" ht="19" customHeight="1">
      <c r="A76" s="18" t="inlineStr">
        <is>
          <t>Ai được đồng bộ chiều nào</t>
        </is>
      </c>
      <c r="B76" s="6" t="n"/>
      <c r="C76" s="6" t="n"/>
      <c r="D76" s="6" t="n"/>
      <c r="E76" s="6" t="n"/>
      <c r="F76" s="6" t="n"/>
      <c r="G76" s="6" t="n"/>
      <c r="H76" s="6" t="n"/>
    </row>
    <row r="77" ht="20" customHeight="1">
      <c r="A77" s="7" t="inlineStr">
        <is>
          <r>
            <rPr>
              <rFont val="Consolas"/>
              <b val="1"/>
              <sz val="10"/>
            </rPr>
            <t>dokusya_id</t>
          </r>
        </is>
      </c>
      <c r="B77" s="7" t="inlineStr">
        <is>
          <r>
            <rPr>
              <rFont val="Consolas"/>
              <b val="1"/>
              <sz val="10"/>
            </rPr>
            <t>shubetsu</t>
          </r>
        </is>
      </c>
      <c r="C77" s="7" t="inlineStr">
        <is>
          <r>
            <rPr>
              <rFont val="Consolas"/>
              <b val="1"/>
              <sz val="10"/>
            </rPr>
            <t>shiharai_hoho</t>
          </r>
        </is>
      </c>
      <c r="D77" s="7" t="inlineStr">
        <is>
          <r>
            <rPr>
              <rFont val="Consolas"/>
              <b val="1"/>
              <sz val="10"/>
            </rPr>
            <t>tanka.campaign_flg</t>
          </r>
        </is>
      </c>
      <c r="E77" s="7" t="inlineStr">
        <is>
          <r>
            <rPr>
              <rFont val="Consolas"/>
              <b val="1"/>
              <sz val="10"/>
            </rPr>
            <t>denshi_kaiin_id</t>
          </r>
        </is>
      </c>
      <c r="F77" s="7" t="inlineStr">
        <is>
          <t>Outbound</t>
        </is>
      </c>
      <c r="G77" s="7" t="inlineStr">
        <is>
          <t>Inbound</t>
        </is>
      </c>
      <c r="H77" s="7" t="inlineStr">
        <is>
          <t>Lý do</t>
        </is>
      </c>
    </row>
    <row r="78">
      <c r="A78" s="8" t="inlineStr">
        <is>
          <r>
            <rPr>
              <rFont val="Consolas"/>
              <sz val="9"/>
            </rPr>
            <t>1001</t>
          </r>
          <r>
            <rPr>
              <rFont val="游ゴシック"/>
              <sz val="9"/>
            </rPr>
            <t xml:space="preserve"> 山田太郎</t>
          </r>
        </is>
      </c>
      <c r="B78" s="8" t="inlineStr">
        <is>
          <t>1 紙版</t>
        </is>
      </c>
      <c r="C78" s="8" t="inlineStr">
        <is>
          <t>1</t>
        </is>
      </c>
      <c r="D78" s="19" t="inlineStr">
        <is>
          <t>—</t>
        </is>
      </c>
      <c r="E78" s="8" t="inlineStr">
        <is>
          <t>NULL</t>
        </is>
      </c>
      <c r="F78" s="9" t="inlineStr">
        <is>
          <t>❌</t>
        </is>
      </c>
      <c r="G78" s="9" t="inlineStr">
        <is>
          <t>❌</t>
        </is>
      </c>
      <c r="H78" s="8" t="inlineStr">
        <is>
          <r>
            <rPr>
              <rFont val="游ゴシック"/>
              <sz val="9"/>
            </rPr>
            <t xml:space="preserve">Cổng chỉ nhận </t>
          </r>
          <r>
            <rPr>
              <rFont val="Consolas"/>
              <sz val="9"/>
            </rPr>
            <t>shubetsu = 2</t>
          </r>
        </is>
      </c>
    </row>
    <row r="79">
      <c r="A79" s="8" t="inlineStr">
        <is>
          <r>
            <rPr>
              <rFont val="Consolas"/>
              <sz val="9"/>
            </rPr>
            <t>2002</t>
          </r>
          <r>
            <rPr>
              <rFont val="游ゴシック"/>
              <sz val="9"/>
            </rPr>
            <t xml:space="preserve"> 佐藤花子</t>
          </r>
        </is>
      </c>
      <c r="B79" s="8" t="inlineStr">
        <is>
          <t>2 電子版</t>
        </is>
      </c>
      <c r="C79" s="8" t="inlineStr">
        <is>
          <t>2</t>
        </is>
      </c>
      <c r="D79" s="8" t="inlineStr">
        <is>
          <t>false</t>
        </is>
      </c>
      <c r="E79" s="8" t="inlineStr">
        <is>
          <t>88123</t>
        </is>
      </c>
      <c r="F79" s="20" t="inlineStr">
        <is>
          <t>✅ đủ 5 mode</t>
        </is>
      </c>
      <c r="G79" s="20" t="inlineStr">
        <is>
          <t>✅</t>
        </is>
      </c>
      <c r="H79" s="8" t="inlineStr">
        <is>
          <t>Luồng chính</t>
        </is>
      </c>
    </row>
    <row r="80">
      <c r="A80" s="8" t="inlineStr">
        <is>
          <r>
            <rPr>
              <rFont val="Consolas"/>
              <sz val="9"/>
            </rPr>
            <t>2003</t>
          </r>
        </is>
      </c>
      <c r="B80" s="8" t="inlineStr">
        <is>
          <t>2 電子版</t>
        </is>
      </c>
      <c r="C80" s="8" t="inlineStr">
        <is>
          <t>2</t>
        </is>
      </c>
      <c r="D80" s="8" t="inlineStr">
        <is>
          <t>false</t>
        </is>
      </c>
      <c r="E80" s="8" t="inlineStr">
        <is>
          <t>88999</t>
        </is>
      </c>
      <c r="F80" s="20" t="inlineStr">
        <is>
          <t>✅</t>
        </is>
      </c>
      <c r="G80" s="20" t="inlineStr">
        <is>
          <t>✅</t>
        </is>
      </c>
      <c r="H80" s="8" t="inlineStr">
        <is>
          <t>Do inbound tạo</t>
        </is>
      </c>
    </row>
    <row r="81">
      <c r="A81" s="8" t="inlineStr">
        <is>
          <r>
            <rPr>
              <rFont val="Consolas"/>
              <sz val="9"/>
            </rPr>
            <t>2004</t>
          </r>
        </is>
      </c>
      <c r="B81" s="8" t="inlineStr">
        <is>
          <t>2 電子版</t>
        </is>
      </c>
      <c r="C81" s="8" t="inlineStr">
        <is>
          <t>2</t>
        </is>
      </c>
      <c r="D81" s="8" t="inlineStr">
        <is>
          <r>
            <rPr>
              <rFont val="游ゴシック"/>
              <b val="1"/>
              <sz val="9"/>
            </rPr>
            <t>true</t>
          </r>
        </is>
      </c>
      <c r="E81" s="8" t="inlineStr">
        <is>
          <t>88777</t>
        </is>
      </c>
      <c r="F81" s="9" t="inlineStr">
        <is>
          <r>
            <rPr>
              <rFont val="游ゴシック"/>
              <sz val="9"/>
            </rPr>
            <t xml:space="preserve">❌ chặn ở </t>
          </r>
          <r>
            <rPr>
              <rFont val="Consolas"/>
              <sz val="9"/>
            </rPr>
            <t>denshibanApiFor</t>
          </r>
        </is>
      </c>
      <c r="G81" s="9" t="inlineStr">
        <is>
          <r>
            <rPr>
              <rFont val="游ゴシック"/>
              <sz val="9"/>
            </rPr>
            <t xml:space="preserve">❌ chặn bởi </t>
          </r>
          <r>
            <rPr>
              <rFont val="Consolas"/>
              <sz val="9"/>
            </rPr>
            <t>campagna_flg=1</t>
          </r>
        </is>
      </c>
      <c r="H81" s="8" t="inlineStr">
        <is>
          <r>
            <rPr>
              <rFont val="游ゴシック"/>
              <b val="1"/>
              <sz val="9"/>
            </rPr>
            <t>Vô hình cả 2 chiều</t>
          </r>
        </is>
      </c>
    </row>
    <row r="82">
      <c r="A82" s="8" t="inlineStr">
        <is>
          <r>
            <rPr>
              <rFont val="Consolas"/>
              <sz val="9"/>
            </rPr>
            <t>2005</t>
          </r>
        </is>
      </c>
      <c r="B82" s="8" t="inlineStr">
        <is>
          <t>2 電子版</t>
        </is>
      </c>
      <c r="C82" s="8" t="inlineStr">
        <is>
          <r>
            <rPr>
              <rFont val="游ゴシック"/>
              <b val="1"/>
              <sz val="9"/>
            </rPr>
            <t>6 クレカ</t>
          </r>
        </is>
      </c>
      <c r="D82" s="8" t="inlineStr">
        <is>
          <t>false</t>
        </is>
      </c>
      <c r="E82" s="8" t="inlineStr">
        <is>
          <t>88555</t>
        </is>
      </c>
      <c r="F82" s="21" t="inlineStr">
        <is>
          <r>
            <rPr>
              <rFont val="游ゴシック"/>
              <sz val="9"/>
            </rPr>
            <t xml:space="preserve">⚠️ chỉ </t>
          </r>
          <r>
            <rPr>
              <rFont val="Consolas"/>
              <sz val="9"/>
            </rPr>
            <t>approve</t>
          </r>
          <r>
            <rPr>
              <rFont val="游ゴシック"/>
              <sz val="9"/>
            </rPr>
            <t>/</t>
          </r>
          <r>
            <rPr>
              <rFont val="Consolas"/>
              <sz val="9"/>
            </rPr>
            <t>unapprove</t>
          </r>
          <r>
            <rPr>
              <rFont val="游ゴシック"/>
              <sz val="9"/>
            </rPr>
            <t xml:space="preserve"> lọt</t>
          </r>
        </is>
      </c>
      <c r="G82" s="20" t="inlineStr">
        <is>
          <t>✅</t>
        </is>
      </c>
      <c r="H82" s="8" t="inlineStr">
        <is>
          <t>create/update/stop đã 403</t>
        </is>
      </c>
    </row>
    <row r="83">
      <c r="A83" s="8" t="inlineStr">
        <is>
          <r>
            <rPr>
              <rFont val="Consolas"/>
              <sz val="9"/>
            </rPr>
            <t>3006</t>
          </r>
        </is>
      </c>
      <c r="B83" s="8" t="inlineStr">
        <is>
          <r>
            <rPr>
              <rFont val="游ゴシック"/>
              <b val="1"/>
              <sz val="9"/>
            </rPr>
            <t>3 併読</t>
          </r>
        </is>
      </c>
      <c r="C83" s="8" t="inlineStr">
        <is>
          <t>2</t>
        </is>
      </c>
      <c r="D83" s="19" t="inlineStr">
        <is>
          <t>—</t>
        </is>
      </c>
      <c r="E83" s="8" t="inlineStr">
        <is>
          <t>88333</t>
        </is>
      </c>
      <c r="F83" s="9" t="inlineStr">
        <is>
          <r>
            <rPr>
              <rFont val="游ゴシック"/>
              <sz val="9"/>
            </rPr>
            <t xml:space="preserve">❌ </t>
          </r>
          <r>
            <rPr>
              <rFont val="游ゴシック"/>
              <b val="1"/>
              <sz val="9"/>
            </rPr>
            <t>không bao giờ</t>
          </r>
        </is>
      </c>
      <c r="G83" s="20" t="inlineStr">
        <is>
          <r>
            <rPr>
              <rFont val="游ゴシック"/>
              <sz val="9"/>
            </rPr>
            <t xml:space="preserve">✅ </t>
          </r>
          <r>
            <rPr>
              <rFont val="游ゴシック"/>
              <b val="1"/>
              <sz val="9"/>
            </rPr>
            <t>có</t>
          </r>
        </is>
      </c>
      <c r="H83" s="8" t="inlineStr">
        <is>
          <t>Hệ ngoài là nguồn sự thật cho 併読</t>
        </is>
      </c>
    </row>
    <row r="84">
      <c r="A84" s="8" t="inlineStr">
        <is>
          <r>
            <rPr>
              <rFont val="Consolas"/>
              <sz val="9"/>
            </rPr>
            <t>2007</t>
          </r>
          <r>
            <rPr>
              <rFont val="游ゴシック"/>
              <sz val="9"/>
            </rPr>
            <t xml:space="preserve"> (xoá mềm)</t>
          </r>
        </is>
      </c>
      <c r="B84" s="8" t="inlineStr">
        <is>
          <t>2</t>
        </is>
      </c>
      <c r="C84" s="8" t="inlineStr">
        <is>
          <t>2</t>
        </is>
      </c>
      <c r="D84" s="8" t="inlineStr">
        <is>
          <t>false</t>
        </is>
      </c>
      <c r="E84" s="8" t="inlineStr">
        <is>
          <t>88111</t>
        </is>
      </c>
      <c r="F84" s="9" t="inlineStr">
        <is>
          <t>❌</t>
        </is>
      </c>
      <c r="G84" s="9" t="inlineStr">
        <is>
          <t>❌</t>
        </is>
      </c>
      <c r="H84" s="8" t="inlineStr">
        <is>
          <r>
            <rPr>
              <rFont val="游ゴシック"/>
              <sz val="9"/>
            </rPr>
            <t xml:space="preserve">UNIQUE bộ phận loại </t>
          </r>
          <r>
            <rPr>
              <rFont val="Consolas"/>
              <sz val="9"/>
            </rPr>
            <t>deleted_at IS NOT NULL</t>
          </r>
        </is>
      </c>
    </row>
    <row r="86" ht="58" customHeight="1">
      <c r="A86" s="10" t="inlineStr">
        <is>
          <r>
            <rPr>
              <rFont val="游ゴシック"/>
              <sz val="10"/>
            </rPr>
            <t>Điều kiện lấy về phía denshiban (</t>
          </r>
          <r>
            <rPr>
              <rFont val="Consolas"/>
              <sz val="10"/>
            </rPr>
            <t>users</t>
          </r>
          <r>
            <rPr>
              <rFont val="游ゴシック"/>
              <sz val="10"/>
            </rPr>
            <t xml:space="preserve">): </t>
          </r>
          <r>
            <rPr>
              <rFont val="Consolas"/>
              <sz val="10"/>
            </rPr>
            <t>collecting='1'</t>
          </r>
          <r>
            <rPr>
              <rFont val="游ゴシック"/>
              <sz val="10"/>
            </rPr>
            <t> </t>
          </r>
          <r>
            <rPr>
              <rFont val="游ゴシック"/>
              <b val="1"/>
              <sz val="10"/>
            </rPr>
            <t>hoặc</t>
          </r>
          <r>
            <rPr>
              <rFont val="游ゴシック"/>
              <sz val="10"/>
            </rPr>
            <t xml:space="preserve"> (</t>
          </r>
          <r>
            <rPr>
              <rFont val="Consolas"/>
              <sz val="10"/>
            </rPr>
            <t>treatment=1 AND payment_id=6</t>
          </r>
          <r>
            <rPr>
              <rFont val="游ゴシック"/>
              <sz val="10"/>
            </rPr>
            <t xml:space="preserve">), </t>
          </r>
          <r>
            <rPr>
              <rFont val="游ゴシック"/>
              <b val="1"/>
              <sz val="10"/>
            </rPr>
            <t>trừ</t>
          </r>
          <r>
            <rPr>
              <rFont val="游ゴシック"/>
              <sz val="10"/>
            </rPr>
            <t> </t>
          </r>
          <r>
            <rPr>
              <rFont val="Consolas"/>
              <sz val="10"/>
            </rPr>
            <t>COALESCE(campagna_flg,0)=1</t>
          </r>
          <r>
            <rPr>
              <rFont val="游ゴシック"/>
              <sz val="10"/>
            </rPr>
            <t xml:space="preserve">. Không lọc </t>
          </r>
          <r>
            <rPr>
              <rFont val="Consolas"/>
              <sz val="10"/>
            </rPr>
            <t>deleted_at</t>
          </r>
          <r>
            <rPr>
              <rFont val="游ゴシック"/>
              <sz val="10"/>
            </rPr>
            <t xml:space="preserve"> — hội viên </t>
          </r>
          <r>
            <rPr>
              <rFont val="Consolas"/>
              <sz val="10"/>
            </rPr>
            <t>status=9</t>
          </r>
          <r>
            <rPr>
              <rFont val="游ゴシック"/>
              <sz val="10"/>
            </rPr>
            <t xml:space="preserve"> (đã huỷ) vẫn lấy để ghi nhận giải ước. ⚠️ Cột bên denshiban viết là </t>
          </r>
          <r>
            <rPr>
              <rFont val="Consolas"/>
              <b val="1"/>
              <sz val="10"/>
            </rPr>
            <t>campagna_flg</t>
          </r>
          <r>
            <rPr>
              <rFont val="游ゴシック"/>
              <sz val="10"/>
            </rPr>
            <t xml:space="preserve">, không phải </t>
          </r>
          <r>
            <rPr>
              <rFont val="Consolas"/>
              <sz val="10"/>
            </rPr>
            <t>campaign_flg</t>
          </r>
          <r>
            <rPr>
              <rFont val="游ゴシック"/>
              <sz val="10"/>
            </rPr>
            <t xml:space="preserve"> — đã xác nhận với khách hàng, không sửa chính tả.</t>
          </r>
        </is>
      </c>
    </row>
  </sheetData>
  <mergeCells count="10">
    <mergeCell ref="A62:H62"/>
    <mergeCell ref="A86:H86"/>
    <mergeCell ref="A65:H65"/>
    <mergeCell ref="A73:H73"/>
    <mergeCell ref="A71:H71"/>
    <mergeCell ref="A64:H64"/>
    <mergeCell ref="A76:H76"/>
    <mergeCell ref="A1:H1"/>
    <mergeCell ref="A61:H61"/>
    <mergeCell ref="A74:H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zoomScale="85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0" customHeight="1">
      <c r="A1" s="5" t="inlineStr">
        <is>
          <t>Cảnh báo</t>
        </is>
      </c>
      <c r="B1" s="6" t="n"/>
      <c r="C1" s="6" t="n"/>
      <c r="D1" s="6" t="n"/>
      <c r="E1" s="6" t="n"/>
      <c r="F1" s="6" t="n"/>
      <c r="G1" s="6" t="n"/>
      <c r="H1" s="6" t="n"/>
    </row>
    <row r="2" ht="72.5" customHeight="1">
      <c r="A2" s="10" t="inlineStr">
        <is>
          <r>
            <rPr>
              <rFont val="游ゴシック"/>
              <b val="1"/>
              <sz val="10"/>
            </rPr>
            <t xml:space="preserve">① </t>
          </r>
          <r>
            <rPr>
              <rFont val="Consolas"/>
              <b val="1"/>
              <sz val="10"/>
            </rPr>
            <t>honshi_kodoku_flg</t>
          </r>
          <r>
            <rPr>
              <rFont val="游ゴシック"/>
              <b val="1"/>
              <sz val="10"/>
            </rPr>
            <t xml:space="preserve"> — nghi vấn sinh dòng lịch sử lặp vô hạn (cần xác minh).</t>
          </r>
          <r>
            <rPr>
              <rFont val="游ゴシック"/>
              <sz val="10"/>
            </rPr>
            <t xml:space="preserve"> Cột nằm trong danh sách so sánh inbound và được so với </t>
          </r>
          <r>
            <rPr>
              <rFont val="游ゴシック"/>
              <b val="1"/>
              <sz val="10"/>
            </rPr>
            <t>master</t>
          </r>
          <r>
            <rPr>
              <rFont val="游ゴシック"/>
              <sz val="10"/>
            </rPr>
            <t xml:space="preserve">, nhưng </t>
          </r>
          <r>
            <rPr>
              <rFont val="Consolas"/>
              <sz val="10"/>
            </rPr>
            <t>t_dokusya_rireki</t>
          </r>
          <r>
            <rPr>
              <rFont val="游ゴシック"/>
              <sz val="10"/>
            </rPr>
            <t> </t>
          </r>
          <r>
            <rPr>
              <rFont val="游ゴシック"/>
              <b val="1"/>
              <sz val="10"/>
            </rPr>
            <t>không có</t>
          </r>
          <r>
            <rPr>
              <rFont val="游ゴシック"/>
              <sz val="10"/>
            </rPr>
            <t xml:space="preserve"> cột này → nhánh S2 không persist được và không quay về master. Nếu </t>
          </r>
          <r>
            <rPr>
              <rFont val="Consolas"/>
              <sz val="10"/>
            </rPr>
            <t>users.88123.subscribe_flg='1'</t>
          </r>
          <r>
            <rPr>
              <rFont val="游ゴシック"/>
              <sz val="10"/>
            </rPr>
            <t xml:space="preserve"> mà </t>
          </r>
          <r>
            <rPr>
              <rFont val="Consolas"/>
              <sz val="10"/>
            </rPr>
            <t>2002.honshi_kodoku_flg=FALSE</t>
          </r>
          <r>
            <rPr>
              <rFont val="游ゴシック"/>
              <sz val="10"/>
            </rPr>
            <t xml:space="preserve"> → mỗi lần batch chạy (10 phút) đều thấy diff → </t>
          </r>
          <r>
            <rPr>
              <rFont val="游ゴシック"/>
              <b val="1"/>
              <sz val="10"/>
            </rPr>
            <t>144 dòng/ngày cho 1 độc giả</t>
          </r>
          <r>
            <rPr>
              <rFont val="游ゴシック"/>
              <sz val="10"/>
            </rPr>
            <t>, master không bao giờ đổi. Nhánh S1 (CREATE) không bị.</t>
          </r>
        </is>
      </c>
    </row>
    <row r="3" ht="14" customHeight="1">
      <c r="A3" s="22" t="inlineStr">
        <is>
          <t>SELECT dokusya_id, COUNT(*) AS so_dong, MIN(created_at), MAX(created_at)</t>
        </is>
      </c>
      <c r="B3" s="23" t="n"/>
      <c r="C3" s="23" t="n"/>
      <c r="D3" s="23" t="n"/>
      <c r="E3" s="23" t="n"/>
      <c r="F3" s="23" t="n"/>
      <c r="G3" s="23" t="n"/>
      <c r="H3" s="23" t="n"/>
    </row>
    <row r="4" ht="14" customHeight="1">
      <c r="A4" s="22" t="inlineStr">
        <is>
          <t xml:space="preserve">  FROM t_dokusya_rireki WHERE created_by = 'DENSHIBAN_SYNC'</t>
        </is>
      </c>
      <c r="B4" s="23" t="n"/>
      <c r="C4" s="23" t="n"/>
      <c r="D4" s="23" t="n"/>
      <c r="E4" s="23" t="n"/>
      <c r="F4" s="23" t="n"/>
      <c r="G4" s="23" t="n"/>
      <c r="H4" s="23" t="n"/>
    </row>
    <row r="5" ht="14" customHeight="1">
      <c r="A5" s="22" t="inlineStr">
        <is>
          <t xml:space="preserve"> GROUP BY dokusya_id HAVING COUNT(*) &gt; 5 ORDER BY so_dong DESC;</t>
        </is>
      </c>
      <c r="B5" s="23" t="n"/>
      <c r="C5" s="23" t="n"/>
      <c r="D5" s="23" t="n"/>
      <c r="E5" s="23" t="n"/>
      <c r="F5" s="23" t="n"/>
      <c r="G5" s="23" t="n"/>
      <c r="H5" s="23" t="n"/>
    </row>
    <row r="6" ht="58" customHeight="1">
      <c r="A6" s="10" t="inlineStr">
        <is>
          <r>
            <rPr>
              <rFont val="游ゴシック"/>
              <b val="1"/>
              <sz val="10"/>
            </rPr>
            <t xml:space="preserve">② </t>
          </r>
          <r>
            <rPr>
              <rFont val="Consolas"/>
              <b val="1"/>
              <sz val="10"/>
            </rPr>
            <t>haitatsu_same_flg</t>
          </r>
          <r>
            <rPr>
              <rFont val="游ゴシック"/>
              <b val="1"/>
              <sz val="10"/>
            </rPr>
            <t xml:space="preserve"> không nằm trong danh sách chặn chế độ </t>
          </r>
          <r>
            <rPr>
              <rFont val="Consolas"/>
              <b val="1"/>
              <sz val="10"/>
            </rPr>
            <t>today</t>
          </r>
          <r>
            <rPr>
              <rFont val="游ゴシック"/>
              <b val="1"/>
              <sz val="10"/>
            </rPr>
            <t xml:space="preserve"> của 紙版.</t>
          </r>
          <r>
            <rPr>
              <rFont val="游ゴシック"/>
              <sz val="10"/>
            </rPr>
            <t xml:space="preserve"> Danh sách chặn có </t>
          </r>
          <r>
            <rPr>
              <rFont val="Consolas"/>
              <sz val="10"/>
            </rPr>
            <t>dokusya_busu</t>
          </r>
          <r>
            <rPr>
              <rFont val="游ゴシック"/>
              <sz val="10"/>
            </rPr>
            <t xml:space="preserve">, </t>
          </r>
          <r>
            <rPr>
              <rFont val="Consolas"/>
              <sz val="10"/>
            </rPr>
            <t>hanbaiten_id</t>
          </r>
          <r>
            <rPr>
              <rFont val="游ゴシック"/>
              <sz val="10"/>
            </rPr>
            <t xml:space="preserve"> và 10 cột địa chỉ, </t>
          </r>
          <r>
            <rPr>
              <rFont val="游ゴシック"/>
              <b val="1"/>
              <sz val="10"/>
            </rPr>
            <t xml:space="preserve">nhưng thiếu </t>
          </r>
          <r>
            <rPr>
              <rFont val="Consolas"/>
              <b val="1"/>
              <sz val="10"/>
            </rPr>
            <t>haitatsu_same_flg</t>
          </r>
          <r>
            <rPr>
              <rFont val="游ゴシック"/>
              <sz val="10"/>
            </rPr>
            <t xml:space="preserve">. Chỉ cần lật </t>
          </r>
          <r>
            <rPr>
              <rFont val="Consolas"/>
              <sz val="10"/>
            </rPr>
            <t>TRUE→FALSE</t>
          </r>
          <r>
            <rPr>
              <rFont val="游ゴシック"/>
              <sz val="10"/>
            </rPr>
            <t xml:space="preserve"> là sinh được dòng </t>
          </r>
          <r>
            <rPr>
              <rFont val="Consolas"/>
              <sz val="10"/>
            </rPr>
            <t>zougen_hokoku_flg=TRUE</t>
          </r>
          <r>
            <rPr>
              <rFont val="游ゴシック"/>
              <sz val="10"/>
            </rPr>
            <t xml:space="preserve"> với </t>
          </r>
          <r>
            <rPr>
              <rFont val="Consolas"/>
              <sz val="10"/>
            </rPr>
            <t>joho = hôm nay</t>
          </r>
          <r>
            <rPr>
              <rFont val="游ゴシック"/>
              <sz val="10"/>
            </rPr>
            <t xml:space="preserve"> — đúng thứ luật "báo cáo phải đặt lịch trước" muốn ngăn. Cần xác nhận cố ý hay thiếu sót.</t>
          </r>
        </is>
      </c>
    </row>
    <row r="7" ht="58" customHeight="1">
      <c r="A7" s="10" t="inlineStr">
        <is>
          <r>
            <rPr>
              <rFont val="游ゴシック"/>
              <b val="1"/>
              <sz val="10"/>
            </rPr>
            <t xml:space="preserve">③ D11/D12 không kiểm tra bản ghi chỉ đọc, và </t>
          </r>
          <r>
            <rPr>
              <rFont val="Consolas"/>
              <b val="1"/>
              <sz val="10"/>
            </rPr>
            <t>Number(NULL) = 0</t>
          </r>
          <r>
            <rPr>
              <rFont val="游ゴシック"/>
              <b val="1"/>
              <sz val="10"/>
            </rPr>
            <t>.</t>
          </r>
          <r>
            <rPr>
              <rFont val="游ゴシック"/>
              <sz val="10"/>
            </rPr>
            <t> </t>
          </r>
          <r>
            <rPr>
              <rFont val="Consolas"/>
              <sz val="10"/>
            </rPr>
            <t>changeApprovalStatus</t>
          </r>
          <r>
            <rPr>
              <rFont val="游ゴシック"/>
              <sz val="10"/>
            </rPr>
            <t xml:space="preserve"> không gọi </t>
          </r>
          <r>
            <rPr>
              <rFont val="Consolas"/>
              <sz val="10"/>
            </rPr>
            <t>isDokusyaReadOnly</t>
          </r>
          <r>
            <rPr>
              <rFont val="游ゴシック"/>
              <sz val="10"/>
            </rPr>
            <t xml:space="preserve"> → </t>
          </r>
          <r>
            <rPr>
              <rFont val="Consolas"/>
              <sz val="10"/>
            </rPr>
            <t>2005</t>
          </r>
          <r>
            <rPr>
              <rFont val="游ゴシック"/>
              <sz val="10"/>
            </rPr>
            <t xml:space="preserve"> (電子版+クレカ) vẫn duyệt được và kích hoạt outbound. Guard là </t>
          </r>
          <r>
            <rPr>
              <rFont val="Consolas"/>
              <sz val="10"/>
            </rPr>
            <t>Number(before.denshiShoninStatus) !== 0</t>
          </r>
          <r>
            <rPr>
              <rFont val="游ゴシック"/>
              <sz val="10"/>
            </rPr>
            <t xml:space="preserve">, mà 紙版 </t>
          </r>
          <r>
            <rPr>
              <rFont val="Consolas"/>
              <sz val="10"/>
            </rPr>
            <t>1001</t>
          </r>
          <r>
            <rPr>
              <rFont val="游ゴシック"/>
              <sz val="10"/>
            </rPr>
            <t xml:space="preserve"> có </t>
          </r>
          <r>
            <rPr>
              <rFont val="Consolas"/>
              <sz val="10"/>
            </rPr>
            <t>NULL</t>
          </r>
          <r>
            <rPr>
              <rFont val="游ゴシック"/>
              <sz val="10"/>
            </rPr>
            <t xml:space="preserve"> → </t>
          </r>
          <r>
            <rPr>
              <rFont val="Consolas"/>
              <sz val="10"/>
            </rPr>
            <t>Number(null) = 0</t>
          </r>
          <r>
            <rPr>
              <rFont val="游ゴシック"/>
              <sz val="10"/>
            </rPr>
            <t xml:space="preserve"> → </t>
          </r>
          <r>
            <rPr>
              <rFont val="Consolas"/>
              <b val="1"/>
              <sz val="10"/>
            </rPr>
            <t>PUT /dokusya/1001/approve</t>
          </r>
          <r>
            <rPr>
              <rFont val="游ゴシック"/>
              <b val="1"/>
              <sz val="10"/>
            </rPr>
            <t xml:space="preserve"> vẫn chạy được</t>
          </r>
          <r>
            <rPr>
              <rFont val="游ゴシック"/>
              <sz val="10"/>
            </rPr>
            <t xml:space="preserve"> trên một độc giả báo giấy. Màn hình không hiện nút nên chưa lộ.</t>
          </r>
        </is>
      </c>
    </row>
  </sheetData>
  <mergeCells count="7">
    <mergeCell ref="A1:H1"/>
    <mergeCell ref="A4:H4"/>
    <mergeCell ref="A3:H3"/>
    <mergeCell ref="A7:H7"/>
    <mergeCell ref="A2:H2"/>
    <mergeCell ref="A5:H5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2026-07-26T16:52:33Z</dcterms:created>
  <dcterms:modified xsi:type="dcterms:W3CDTF">2026-07-26T16:52:33Z</dcterms:modified>
</cp:coreProperties>
</file>